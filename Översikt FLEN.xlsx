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46228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46228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46228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46228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46228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46228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46228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46228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46228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46228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46228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46228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46228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46228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46228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46228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46228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46228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46228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46228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46228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46228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46228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46228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46228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46228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46228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46228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46228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46228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46228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46228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29895-2026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46228</v>
      </c>
      <c r="F51" t="inlineStr">
        <is>
          <t>SÖDERMANLANDS LÄN</t>
        </is>
      </c>
      <c r="G51" t="inlineStr">
        <is>
          <t>FLEN</t>
        </is>
      </c>
      <c r="I51" t="n">
        <v>0.7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Gullklöver
Svinrot
Revlummer</t>
        </is>
      </c>
      <c r="W51">
        <f>HYPERLINK("https://klasma.github.io/Logging_0482/artfynd/A 29895-2026 artfynd.xlsx", "A 29895-2026")</f>
        <v/>
      </c>
      <c r="X51">
        <f>HYPERLINK("https://klasma.github.io/Logging_0482/kartor/A 29895-2026 karta.png", "A 29895-2026")</f>
        <v/>
      </c>
      <c r="Y51">
        <f>HYPERLINK("https://klasma.github.io/Logging_0482/kartor_geotiff/A 29895-2026 georefererad karta.tif", "A 29895-2026")</f>
        <v/>
      </c>
      <c r="AA51">
        <f>HYPERLINK("https://klasma.github.io/Logging_0482/klagomål/A 29895-2026 FSC-klagomål.docx", "A 29895-2026")</f>
        <v/>
      </c>
      <c r="AB51">
        <f>HYPERLINK("https://klasma.github.io/Logging_0482/klagomålsmail/A 29895-2026 FSC-klagomål mail.docx", "A 29895-2026")</f>
        <v/>
      </c>
      <c r="AC51">
        <f>HYPERLINK("https://klasma.github.io/Logging_0482/tillsyn/A 29895-2026 tillsynsbegäran.docx", "A 29895-2026")</f>
        <v/>
      </c>
      <c r="AD51">
        <f>HYPERLINK("https://klasma.github.io/Logging_0482/tillsynsmail/A 29895-2026 tillsynsbegäran mail.docx", "A 29895-2026")</f>
        <v/>
      </c>
    </row>
    <row r="52" ht="15" customHeight="1">
      <c r="A52" t="inlineStr">
        <is>
          <t>A 2203-2022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46228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2.9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Knärot
Grönpyrola
Revlummer</t>
        </is>
      </c>
      <c r="W52">
        <f>HYPERLINK("https://klasma.github.io/Logging_0482/artfynd/A 2203-2022 artfynd.xlsx", "A 2203-2022")</f>
        <v/>
      </c>
      <c r="X52">
        <f>HYPERLINK("https://klasma.github.io/Logging_0482/kartor/A 2203-2022 karta.png", "A 2203-2022")</f>
        <v/>
      </c>
      <c r="Y52">
        <f>HYPERLINK("https://klasma.github.io/Logging_0482/kartor_geotiff/A 2203-2022 georefererad karta.tif", "A 2203-2022")</f>
        <v/>
      </c>
      <c r="Z52">
        <f>HYPERLINK("https://klasma.github.io/Logging_0482/knärot/A 2203-2022 karta knärot.png", "A 2203-2022")</f>
        <v/>
      </c>
      <c r="AA52">
        <f>HYPERLINK("https://klasma.github.io/Logging_0482/klagomål/A 2203-2022 FSC-klagomål.docx", "A 2203-2022")</f>
        <v/>
      </c>
      <c r="AB52">
        <f>HYPERLINK("https://klasma.github.io/Logging_0482/klagomålsmail/A 2203-2022 FSC-klagomål mail.docx", "A 2203-2022")</f>
        <v/>
      </c>
      <c r="AC52">
        <f>HYPERLINK("https://klasma.github.io/Logging_0482/tillsyn/A 2203-2022 tillsynsbegäran.docx", "A 2203-2022")</f>
        <v/>
      </c>
      <c r="AD52">
        <f>HYPERLINK("https://klasma.github.io/Logging_0482/tillsynsmail/A 2203-2022 tillsynsbegäran mail.docx", "A 2203-2022")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46228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46228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46228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46228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46228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46228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46228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46228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46228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46228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46228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46228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46228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46228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46228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46228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46228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46228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52858-2023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46228</v>
      </c>
      <c r="F71" t="inlineStr">
        <is>
          <t>SÖDERMANLANDS LÄN</t>
        </is>
      </c>
      <c r="G71" t="inlineStr">
        <is>
          <t>FLEN</t>
        </is>
      </c>
      <c r="I71" t="n">
        <v>3.6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1</v>
      </c>
      <c r="V71" s="2" t="inlineStr">
        <is>
          <t>Mindre hackspett
Tallticka</t>
        </is>
      </c>
      <c r="W71">
        <f>HYPERLINK("https://klasma.github.io/Logging_0482/artfynd/A 52858-2023 artfynd.xlsx", "A 52858-2023")</f>
        <v/>
      </c>
      <c r="X71">
        <f>HYPERLINK("https://klasma.github.io/Logging_0482/kartor/A 52858-2023 karta.png", "A 52858-2023")</f>
        <v/>
      </c>
      <c r="Y71">
        <f>HYPERLINK("https://klasma.github.io/Logging_0482/kartor_geotiff/A 52858-2023 georefererad karta.tif", "A 52858-2023")</f>
        <v/>
      </c>
      <c r="AA71">
        <f>HYPERLINK("https://klasma.github.io/Logging_0482/klagomål/A 52858-2023 FSC-klagomål.docx", "A 52858-2023")</f>
        <v/>
      </c>
      <c r="AB71">
        <f>HYPERLINK("https://klasma.github.io/Logging_0482/klagomålsmail/A 52858-2023 FSC-klagomål mail.docx", "A 52858-2023")</f>
        <v/>
      </c>
      <c r="AC71">
        <f>HYPERLINK("https://klasma.github.io/Logging_0482/tillsyn/A 52858-2023 tillsynsbegäran.docx", "A 52858-2023")</f>
        <v/>
      </c>
      <c r="AD71">
        <f>HYPERLINK("https://klasma.github.io/Logging_0482/tillsynsmail/A 52858-2023 tillsynsbegäran mail.docx", "A 52858-2023")</f>
        <v/>
      </c>
      <c r="AE71">
        <f>HYPERLINK("https://klasma.github.io/Logging_0482/fåglar/A 52858-2023 prioriterade fågelarter.docx", "A 52858-2023")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46228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46228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46228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46228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46228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22511-2026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46155</v>
      </c>
      <c r="E77" s="1" t="n">
        <v>46228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Ormbär
Skriftlav</t>
        </is>
      </c>
      <c r="W77">
        <f>HYPERLINK("https://klasma.github.io/Logging_0482/artfynd/A 22511-2026 artfynd.xlsx", "A 22511-2026")</f>
        <v/>
      </c>
      <c r="X77">
        <f>HYPERLINK("https://klasma.github.io/Logging_0482/kartor/A 22511-2026 karta.png", "A 22511-2026")</f>
        <v/>
      </c>
      <c r="Y77">
        <f>HYPERLINK("https://klasma.github.io/Logging_0482/kartor_geotiff/A 22511-2026 georefererad karta.tif", "A 22511-2026")</f>
        <v/>
      </c>
      <c r="AA77">
        <f>HYPERLINK("https://klasma.github.io/Logging_0482/klagomål/A 22511-2026 FSC-klagomål.docx", "A 22511-2026")</f>
        <v/>
      </c>
      <c r="AB77">
        <f>HYPERLINK("https://klasma.github.io/Logging_0482/klagomålsmail/A 22511-2026 FSC-klagomål mail.docx", "A 22511-2026")</f>
        <v/>
      </c>
      <c r="AC77">
        <f>HYPERLINK("https://klasma.github.io/Logging_0482/tillsyn/A 22511-2026 tillsynsbegäran.docx", "A 22511-2026")</f>
        <v/>
      </c>
      <c r="AD77">
        <f>HYPERLINK("https://klasma.github.io/Logging_0482/tillsynsmail/A 22511-2026 tillsynsbegäran mail.docx", "A 22511-2026")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46228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38882-2021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44411</v>
      </c>
      <c r="E79" s="1" t="n">
        <v>46228</v>
      </c>
      <c r="F79" t="inlineStr">
        <is>
          <t>SÖDERMANLANDS LÄN</t>
        </is>
      </c>
      <c r="G79" t="inlineStr">
        <is>
          <t>FLEN</t>
        </is>
      </c>
      <c r="I79" t="n">
        <v>3.4</v>
      </c>
      <c r="J79" t="n">
        <v>1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Grönpyrola</t>
        </is>
      </c>
      <c r="W79">
        <f>HYPERLINK("https://klasma.github.io/Logging_0482/artfynd/A 38882-2021 artfynd.xlsx", "A 38882-2021")</f>
        <v/>
      </c>
      <c r="X79">
        <f>HYPERLINK("https://klasma.github.io/Logging_0482/kartor/A 38882-2021 karta.png", "A 38882-2021")</f>
        <v/>
      </c>
      <c r="Y79">
        <f>HYPERLINK("https://klasma.github.io/Logging_0482/kartor_geotiff/A 38882-2021 georefererad karta.tif", "A 38882-2021")</f>
        <v/>
      </c>
      <c r="Z79">
        <f>HYPERLINK("https://klasma.github.io/Logging_0482/knärot/A 38882-2021 karta knärot.png", "A 38882-2021")</f>
        <v/>
      </c>
      <c r="AA79">
        <f>HYPERLINK("https://klasma.github.io/Logging_0482/klagomål/A 38882-2021 FSC-klagomål.docx", "A 38882-2021")</f>
        <v/>
      </c>
      <c r="AB79">
        <f>HYPERLINK("https://klasma.github.io/Logging_0482/klagomålsmail/A 38882-2021 FSC-klagomål mail.docx", "A 38882-2021")</f>
        <v/>
      </c>
      <c r="AC79">
        <f>HYPERLINK("https://klasma.github.io/Logging_0482/tillsyn/A 38882-2021 tillsynsbegäran.docx", "A 38882-2021")</f>
        <v/>
      </c>
      <c r="AD79">
        <f>HYPERLINK("https://klasma.github.io/Logging_0482/tillsynsmail/A 38882-2021 tillsynsbegäran mail.docx", "A 38882-2021")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46228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Reliktbock
Tallticka</t>
        </is>
      </c>
      <c r="W80">
        <f>HYPERLINK("https://klasma.github.io/Logging_0482/artfynd/A 49816-2023 artfynd.xlsx", "A 49816-2023")</f>
        <v/>
      </c>
      <c r="X80">
        <f>HYPERLINK("https://klasma.github.io/Logging_0482/kartor/A 49816-2023 karta.png", "A 49816-2023")</f>
        <v/>
      </c>
      <c r="Y80">
        <f>HYPERLINK("https://klasma.github.io/Logging_0482/kartor_geotiff/A 49816-2023 georefererad karta.tif", "A 49816-2023")</f>
        <v/>
      </c>
      <c r="AA80">
        <f>HYPERLINK("https://klasma.github.io/Logging_0482/klagomål/A 49816-2023 FSC-klagomål.docx", "A 49816-2023")</f>
        <v/>
      </c>
      <c r="AB80">
        <f>HYPERLINK("https://klasma.github.io/Logging_0482/klagomålsmail/A 49816-2023 FSC-klagomål mail.docx", "A 49816-2023")</f>
        <v/>
      </c>
      <c r="AC80">
        <f>HYPERLINK("https://klasma.github.io/Logging_0482/tillsyn/A 49816-2023 tillsynsbegäran.docx", "A 49816-2023")</f>
        <v/>
      </c>
      <c r="AD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46228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46228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46228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46228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46228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46228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46228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46228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46228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46228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46228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46228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46228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46228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46228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46228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46228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46228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46228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46228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46228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46228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46228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7525-2024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45348</v>
      </c>
      <c r="E104" s="1" t="n">
        <v>46228</v>
      </c>
      <c r="F104" t="inlineStr">
        <is>
          <t>SÖDERMANLANDS LÄN</t>
        </is>
      </c>
      <c r="G104" t="inlineStr">
        <is>
          <t>FLEN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backsmörblomma</t>
        </is>
      </c>
      <c r="W104">
        <f>HYPERLINK("https://klasma.github.io/Logging_0482/artfynd/A 7525-2024 artfynd.xlsx", "A 7525-2024")</f>
        <v/>
      </c>
      <c r="X104">
        <f>HYPERLINK("https://klasma.github.io/Logging_0482/kartor/A 7525-2024 karta.png", "A 7525-2024")</f>
        <v/>
      </c>
      <c r="Y104">
        <f>HYPERLINK("https://klasma.github.io/Logging_0482/kartor_geotiff/A 7525-2024 georefererad karta.tif", "A 7525-2024")</f>
        <v/>
      </c>
      <c r="AA104">
        <f>HYPERLINK("https://klasma.github.io/Logging_0482/klagomål/A 7525-2024 FSC-klagomål.docx", "A 7525-2024")</f>
        <v/>
      </c>
      <c r="AB104">
        <f>HYPERLINK("https://klasma.github.io/Logging_0482/klagomålsmail/A 7525-2024 FSC-klagomål mail.docx", "A 7525-2024")</f>
        <v/>
      </c>
      <c r="AC104">
        <f>HYPERLINK("https://klasma.github.io/Logging_0482/tillsyn/A 7525-2024 tillsynsbegäran.docx", "A 7525-2024")</f>
        <v/>
      </c>
      <c r="AD104">
        <f>HYPERLINK("https://klasma.github.io/Logging_0482/tillsynsmail/A 7525-2024 tillsynsbegäran mail.docx", "A 7525-2024")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46228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14113-2025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46228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14113-2025 artfynd.xlsx", "A 14113-2025")</f>
        <v/>
      </c>
      <c r="X106">
        <f>HYPERLINK("https://klasma.github.io/Logging_0482/kartor/A 14113-2025 karta.png", "A 14113-2025")</f>
        <v/>
      </c>
      <c r="Y106">
        <f>HYPERLINK("https://klasma.github.io/Logging_0482/kartor_geotiff/A 14113-2025 georefererad karta.tif", "A 14113-2025")</f>
        <v/>
      </c>
      <c r="AA106">
        <f>HYPERLINK("https://klasma.github.io/Logging_0482/klagomål/A 14113-2025 FSC-klagomål.docx", "A 14113-2025")</f>
        <v/>
      </c>
      <c r="AB106">
        <f>HYPERLINK("https://klasma.github.io/Logging_0482/klagomålsmail/A 14113-2025 FSC-klagomål mail.docx", "A 14113-2025")</f>
        <v/>
      </c>
      <c r="AC106">
        <f>HYPERLINK("https://klasma.github.io/Logging_0482/tillsyn/A 14113-2025 tillsynsbegäran.docx", "A 14113-2025")</f>
        <v/>
      </c>
      <c r="AD106">
        <f>HYPERLINK("https://klasma.github.io/Logging_0482/tillsynsmail/A 14113-2025 tillsynsbegäran mail.docx", "A 14113-2025")</f>
        <v/>
      </c>
    </row>
    <row r="107" ht="15" customHeight="1">
      <c r="A107" t="inlineStr">
        <is>
          <t>A 37283-2024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46228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37283-2024 artfynd.xlsx", "A 37283-2024")</f>
        <v/>
      </c>
      <c r="X107">
        <f>HYPERLINK("https://klasma.github.io/Logging_0482/kartor/A 37283-2024 karta.png", "A 37283-2024")</f>
        <v/>
      </c>
      <c r="Y107">
        <f>HYPERLINK("https://klasma.github.io/Logging_0482/kartor_geotiff/A 37283-2024 georefererad karta.tif", "A 37283-2024")</f>
        <v/>
      </c>
      <c r="AA107">
        <f>HYPERLINK("https://klasma.github.io/Logging_0482/klagomål/A 37283-2024 FSC-klagomål.docx", "A 37283-2024")</f>
        <v/>
      </c>
      <c r="AB107">
        <f>HYPERLINK("https://klasma.github.io/Logging_0482/klagomålsmail/A 37283-2024 FSC-klagomål mail.docx", "A 37283-2024")</f>
        <v/>
      </c>
      <c r="AC107">
        <f>HYPERLINK("https://klasma.github.io/Logging_0482/tillsyn/A 37283-2024 tillsynsbegäran.docx", "A 37283-2024")</f>
        <v/>
      </c>
      <c r="AD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46228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46228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55092-2021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46228</v>
      </c>
      <c r="F110" t="inlineStr">
        <is>
          <t>SÖDERMANLANDS LÄN</t>
        </is>
      </c>
      <c r="G110" t="inlineStr">
        <is>
          <t>FLEN</t>
        </is>
      </c>
      <c r="I110" t="n">
        <v>3.5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Huggorm</t>
        </is>
      </c>
      <c r="W110">
        <f>HYPERLINK("https://klasma.github.io/Logging_0482/artfynd/A 55092-2021 artfynd.xlsx", "A 55092-2021")</f>
        <v/>
      </c>
      <c r="X110">
        <f>HYPERLINK("https://klasma.github.io/Logging_0482/kartor/A 55092-2021 karta.png", "A 55092-2021")</f>
        <v/>
      </c>
      <c r="Y110">
        <f>HYPERLINK("https://klasma.github.io/Logging_0482/kartor_geotiff/A 55092-2021 georefererad karta.tif", "A 55092-2021")</f>
        <v/>
      </c>
      <c r="AA110">
        <f>HYPERLINK("https://klasma.github.io/Logging_0482/klagomål/A 55092-2021 FSC-klagomål.docx", "A 55092-2021")</f>
        <v/>
      </c>
      <c r="AB110">
        <f>HYPERLINK("https://klasma.github.io/Logging_0482/klagomålsmail/A 55092-2021 FSC-klagomål mail.docx", "A 55092-2021")</f>
        <v/>
      </c>
      <c r="AC110">
        <f>HYPERLINK("https://klasma.github.io/Logging_0482/tillsyn/A 55092-2021 tillsynsbegäran.docx", "A 55092-2021")</f>
        <v/>
      </c>
      <c r="AD110">
        <f>HYPERLINK("https://klasma.github.io/Logging_0482/tillsynsmail/A 55092-2021 tillsynsbegäran mail.docx", "A 55092-2021")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46228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47581-2025 artfynd.xlsx", "A 47581-2025")</f>
        <v/>
      </c>
      <c r="X111">
        <f>HYPERLINK("https://klasma.github.io/Logging_0482/kartor/A 47581-2025 karta.png", "A 47581-2025")</f>
        <v/>
      </c>
      <c r="Y111">
        <f>HYPERLINK("https://klasma.github.io/Logging_0482/kartor_geotiff/A 47581-2025 georefererad karta.tif", "A 47581-2025")</f>
        <v/>
      </c>
      <c r="AA111">
        <f>HYPERLINK("https://klasma.github.io/Logging_0482/klagomål/A 47581-2025 FSC-klagomål.docx", "A 47581-2025")</f>
        <v/>
      </c>
      <c r="AB111">
        <f>HYPERLINK("https://klasma.github.io/Logging_0482/klagomålsmail/A 47581-2025 FSC-klagomål mail.docx", "A 47581-2025")</f>
        <v/>
      </c>
      <c r="AC111">
        <f>HYPERLINK("https://klasma.github.io/Logging_0482/tillsyn/A 47581-2025 tillsynsbegäran.docx", "A 47581-2025")</f>
        <v/>
      </c>
      <c r="AD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46228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46228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34721-2023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46228</v>
      </c>
      <c r="F114" t="inlineStr">
        <is>
          <t>SÖDERMANLANDS LÄN</t>
        </is>
      </c>
      <c r="G114" t="inlineStr">
        <is>
          <t>FLEN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34721-2023 artfynd.xlsx", "A 34721-2023")</f>
        <v/>
      </c>
      <c r="X114">
        <f>HYPERLINK("https://klasma.github.io/Logging_0482/kartor/A 34721-2023 karta.png", "A 34721-2023")</f>
        <v/>
      </c>
      <c r="Y114">
        <f>HYPERLINK("https://klasma.github.io/Logging_0482/kartor_geotiff/A 34721-2023 georefererad karta.tif", "A 34721-2023")</f>
        <v/>
      </c>
      <c r="AA114">
        <f>HYPERLINK("https://klasma.github.io/Logging_0482/klagomål/A 34721-2023 FSC-klagomål.docx", "A 34721-2023")</f>
        <v/>
      </c>
      <c r="AB114">
        <f>HYPERLINK("https://klasma.github.io/Logging_0482/klagomålsmail/A 34721-2023 FSC-klagomål mail.docx", "A 34721-2023")</f>
        <v/>
      </c>
      <c r="AC114">
        <f>HYPERLINK("https://klasma.github.io/Logging_0482/tillsyn/A 34721-2023 tillsynsbegäran.docx", "A 34721-2023")</f>
        <v/>
      </c>
      <c r="AD114">
        <f>HYPERLINK("https://klasma.github.io/Logging_0482/tillsynsmail/A 34721-2023 tillsynsbegäran mail.docx", "A 34721-2023")</f>
        <v/>
      </c>
    </row>
    <row r="115" ht="15" customHeight="1">
      <c r="A115" t="inlineStr">
        <is>
          <t>A 66230-2021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46228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66230-2021 artfynd.xlsx", "A 66230-2021")</f>
        <v/>
      </c>
      <c r="X115">
        <f>HYPERLINK("https://klasma.github.io/Logging_0482/kartor/A 66230-2021 karta.png", "A 66230-2021")</f>
        <v/>
      </c>
      <c r="Y115">
        <f>HYPERLINK("https://klasma.github.io/Logging_0482/kartor_geotiff/A 66230-2021 georefererad karta.tif", "A 66230-2021")</f>
        <v/>
      </c>
      <c r="AA115">
        <f>HYPERLINK("https://klasma.github.io/Logging_0482/klagomål/A 66230-2021 FSC-klagomål.docx", "A 66230-2021")</f>
        <v/>
      </c>
      <c r="AB115">
        <f>HYPERLINK("https://klasma.github.io/Logging_0482/klagomålsmail/A 66230-2021 FSC-klagomål mail.docx", "A 66230-2021")</f>
        <v/>
      </c>
      <c r="AC115">
        <f>HYPERLINK("https://klasma.github.io/Logging_0482/tillsyn/A 66230-2021 tillsynsbegäran.docx", "A 66230-2021")</f>
        <v/>
      </c>
      <c r="AD115">
        <f>HYPERLINK("https://klasma.github.io/Logging_0482/tillsynsmail/A 66230-2021 tillsynsbegäran mail.docx", "A 66230-2021")</f>
        <v/>
      </c>
    </row>
    <row r="116" ht="15" customHeight="1">
      <c r="A116" t="inlineStr">
        <is>
          <t>A 1242-2022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46228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HYPERLINK("https://klasma.github.io/Logging_0482/artfynd/A 1242-2022 artfynd.xlsx", "A 1242-2022")</f>
        <v/>
      </c>
      <c r="X116">
        <f>HYPERLINK("https://klasma.github.io/Logging_0482/kartor/A 1242-2022 karta.png", "A 1242-2022")</f>
        <v/>
      </c>
      <c r="Y116">
        <f>HYPERLINK("https://klasma.github.io/Logging_0482/kartor_geotiff/A 1242-2022 georefererad karta.tif", "A 1242-2022")</f>
        <v/>
      </c>
      <c r="AA116">
        <f>HYPERLINK("https://klasma.github.io/Logging_0482/klagomål/A 1242-2022 FSC-klagomål.docx", "A 1242-2022")</f>
        <v/>
      </c>
      <c r="AB116">
        <f>HYPERLINK("https://klasma.github.io/Logging_0482/klagomålsmail/A 1242-2022 FSC-klagomål mail.docx", "A 1242-2022")</f>
        <v/>
      </c>
      <c r="AC116">
        <f>HYPERLINK("https://klasma.github.io/Logging_0482/tillsyn/A 1242-2022 tillsynsbegäran.docx", "A 1242-2022")</f>
        <v/>
      </c>
      <c r="AD116">
        <f>HYPERLINK("https://klasma.github.io/Logging_0482/tillsynsmail/A 1242-2022 tillsynsbegäran mail.docx", "A 1242-2022")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46228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46228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46228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60529-2024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46228</v>
      </c>
      <c r="F120" t="inlineStr">
        <is>
          <t>SÖDERMANLANDS LÄN</t>
        </is>
      </c>
      <c r="G120" t="inlineStr">
        <is>
          <t>FLEN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Skarp dropptaggsvamp</t>
        </is>
      </c>
      <c r="W120">
        <f>HYPERLINK("https://klasma.github.io/Logging_0482/artfynd/A 60529-2024 artfynd.xlsx", "A 60529-2024")</f>
        <v/>
      </c>
      <c r="X120">
        <f>HYPERLINK("https://klasma.github.io/Logging_0482/kartor/A 60529-2024 karta.png", "A 60529-2024")</f>
        <v/>
      </c>
      <c r="Y120">
        <f>HYPERLINK("https://klasma.github.io/Logging_0482/kartor_geotiff/A 60529-2024 georefererad karta.tif", "A 60529-2024")</f>
        <v/>
      </c>
      <c r="AA120">
        <f>HYPERLINK("https://klasma.github.io/Logging_0482/klagomål/A 60529-2024 FSC-klagomål.docx", "A 60529-2024")</f>
        <v/>
      </c>
      <c r="AB120">
        <f>HYPERLINK("https://klasma.github.io/Logging_0482/klagomålsmail/A 60529-2024 FSC-klagomål mail.docx", "A 60529-2024")</f>
        <v/>
      </c>
      <c r="AC120">
        <f>HYPERLINK("https://klasma.github.io/Logging_0482/tillsyn/A 60529-2024 tillsynsbegäran.docx", "A 60529-2024")</f>
        <v/>
      </c>
      <c r="AD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46228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54302-2025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46228</v>
      </c>
      <c r="F122" t="inlineStr">
        <is>
          <t>SÖDERMANLANDS LÄN</t>
        </is>
      </c>
      <c r="G122" t="inlineStr">
        <is>
          <t>FLEN</t>
        </is>
      </c>
      <c r="I122" t="n">
        <v>12.6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HYPERLINK("https://klasma.github.io/Logging_0482/artfynd/A 54302-2025 artfynd.xlsx", "A 54302-2025")</f>
        <v/>
      </c>
      <c r="X122">
        <f>HYPERLINK("https://klasma.github.io/Logging_0482/kartor/A 54302-2025 karta.png", "A 54302-2025")</f>
        <v/>
      </c>
      <c r="Y122">
        <f>HYPERLINK("https://klasma.github.io/Logging_0482/kartor_geotiff/A 54302-2025 georefererad karta.tif", "A 54302-2025")</f>
        <v/>
      </c>
      <c r="AA122">
        <f>HYPERLINK("https://klasma.github.io/Logging_0482/klagomål/A 54302-2025 FSC-klagomål.docx", "A 54302-2025")</f>
        <v/>
      </c>
      <c r="AB122">
        <f>HYPERLINK("https://klasma.github.io/Logging_0482/klagomålsmail/A 54302-2025 FSC-klagomål mail.docx", "A 54302-2025")</f>
        <v/>
      </c>
      <c r="AC122">
        <f>HYPERLINK("https://klasma.github.io/Logging_0482/tillsyn/A 54302-2025 tillsynsbegäran.docx", "A 54302-2025")</f>
        <v/>
      </c>
      <c r="AD122">
        <f>HYPERLINK("https://klasma.github.io/Logging_0482/tillsynsmail/A 54302-2025 tillsynsbegäran mail.docx", "A 54302-2025")</f>
        <v/>
      </c>
    </row>
    <row r="123" ht="15" customHeight="1">
      <c r="A123" t="inlineStr">
        <is>
          <t>A 52546-2021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44463</v>
      </c>
      <c r="E123" s="1" t="n">
        <v>46228</v>
      </c>
      <c r="F123" t="inlineStr">
        <is>
          <t>SÖDERMANLANDS LÄN</t>
        </is>
      </c>
      <c r="G123" t="inlineStr">
        <is>
          <t>FLEN</t>
        </is>
      </c>
      <c r="I123" t="n">
        <v>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Mindre bastardsvärmare</t>
        </is>
      </c>
      <c r="W123">
        <f>HYPERLINK("https://klasma.github.io/Logging_0482/artfynd/A 52546-2021 artfynd.xlsx", "A 52546-2021")</f>
        <v/>
      </c>
      <c r="X123">
        <f>HYPERLINK("https://klasma.github.io/Logging_0482/kartor/A 52546-2021 karta.png", "A 52546-2021")</f>
        <v/>
      </c>
      <c r="Y123">
        <f>HYPERLINK("https://klasma.github.io/Logging_0482/kartor_geotiff/A 52546-2021 georefererad karta.tif", "A 52546-2021")</f>
        <v/>
      </c>
      <c r="AA123">
        <f>HYPERLINK("https://klasma.github.io/Logging_0482/klagomål/A 52546-2021 FSC-klagomål.docx", "A 52546-2021")</f>
        <v/>
      </c>
      <c r="AB123">
        <f>HYPERLINK("https://klasma.github.io/Logging_0482/klagomålsmail/A 52546-2021 FSC-klagomål mail.docx", "A 52546-2021")</f>
        <v/>
      </c>
      <c r="AC123">
        <f>HYPERLINK("https://klasma.github.io/Logging_0482/tillsyn/A 52546-2021 tillsynsbegäran.docx", "A 52546-2021")</f>
        <v/>
      </c>
      <c r="AD123">
        <f>HYPERLINK("https://klasma.github.io/Logging_0482/tillsynsmail/A 52546-2021 tillsynsbegäran mail.docx", "A 52546-2021")</f>
        <v/>
      </c>
    </row>
    <row r="124" ht="15" customHeight="1">
      <c r="A124" t="inlineStr">
        <is>
          <t>A 45120-2021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46228</v>
      </c>
      <c r="F124" t="inlineStr">
        <is>
          <t>SÖDERMANLANDS LÄN</t>
        </is>
      </c>
      <c r="G124" t="inlineStr">
        <is>
          <t>FLEN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45120-2021 artfynd.xlsx", "A 45120-2021")</f>
        <v/>
      </c>
      <c r="X124">
        <f>HYPERLINK("https://klasma.github.io/Logging_0482/kartor/A 45120-2021 karta.png", "A 45120-2021")</f>
        <v/>
      </c>
      <c r="Y124">
        <f>HYPERLINK("https://klasma.github.io/Logging_0482/kartor_geotiff/A 45120-2021 georefererad karta.tif", "A 45120-2021")</f>
        <v/>
      </c>
      <c r="AA124">
        <f>HYPERLINK("https://klasma.github.io/Logging_0482/klagomål/A 45120-2021 FSC-klagomål.docx", "A 45120-2021")</f>
        <v/>
      </c>
      <c r="AB124">
        <f>HYPERLINK("https://klasma.github.io/Logging_0482/klagomålsmail/A 45120-2021 FSC-klagomål mail.docx", "A 45120-2021")</f>
        <v/>
      </c>
      <c r="AC124">
        <f>HYPERLINK("https://klasma.github.io/Logging_0482/tillsyn/A 45120-2021 tillsynsbegäran.docx", "A 45120-2021")</f>
        <v/>
      </c>
      <c r="AD124">
        <f>HYPERLINK("https://klasma.github.io/Logging_0482/tillsynsmail/A 45120-2021 tillsynsbegäran mail.docx", "A 45120-2021")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46228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46228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2036-2026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46228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Knärot</t>
        </is>
      </c>
      <c r="W127">
        <f>HYPERLINK("https://klasma.github.io/Logging_0482/artfynd/A 2036-2026 artfynd.xlsx", "A 2036-2026")</f>
        <v/>
      </c>
      <c r="X127">
        <f>HYPERLINK("https://klasma.github.io/Logging_0482/kartor/A 2036-2026 karta.png", "A 2036-2026")</f>
        <v/>
      </c>
      <c r="Y127">
        <f>HYPERLINK("https://klasma.github.io/Logging_0482/kartor_geotiff/A 2036-2026 georefererad karta.tif", "A 2036-2026")</f>
        <v/>
      </c>
      <c r="Z127">
        <f>HYPERLINK("https://klasma.github.io/Logging_0482/knärot/A 2036-2026 karta knärot.png", "A 2036-2026")</f>
        <v/>
      </c>
      <c r="AA127">
        <f>HYPERLINK("https://klasma.github.io/Logging_0482/klagomål/A 2036-2026 FSC-klagomål.docx", "A 2036-2026")</f>
        <v/>
      </c>
      <c r="AB127">
        <f>HYPERLINK("https://klasma.github.io/Logging_0482/klagomålsmail/A 2036-2026 FSC-klagomål mail.docx", "A 2036-2026")</f>
        <v/>
      </c>
      <c r="AC127">
        <f>HYPERLINK("https://klasma.github.io/Logging_0482/tillsyn/A 2036-2026 tillsynsbegäran.docx", "A 2036-2026")</f>
        <v/>
      </c>
      <c r="AD127">
        <f>HYPERLINK("https://klasma.github.io/Logging_0482/tillsynsmail/A 2036-2026 tillsynsbegäran mail.docx", "A 2036-2026")</f>
        <v/>
      </c>
    </row>
    <row r="128" ht="15" customHeight="1">
      <c r="A128" t="inlineStr">
        <is>
          <t>A 10770-2022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46228</v>
      </c>
      <c r="F128" t="inlineStr">
        <is>
          <t>SÖDERMANLANDS LÄN</t>
        </is>
      </c>
      <c r="G128" t="inlineStr">
        <is>
          <t>FLEN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10770-2022 artfynd.xlsx", "A 10770-2022")</f>
        <v/>
      </c>
      <c r="X128">
        <f>HYPERLINK("https://klasma.github.io/Logging_0482/kartor/A 10770-2022 karta.png", "A 10770-2022")</f>
        <v/>
      </c>
      <c r="Y128">
        <f>HYPERLINK("https://klasma.github.io/Logging_0482/kartor_geotiff/A 10770-2022 georefererad karta.tif", "A 10770-2022")</f>
        <v/>
      </c>
      <c r="AA128">
        <f>HYPERLINK("https://klasma.github.io/Logging_0482/klagomål/A 10770-2022 FSC-klagomål.docx", "A 10770-2022")</f>
        <v/>
      </c>
      <c r="AB128">
        <f>HYPERLINK("https://klasma.github.io/Logging_0482/klagomålsmail/A 10770-2022 FSC-klagomål mail.docx", "A 10770-2022")</f>
        <v/>
      </c>
      <c r="AC128">
        <f>HYPERLINK("https://klasma.github.io/Logging_0482/tillsyn/A 10770-2022 tillsynsbegäran.docx", "A 10770-2022")</f>
        <v/>
      </c>
      <c r="AD128">
        <f>HYPERLINK("https://klasma.github.io/Logging_0482/tillsynsmail/A 10770-2022 tillsynsbegäran mail.docx", "A 10770-2022")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46228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46228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46228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30406-2026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46209</v>
      </c>
      <c r="E132" s="1" t="n">
        <v>46228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HYPERLINK("https://klasma.github.io/Logging_0482/artfynd/A 30406-2026 artfynd.xlsx", "A 30406-2026")</f>
        <v/>
      </c>
      <c r="X132">
        <f>HYPERLINK("https://klasma.github.io/Logging_0482/kartor/A 30406-2026 karta.png", "A 30406-2026")</f>
        <v/>
      </c>
      <c r="Y132">
        <f>HYPERLINK("https://klasma.github.io/Logging_0482/kartor_geotiff/A 30406-2026 georefererad karta.tif", "A 30406-2026")</f>
        <v/>
      </c>
      <c r="AA132">
        <f>HYPERLINK("https://klasma.github.io/Logging_0482/klagomål/A 30406-2026 FSC-klagomål.docx", "A 30406-2026")</f>
        <v/>
      </c>
      <c r="AB132">
        <f>HYPERLINK("https://klasma.github.io/Logging_0482/klagomålsmail/A 30406-2026 FSC-klagomål mail.docx", "A 30406-2026")</f>
        <v/>
      </c>
      <c r="AC132">
        <f>HYPERLINK("https://klasma.github.io/Logging_0482/tillsyn/A 30406-2026 tillsynsbegäran.docx", "A 30406-2026")</f>
        <v/>
      </c>
      <c r="AD132">
        <f>HYPERLINK("https://klasma.github.io/Logging_0482/tillsynsmail/A 30406-2026 tillsynsbegäran mail.docx", "A 30406-2026")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46228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46228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9446-2026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46228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0.8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9446-2026 artfynd.xlsx", "A 9446-2026")</f>
        <v/>
      </c>
      <c r="X135">
        <f>HYPERLINK("https://klasma.github.io/Logging_0482/kartor/A 9446-2026 karta.png", "A 9446-2026")</f>
        <v/>
      </c>
      <c r="Y135">
        <f>HYPERLINK("https://klasma.github.io/Logging_0482/kartor_geotiff/A 9446-2026 georefererad karta.tif", "A 9446-2026")</f>
        <v/>
      </c>
      <c r="AA135">
        <f>HYPERLINK("https://klasma.github.io/Logging_0482/klagomål/A 9446-2026 FSC-klagomål.docx", "A 9446-2026")</f>
        <v/>
      </c>
      <c r="AB135">
        <f>HYPERLINK("https://klasma.github.io/Logging_0482/klagomålsmail/A 9446-2026 FSC-klagomål mail.docx", "A 9446-2026")</f>
        <v/>
      </c>
      <c r="AC135">
        <f>HYPERLINK("https://klasma.github.io/Logging_0482/tillsyn/A 9446-2026 tillsynsbegäran.docx", "A 9446-2026")</f>
        <v/>
      </c>
      <c r="AD135">
        <f>HYPERLINK("https://klasma.github.io/Logging_0482/tillsynsmail/A 9446-2026 tillsynsbegäran mail.docx", "A 9446-2026")</f>
        <v/>
      </c>
    </row>
    <row r="136" ht="15" customHeight="1">
      <c r="A136" t="inlineStr">
        <is>
          <t>A 10999-2026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46228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HYPERLINK("https://klasma.github.io/Logging_0482/artfynd/A 10999-2026 artfynd.xlsx", "A 10999-2026")</f>
        <v/>
      </c>
      <c r="X136">
        <f>HYPERLINK("https://klasma.github.io/Logging_0482/kartor/A 10999-2026 karta.png", "A 10999-2026")</f>
        <v/>
      </c>
      <c r="Y136">
        <f>HYPERLINK("https://klasma.github.io/Logging_0482/kartor_geotiff/A 10999-2026 georefererad karta.tif", "A 10999-2026")</f>
        <v/>
      </c>
      <c r="AA136">
        <f>HYPERLINK("https://klasma.github.io/Logging_0482/klagomål/A 10999-2026 FSC-klagomål.docx", "A 10999-2026")</f>
        <v/>
      </c>
      <c r="AB136">
        <f>HYPERLINK("https://klasma.github.io/Logging_0482/klagomålsmail/A 10999-2026 FSC-klagomål mail.docx", "A 10999-2026")</f>
        <v/>
      </c>
      <c r="AC136">
        <f>HYPERLINK("https://klasma.github.io/Logging_0482/tillsyn/A 10999-2026 tillsynsbegäran.docx", "A 10999-2026")</f>
        <v/>
      </c>
      <c r="AD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46228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12306-2022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46228</v>
      </c>
      <c r="F138" t="inlineStr">
        <is>
          <t>SÖDERMANLANDS LÄN</t>
        </is>
      </c>
      <c r="G138" t="inlineStr">
        <is>
          <t>FLEN</t>
        </is>
      </c>
      <c r="I138" t="n">
        <v>3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Järnsparv</t>
        </is>
      </c>
      <c r="W138">
        <f>HYPERLINK("https://klasma.github.io/Logging_0482/artfynd/A 12306-2022 artfynd.xlsx", "A 12306-2022")</f>
        <v/>
      </c>
      <c r="X138">
        <f>HYPERLINK("https://klasma.github.io/Logging_0482/kartor/A 12306-2022 karta.png", "A 12306-2022")</f>
        <v/>
      </c>
      <c r="Y138">
        <f>HYPERLINK("https://klasma.github.io/Logging_0482/kartor_geotiff/A 12306-2022 georefererad karta.tif", "A 12306-2022")</f>
        <v/>
      </c>
      <c r="AA138">
        <f>HYPERLINK("https://klasma.github.io/Logging_0482/klagomål/A 12306-2022 FSC-klagomål.docx", "A 12306-2022")</f>
        <v/>
      </c>
      <c r="AB138">
        <f>HYPERLINK("https://klasma.github.io/Logging_0482/klagomålsmail/A 12306-2022 FSC-klagomål mail.docx", "A 12306-2022")</f>
        <v/>
      </c>
      <c r="AC138">
        <f>HYPERLINK("https://klasma.github.io/Logging_0482/tillsyn/A 12306-2022 tillsynsbegäran.docx", "A 12306-2022")</f>
        <v/>
      </c>
      <c r="AD138">
        <f>HYPERLINK("https://klasma.github.io/Logging_0482/tillsynsmail/A 12306-2022 tillsynsbegäran mail.docx", "A 12306-2022")</f>
        <v/>
      </c>
      <c r="AE138">
        <f>HYPERLINK("https://klasma.github.io/Logging_0482/fåglar/A 12306-2022 prioriterade fågelarter.docx", "A 12306-2022")</f>
        <v/>
      </c>
    </row>
    <row r="139" ht="15" customHeight="1">
      <c r="A139" t="inlineStr">
        <is>
          <t>A 29195-2023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46228</v>
      </c>
      <c r="F139" t="inlineStr">
        <is>
          <t>SÖDERMANLANDS LÄN</t>
        </is>
      </c>
      <c r="G139" t="inlineStr">
        <is>
          <t>FLEN</t>
        </is>
      </c>
      <c r="H139" t="inlineStr">
        <is>
          <t>Övriga statliga verk och myndigheter</t>
        </is>
      </c>
      <c r="I139" t="n">
        <v>3.9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HYPERLINK("https://klasma.github.io/Logging_0482/artfynd/A 29195-2023 artfynd.xlsx", "A 29195-2023")</f>
        <v/>
      </c>
      <c r="X139">
        <f>HYPERLINK("https://klasma.github.io/Logging_0482/kartor/A 29195-2023 karta.png", "A 29195-2023")</f>
        <v/>
      </c>
      <c r="Y139">
        <f>HYPERLINK("https://klasma.github.io/Logging_0482/kartor_geotiff/A 29195-2023 georefererad karta.tif", "A 29195-2023")</f>
        <v/>
      </c>
      <c r="AA139">
        <f>HYPERLINK("https://klasma.github.io/Logging_0482/klagomål/A 29195-2023 FSC-klagomål.docx", "A 29195-2023")</f>
        <v/>
      </c>
      <c r="AB139">
        <f>HYPERLINK("https://klasma.github.io/Logging_0482/klagomålsmail/A 29195-2023 FSC-klagomål mail.docx", "A 29195-2023")</f>
        <v/>
      </c>
      <c r="AC139">
        <f>HYPERLINK("https://klasma.github.io/Logging_0482/tillsyn/A 29195-2023 tillsynsbegäran.docx", "A 29195-2023")</f>
        <v/>
      </c>
      <c r="AD139">
        <f>HYPERLINK("https://klasma.github.io/Logging_0482/tillsynsmail/A 29195-2023 tillsynsbegäran mail.docx", "A 29195-2023")</f>
        <v/>
      </c>
    </row>
    <row r="140" ht="15" customHeight="1">
      <c r="A140" t="inlineStr">
        <is>
          <t>A 16095-2026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46228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Bivråk</t>
        </is>
      </c>
      <c r="W140">
        <f>HYPERLINK("https://klasma.github.io/Logging_0482/artfynd/A 16095-2026 artfynd.xlsx", "A 16095-2026")</f>
        <v/>
      </c>
      <c r="X140">
        <f>HYPERLINK("https://klasma.github.io/Logging_0482/kartor/A 16095-2026 karta.png", "A 16095-2026")</f>
        <v/>
      </c>
      <c r="Y140">
        <f>HYPERLINK("https://klasma.github.io/Logging_0482/kartor_geotiff/A 16095-2026 georefererad karta.tif", "A 16095-2026")</f>
        <v/>
      </c>
      <c r="AA140">
        <f>HYPERLINK("https://klasma.github.io/Logging_0482/klagomål/A 16095-2026 FSC-klagomål.docx", "A 16095-2026")</f>
        <v/>
      </c>
      <c r="AB140">
        <f>HYPERLINK("https://klasma.github.io/Logging_0482/klagomålsmail/A 16095-2026 FSC-klagomål mail.docx", "A 16095-2026")</f>
        <v/>
      </c>
      <c r="AC140">
        <f>HYPERLINK("https://klasma.github.io/Logging_0482/tillsyn/A 16095-2026 tillsynsbegäran.docx", "A 16095-2026")</f>
        <v/>
      </c>
      <c r="AD140">
        <f>HYPERLINK("https://klasma.github.io/Logging_0482/tillsynsmail/A 16095-2026 tillsynsbegäran mail.docx", "A 16095-2026")</f>
        <v/>
      </c>
      <c r="AE140">
        <f>HYPERLINK("https://klasma.github.io/Logging_0482/fåglar/A 16095-2026 prioriterade fågelarter.docx", "A 16095-2026")</f>
        <v/>
      </c>
    </row>
    <row r="141" ht="15" customHeight="1">
      <c r="A141" t="inlineStr">
        <is>
          <t>A 26310-2026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46228</v>
      </c>
      <c r="F141" t="inlineStr">
        <is>
          <t>SÖDERMANLANDS LÄN</t>
        </is>
      </c>
      <c r="G141" t="inlineStr">
        <is>
          <t>FLEN</t>
        </is>
      </c>
      <c r="I141" t="n">
        <v>1.2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HYPERLINK("https://klasma.github.io/Logging_0482/artfynd/A 26310-2026 artfynd.xlsx", "A 26310-2026")</f>
        <v/>
      </c>
      <c r="X141">
        <f>HYPERLINK("https://klasma.github.io/Logging_0482/kartor/A 26310-2026 karta.png", "A 26310-2026")</f>
        <v/>
      </c>
      <c r="Y141">
        <f>HYPERLINK("https://klasma.github.io/Logging_0482/kartor_geotiff/A 26310-2026 georefererad karta.tif", "A 26310-2026")</f>
        <v/>
      </c>
      <c r="AA141">
        <f>HYPERLINK("https://klasma.github.io/Logging_0482/klagomål/A 26310-2026 FSC-klagomål.docx", "A 26310-2026")</f>
        <v/>
      </c>
      <c r="AB141">
        <f>HYPERLINK("https://klasma.github.io/Logging_0482/klagomålsmail/A 26310-2026 FSC-klagomål mail.docx", "A 26310-2026")</f>
        <v/>
      </c>
      <c r="AC141">
        <f>HYPERLINK("https://klasma.github.io/Logging_0482/tillsyn/A 26310-2026 tillsynsbegäran.docx", "A 26310-2026")</f>
        <v/>
      </c>
      <c r="AD141">
        <f>HYPERLINK("https://klasma.github.io/Logging_0482/tillsynsmail/A 26310-2026 tillsynsbegäran mail.docx", "A 26310-2026")</f>
        <v/>
      </c>
      <c r="AE141">
        <f>HYPERLINK("https://klasma.github.io/Logging_0482/fåglar/A 26310-2026 prioriterade fågelarter.docx", "A 26310-2026")</f>
        <v/>
      </c>
    </row>
    <row r="142" ht="15" customHeight="1">
      <c r="A142" t="inlineStr">
        <is>
          <t>A 60562-2021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44495</v>
      </c>
      <c r="E142" s="1" t="n">
        <v>46228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1.3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Gullklöver</t>
        </is>
      </c>
      <c r="W142">
        <f>HYPERLINK("https://klasma.github.io/Logging_0482/artfynd/A 60562-2021 artfynd.xlsx", "A 60562-2021")</f>
        <v/>
      </c>
      <c r="X142">
        <f>HYPERLINK("https://klasma.github.io/Logging_0482/kartor/A 60562-2021 karta.png", "A 60562-2021")</f>
        <v/>
      </c>
      <c r="Y142">
        <f>HYPERLINK("https://klasma.github.io/Logging_0482/kartor_geotiff/A 60562-2021 georefererad karta.tif", "A 60562-2021")</f>
        <v/>
      </c>
      <c r="AA142">
        <f>HYPERLINK("https://klasma.github.io/Logging_0482/klagomål/A 60562-2021 FSC-klagomål.docx", "A 60562-2021")</f>
        <v/>
      </c>
      <c r="AB142">
        <f>HYPERLINK("https://klasma.github.io/Logging_0482/klagomålsmail/A 60562-2021 FSC-klagomål mail.docx", "A 60562-2021")</f>
        <v/>
      </c>
      <c r="AC142">
        <f>HYPERLINK("https://klasma.github.io/Logging_0482/tillsyn/A 60562-2021 tillsynsbegäran.docx", "A 60562-2021")</f>
        <v/>
      </c>
      <c r="AD142">
        <f>HYPERLINK("https://klasma.github.io/Logging_0482/tillsynsmail/A 60562-2021 tillsynsbegäran mail.docx", "A 60562-2021")</f>
        <v/>
      </c>
    </row>
    <row r="143" ht="15" customHeight="1">
      <c r="A143" t="inlineStr">
        <is>
          <t>A 50202-2022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46228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5.8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50202-2022 artfynd.xlsx", "A 50202-2022")</f>
        <v/>
      </c>
      <c r="X143">
        <f>HYPERLINK("https://klasma.github.io/Logging_0482/kartor/A 50202-2022 karta.png", "A 50202-2022")</f>
        <v/>
      </c>
      <c r="Y143">
        <f>HYPERLINK("https://klasma.github.io/Logging_0482/kartor_geotiff/A 50202-2022 georefererad karta.tif", "A 50202-2022")</f>
        <v/>
      </c>
      <c r="AA143">
        <f>HYPERLINK("https://klasma.github.io/Logging_0482/klagomål/A 50202-2022 FSC-klagomål.docx", "A 50202-2022")</f>
        <v/>
      </c>
      <c r="AB143">
        <f>HYPERLINK("https://klasma.github.io/Logging_0482/klagomålsmail/A 50202-2022 FSC-klagomål mail.docx", "A 50202-2022")</f>
        <v/>
      </c>
      <c r="AC143">
        <f>HYPERLINK("https://klasma.github.io/Logging_0482/tillsyn/A 50202-2022 tillsynsbegäran.docx", "A 50202-2022")</f>
        <v/>
      </c>
      <c r="AD143">
        <f>HYPERLINK("https://klasma.github.io/Logging_0482/tillsynsmail/A 50202-2022 tillsynsbegäran mail.docx", "A 50202-2022")</f>
        <v/>
      </c>
    </row>
    <row r="144" ht="15" customHeight="1">
      <c r="A144" t="inlineStr">
        <is>
          <t>A 26052-2026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46228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HYPERLINK("https://klasma.github.io/Logging_0482/artfynd/A 26052-2026 artfynd.xlsx", "A 26052-2026")</f>
        <v/>
      </c>
      <c r="X144">
        <f>HYPERLINK("https://klasma.github.io/Logging_0482/kartor/A 26052-2026 karta.png", "A 26052-2026")</f>
        <v/>
      </c>
      <c r="Y144">
        <f>HYPERLINK("https://klasma.github.io/Logging_0482/kartor_geotiff/A 26052-2026 georefererad karta.tif", "A 26052-2026")</f>
        <v/>
      </c>
      <c r="AA144">
        <f>HYPERLINK("https://klasma.github.io/Logging_0482/klagomål/A 26052-2026 FSC-klagomål.docx", "A 26052-2026")</f>
        <v/>
      </c>
      <c r="AB144">
        <f>HYPERLINK("https://klasma.github.io/Logging_0482/klagomålsmail/A 26052-2026 FSC-klagomål mail.docx", "A 26052-2026")</f>
        <v/>
      </c>
      <c r="AC144">
        <f>HYPERLINK("https://klasma.github.io/Logging_0482/tillsyn/A 26052-2026 tillsynsbegäran.docx", "A 26052-2026")</f>
        <v/>
      </c>
      <c r="AD144">
        <f>HYPERLINK("https://klasma.github.io/Logging_0482/tillsynsmail/A 26052-2026 tillsynsbegäran mail.docx", "A 26052-2026")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46228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12056-2024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46228</v>
      </c>
      <c r="F146" t="inlineStr">
        <is>
          <t>SÖDERMANLANDS LÄN</t>
        </is>
      </c>
      <c r="G146" t="inlineStr">
        <is>
          <t>FLEN</t>
        </is>
      </c>
      <c r="I146" t="n">
        <v>8.4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Fjällig taggsvamp s.str.</t>
        </is>
      </c>
      <c r="W146">
        <f>HYPERLINK("https://klasma.github.io/Logging_0482/artfynd/A 12056-2024 artfynd.xlsx", "A 12056-2024")</f>
        <v/>
      </c>
      <c r="X146">
        <f>HYPERLINK("https://klasma.github.io/Logging_0482/kartor/A 12056-2024 karta.png", "A 12056-2024")</f>
        <v/>
      </c>
      <c r="Y146">
        <f>HYPERLINK("https://klasma.github.io/Logging_0482/kartor_geotiff/A 12056-2024 georefererad karta.tif", "A 12056-2024")</f>
        <v/>
      </c>
      <c r="AA146">
        <f>HYPERLINK("https://klasma.github.io/Logging_0482/klagomål/A 12056-2024 FSC-klagomål.docx", "A 12056-2024")</f>
        <v/>
      </c>
      <c r="AB146">
        <f>HYPERLINK("https://klasma.github.io/Logging_0482/klagomålsmail/A 12056-2024 FSC-klagomål mail.docx", "A 12056-2024")</f>
        <v/>
      </c>
      <c r="AC146">
        <f>HYPERLINK("https://klasma.github.io/Logging_0482/tillsyn/A 12056-2024 tillsynsbegäran.docx", "A 12056-2024")</f>
        <v/>
      </c>
      <c r="AD146">
        <f>HYPERLINK("https://klasma.github.io/Logging_0482/tillsynsmail/A 12056-2024 tillsynsbegäran mail.docx", "A 12056-2024")</f>
        <v/>
      </c>
    </row>
    <row r="147" ht="15" customHeight="1">
      <c r="A147" t="inlineStr">
        <is>
          <t>A 47756-2022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44854</v>
      </c>
      <c r="E147" s="1" t="n">
        <v>46228</v>
      </c>
      <c r="F147" t="inlineStr">
        <is>
          <t>SÖDERMANLANDS LÄN</t>
        </is>
      </c>
      <c r="G147" t="inlineStr">
        <is>
          <t>FLEN</t>
        </is>
      </c>
      <c r="I147" t="n">
        <v>2.4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Svinrot</t>
        </is>
      </c>
      <c r="W147">
        <f>HYPERLINK("https://klasma.github.io/Logging_0482/artfynd/A 47756-2022 artfynd.xlsx", "A 47756-2022")</f>
        <v/>
      </c>
      <c r="X147">
        <f>HYPERLINK("https://klasma.github.io/Logging_0482/kartor/A 47756-2022 karta.png", "A 47756-2022")</f>
        <v/>
      </c>
      <c r="Y147">
        <f>HYPERLINK("https://klasma.github.io/Logging_0482/kartor_geotiff/A 47756-2022 georefererad karta.tif", "A 47756-2022")</f>
        <v/>
      </c>
      <c r="AA147">
        <f>HYPERLINK("https://klasma.github.io/Logging_0482/klagomål/A 47756-2022 FSC-klagomål.docx", "A 47756-2022")</f>
        <v/>
      </c>
      <c r="AB147">
        <f>HYPERLINK("https://klasma.github.io/Logging_0482/klagomålsmail/A 47756-2022 FSC-klagomål mail.docx", "A 47756-2022")</f>
        <v/>
      </c>
      <c r="AC147">
        <f>HYPERLINK("https://klasma.github.io/Logging_0482/tillsyn/A 47756-2022 tillsynsbegäran.docx", "A 47756-2022")</f>
        <v/>
      </c>
      <c r="AD147">
        <f>HYPERLINK("https://klasma.github.io/Logging_0482/tillsynsmail/A 47756-2022 tillsynsbegäran mail.docx", "A 47756-2022")</f>
        <v/>
      </c>
    </row>
    <row r="148" ht="15" customHeight="1">
      <c r="A148" t="inlineStr">
        <is>
          <t>A 62535-2021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46228</v>
      </c>
      <c r="F148" t="inlineStr">
        <is>
          <t>SÖDERMANLANDS LÄN</t>
        </is>
      </c>
      <c r="G148" t="inlineStr">
        <is>
          <t>FLEN</t>
        </is>
      </c>
      <c r="I148" t="n">
        <v>0.6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HYPERLINK("https://klasma.github.io/Logging_0482/artfynd/A 62535-2021 artfynd.xlsx", "A 62535-2021")</f>
        <v/>
      </c>
      <c r="X148">
        <f>HYPERLINK("https://klasma.github.io/Logging_0482/kartor/A 62535-2021 karta.png", "A 62535-2021")</f>
        <v/>
      </c>
      <c r="Y148">
        <f>HYPERLINK("https://klasma.github.io/Logging_0482/kartor_geotiff/A 62535-2021 georefererad karta.tif", "A 62535-2021")</f>
        <v/>
      </c>
      <c r="AA148">
        <f>HYPERLINK("https://klasma.github.io/Logging_0482/klagomål/A 62535-2021 FSC-klagomål.docx", "A 62535-2021")</f>
        <v/>
      </c>
      <c r="AB148">
        <f>HYPERLINK("https://klasma.github.io/Logging_0482/klagomålsmail/A 62535-2021 FSC-klagomål mail.docx", "A 62535-2021")</f>
        <v/>
      </c>
      <c r="AC148">
        <f>HYPERLINK("https://klasma.github.io/Logging_0482/tillsyn/A 62535-2021 tillsynsbegäran.docx", "A 62535-2021")</f>
        <v/>
      </c>
      <c r="AD148">
        <f>HYPERLINK("https://klasma.github.io/Logging_0482/tillsynsmail/A 62535-2021 tillsynsbegäran mail.docx", "A 62535-2021")</f>
        <v/>
      </c>
    </row>
    <row r="149" ht="15" customHeight="1">
      <c r="A149" t="inlineStr">
        <is>
          <t>A 14273-2025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46228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Vedskivlav</t>
        </is>
      </c>
      <c r="W149">
        <f>HYPERLINK("https://klasma.github.io/Logging_0482/artfynd/A 14273-2025 artfynd.xlsx", "A 14273-2025")</f>
        <v/>
      </c>
      <c r="X149">
        <f>HYPERLINK("https://klasma.github.io/Logging_0482/kartor/A 14273-2025 karta.png", "A 14273-2025")</f>
        <v/>
      </c>
      <c r="Y149">
        <f>HYPERLINK("https://klasma.github.io/Logging_0482/kartor_geotiff/A 14273-2025 georefererad karta.tif", "A 14273-2025")</f>
        <v/>
      </c>
      <c r="AA149">
        <f>HYPERLINK("https://klasma.github.io/Logging_0482/klagomål/A 14273-2025 FSC-klagomål.docx", "A 14273-2025")</f>
        <v/>
      </c>
      <c r="AB149">
        <f>HYPERLINK("https://klasma.github.io/Logging_0482/klagomålsmail/A 14273-2025 FSC-klagomål mail.docx", "A 14273-2025")</f>
        <v/>
      </c>
      <c r="AC149">
        <f>HYPERLINK("https://klasma.github.io/Logging_0482/tillsyn/A 14273-2025 tillsynsbegäran.docx", "A 14273-2025")</f>
        <v/>
      </c>
      <c r="AD149">
        <f>HYPERLINK("https://klasma.github.io/Logging_0482/tillsynsmail/A 14273-2025 tillsynsbegäran mail.docx", "A 14273-2025")</f>
        <v/>
      </c>
    </row>
    <row r="150" ht="15" customHeight="1">
      <c r="A150" t="inlineStr">
        <is>
          <t>A 49820-2023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46228</v>
      </c>
      <c r="F150" t="inlineStr">
        <is>
          <t>SÖDERMANLANDS LÄN</t>
        </is>
      </c>
      <c r="G150" t="inlineStr">
        <is>
          <t>FLEN</t>
        </is>
      </c>
      <c r="I150" t="n">
        <v>3.2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Gullviva</t>
        </is>
      </c>
      <c r="W150">
        <f>HYPERLINK("https://klasma.github.io/Logging_0482/artfynd/A 49820-2023 artfynd.xlsx", "A 49820-2023")</f>
        <v/>
      </c>
      <c r="X150">
        <f>HYPERLINK("https://klasma.github.io/Logging_0482/kartor/A 49820-2023 karta.png", "A 49820-2023")</f>
        <v/>
      </c>
      <c r="Y150">
        <f>HYPERLINK("https://klasma.github.io/Logging_0482/kartor_geotiff/A 49820-2023 georefererad karta.tif", "A 49820-2023")</f>
        <v/>
      </c>
      <c r="AA150">
        <f>HYPERLINK("https://klasma.github.io/Logging_0482/klagomål/A 49820-2023 FSC-klagomål.docx", "A 49820-2023")</f>
        <v/>
      </c>
      <c r="AB150">
        <f>HYPERLINK("https://klasma.github.io/Logging_0482/klagomålsmail/A 49820-2023 FSC-klagomål mail.docx", "A 49820-2023")</f>
        <v/>
      </c>
      <c r="AC150">
        <f>HYPERLINK("https://klasma.github.io/Logging_0482/tillsyn/A 49820-2023 tillsynsbegäran.docx", "A 49820-2023")</f>
        <v/>
      </c>
      <c r="AD150">
        <f>HYPERLINK("https://klasma.github.io/Logging_0482/tillsynsmail/A 49820-2023 tillsynsbegäran mail.docx", "A 49820-2023")</f>
        <v/>
      </c>
    </row>
    <row r="151" ht="15" customHeight="1">
      <c r="A151" t="inlineStr">
        <is>
          <t>A 45107-2023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46228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Brudborste</t>
        </is>
      </c>
      <c r="W151">
        <f>HYPERLINK("https://klasma.github.io/Logging_0482/artfynd/A 45107-2023 artfynd.xlsx", "A 45107-2023")</f>
        <v/>
      </c>
      <c r="X151">
        <f>HYPERLINK("https://klasma.github.io/Logging_0482/kartor/A 45107-2023 karta.png", "A 45107-2023")</f>
        <v/>
      </c>
      <c r="Y151">
        <f>HYPERLINK("https://klasma.github.io/Logging_0482/kartor_geotiff/A 45107-2023 georefererad karta.tif", "A 45107-2023")</f>
        <v/>
      </c>
      <c r="AA151">
        <f>HYPERLINK("https://klasma.github.io/Logging_0482/klagomål/A 45107-2023 FSC-klagomål.docx", "A 45107-2023")</f>
        <v/>
      </c>
      <c r="AB151">
        <f>HYPERLINK("https://klasma.github.io/Logging_0482/klagomålsmail/A 45107-2023 FSC-klagomål mail.docx", "A 45107-2023")</f>
        <v/>
      </c>
      <c r="AC151">
        <f>HYPERLINK("https://klasma.github.io/Logging_0482/tillsyn/A 45107-2023 tillsynsbegäran.docx", "A 45107-2023")</f>
        <v/>
      </c>
      <c r="AD151">
        <f>HYPERLINK("https://klasma.github.io/Logging_0482/tillsynsmail/A 45107-2023 tillsynsbegäran mail.docx", "A 45107-2023")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46228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46228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46228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46228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46228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46228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46228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46228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46228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46228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46228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46228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46228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46228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46228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46228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46228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46228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46228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46228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46228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46228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46228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46228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46228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46228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46228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46228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46228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46228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46228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46228</v>
      </c>
      <c r="F183" t="inlineStr">
        <is>
          <t>SÖDERMANLANDS LÄN</t>
        </is>
      </c>
      <c r="G183" t="inlineStr">
        <is>
          <t>FLEN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46228</v>
      </c>
      <c r="F184" t="inlineStr">
        <is>
          <t>SÖDERMANLANDS LÄN</t>
        </is>
      </c>
      <c r="G184" t="inlineStr">
        <is>
          <t>FLEN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44423</v>
      </c>
      <c r="E185" s="1" t="n">
        <v>46228</v>
      </c>
      <c r="F185" t="inlineStr">
        <is>
          <t>SÖDERMANLANDS LÄN</t>
        </is>
      </c>
      <c r="G185" t="inlineStr">
        <is>
          <t>FLEN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46228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46228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46228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46228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46228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46228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46228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46228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46228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46228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46228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46228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46228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46228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46228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46228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46228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46228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46228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46228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46228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46228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46228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46228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46228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46228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46228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46228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46228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46228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46228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46228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46228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44705</v>
      </c>
      <c r="E219" s="1" t="n">
        <v>46228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46228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46228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46228</v>
      </c>
      <c r="F222" t="inlineStr">
        <is>
          <t>SÖDERMANLANDS LÄN</t>
        </is>
      </c>
      <c r="G222" t="inlineStr">
        <is>
          <t>FLEN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46228</v>
      </c>
      <c r="F223" t="inlineStr">
        <is>
          <t>SÖDERMANLANDS LÄN</t>
        </is>
      </c>
      <c r="G223" t="inlineStr">
        <is>
          <t>FLEN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46228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46228</v>
      </c>
      <c r="F225" t="inlineStr">
        <is>
          <t>SÖDERMANLANDS LÄN</t>
        </is>
      </c>
      <c r="G225" t="inlineStr">
        <is>
          <t>FLEN</t>
        </is>
      </c>
      <c r="H225" t="inlineStr">
        <is>
          <t>Övriga statliga verk och myndigheter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65869-2021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46228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69588-2021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46228</v>
      </c>
      <c r="F227" t="inlineStr">
        <is>
          <t>SÖDERMANLANDS LÄN</t>
        </is>
      </c>
      <c r="G227" t="inlineStr">
        <is>
          <t>FLEN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44785</v>
      </c>
      <c r="E228" s="1" t="n">
        <v>46228</v>
      </c>
      <c r="F228" t="inlineStr">
        <is>
          <t>SÖDERMANLANDS LÄN</t>
        </is>
      </c>
      <c r="G228" t="inlineStr">
        <is>
          <t>FLEN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46228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60255-2021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46228</v>
      </c>
      <c r="F230" t="inlineStr">
        <is>
          <t>SÖDERMANLANDS LÄN</t>
        </is>
      </c>
      <c r="G230" t="inlineStr">
        <is>
          <t>FLEN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46228</v>
      </c>
      <c r="F231" t="inlineStr">
        <is>
          <t>SÖDERMANLANDS LÄN</t>
        </is>
      </c>
      <c r="G231" t="inlineStr">
        <is>
          <t>FLEN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46228</v>
      </c>
      <c r="F232" t="inlineStr">
        <is>
          <t>SÖDERMANLANDS LÄN</t>
        </is>
      </c>
      <c r="G232" t="inlineStr">
        <is>
          <t>FLEN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46228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46228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46228</v>
      </c>
      <c r="F235" t="inlineStr">
        <is>
          <t>SÖDERMANLANDS LÄN</t>
        </is>
      </c>
      <c r="G235" t="inlineStr">
        <is>
          <t>FLEN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46228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46228</v>
      </c>
      <c r="F237" t="inlineStr">
        <is>
          <t>SÖDERMANLANDS LÄN</t>
        </is>
      </c>
      <c r="G237" t="inlineStr">
        <is>
          <t>FLEN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45597</v>
      </c>
      <c r="E238" s="1" t="n">
        <v>46228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45482</v>
      </c>
      <c r="E239" s="1" t="n">
        <v>46228</v>
      </c>
      <c r="F239" t="inlineStr">
        <is>
          <t>SÖDERMANLANDS LÄN</t>
        </is>
      </c>
      <c r="G239" t="inlineStr">
        <is>
          <t>FLEN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46228</v>
      </c>
      <c r="F240" t="inlineStr">
        <is>
          <t>SÖDERMANLANDS LÄN</t>
        </is>
      </c>
      <c r="G240" t="inlineStr">
        <is>
          <t>FLEN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54666-2021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46228</v>
      </c>
      <c r="F241" t="inlineStr">
        <is>
          <t>SÖDERMANLANDS LÄN</t>
        </is>
      </c>
      <c r="G241" t="inlineStr">
        <is>
          <t>FLEN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62579-2023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45270</v>
      </c>
      <c r="E242" s="1" t="n">
        <v>46228</v>
      </c>
      <c r="F242" t="inlineStr">
        <is>
          <t>SÖDERMANLANDS LÄN</t>
        </is>
      </c>
      <c r="G242" t="inlineStr">
        <is>
          <t>FLEN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44970</v>
      </c>
      <c r="E243" s="1" t="n">
        <v>46228</v>
      </c>
      <c r="F243" t="inlineStr">
        <is>
          <t>SÖDERMANLANDS LÄN</t>
        </is>
      </c>
      <c r="G243" t="inlineStr">
        <is>
          <t>FLEN</t>
        </is>
      </c>
      <c r="H243" t="inlineStr">
        <is>
          <t>Kommuner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46228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46228</v>
      </c>
      <c r="F245" t="inlineStr">
        <is>
          <t>SÖDERMANLANDS LÄN</t>
        </is>
      </c>
      <c r="G245" t="inlineStr">
        <is>
          <t>FLEN</t>
        </is>
      </c>
      <c r="H245" t="inlineStr">
        <is>
          <t>Kyrkan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45309</v>
      </c>
      <c r="E246" s="1" t="n">
        <v>46228</v>
      </c>
      <c r="F246" t="inlineStr">
        <is>
          <t>SÖDERMANLANDS LÄN</t>
        </is>
      </c>
      <c r="G246" t="inlineStr">
        <is>
          <t>FLEN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46228</v>
      </c>
      <c r="F247" t="inlineStr">
        <is>
          <t>SÖDERMANLANDS LÄN</t>
        </is>
      </c>
      <c r="G247" t="inlineStr">
        <is>
          <t>FLEN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46228</v>
      </c>
      <c r="F248" t="inlineStr">
        <is>
          <t>SÖDERMANLANDS LÄN</t>
        </is>
      </c>
      <c r="G248" t="inlineStr">
        <is>
          <t>FLEN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45068</v>
      </c>
      <c r="E249" s="1" t="n">
        <v>46228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46228</v>
      </c>
      <c r="F250" t="inlineStr">
        <is>
          <t>SÖDERMANLANDS LÄN</t>
        </is>
      </c>
      <c r="G250" t="inlineStr">
        <is>
          <t>FLEN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66867-2021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46228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46228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46228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45147</v>
      </c>
      <c r="E254" s="1" t="n">
        <v>46228</v>
      </c>
      <c r="F254" t="inlineStr">
        <is>
          <t>SÖDERMANLANDS LÄN</t>
        </is>
      </c>
      <c r="G254" t="inlineStr">
        <is>
          <t>FLEN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40961-2021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44421</v>
      </c>
      <c r="E255" s="1" t="n">
        <v>46228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46228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46228</v>
      </c>
      <c r="F257" t="inlineStr">
        <is>
          <t>SÖDERMANLANDS LÄN</t>
        </is>
      </c>
      <c r="G257" t="inlineStr">
        <is>
          <t>FLEN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44624</v>
      </c>
      <c r="E258" s="1" t="n">
        <v>46228</v>
      </c>
      <c r="F258" t="inlineStr">
        <is>
          <t>SÖDERMANLANDS LÄN</t>
        </is>
      </c>
      <c r="G258" t="inlineStr">
        <is>
          <t>FLEN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46228</v>
      </c>
      <c r="F259" t="inlineStr">
        <is>
          <t>SÖDERMANLANDS LÄN</t>
        </is>
      </c>
      <c r="G259" t="inlineStr">
        <is>
          <t>FLEN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45740</v>
      </c>
      <c r="E260" s="1" t="n">
        <v>46228</v>
      </c>
      <c r="F260" t="inlineStr">
        <is>
          <t>SÖDERMANLANDS LÄN</t>
        </is>
      </c>
      <c r="G260" t="inlineStr">
        <is>
          <t>FLEN</t>
        </is>
      </c>
      <c r="H260" t="inlineStr">
        <is>
          <t>Övriga statliga verk och myndigheter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46228</v>
      </c>
      <c r="F261" t="inlineStr">
        <is>
          <t>SÖDERMANLANDS LÄN</t>
        </is>
      </c>
      <c r="G261" t="inlineStr">
        <is>
          <t>FLEN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44588</v>
      </c>
      <c r="E262" s="1" t="n">
        <v>46228</v>
      </c>
      <c r="F262" t="inlineStr">
        <is>
          <t>SÖDERMANLANDS LÄN</t>
        </is>
      </c>
      <c r="G262" t="inlineStr">
        <is>
          <t>FLEN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46228</v>
      </c>
      <c r="F263" t="inlineStr">
        <is>
          <t>SÖDERMANLANDS LÄN</t>
        </is>
      </c>
      <c r="G263" t="inlineStr">
        <is>
          <t>FLEN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46228</v>
      </c>
      <c r="F264" t="inlineStr">
        <is>
          <t>SÖDERMANLANDS LÄN</t>
        </is>
      </c>
      <c r="G264" t="inlineStr">
        <is>
          <t>FLEN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46228</v>
      </c>
      <c r="F265" t="inlineStr">
        <is>
          <t>SÖDERMANLANDS LÄN</t>
        </is>
      </c>
      <c r="G265" t="inlineStr">
        <is>
          <t>FLEN</t>
        </is>
      </c>
      <c r="H265" t="inlineStr">
        <is>
          <t>Övriga statliga verk och myndigheter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48826-2022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44859</v>
      </c>
      <c r="E266" s="1" t="n">
        <v>46228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46228</v>
      </c>
      <c r="F267" t="inlineStr">
        <is>
          <t>SÖDERMANLANDS LÄN</t>
        </is>
      </c>
      <c r="G267" t="inlineStr">
        <is>
          <t>FLEN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45228</v>
      </c>
      <c r="E268" s="1" t="n">
        <v>46228</v>
      </c>
      <c r="F268" t="inlineStr">
        <is>
          <t>SÖDERMANLANDS LÄN</t>
        </is>
      </c>
      <c r="G268" t="inlineStr">
        <is>
          <t>FLEN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44602</v>
      </c>
      <c r="E269" s="1" t="n">
        <v>46228</v>
      </c>
      <c r="F269" t="inlineStr">
        <is>
          <t>SÖDERMANLANDS LÄN</t>
        </is>
      </c>
      <c r="G269" t="inlineStr">
        <is>
          <t>FLEN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46228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46228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46228</v>
      </c>
      <c r="F272" t="inlineStr">
        <is>
          <t>SÖDERMANLANDS LÄN</t>
        </is>
      </c>
      <c r="G272" t="inlineStr">
        <is>
          <t>FLEN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46228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44761</v>
      </c>
      <c r="E274" s="1" t="n">
        <v>46228</v>
      </c>
      <c r="F274" t="inlineStr">
        <is>
          <t>SÖDERMANLANDS LÄN</t>
        </is>
      </c>
      <c r="G274" t="inlineStr">
        <is>
          <t>FLEN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46228</v>
      </c>
      <c r="F275" t="inlineStr">
        <is>
          <t>SÖDERMANLANDS LÄN</t>
        </is>
      </c>
      <c r="G275" t="inlineStr">
        <is>
          <t>FLEN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42731-2024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45566</v>
      </c>
      <c r="E276" s="1" t="n">
        <v>46228</v>
      </c>
      <c r="F276" t="inlineStr">
        <is>
          <t>SÖDERMANLANDS LÄN</t>
        </is>
      </c>
      <c r="G276" t="inlineStr">
        <is>
          <t>FLEN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46228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46228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46228</v>
      </c>
      <c r="F279" t="inlineStr">
        <is>
          <t>SÖDERMANLANDS LÄN</t>
        </is>
      </c>
      <c r="G279" t="inlineStr">
        <is>
          <t>FLEN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46228</v>
      </c>
      <c r="F280" t="inlineStr">
        <is>
          <t>SÖDERMANLANDS LÄN</t>
        </is>
      </c>
      <c r="G280" t="inlineStr">
        <is>
          <t>FLEN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44838</v>
      </c>
      <c r="E281" s="1" t="n">
        <v>46228</v>
      </c>
      <c r="F281" t="inlineStr">
        <is>
          <t>SÖDERMANLANDS LÄN</t>
        </is>
      </c>
      <c r="G281" t="inlineStr">
        <is>
          <t>FLEN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43394-2021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44432</v>
      </c>
      <c r="E282" s="1" t="n">
        <v>46228</v>
      </c>
      <c r="F282" t="inlineStr">
        <is>
          <t>SÖDERMANLANDS LÄN</t>
        </is>
      </c>
      <c r="G282" t="inlineStr">
        <is>
          <t>FLEN</t>
        </is>
      </c>
      <c r="I282" t="n">
        <v>14.4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46228</v>
      </c>
      <c r="F283" t="inlineStr">
        <is>
          <t>SÖDERMANLANDS LÄN</t>
        </is>
      </c>
      <c r="G283" t="inlineStr">
        <is>
          <t>FLEN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46228</v>
      </c>
      <c r="F284" t="inlineStr">
        <is>
          <t>SÖDERMANLANDS LÄN</t>
        </is>
      </c>
      <c r="G284" t="inlineStr">
        <is>
          <t>FLEN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45718</v>
      </c>
      <c r="E285" s="1" t="n">
        <v>46228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45358</v>
      </c>
      <c r="E286" s="1" t="n">
        <v>46228</v>
      </c>
      <c r="F286" t="inlineStr">
        <is>
          <t>SÖDERMANLANDS LÄN</t>
        </is>
      </c>
      <c r="G286" t="inlineStr">
        <is>
          <t>FLEN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23835-2022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44722</v>
      </c>
      <c r="E287" s="1" t="n">
        <v>46228</v>
      </c>
      <c r="F287" t="inlineStr">
        <is>
          <t>SÖDERMANLANDS LÄN</t>
        </is>
      </c>
      <c r="G287" t="inlineStr">
        <is>
          <t>FLEN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46228</v>
      </c>
      <c r="F288" t="inlineStr">
        <is>
          <t>SÖDERMANLANDS LÄN</t>
        </is>
      </c>
      <c r="G288" t="inlineStr">
        <is>
          <t>FLEN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41709-2021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44425</v>
      </c>
      <c r="E289" s="1" t="n">
        <v>46228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44785</v>
      </c>
      <c r="E290" s="1" t="n">
        <v>46228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46228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46228</v>
      </c>
      <c r="F292" t="inlineStr">
        <is>
          <t>SÖDERMANLANDS LÄN</t>
        </is>
      </c>
      <c r="G292" t="inlineStr">
        <is>
          <t>FLEN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44466</v>
      </c>
      <c r="E293" s="1" t="n">
        <v>46228</v>
      </c>
      <c r="F293" t="inlineStr">
        <is>
          <t>SÖDERMANLANDS LÄN</t>
        </is>
      </c>
      <c r="G293" t="inlineStr">
        <is>
          <t>FLEN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46228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46228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46228</v>
      </c>
      <c r="F296" t="inlineStr">
        <is>
          <t>SÖDERMANLANDS LÄN</t>
        </is>
      </c>
      <c r="G296" t="inlineStr">
        <is>
          <t>FLEN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45213</v>
      </c>
      <c r="E297" s="1" t="n">
        <v>46228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46228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45322</v>
      </c>
      <c r="E299" s="1" t="n">
        <v>46228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46228</v>
      </c>
      <c r="F300" t="inlineStr">
        <is>
          <t>SÖDERMANLANDS LÄN</t>
        </is>
      </c>
      <c r="G300" t="inlineStr">
        <is>
          <t>FLEN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46228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46228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46228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46228</v>
      </c>
      <c r="F304" t="inlineStr">
        <is>
          <t>SÖDERMANLANDS LÄN</t>
        </is>
      </c>
      <c r="G304" t="inlineStr">
        <is>
          <t>FLEN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46228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46228</v>
      </c>
      <c r="F306" t="inlineStr">
        <is>
          <t>SÖDERMANLANDS LÄN</t>
        </is>
      </c>
      <c r="G306" t="inlineStr">
        <is>
          <t>FLEN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45869</v>
      </c>
      <c r="E307" s="1" t="n">
        <v>46228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46662-2025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46228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67464-2021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46228</v>
      </c>
      <c r="F309" t="inlineStr">
        <is>
          <t>SÖDERMANLANDS LÄN</t>
        </is>
      </c>
      <c r="G309" t="inlineStr">
        <is>
          <t>FLEN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66979-2021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44522</v>
      </c>
      <c r="E310" s="1" t="n">
        <v>46228</v>
      </c>
      <c r="F310" t="inlineStr">
        <is>
          <t>SÖDERMANLANDS LÄN</t>
        </is>
      </c>
      <c r="G310" t="inlineStr">
        <is>
          <t>FLEN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46228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45411</v>
      </c>
      <c r="E312" s="1" t="n">
        <v>46228</v>
      </c>
      <c r="F312" t="inlineStr">
        <is>
          <t>SÖDERMANLANDS LÄN</t>
        </is>
      </c>
      <c r="G312" t="inlineStr">
        <is>
          <t>FLEN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46228</v>
      </c>
      <c r="F313" t="inlineStr">
        <is>
          <t>SÖDERMANLANDS LÄN</t>
        </is>
      </c>
      <c r="G313" t="inlineStr">
        <is>
          <t>FLEN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46228</v>
      </c>
      <c r="F314" t="inlineStr">
        <is>
          <t>SÖDERMANLANDS LÄN</t>
        </is>
      </c>
      <c r="G314" t="inlineStr">
        <is>
          <t>FLEN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46228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46228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45791</v>
      </c>
      <c r="E317" s="1" t="n">
        <v>46228</v>
      </c>
      <c r="F317" t="inlineStr">
        <is>
          <t>SÖDERMANLANDS LÄN</t>
        </is>
      </c>
      <c r="G317" t="inlineStr">
        <is>
          <t>FLEN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45081</v>
      </c>
      <c r="E318" s="1" t="n">
        <v>46228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46228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46228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46228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46228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46228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46228</v>
      </c>
      <c r="F324" t="inlineStr">
        <is>
          <t>SÖDERMANLANDS LÄN</t>
        </is>
      </c>
      <c r="G324" t="inlineStr">
        <is>
          <t>FLEN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46228</v>
      </c>
      <c r="F325" t="inlineStr">
        <is>
          <t>SÖDERMANLANDS LÄN</t>
        </is>
      </c>
      <c r="G325" t="inlineStr">
        <is>
          <t>FLEN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46228</v>
      </c>
      <c r="F326" t="inlineStr">
        <is>
          <t>SÖDERMANLANDS LÄN</t>
        </is>
      </c>
      <c r="G326" t="inlineStr">
        <is>
          <t>FLEN</t>
        </is>
      </c>
      <c r="H326" t="inlineStr">
        <is>
          <t>Övriga statliga verk och myndigheter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46228</v>
      </c>
      <c r="F327" t="inlineStr">
        <is>
          <t>SÖDERMANLANDS LÄN</t>
        </is>
      </c>
      <c r="G327" t="inlineStr">
        <is>
          <t>FLEN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46228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46228</v>
      </c>
      <c r="F329" t="inlineStr">
        <is>
          <t>SÖDERMANLANDS LÄN</t>
        </is>
      </c>
      <c r="G329" t="inlineStr">
        <is>
          <t>FLEN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46228</v>
      </c>
      <c r="F330" t="inlineStr">
        <is>
          <t>SÖDERMANLANDS LÄN</t>
        </is>
      </c>
      <c r="G330" t="inlineStr">
        <is>
          <t>FLEN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52541-2021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46228</v>
      </c>
      <c r="F331" t="inlineStr">
        <is>
          <t>SÖDERMANLANDS LÄN</t>
        </is>
      </c>
      <c r="G331" t="inlineStr">
        <is>
          <t>FLEN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45331</v>
      </c>
      <c r="E332" s="1" t="n">
        <v>46228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45066</v>
      </c>
      <c r="E333" s="1" t="n">
        <v>46228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44979</v>
      </c>
      <c r="E334" s="1" t="n">
        <v>46228</v>
      </c>
      <c r="F334" t="inlineStr">
        <is>
          <t>SÖDERMANLANDS LÄN</t>
        </is>
      </c>
      <c r="G334" t="inlineStr">
        <is>
          <t>FLEN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45330</v>
      </c>
      <c r="E335" s="1" t="n">
        <v>46228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46228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46228</v>
      </c>
      <c r="F337" t="inlineStr">
        <is>
          <t>SÖDERMANLANDS LÄN</t>
        </is>
      </c>
      <c r="G337" t="inlineStr">
        <is>
          <t>FLEN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44864</v>
      </c>
      <c r="E338" s="1" t="n">
        <v>46228</v>
      </c>
      <c r="F338" t="inlineStr">
        <is>
          <t>SÖDERMANLANDS LÄN</t>
        </is>
      </c>
      <c r="G338" t="inlineStr">
        <is>
          <t>FLEN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46228</v>
      </c>
      <c r="F339" t="inlineStr">
        <is>
          <t>SÖDERMANLANDS LÄN</t>
        </is>
      </c>
      <c r="G339" t="inlineStr">
        <is>
          <t>FLEN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46228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46228</v>
      </c>
      <c r="F341" t="inlineStr">
        <is>
          <t>SÖDERMANLANDS LÄN</t>
        </is>
      </c>
      <c r="G341" t="inlineStr">
        <is>
          <t>FLEN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44855</v>
      </c>
      <c r="E342" s="1" t="n">
        <v>46228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46228</v>
      </c>
      <c r="F343" t="inlineStr">
        <is>
          <t>SÖDERMANLANDS LÄN</t>
        </is>
      </c>
      <c r="G343" t="inlineStr">
        <is>
          <t>FLEN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54283-2025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45964</v>
      </c>
      <c r="E344" s="1" t="n">
        <v>46228</v>
      </c>
      <c r="F344" t="inlineStr">
        <is>
          <t>SÖDERMANLANDS LÄN</t>
        </is>
      </c>
      <c r="G344" t="inlineStr">
        <is>
          <t>FLEN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46228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45528</v>
      </c>
      <c r="E346" s="1" t="n">
        <v>46228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46228</v>
      </c>
      <c r="F347" t="inlineStr">
        <is>
          <t>SÖDERMANLANDS LÄN</t>
        </is>
      </c>
      <c r="G347" t="inlineStr">
        <is>
          <t>FLEN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46228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44970</v>
      </c>
      <c r="E349" s="1" t="n">
        <v>46228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44449</v>
      </c>
      <c r="E350" s="1" t="n">
        <v>46228</v>
      </c>
      <c r="F350" t="inlineStr">
        <is>
          <t>SÖDERMANLANDS LÄN</t>
        </is>
      </c>
      <c r="G350" t="inlineStr">
        <is>
          <t>FLEN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56573-2025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45974</v>
      </c>
      <c r="E351" s="1" t="n">
        <v>46228</v>
      </c>
      <c r="F351" t="inlineStr">
        <is>
          <t>SÖDERMANLANDS LÄN</t>
        </is>
      </c>
      <c r="G351" t="inlineStr">
        <is>
          <t>FLEN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45140</v>
      </c>
      <c r="E352" s="1" t="n">
        <v>46228</v>
      </c>
      <c r="F352" t="inlineStr">
        <is>
          <t>SÖDERMANLANDS LÄN</t>
        </is>
      </c>
      <c r="G352" t="inlineStr">
        <is>
          <t>FLEN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46228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44957</v>
      </c>
      <c r="E354" s="1" t="n">
        <v>46228</v>
      </c>
      <c r="F354" t="inlineStr">
        <is>
          <t>SÖDERMANLANDS LÄN</t>
        </is>
      </c>
      <c r="G354" t="inlineStr">
        <is>
          <t>FLEN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46228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46228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46228</v>
      </c>
      <c r="F357" t="inlineStr">
        <is>
          <t>SÖDERMANLANDS LÄN</t>
        </is>
      </c>
      <c r="G357" t="inlineStr">
        <is>
          <t>FLEN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46228</v>
      </c>
      <c r="F358" t="inlineStr">
        <is>
          <t>SÖDERMANLANDS LÄN</t>
        </is>
      </c>
      <c r="G358" t="inlineStr">
        <is>
          <t>FLEN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46228</v>
      </c>
      <c r="F359" t="inlineStr">
        <is>
          <t>SÖDERMANLANDS LÄN</t>
        </is>
      </c>
      <c r="G359" t="inlineStr">
        <is>
          <t>FLEN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46228</v>
      </c>
      <c r="F360" t="inlineStr">
        <is>
          <t>SÖDERMANLANDS LÄN</t>
        </is>
      </c>
      <c r="G360" t="inlineStr">
        <is>
          <t>FLEN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46228</v>
      </c>
      <c r="F361" t="inlineStr">
        <is>
          <t>SÖDERMANLANDS LÄN</t>
        </is>
      </c>
      <c r="G361" t="inlineStr">
        <is>
          <t>FLEN</t>
        </is>
      </c>
      <c r="H361" t="inlineStr">
        <is>
          <t>Kyrkan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46228</v>
      </c>
      <c r="F362" t="inlineStr">
        <is>
          <t>SÖDERMANLANDS LÄN</t>
        </is>
      </c>
      <c r="G362" t="inlineStr">
        <is>
          <t>FLEN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45048</v>
      </c>
      <c r="E363" s="1" t="n">
        <v>46228</v>
      </c>
      <c r="F363" t="inlineStr">
        <is>
          <t>SÖDERMANLANDS LÄN</t>
        </is>
      </c>
      <c r="G363" t="inlineStr">
        <is>
          <t>FLEN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46228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46228</v>
      </c>
      <c r="F365" t="inlineStr">
        <is>
          <t>SÖDERMANLANDS LÄN</t>
        </is>
      </c>
      <c r="G365" t="inlineStr">
        <is>
          <t>FLEN</t>
        </is>
      </c>
      <c r="H365" t="inlineStr">
        <is>
          <t>Kyrkan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45056</v>
      </c>
      <c r="E366" s="1" t="n">
        <v>46228</v>
      </c>
      <c r="F366" t="inlineStr">
        <is>
          <t>SÖDERMANLANDS LÄN</t>
        </is>
      </c>
      <c r="G366" t="inlineStr">
        <is>
          <t>FLEN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46228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45230</v>
      </c>
      <c r="E368" s="1" t="n">
        <v>46228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46228</v>
      </c>
      <c r="F369" t="inlineStr">
        <is>
          <t>SÖDERMANLANDS LÄN</t>
        </is>
      </c>
      <c r="G369" t="inlineStr">
        <is>
          <t>FLEN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46228</v>
      </c>
      <c r="F370" t="inlineStr">
        <is>
          <t>SÖDERMANLANDS LÄN</t>
        </is>
      </c>
      <c r="G370" t="inlineStr">
        <is>
          <t>FLEN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46228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44624</v>
      </c>
      <c r="E372" s="1" t="n">
        <v>46228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46228</v>
      </c>
      <c r="F373" t="inlineStr">
        <is>
          <t>SÖDERMANLANDS LÄN</t>
        </is>
      </c>
      <c r="G373" t="inlineStr">
        <is>
          <t>FLEN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46228</v>
      </c>
      <c r="F374" t="inlineStr">
        <is>
          <t>SÖDERMANLANDS LÄN</t>
        </is>
      </c>
      <c r="G374" t="inlineStr">
        <is>
          <t>FLEN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46228</v>
      </c>
      <c r="F375" t="inlineStr">
        <is>
          <t>SÖDERMANLANDS LÄN</t>
        </is>
      </c>
      <c r="G375" t="inlineStr">
        <is>
          <t>FLEN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46228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44701</v>
      </c>
      <c r="E377" s="1" t="n">
        <v>46228</v>
      </c>
      <c r="F377" t="inlineStr">
        <is>
          <t>SÖDERMANLANDS LÄN</t>
        </is>
      </c>
      <c r="G377" t="inlineStr">
        <is>
          <t>FLEN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46228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60150-2022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44909</v>
      </c>
      <c r="E379" s="1" t="n">
        <v>46228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45518</v>
      </c>
      <c r="E380" s="1" t="n">
        <v>46228</v>
      </c>
      <c r="F380" t="inlineStr">
        <is>
          <t>SÖDERMANLANDS LÄN</t>
        </is>
      </c>
      <c r="G380" t="inlineStr">
        <is>
          <t>FLEN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62763-2023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45271</v>
      </c>
      <c r="E381" s="1" t="n">
        <v>46228</v>
      </c>
      <c r="F381" t="inlineStr">
        <is>
          <t>SÖDERMANLANDS LÄN</t>
        </is>
      </c>
      <c r="G381" t="inlineStr">
        <is>
          <t>FLEN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46228</v>
      </c>
      <c r="F382" t="inlineStr">
        <is>
          <t>SÖDERMANLANDS LÄN</t>
        </is>
      </c>
      <c r="G382" t="inlineStr">
        <is>
          <t>FLEN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45632</v>
      </c>
      <c r="E383" s="1" t="n">
        <v>46228</v>
      </c>
      <c r="F383" t="inlineStr">
        <is>
          <t>SÖDERMANLANDS LÄN</t>
        </is>
      </c>
      <c r="G383" t="inlineStr">
        <is>
          <t>FLEN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45315</v>
      </c>
      <c r="E384" s="1" t="n">
        <v>46228</v>
      </c>
      <c r="F384" t="inlineStr">
        <is>
          <t>SÖDERMANLANDS LÄN</t>
        </is>
      </c>
      <c r="G384" t="inlineStr">
        <is>
          <t>FLEN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46228</v>
      </c>
      <c r="F385" t="inlineStr">
        <is>
          <t>SÖDERMANLANDS LÄN</t>
        </is>
      </c>
      <c r="G385" t="inlineStr">
        <is>
          <t>FLEN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44676</v>
      </c>
      <c r="E386" s="1" t="n">
        <v>46228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45224</v>
      </c>
      <c r="E387" s="1" t="n">
        <v>46228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45013</v>
      </c>
      <c r="E388" s="1" t="n">
        <v>46228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46228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46228</v>
      </c>
      <c r="F390" t="inlineStr">
        <is>
          <t>SÖDERMANLANDS LÄN</t>
        </is>
      </c>
      <c r="G390" t="inlineStr">
        <is>
          <t>FLEN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46228</v>
      </c>
      <c r="F391" t="inlineStr">
        <is>
          <t>SÖDERMANLANDS LÄN</t>
        </is>
      </c>
      <c r="G391" t="inlineStr">
        <is>
          <t>FLEN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46228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50796-2021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44459</v>
      </c>
      <c r="E393" s="1" t="n">
        <v>46228</v>
      </c>
      <c r="F393" t="inlineStr">
        <is>
          <t>SÖDERMANLANDS LÄN</t>
        </is>
      </c>
      <c r="G393" t="inlineStr">
        <is>
          <t>FLEN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46228</v>
      </c>
      <c r="F394" t="inlineStr">
        <is>
          <t>SÖDERMANLANDS LÄN</t>
        </is>
      </c>
      <c r="G394" t="inlineStr">
        <is>
          <t>FLEN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46228</v>
      </c>
      <c r="F395" t="inlineStr">
        <is>
          <t>SÖDERMANLANDS LÄN</t>
        </is>
      </c>
      <c r="G395" t="inlineStr">
        <is>
          <t>FLEN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46228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45163</v>
      </c>
      <c r="E397" s="1" t="n">
        <v>46228</v>
      </c>
      <c r="F397" t="inlineStr">
        <is>
          <t>SÖDERMANLANDS LÄN</t>
        </is>
      </c>
      <c r="G397" t="inlineStr">
        <is>
          <t>FLEN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46228</v>
      </c>
      <c r="F398" t="inlineStr">
        <is>
          <t>SÖDERMANLANDS LÄN</t>
        </is>
      </c>
      <c r="G398" t="inlineStr">
        <is>
          <t>FLEN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44741</v>
      </c>
      <c r="E399" s="1" t="n">
        <v>46228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46228</v>
      </c>
      <c r="F400" t="inlineStr">
        <is>
          <t>SÖDERMANLANDS LÄN</t>
        </is>
      </c>
      <c r="G400" t="inlineStr">
        <is>
          <t>FLEN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46228</v>
      </c>
      <c r="F401" t="inlineStr">
        <is>
          <t>SÖDERMANLANDS LÄN</t>
        </is>
      </c>
      <c r="G401" t="inlineStr">
        <is>
          <t>FLEN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46228</v>
      </c>
      <c r="F402" t="inlineStr">
        <is>
          <t>SÖDERMANLANDS LÄN</t>
        </is>
      </c>
      <c r="G402" t="inlineStr">
        <is>
          <t>FLEN</t>
        </is>
      </c>
      <c r="H402" t="inlineStr">
        <is>
          <t>Övriga statliga verk och myndigheter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44887</v>
      </c>
      <c r="E403" s="1" t="n">
        <v>46228</v>
      </c>
      <c r="F403" t="inlineStr">
        <is>
          <t>SÖDERMANLANDS LÄN</t>
        </is>
      </c>
      <c r="G403" t="inlineStr">
        <is>
          <t>FLEN</t>
        </is>
      </c>
      <c r="I403" t="n">
        <v>11.3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38331-2023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45161</v>
      </c>
      <c r="E404" s="1" t="n">
        <v>46228</v>
      </c>
      <c r="F404" t="inlineStr">
        <is>
          <t>SÖDERMANLANDS LÄN</t>
        </is>
      </c>
      <c r="G404" t="inlineStr">
        <is>
          <t>FLEN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44911</v>
      </c>
      <c r="E405" s="1" t="n">
        <v>46228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46228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41800-2021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44425</v>
      </c>
      <c r="E407" s="1" t="n">
        <v>46228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46228</v>
      </c>
      <c r="F408" t="inlineStr">
        <is>
          <t>SÖDERMANLANDS LÄN</t>
        </is>
      </c>
      <c r="G408" t="inlineStr">
        <is>
          <t>FLEN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46228</v>
      </c>
      <c r="F409" t="inlineStr">
        <is>
          <t>SÖDERMANLANDS LÄN</t>
        </is>
      </c>
      <c r="G409" t="inlineStr">
        <is>
          <t>FLEN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46228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46228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46228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46228</v>
      </c>
      <c r="F413" t="inlineStr">
        <is>
          <t>SÖDERMANLANDS LÄN</t>
        </is>
      </c>
      <c r="G413" t="inlineStr">
        <is>
          <t>FLEN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46228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46228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46228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46228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46228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46228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46082</v>
      </c>
      <c r="E420" s="1" t="n">
        <v>46228</v>
      </c>
      <c r="F420" t="inlineStr">
        <is>
          <t>SÖDERMANLANDS LÄN</t>
        </is>
      </c>
      <c r="G420" t="inlineStr">
        <is>
          <t>FLEN</t>
        </is>
      </c>
      <c r="I420" t="n">
        <v>7.7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46228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46228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46168</v>
      </c>
      <c r="E423" s="1" t="n">
        <v>46228</v>
      </c>
      <c r="F423" t="inlineStr">
        <is>
          <t>SÖDERMANLANDS LÄN</t>
        </is>
      </c>
      <c r="G423" t="inlineStr">
        <is>
          <t>FLEN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46228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56497-2022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46228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46228</v>
      </c>
      <c r="F426" t="inlineStr">
        <is>
          <t>SÖDERMANLANDS LÄN</t>
        </is>
      </c>
      <c r="G426" t="inlineStr">
        <is>
          <t>FLEN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46228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46228</v>
      </c>
      <c r="F428" t="inlineStr">
        <is>
          <t>SÖDERMANLANDS LÄN</t>
        </is>
      </c>
      <c r="G428" t="inlineStr">
        <is>
          <t>FLEN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46121</v>
      </c>
      <c r="E429" s="1" t="n">
        <v>46228</v>
      </c>
      <c r="F429" t="inlineStr">
        <is>
          <t>SÖDERMANLANDS LÄN</t>
        </is>
      </c>
      <c r="G429" t="inlineStr">
        <is>
          <t>FLEN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46228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  <c r="Z430">
        <f>HYPERLINK("https://klasma.github.io/Logging_0482/knärot/A 24450-2026 karta knärot.png", "A 24450-2026")</f>
        <v/>
      </c>
      <c r="AA430">
        <f>HYPERLINK("https://klasma.github.io/Logging_0482/klagomål/A 24450-2026 FSC-klagomål.docx", "A 24450-2026")</f>
        <v/>
      </c>
      <c r="AB430">
        <f>HYPERLINK("https://klasma.github.io/Logging_0482/klagomålsmail/A 24450-2026 FSC-klagomål mail.docx", "A 24450-2026")</f>
        <v/>
      </c>
      <c r="AC430">
        <f>HYPERLINK("https://klasma.github.io/Logging_0482/tillsyn/A 24450-2026 tillsynsbegäran.docx", "A 24450-2026")</f>
        <v/>
      </c>
      <c r="AD430">
        <f>HYPERLINK("https://klasma.github.io/Logging_0482/tillsynsmail/A 24450-2026 tillsynsbegäran mail.docx", "A 24450-2026")</f>
        <v/>
      </c>
    </row>
    <row r="431" ht="15" customHeight="1">
      <c r="A431" t="inlineStr">
        <is>
          <t>A 59599-2022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44907</v>
      </c>
      <c r="E431" s="1" t="n">
        <v>46228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46228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46228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46228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46228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46228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46228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46228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54781-2024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45618</v>
      </c>
      <c r="E439" s="1" t="n">
        <v>46228</v>
      </c>
      <c r="F439" t="inlineStr">
        <is>
          <t>SÖDERMANLANDS LÄN</t>
        </is>
      </c>
      <c r="G439" t="inlineStr">
        <is>
          <t>FLEN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46228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46228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45030</v>
      </c>
      <c r="E442" s="1" t="n">
        <v>46228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47872-2025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45932</v>
      </c>
      <c r="E443" s="1" t="n">
        <v>46228</v>
      </c>
      <c r="F443" t="inlineStr">
        <is>
          <t>SÖDERMANLANDS LÄN</t>
        </is>
      </c>
      <c r="G443" t="inlineStr">
        <is>
          <t>FLEN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46228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46228</v>
      </c>
      <c r="F445" t="inlineStr">
        <is>
          <t>SÖDERMANLANDS LÄN</t>
        </is>
      </c>
      <c r="G445" t="inlineStr">
        <is>
          <t>FLEN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42936-2021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44431</v>
      </c>
      <c r="E446" s="1" t="n">
        <v>46228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46228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45501</v>
      </c>
      <c r="E448" s="1" t="n">
        <v>46228</v>
      </c>
      <c r="F448" t="inlineStr">
        <is>
          <t>SÖDERMANLANDS LÄN</t>
        </is>
      </c>
      <c r="G448" t="inlineStr">
        <is>
          <t>FLEN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46228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46228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46228</v>
      </c>
      <c r="F451" t="inlineStr">
        <is>
          <t>SÖDERMANLANDS LÄN</t>
        </is>
      </c>
      <c r="G451" t="inlineStr">
        <is>
          <t>FLEN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46228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46228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46401-2022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46228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46228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16502-2026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46228</v>
      </c>
      <c r="F456" t="inlineStr">
        <is>
          <t>SÖDERMANLANDS LÄN</t>
        </is>
      </c>
      <c r="G456" t="inlineStr">
        <is>
          <t>FLEN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46228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46228</v>
      </c>
      <c r="F458" t="inlineStr">
        <is>
          <t>SÖDERMANLANDS LÄN</t>
        </is>
      </c>
      <c r="G458" t="inlineStr">
        <is>
          <t>FLEN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26326-2026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46228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46228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46228</v>
      </c>
      <c r="F461" t="inlineStr">
        <is>
          <t>SÖDERMANLANDS LÄN</t>
        </is>
      </c>
      <c r="G461" t="inlineStr">
        <is>
          <t>FLEN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46228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46228</v>
      </c>
      <c r="F463" t="inlineStr">
        <is>
          <t>SÖDERMANLANDS LÄN</t>
        </is>
      </c>
      <c r="G463" t="inlineStr">
        <is>
          <t>FLEN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18471-2026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46228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46228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45225</v>
      </c>
      <c r="E466" s="1" t="n">
        <v>46228</v>
      </c>
      <c r="F466" t="inlineStr">
        <is>
          <t>SÖDERMANLANDS LÄN</t>
        </is>
      </c>
      <c r="G466" t="inlineStr">
        <is>
          <t>FLEN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46126</v>
      </c>
      <c r="E467" s="1" t="n">
        <v>46228</v>
      </c>
      <c r="F467" t="inlineStr">
        <is>
          <t>SÖDERMANLANDS LÄN</t>
        </is>
      </c>
      <c r="G467" t="inlineStr">
        <is>
          <t>FLEN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46228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46228</v>
      </c>
      <c r="F469" t="inlineStr">
        <is>
          <t>SÖDERMANLANDS LÄN</t>
        </is>
      </c>
      <c r="G469" t="inlineStr">
        <is>
          <t>FLEN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46228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18918-2026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46129</v>
      </c>
      <c r="E471" s="1" t="n">
        <v>46228</v>
      </c>
      <c r="F471" t="inlineStr">
        <is>
          <t>SÖDERMANLANDS LÄN</t>
        </is>
      </c>
      <c r="G471" t="inlineStr">
        <is>
          <t>FLEN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45441</v>
      </c>
      <c r="E472" s="1" t="n">
        <v>46228</v>
      </c>
      <c r="F472" t="inlineStr">
        <is>
          <t>SÖDERMANLANDS LÄN</t>
        </is>
      </c>
      <c r="G472" t="inlineStr">
        <is>
          <t>FLEN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46228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46228</v>
      </c>
      <c r="F474" t="inlineStr">
        <is>
          <t>SÖDERMANLANDS LÄN</t>
        </is>
      </c>
      <c r="G474" t="inlineStr">
        <is>
          <t>FLEN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46228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46228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46228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45720</v>
      </c>
      <c r="E478" s="1" t="n">
        <v>46228</v>
      </c>
      <c r="F478" t="inlineStr">
        <is>
          <t>SÖDERMANLANDS LÄN</t>
        </is>
      </c>
      <c r="G478" t="inlineStr">
        <is>
          <t>FLEN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46228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46228</v>
      </c>
      <c r="F480" t="inlineStr">
        <is>
          <t>SÖDERMANLANDS LÄN</t>
        </is>
      </c>
      <c r="G480" t="inlineStr">
        <is>
          <t>FLEN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37286-2024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45540</v>
      </c>
      <c r="E481" s="1" t="n">
        <v>46228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46228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46228</v>
      </c>
      <c r="F483" t="inlineStr">
        <is>
          <t>SÖDERMANLANDS LÄN</t>
        </is>
      </c>
      <c r="G483" t="inlineStr">
        <is>
          <t>FLEN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46183</v>
      </c>
      <c r="E484" s="1" t="n">
        <v>46228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60034-2022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46228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46228</v>
      </c>
      <c r="F486" t="inlineStr">
        <is>
          <t>SÖDERMANLANDS LÄN</t>
        </is>
      </c>
      <c r="G486" t="inlineStr">
        <is>
          <t>FLEN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46228</v>
      </c>
      <c r="F487" t="inlineStr">
        <is>
          <t>SÖDERMANLANDS LÄN</t>
        </is>
      </c>
      <c r="G487" t="inlineStr">
        <is>
          <t>FLEN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46228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46228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46228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46228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46228</v>
      </c>
      <c r="F492" t="inlineStr">
        <is>
          <t>SÖDERMANLANDS LÄN</t>
        </is>
      </c>
      <c r="G492" t="inlineStr">
        <is>
          <t>FLEN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45454</v>
      </c>
      <c r="E493" s="1" t="n">
        <v>46228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46228</v>
      </c>
      <c r="F494" t="inlineStr">
        <is>
          <t>SÖDERMANLANDS LÄN</t>
        </is>
      </c>
      <c r="G494" t="inlineStr">
        <is>
          <t>FLEN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41894-2021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44425</v>
      </c>
      <c r="E495" s="1" t="n">
        <v>46228</v>
      </c>
      <c r="F495" t="inlineStr">
        <is>
          <t>SÖDERMANLANDS LÄN</t>
        </is>
      </c>
      <c r="G495" t="inlineStr">
        <is>
          <t>FLEN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46228</v>
      </c>
      <c r="F496" t="inlineStr">
        <is>
          <t>SÖDERMANLANDS LÄN</t>
        </is>
      </c>
      <c r="G496" t="inlineStr">
        <is>
          <t>FLEN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46228</v>
      </c>
      <c r="F497" t="inlineStr">
        <is>
          <t>SÖDERMANLANDS LÄN</t>
        </is>
      </c>
      <c r="G497" t="inlineStr">
        <is>
          <t>FLEN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46228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44819</v>
      </c>
      <c r="E499" s="1" t="n">
        <v>46228</v>
      </c>
      <c r="F499" t="inlineStr">
        <is>
          <t>SÖDERMANLANDS LÄN</t>
        </is>
      </c>
      <c r="G499" t="inlineStr">
        <is>
          <t>FLEN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46228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46228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46228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46228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46228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46228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46228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46228</v>
      </c>
      <c r="F507" t="inlineStr">
        <is>
          <t>SÖDERMANLANDS LÄN</t>
        </is>
      </c>
      <c r="G507" t="inlineStr">
        <is>
          <t>FLEN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46228</v>
      </c>
      <c r="F508" t="inlineStr">
        <is>
          <t>SÖDERMANLANDS LÄN</t>
        </is>
      </c>
      <c r="G508" t="inlineStr">
        <is>
          <t>FLEN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46228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46228</v>
      </c>
      <c r="F510" t="inlineStr">
        <is>
          <t>SÖDERMANLANDS LÄN</t>
        </is>
      </c>
      <c r="G510" t="inlineStr">
        <is>
          <t>FLEN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46228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46228</v>
      </c>
      <c r="F512" t="inlineStr">
        <is>
          <t>SÖDERMANLANDS LÄN</t>
        </is>
      </c>
      <c r="G512" t="inlineStr">
        <is>
          <t>FLEN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46228</v>
      </c>
      <c r="F513" t="inlineStr">
        <is>
          <t>SÖDERMANLANDS LÄN</t>
        </is>
      </c>
      <c r="G513" t="inlineStr">
        <is>
          <t>FLEN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46228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46228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45256</v>
      </c>
      <c r="E516" s="1" t="n">
        <v>46228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46228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45448</v>
      </c>
      <c r="E518" s="1" t="n">
        <v>46228</v>
      </c>
      <c r="F518" t="inlineStr">
        <is>
          <t>SÖDERMANLANDS LÄN</t>
        </is>
      </c>
      <c r="G518" t="inlineStr">
        <is>
          <t>FLEN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13233-2024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45386</v>
      </c>
      <c r="E519" s="1" t="n">
        <v>46228</v>
      </c>
      <c r="F519" t="inlineStr">
        <is>
          <t>SÖDERMANLANDS LÄN</t>
        </is>
      </c>
      <c r="G519" t="inlineStr">
        <is>
          <t>FLEN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8293-2022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44610</v>
      </c>
      <c r="E520" s="1" t="n">
        <v>46228</v>
      </c>
      <c r="F520" t="inlineStr">
        <is>
          <t>SÖDERMANLANDS LÄN</t>
        </is>
      </c>
      <c r="G520" t="inlineStr">
        <is>
          <t>FLEN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45014</v>
      </c>
      <c r="E521" s="1" t="n">
        <v>46228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45671</v>
      </c>
      <c r="E522" s="1" t="n">
        <v>46228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46228</v>
      </c>
      <c r="F523" t="inlineStr">
        <is>
          <t>SÖDERMANLANDS LÄN</t>
        </is>
      </c>
      <c r="G523" t="inlineStr">
        <is>
          <t>FLEN</t>
        </is>
      </c>
      <c r="I523" t="n">
        <v>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4899-2023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44958</v>
      </c>
      <c r="E524" s="1" t="n">
        <v>46228</v>
      </c>
      <c r="F524" t="inlineStr">
        <is>
          <t>SÖDERMANLANDS LÄN</t>
        </is>
      </c>
      <c r="G524" t="inlineStr">
        <is>
          <t>FLEN</t>
        </is>
      </c>
      <c r="H524" t="inlineStr">
        <is>
          <t>Kyrkan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20952-2025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46228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45414</v>
      </c>
      <c r="E526" s="1" t="n">
        <v>46228</v>
      </c>
      <c r="F526" t="inlineStr">
        <is>
          <t>SÖDERMANLANDS LÄN</t>
        </is>
      </c>
      <c r="G526" t="inlineStr">
        <is>
          <t>FLEN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46228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46228</v>
      </c>
      <c r="F528" t="inlineStr">
        <is>
          <t>SÖDERMANLANDS LÄN</t>
        </is>
      </c>
      <c r="G528" t="inlineStr">
        <is>
          <t>FLEN</t>
        </is>
      </c>
      <c r="I528" t="n">
        <v>10.4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54736-2022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44883</v>
      </c>
      <c r="E529" s="1" t="n">
        <v>46228</v>
      </c>
      <c r="F529" t="inlineStr">
        <is>
          <t>SÖDERMANLANDS LÄN</t>
        </is>
      </c>
      <c r="G529" t="inlineStr">
        <is>
          <t>FLEN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47055-2022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46228</v>
      </c>
      <c r="F530" t="inlineStr">
        <is>
          <t>SÖDERMANLANDS LÄN</t>
        </is>
      </c>
      <c r="G530" t="inlineStr">
        <is>
          <t>FLEN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13909-2023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46228</v>
      </c>
      <c r="F531" t="inlineStr">
        <is>
          <t>SÖDERMANLANDS LÄN</t>
        </is>
      </c>
      <c r="G531" t="inlineStr">
        <is>
          <t>FLEN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46228</v>
      </c>
      <c r="F532" t="inlineStr">
        <is>
          <t>SÖDERMANLANDS LÄN</t>
        </is>
      </c>
      <c r="G532" t="inlineStr">
        <is>
          <t>FLEN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46228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46228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45610</v>
      </c>
      <c r="E535" s="1" t="n">
        <v>46228</v>
      </c>
      <c r="F535" t="inlineStr">
        <is>
          <t>SÖDERMANLANDS LÄN</t>
        </is>
      </c>
      <c r="G535" t="inlineStr">
        <is>
          <t>FLEN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45555</v>
      </c>
      <c r="E536" s="1" t="n">
        <v>46228</v>
      </c>
      <c r="F536" t="inlineStr">
        <is>
          <t>SÖDERMANLANDS LÄN</t>
        </is>
      </c>
      <c r="G536" t="inlineStr">
        <is>
          <t>FLEN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45797</v>
      </c>
      <c r="E537" s="1" t="n">
        <v>46228</v>
      </c>
      <c r="F537" t="inlineStr">
        <is>
          <t>SÖDERMANLANDS LÄN</t>
        </is>
      </c>
      <c r="G537" t="inlineStr">
        <is>
          <t>FLEN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46228</v>
      </c>
      <c r="F538" t="inlineStr">
        <is>
          <t>SÖDERMANLANDS LÄN</t>
        </is>
      </c>
      <c r="G538" t="inlineStr">
        <is>
          <t>FLEN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45798</v>
      </c>
      <c r="E539" s="1" t="n">
        <v>46228</v>
      </c>
      <c r="F539" t="inlineStr">
        <is>
          <t>SÖDERMANLANDS LÄN</t>
        </is>
      </c>
      <c r="G539" t="inlineStr">
        <is>
          <t>FLEN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46228</v>
      </c>
      <c r="F540" t="inlineStr">
        <is>
          <t>SÖDERMANLANDS LÄN</t>
        </is>
      </c>
      <c r="G540" t="inlineStr">
        <is>
          <t>FLEN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24526-2025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46228</v>
      </c>
      <c r="F541" t="inlineStr">
        <is>
          <t>SÖDERMANLANDS LÄN</t>
        </is>
      </c>
      <c r="G541" t="inlineStr">
        <is>
          <t>FLEN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46228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3944-2025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46228</v>
      </c>
      <c r="F543" t="inlineStr">
        <is>
          <t>SÖDERMANLANDS LÄN</t>
        </is>
      </c>
      <c r="G543" t="inlineStr">
        <is>
          <t>FLEN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46228</v>
      </c>
      <c r="F544" t="inlineStr">
        <is>
          <t>SÖDERMANLANDS LÄN</t>
        </is>
      </c>
      <c r="G544" t="inlineStr">
        <is>
          <t>FLEN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45830</v>
      </c>
      <c r="E545" s="1" t="n">
        <v>46228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45830</v>
      </c>
      <c r="E546" s="1" t="n">
        <v>46228</v>
      </c>
      <c r="F546" t="inlineStr">
        <is>
          <t>SÖDERMANLANDS LÄN</t>
        </is>
      </c>
      <c r="G546" t="inlineStr">
        <is>
          <t>FLEN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46228</v>
      </c>
      <c r="F547" t="inlineStr">
        <is>
          <t>SÖDERMANLANDS LÄN</t>
        </is>
      </c>
      <c r="G547" t="inlineStr">
        <is>
          <t>FLEN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45729</v>
      </c>
      <c r="E548" s="1" t="n">
        <v>46228</v>
      </c>
      <c r="F548" t="inlineStr">
        <is>
          <t>SÖDERMANLANDS LÄN</t>
        </is>
      </c>
      <c r="G548" t="inlineStr">
        <is>
          <t>FLEN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57863-2022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44899</v>
      </c>
      <c r="E549" s="1" t="n">
        <v>46228</v>
      </c>
      <c r="F549" t="inlineStr">
        <is>
          <t>SÖDERMANLANDS LÄN</t>
        </is>
      </c>
      <c r="G549" t="inlineStr">
        <is>
          <t>FLEN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46228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46228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46228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46228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46228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46228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46228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46228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2026-07-25T01:54:03Z</dcterms:created>
  <dcterms:modified xmlns:dcterms="http://purl.org/dc/terms/" xmlns:xsi="http://www.w3.org/2001/XMLSchema-instance" xsi:type="dcterms:W3CDTF">2026-07-25T01:54:03Z</dcterms:modified>
</cp:coreProperties>
</file>