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45692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45692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45692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45692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45692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45692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45692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45692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45692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45692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45692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45692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45692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45692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45692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52858-2023</t>
        </is>
      </c>
      <c r="B52" s="1" t="n">
        <v>45219</v>
      </c>
      <c r="C52" s="1" t="n">
        <v>45692</v>
      </c>
      <c r="D52" t="inlineStr">
        <is>
          <t>SÖDERMANLANDS LÄN</t>
        </is>
      </c>
      <c r="E52" t="inlineStr">
        <is>
          <t>FLEN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Tallticka</t>
        </is>
      </c>
      <c r="S52">
        <f>HYPERLINK("https://klasma.github.io/Logging_0482/artfynd/A 52858-2023 artfynd.xlsx", "A 52858-2023")</f>
        <v/>
      </c>
      <c r="T52">
        <f>HYPERLINK("https://klasma.github.io/Logging_0482/kartor/A 52858-2023 karta.png", "A 52858-2023")</f>
        <v/>
      </c>
      <c r="V52">
        <f>HYPERLINK("https://klasma.github.io/Logging_0482/klagomål/A 52858-2023 FSC-klagomål.docx", "A 52858-2023")</f>
        <v/>
      </c>
      <c r="W52">
        <f>HYPERLINK("https://klasma.github.io/Logging_0482/klagomålsmail/A 52858-2023 FSC-klagomål mail.docx", "A 52858-2023")</f>
        <v/>
      </c>
      <c r="X52">
        <f>HYPERLINK("https://klasma.github.io/Logging_0482/tillsyn/A 52858-2023 tillsynsbegäran.docx", "A 52858-2023")</f>
        <v/>
      </c>
      <c r="Y52">
        <f>HYPERLINK("https://klasma.github.io/Logging_0482/tillsynsmail/A 52858-2023 tillsynsbegäran mail.docx", "A 52858-2023")</f>
        <v/>
      </c>
      <c r="Z52">
        <f>HYPERLINK("https://klasma.github.io/Logging_0482/fåglar/A 52858-2023 prioriterade fågelarter.docx", "A 52858-2023")</f>
        <v/>
      </c>
    </row>
    <row r="53" ht="15" customHeight="1">
      <c r="A53" t="inlineStr">
        <is>
          <t>A 52485-2023</t>
        </is>
      </c>
      <c r="B53" s="1" t="n">
        <v>45225</v>
      </c>
      <c r="C53" s="1" t="n">
        <v>45692</v>
      </c>
      <c r="D53" t="inlineStr">
        <is>
          <t>SÖDERMANLANDS LÄN</t>
        </is>
      </c>
      <c r="E53" t="inlineStr">
        <is>
          <t>FLEN</t>
        </is>
      </c>
      <c r="G53" t="n">
        <v>8.1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52485-2023 artfynd.xlsx", "A 52485-2023")</f>
        <v/>
      </c>
      <c r="T53">
        <f>HYPERLINK("https://klasma.github.io/Logging_0482/kartor/A 52485-2023 karta.png", "A 52485-2023")</f>
        <v/>
      </c>
      <c r="V53">
        <f>HYPERLINK("https://klasma.github.io/Logging_0482/klagomål/A 52485-2023 FSC-klagomål.docx", "A 52485-2023")</f>
        <v/>
      </c>
      <c r="W53">
        <f>HYPERLINK("https://klasma.github.io/Logging_0482/klagomålsmail/A 52485-2023 FSC-klagomål mail.docx", "A 52485-2023")</f>
        <v/>
      </c>
      <c r="X53">
        <f>HYPERLINK("https://klasma.github.io/Logging_0482/tillsyn/A 52485-2023 tillsynsbegäran.docx", "A 52485-2023")</f>
        <v/>
      </c>
      <c r="Y53">
        <f>HYPERLINK("https://klasma.github.io/Logging_0482/tillsynsmail/A 52485-2023 tillsynsbegäran mail.docx", "A 52485-2023")</f>
        <v/>
      </c>
    </row>
    <row r="54" ht="15" customHeight="1">
      <c r="A54" t="inlineStr">
        <is>
          <t>A 4155-2024</t>
        </is>
      </c>
      <c r="B54" s="1" t="n">
        <v>45323</v>
      </c>
      <c r="C54" s="1" t="n">
        <v>45692</v>
      </c>
      <c r="D54" t="inlineStr">
        <is>
          <t>SÖDERMANLANDS LÄN</t>
        </is>
      </c>
      <c r="E54" t="inlineStr">
        <is>
          <t>FLEN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Scharlakansskål</t>
        </is>
      </c>
      <c r="S54">
        <f>HYPERLINK("https://klasma.github.io/Logging_0482/artfynd/A 4155-2024 artfynd.xlsx", "A 4155-2024")</f>
        <v/>
      </c>
      <c r="T54">
        <f>HYPERLINK("https://klasma.github.io/Logging_0482/kartor/A 4155-2024 karta.png", "A 4155-2024")</f>
        <v/>
      </c>
      <c r="U54">
        <f>HYPERLINK("https://klasma.github.io/Logging_0482/knärot/A 4155-2024 karta knärot.png", "A 4155-2024")</f>
        <v/>
      </c>
      <c r="V54">
        <f>HYPERLINK("https://klasma.github.io/Logging_0482/klagomål/A 4155-2024 FSC-klagomål.docx", "A 4155-2024")</f>
        <v/>
      </c>
      <c r="W54">
        <f>HYPERLINK("https://klasma.github.io/Logging_0482/klagomålsmail/A 4155-2024 FSC-klagomål mail.docx", "A 4155-2024")</f>
        <v/>
      </c>
      <c r="X54">
        <f>HYPERLINK("https://klasma.github.io/Logging_0482/tillsyn/A 4155-2024 tillsynsbegäran.docx", "A 4155-2024")</f>
        <v/>
      </c>
      <c r="Y54">
        <f>HYPERLINK("https://klasma.github.io/Logging_0482/tillsynsmail/A 4155-2024 tillsynsbegäran mail.docx", "A 4155-2024")</f>
        <v/>
      </c>
    </row>
    <row r="55" ht="15" customHeight="1">
      <c r="A55" t="inlineStr">
        <is>
          <t>A 7939-2024</t>
        </is>
      </c>
      <c r="B55" s="1" t="n">
        <v>45350</v>
      </c>
      <c r="C55" s="1" t="n">
        <v>45692</v>
      </c>
      <c r="D55" t="inlineStr">
        <is>
          <t>SÖDERMANLANDS LÄN</t>
        </is>
      </c>
      <c r="E55" t="inlineStr">
        <is>
          <t>FLEN</t>
        </is>
      </c>
      <c r="G55" t="n">
        <v>11.5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Grovticka</t>
        </is>
      </c>
      <c r="S55">
        <f>HYPERLINK("https://klasma.github.io/Logging_0482/artfynd/A 7939-2024 artfynd.xlsx", "A 7939-2024")</f>
        <v/>
      </c>
      <c r="T55">
        <f>HYPERLINK("https://klasma.github.io/Logging_0482/kartor/A 7939-2024 karta.png", "A 7939-2024")</f>
        <v/>
      </c>
      <c r="V55">
        <f>HYPERLINK("https://klasma.github.io/Logging_0482/klagomål/A 7939-2024 FSC-klagomål.docx", "A 7939-2024")</f>
        <v/>
      </c>
      <c r="W55">
        <f>HYPERLINK("https://klasma.github.io/Logging_0482/klagomålsmail/A 7939-2024 FSC-klagomål mail.docx", "A 7939-2024")</f>
        <v/>
      </c>
      <c r="X55">
        <f>HYPERLINK("https://klasma.github.io/Logging_0482/tillsyn/A 7939-2024 tillsynsbegäran.docx", "A 7939-2024")</f>
        <v/>
      </c>
      <c r="Y55">
        <f>HYPERLINK("https://klasma.github.io/Logging_0482/tillsynsmail/A 7939-2024 tillsynsbegäran mail.docx", "A 7939-2024")</f>
        <v/>
      </c>
    </row>
    <row r="56" ht="15" customHeight="1">
      <c r="A56" t="inlineStr">
        <is>
          <t>A 18788-2024</t>
        </is>
      </c>
      <c r="B56" s="1" t="n">
        <v>45426</v>
      </c>
      <c r="C56" s="1" t="n">
        <v>45692</v>
      </c>
      <c r="D56" t="inlineStr">
        <is>
          <t>SÖDERMANLANDS LÄN</t>
        </is>
      </c>
      <c r="E56" t="inlineStr">
        <is>
          <t>FLEN</t>
        </is>
      </c>
      <c r="G56" t="n">
        <v>11.1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Svinrot
Ängsskära</t>
        </is>
      </c>
      <c r="S56">
        <f>HYPERLINK("https://klasma.github.io/Logging_0482/artfynd/A 18788-2024 artfynd.xlsx", "A 18788-2024")</f>
        <v/>
      </c>
      <c r="T56">
        <f>HYPERLINK("https://klasma.github.io/Logging_0482/kartor/A 18788-2024 karta.png", "A 18788-2024")</f>
        <v/>
      </c>
      <c r="V56">
        <f>HYPERLINK("https://klasma.github.io/Logging_0482/klagomål/A 18788-2024 FSC-klagomål.docx", "A 18788-2024")</f>
        <v/>
      </c>
      <c r="W56">
        <f>HYPERLINK("https://klasma.github.io/Logging_0482/klagomålsmail/A 18788-2024 FSC-klagomål mail.docx", "A 18788-2024")</f>
        <v/>
      </c>
      <c r="X56">
        <f>HYPERLINK("https://klasma.github.io/Logging_0482/tillsyn/A 18788-2024 tillsynsbegäran.docx", "A 18788-2024")</f>
        <v/>
      </c>
      <c r="Y56">
        <f>HYPERLINK("https://klasma.github.io/Logging_0482/tillsynsmail/A 18788-2024 tillsynsbegäran mail.docx", "A 18788-2024")</f>
        <v/>
      </c>
    </row>
    <row r="57" ht="15" customHeight="1">
      <c r="A57" t="inlineStr">
        <is>
          <t>A 20863-2024</t>
        </is>
      </c>
      <c r="B57" s="1" t="n">
        <v>45439</v>
      </c>
      <c r="C57" s="1" t="n">
        <v>45692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HYPERLINK("https://klasma.github.io/Logging_0482/artfynd/A 20863-2024 artfynd.xlsx", "A 20863-2024")</f>
        <v/>
      </c>
      <c r="T57">
        <f>HYPERLINK("https://klasma.github.io/Logging_0482/kartor/A 20863-2024 karta.png", "A 20863-2024")</f>
        <v/>
      </c>
      <c r="V57">
        <f>HYPERLINK("https://klasma.github.io/Logging_0482/klagomål/A 20863-2024 FSC-klagomål.docx", "A 20863-2024")</f>
        <v/>
      </c>
      <c r="W57">
        <f>HYPERLINK("https://klasma.github.io/Logging_0482/klagomålsmail/A 20863-2024 FSC-klagomål mail.docx", "A 20863-2024")</f>
        <v/>
      </c>
      <c r="X57">
        <f>HYPERLINK("https://klasma.github.io/Logging_0482/tillsyn/A 20863-2024 tillsynsbegäran.docx", "A 20863-2024")</f>
        <v/>
      </c>
      <c r="Y57">
        <f>HYPERLINK("https://klasma.github.io/Logging_0482/tillsynsmail/A 20863-2024 tillsynsbegäran mail.docx", "A 20863-2024")</f>
        <v/>
      </c>
    </row>
    <row r="58" ht="15" customHeight="1">
      <c r="A58" t="inlineStr">
        <is>
          <t>A 32760-2024</t>
        </is>
      </c>
      <c r="B58" s="1" t="n">
        <v>45515</v>
      </c>
      <c r="C58" s="1" t="n">
        <v>45692</v>
      </c>
      <c r="D58" t="inlineStr">
        <is>
          <t>SÖDERMANLANDS LÄN</t>
        </is>
      </c>
      <c r="E58" t="inlineStr">
        <is>
          <t>FLEN</t>
        </is>
      </c>
      <c r="G58" t="n">
        <v>4.8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Grönpyrola</t>
        </is>
      </c>
      <c r="S58">
        <f>HYPERLINK("https://klasma.github.io/Logging_0482/artfynd/A 32760-2024 artfynd.xlsx", "A 32760-2024")</f>
        <v/>
      </c>
      <c r="T58">
        <f>HYPERLINK("https://klasma.github.io/Logging_0482/kartor/A 32760-2024 karta.png", "A 32760-2024")</f>
        <v/>
      </c>
      <c r="V58">
        <f>HYPERLINK("https://klasma.github.io/Logging_0482/klagomål/A 32760-2024 FSC-klagomål.docx", "A 32760-2024")</f>
        <v/>
      </c>
      <c r="W58">
        <f>HYPERLINK("https://klasma.github.io/Logging_0482/klagomålsmail/A 32760-2024 FSC-klagomål mail.docx", "A 32760-2024")</f>
        <v/>
      </c>
      <c r="X58">
        <f>HYPERLINK("https://klasma.github.io/Logging_0482/tillsyn/A 32760-2024 tillsynsbegäran.docx", "A 32760-2024")</f>
        <v/>
      </c>
      <c r="Y58">
        <f>HYPERLINK("https://klasma.github.io/Logging_0482/tillsynsmail/A 32760-2024 tillsynsbegäran mail.docx", "A 32760-2024")</f>
        <v/>
      </c>
    </row>
    <row r="59" ht="15" customHeight="1">
      <c r="A59" t="inlineStr">
        <is>
          <t>A 32756-2024</t>
        </is>
      </c>
      <c r="B59" s="1" t="n">
        <v>45515</v>
      </c>
      <c r="C59" s="1" t="n">
        <v>45692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Grönpyrola
Mattlummer</t>
        </is>
      </c>
      <c r="S59">
        <f>HYPERLINK("https://klasma.github.io/Logging_0482/artfynd/A 32756-2024 artfynd.xlsx", "A 32756-2024")</f>
        <v/>
      </c>
      <c r="T59">
        <f>HYPERLINK("https://klasma.github.io/Logging_0482/kartor/A 32756-2024 karta.png", "A 32756-2024")</f>
        <v/>
      </c>
      <c r="V59">
        <f>HYPERLINK("https://klasma.github.io/Logging_0482/klagomål/A 32756-2024 FSC-klagomål.docx", "A 32756-2024")</f>
        <v/>
      </c>
      <c r="W59">
        <f>HYPERLINK("https://klasma.github.io/Logging_0482/klagomålsmail/A 32756-2024 FSC-klagomål mail.docx", "A 32756-2024")</f>
        <v/>
      </c>
      <c r="X59">
        <f>HYPERLINK("https://klasma.github.io/Logging_0482/tillsyn/A 32756-2024 tillsynsbegäran.docx", "A 32756-2024")</f>
        <v/>
      </c>
      <c r="Y59">
        <f>HYPERLINK("https://klasma.github.io/Logging_0482/tillsynsmail/A 32756-2024 tillsynsbegäran mail.docx", "A 32756-2024")</f>
        <v/>
      </c>
    </row>
    <row r="60" ht="15" customHeight="1">
      <c r="A60" t="inlineStr">
        <is>
          <t>A 33224-2024</t>
        </is>
      </c>
      <c r="B60" s="1" t="n">
        <v>45518</v>
      </c>
      <c r="C60" s="1" t="n">
        <v>45692</v>
      </c>
      <c r="D60" t="inlineStr">
        <is>
          <t>SÖDERMANLANDS LÄN</t>
        </is>
      </c>
      <c r="E60" t="inlineStr">
        <is>
          <t>FLEN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Gullklöver
Blåsippa</t>
        </is>
      </c>
      <c r="S60">
        <f>HYPERLINK("https://klasma.github.io/Logging_0482/artfynd/A 33224-2024 artfynd.xlsx", "A 33224-2024")</f>
        <v/>
      </c>
      <c r="T60">
        <f>HYPERLINK("https://klasma.github.io/Logging_0482/kartor/A 33224-2024 karta.png", "A 33224-2024")</f>
        <v/>
      </c>
      <c r="V60">
        <f>HYPERLINK("https://klasma.github.io/Logging_0482/klagomål/A 33224-2024 FSC-klagomål.docx", "A 33224-2024")</f>
        <v/>
      </c>
      <c r="W60">
        <f>HYPERLINK("https://klasma.github.io/Logging_0482/klagomålsmail/A 33224-2024 FSC-klagomål mail.docx", "A 33224-2024")</f>
        <v/>
      </c>
      <c r="X60">
        <f>HYPERLINK("https://klasma.github.io/Logging_0482/tillsyn/A 33224-2024 tillsynsbegäran.docx", "A 33224-2024")</f>
        <v/>
      </c>
      <c r="Y60">
        <f>HYPERLINK("https://klasma.github.io/Logging_0482/tillsynsmail/A 33224-2024 tillsynsbegäran mail.docx", "A 33224-2024")</f>
        <v/>
      </c>
    </row>
    <row r="61" ht="15" customHeight="1">
      <c r="A61" t="inlineStr">
        <is>
          <t>A 39595-2024</t>
        </is>
      </c>
      <c r="B61" s="1" t="n">
        <v>45552</v>
      </c>
      <c r="C61" s="1" t="n">
        <v>45692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Gullklöver</t>
        </is>
      </c>
      <c r="S61">
        <f>HYPERLINK("https://klasma.github.io/Logging_0482/artfynd/A 39595-2024 artfynd.xlsx", "A 39595-2024")</f>
        <v/>
      </c>
      <c r="T61">
        <f>HYPERLINK("https://klasma.github.io/Logging_0482/kartor/A 39595-2024 karta.png", "A 39595-2024")</f>
        <v/>
      </c>
      <c r="U61">
        <f>HYPERLINK("https://klasma.github.io/Logging_0482/knärot/A 39595-2024 karta knärot.png", "A 39595-2024")</f>
        <v/>
      </c>
      <c r="V61">
        <f>HYPERLINK("https://klasma.github.io/Logging_0482/klagomål/A 39595-2024 FSC-klagomål.docx", "A 39595-2024")</f>
        <v/>
      </c>
      <c r="W61">
        <f>HYPERLINK("https://klasma.github.io/Logging_0482/klagomålsmail/A 39595-2024 FSC-klagomål mail.docx", "A 39595-2024")</f>
        <v/>
      </c>
      <c r="X61">
        <f>HYPERLINK("https://klasma.github.io/Logging_0482/tillsyn/A 39595-2024 tillsynsbegäran.docx", "A 39595-2024")</f>
        <v/>
      </c>
      <c r="Y61">
        <f>HYPERLINK("https://klasma.github.io/Logging_0482/tillsynsmail/A 39595-2024 tillsynsbegäran mail.docx", "A 39595-2024")</f>
        <v/>
      </c>
    </row>
    <row r="62" ht="15" customHeight="1">
      <c r="A62" t="inlineStr">
        <is>
          <t>A 50343-2024</t>
        </is>
      </c>
      <c r="B62" s="1" t="n">
        <v>45600</v>
      </c>
      <c r="C62" s="1" t="n">
        <v>45692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Blåsippa</t>
        </is>
      </c>
      <c r="S62">
        <f>HYPERLINK("https://klasma.github.io/Logging_0482/artfynd/A 50343-2024 artfynd.xlsx", "A 50343-2024")</f>
        <v/>
      </c>
      <c r="T62">
        <f>HYPERLINK("https://klasma.github.io/Logging_0482/kartor/A 50343-2024 karta.png", "A 50343-2024")</f>
        <v/>
      </c>
      <c r="V62">
        <f>HYPERLINK("https://klasma.github.io/Logging_0482/klagomål/A 50343-2024 FSC-klagomål.docx", "A 50343-2024")</f>
        <v/>
      </c>
      <c r="W62">
        <f>HYPERLINK("https://klasma.github.io/Logging_0482/klagomålsmail/A 50343-2024 FSC-klagomål mail.docx", "A 50343-2024")</f>
        <v/>
      </c>
      <c r="X62">
        <f>HYPERLINK("https://klasma.github.io/Logging_0482/tillsyn/A 50343-2024 tillsynsbegäran.docx", "A 50343-2024")</f>
        <v/>
      </c>
      <c r="Y62">
        <f>HYPERLINK("https://klasma.github.io/Logging_0482/tillsynsmail/A 50343-2024 tillsynsbegäran mail.docx", "A 50343-2024")</f>
        <v/>
      </c>
    </row>
    <row r="63" ht="15" customHeight="1">
      <c r="A63" t="inlineStr">
        <is>
          <t>A 1149-2025</t>
        </is>
      </c>
      <c r="B63" s="1" t="n">
        <v>45666</v>
      </c>
      <c r="C63" s="1" t="n">
        <v>45692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5.1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Kamjordstjärna</t>
        </is>
      </c>
      <c r="S63">
        <f>HYPERLINK("https://klasma.github.io/Logging_0482/artfynd/A 1149-2025 artfynd.xlsx", "A 1149-2025")</f>
        <v/>
      </c>
      <c r="T63">
        <f>HYPERLINK("https://klasma.github.io/Logging_0482/kartor/A 1149-2025 karta.png", "A 1149-2025")</f>
        <v/>
      </c>
      <c r="V63">
        <f>HYPERLINK("https://klasma.github.io/Logging_0482/klagomål/A 1149-2025 FSC-klagomål.docx", "A 1149-2025")</f>
        <v/>
      </c>
      <c r="W63">
        <f>HYPERLINK("https://klasma.github.io/Logging_0482/klagomålsmail/A 1149-2025 FSC-klagomål mail.docx", "A 1149-2025")</f>
        <v/>
      </c>
      <c r="X63">
        <f>HYPERLINK("https://klasma.github.io/Logging_0482/tillsyn/A 1149-2025 tillsynsbegäran.docx", "A 1149-2025")</f>
        <v/>
      </c>
      <c r="Y63">
        <f>HYPERLINK("https://klasma.github.io/Logging_0482/tillsynsmail/A 1149-2025 tillsynsbegäran mail.docx", "A 1149-2025")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45692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45692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45692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45692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45692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45692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45692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45692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45692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45692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45692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45692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45692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45692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45692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45692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45692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45692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45692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45692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45692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45692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45692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45692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45692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45692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45692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45692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45692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45692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45692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45692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45692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45692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45692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45692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45692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45692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45692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45692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45692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45692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45692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45692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45692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45692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45692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45692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45692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45692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45692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45692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45692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45692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45692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45692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45692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45692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45692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45692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45692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45692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45692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45692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45692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45692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45692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45692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45692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45692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45692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45692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45692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45692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45692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45692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45692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45692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45692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45692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45692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45692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45692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45692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45692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45692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45692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45692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45692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45692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45692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45692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45692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45692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45692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45692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45692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45692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45692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45692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45692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45692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45692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45692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45692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45692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45692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45692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45692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45692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45692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45692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45692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45692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45692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45692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45692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45692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45692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45692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45692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45692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45692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45692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45692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45692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45692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45692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45692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45692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45692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45692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45692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45692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45692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45692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45692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45692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45692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45692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45692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45692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45692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45692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45692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45692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45692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45692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45692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45692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45692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45692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45692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45692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45692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45692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45692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45692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45692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45692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45692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45692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45692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45692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45692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45692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45692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45692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45692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45692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45692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45692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45692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45692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45692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45692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45692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45692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45692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45692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45692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45692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45692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45692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45692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45692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45692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45692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45692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45692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45692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45692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45692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45692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45692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45692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45692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45692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45692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45692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45692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45692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45692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45692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45692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45692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45692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45692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45692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45692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45692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45692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45692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45692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45692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45692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45692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45692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45692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45692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45692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45692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45692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45692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45692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45692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45692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45692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45692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45692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45692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45692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45692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45692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45692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45692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45692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45692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45692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45692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45692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45692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45692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45692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45692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45692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45692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45692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45692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45692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45692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45692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45692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45692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45692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45692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45692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45692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45692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45692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45692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45692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45692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45692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45692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45692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45692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45692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45692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45692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45692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45692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45692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45692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45692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45692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45692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45692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45692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45692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45692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45692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45692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45692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45692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45692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45692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45692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45692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45692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45692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45692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45692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45692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45692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45692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45692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45692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45692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45692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45692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45692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45692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45692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45692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45692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45692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45692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45692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45692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45692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45692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45692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45692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45692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45692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45692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45692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45692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45692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45692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45692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45692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45692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45692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45692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45692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45692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45692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45692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45692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45692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45692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45692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45692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45692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45692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45692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45692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45692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45692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45692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45692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45692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45692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45692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45692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45692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45692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45692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45692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45692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45692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45692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45692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45692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45692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45692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45692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45692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45692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45692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45692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45692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45692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45692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45692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45692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45692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45692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45692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45692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45692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45692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45692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45692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45692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45692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45692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45692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45692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45692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45692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45692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45692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45692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45692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45692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45692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45692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45692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45692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45692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45692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45692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45692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45692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45692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45692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45692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45692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45692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45692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45692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45692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45692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45692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45692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45692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45692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45692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45692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45692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45692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45692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45692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45692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45692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45692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45692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45692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45692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45692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45692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45692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45692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45692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45692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45692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45692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45692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45692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45692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45692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45692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45692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45692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45692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45692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45692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45692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45692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45692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45692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45692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45692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45692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45692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45692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45692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45692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45692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45692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45692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45692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45692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45692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45692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45692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45692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45692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45692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45692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45692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45692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45692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45692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45692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45692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45692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45692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45692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45692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45692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45692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45692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45692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45692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45692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45692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45692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45692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45692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45692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45692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45692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45692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45692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45692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45692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45692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45692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45692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45692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45692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45692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45692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45692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45692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45692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45692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45692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45692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45692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45692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45692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45692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45692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45692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45692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45692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45692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45692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45692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45692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45692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45692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45692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45692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45692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45692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45692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45692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45692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45692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45692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45692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45692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45692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45692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45692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45692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45692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45692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45692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45692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45692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45692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45692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45692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45692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45692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45692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45692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45692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45692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45692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45692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45692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45692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45692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45692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45692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45692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45692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45692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45692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45692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45692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45692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45692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45692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45692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45692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45692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45692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45692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45692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45692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45692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45692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45692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45692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45692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45692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45692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45692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45692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45692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45692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45692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45692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45692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45692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45692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45692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45692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45692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45692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45692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45692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45692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45692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45692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45692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45692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45692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45692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45692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45692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45692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45692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45692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45692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45692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45692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45692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45692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45692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45692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45692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45692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45692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45692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45692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45692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45692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45692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45692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45692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45692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45692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45692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45692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45692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45692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45692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45692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45692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45692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45692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45692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45692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45692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45692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45692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45692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45692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45692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45692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45692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45692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45692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45692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45692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45692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45692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45692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45692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45692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45692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45692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45692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45692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45692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45692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45692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45692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45692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45692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45692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45692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45692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45692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45692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45692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45692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45692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45692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45692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45692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45692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45692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45692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45692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45692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45692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45692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45692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45692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45692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45692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45692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45692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45692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45692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45692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45692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45692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45692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45692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45692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45692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45692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45692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45692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45692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45692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45692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45692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45692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45692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45692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45692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45692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45692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45692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45692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45692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45692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45692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45692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45692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45692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45692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45692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45692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45692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45692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45692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45692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45692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45692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45692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45692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45692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45692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45692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45692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45692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45692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45692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45692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45692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45692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45692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45692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45692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45692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45692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45692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45692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45692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45692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45692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45692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45692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45692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45692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45692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45692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45692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45692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45692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45692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45692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45692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45692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45692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45692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45692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45692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45692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45692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45692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45692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45692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45692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45692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45692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45692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45692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45692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45692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45692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45692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45692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45692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45692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45692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45692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45692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45692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45692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45692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45692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45692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45692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45692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45692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45692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45692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45692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45692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45692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45692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45692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45692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45692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45692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45692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45692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45692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45692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45692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45692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45692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45692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45692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45692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45692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45692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45692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45692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45692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45692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45692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45692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45692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45692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45692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45692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45692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45692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45692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45692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45692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45692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45692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45692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45692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45692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45692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45692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45692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45692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45692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45692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45692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45692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45692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45692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45692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45692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45692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45692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45692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45692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45692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45692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45692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45692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45692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45692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45692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45692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45692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45692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45692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45692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45692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45692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45692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45692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45692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45692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45692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45692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45692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45692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45692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45692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45692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45692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45692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45692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45692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45692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45692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45692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45692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45692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45692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45692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45692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45692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45692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45692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45692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45692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45692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45692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45692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45692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45692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45692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45692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45692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45692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45692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45692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45692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45692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45692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45692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45692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45692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45692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45692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45692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45692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45692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45692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45692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45692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45692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45692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45692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45692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45692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45692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45692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45692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45692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45692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45692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45692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45692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45692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45692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45692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45692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45692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45692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45692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45692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45692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45692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45692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1210-2025</t>
        </is>
      </c>
      <c r="B1100" s="1" t="n">
        <v>45667</v>
      </c>
      <c r="C1100" s="1" t="n">
        <v>45692</v>
      </c>
      <c r="D1100" t="inlineStr">
        <is>
          <t>SÖDERMANLANDS LÄN</t>
        </is>
      </c>
      <c r="E1100" t="inlineStr">
        <is>
          <t>FLEN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1239-2025</t>
        </is>
      </c>
      <c r="B1101" s="1" t="n">
        <v>45667</v>
      </c>
      <c r="C1101" s="1" t="n">
        <v>45692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45692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45692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1861-2025</t>
        </is>
      </c>
      <c r="B1104" s="1" t="n">
        <v>45671</v>
      </c>
      <c r="C1104" s="1" t="n">
        <v>45692</v>
      </c>
      <c r="D1104" t="inlineStr">
        <is>
          <t>SÖDERMANLANDS LÄN</t>
        </is>
      </c>
      <c r="E1104" t="inlineStr">
        <is>
          <t>FLEN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1889-2025</t>
        </is>
      </c>
      <c r="B1105" s="1" t="n">
        <v>45671</v>
      </c>
      <c r="C1105" s="1" t="n">
        <v>45692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1907-2025</t>
        </is>
      </c>
      <c r="B1106" s="1" t="n">
        <v>45671</v>
      </c>
      <c r="C1106" s="1" t="n">
        <v>45692</v>
      </c>
      <c r="D1106" t="inlineStr">
        <is>
          <t>SÖDERMANLANDS LÄN</t>
        </is>
      </c>
      <c r="E1106" t="inlineStr">
        <is>
          <t>FLEN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1868-2025</t>
        </is>
      </c>
      <c r="B1107" s="1" t="n">
        <v>45671</v>
      </c>
      <c r="C1107" s="1" t="n">
        <v>45692</v>
      </c>
      <c r="D1107" t="inlineStr">
        <is>
          <t>SÖDERMANLANDS LÄN</t>
        </is>
      </c>
      <c r="E1107" t="inlineStr">
        <is>
          <t>FLEN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1892-2025</t>
        </is>
      </c>
      <c r="B1108" s="1" t="n">
        <v>45671</v>
      </c>
      <c r="C1108" s="1" t="n">
        <v>45692</v>
      </c>
      <c r="D1108" t="inlineStr">
        <is>
          <t>SÖDERMANLANDS LÄN</t>
        </is>
      </c>
      <c r="E1108" t="inlineStr">
        <is>
          <t>FLEN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1899-2025</t>
        </is>
      </c>
      <c r="B1109" s="1" t="n">
        <v>45671</v>
      </c>
      <c r="C1109" s="1" t="n">
        <v>45692</v>
      </c>
      <c r="D1109" t="inlineStr">
        <is>
          <t>SÖDERMANLANDS LÄN</t>
        </is>
      </c>
      <c r="E1109" t="inlineStr">
        <is>
          <t>FLEN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45692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45692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45692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45692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45692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45692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2025-02-04T15:56:44Z</dcterms:created>
  <dcterms:modified xmlns:dcterms="http://purl.org/dc/terms/" xmlns:xsi="http://www.w3.org/2001/XMLSchema-instance" xsi:type="dcterms:W3CDTF">2025-02-04T15:56:45Z</dcterms:modified>
</cp:coreProperties>
</file>