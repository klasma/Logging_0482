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46317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46317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46317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46317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46317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46317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46317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46317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46317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46317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46317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46317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46317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46317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46317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46317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46317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46317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46317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46317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46317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46044</v>
      </c>
      <c r="E36" s="1" t="n">
        <v>46317</v>
      </c>
      <c r="F36" t="inlineStr">
        <is>
          <t>SÖDERMANLANDS LÄN</t>
        </is>
      </c>
      <c r="G36" t="inlineStr">
        <is>
          <t>FLEN</t>
        </is>
      </c>
      <c r="H36" t="inlineStr">
        <is>
          <t>Övriga statliga verk och myndigheter</t>
        </is>
      </c>
      <c r="I36" t="n">
        <v>3.4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Jungfrulin
Vanlig backsmörblomma
Mindre vattensalamander
Gullviva</t>
        </is>
      </c>
      <c r="W36">
        <f>HYPERLINK("https://klasma.github.io/Logging_0482/artfynd/A 4290-2026 artfynd.xlsx", "A 4290-2026")</f>
        <v/>
      </c>
      <c r="X36">
        <f>HYPERLINK("https://klasma.github.io/Logging_0482/kartor/A 4290-2026 karta.png", "A 4290-2026")</f>
        <v/>
      </c>
      <c r="Y36">
        <f>HYPERLINK("https://klasma.github.io/Logging_0482/kartor_geotiff/A 4290-2026 georefererad karta.tif", "A 4290-2026")</f>
        <v/>
      </c>
      <c r="AA36">
        <f>HYPERLINK("https://klasma.github.io/Logging_0482/klagomål/A 4290-2026 FSC-klagomål.docx", "A 4290-2026")</f>
        <v/>
      </c>
      <c r="AB36">
        <f>HYPERLINK("https://klasma.github.io/Logging_0482/klagomålsmail/A 4290-2026 FSC-klagomål mail.docx", "A 4290-2026")</f>
        <v/>
      </c>
      <c r="AC36">
        <f>HYPERLINK("https://klasma.github.io/Logging_0482/tillsyn/A 4290-2026 tillsynsbegäran.docx", "A 4290-2026")</f>
        <v/>
      </c>
      <c r="AD36">
        <f>HYPERLINK("https://klasma.github.io/Logging_0482/tillsynsmail/A 4290-2026 tillsynsbegäran mail.docx", "A 4290-2026")</f>
        <v/>
      </c>
    </row>
    <row r="37" ht="15" customHeight="1">
      <c r="A37" t="inlineStr">
        <is>
          <t>A 33225-2024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46317</v>
      </c>
      <c r="F37" t="inlineStr">
        <is>
          <t>SÖDERMANLANDS LÄN</t>
        </is>
      </c>
      <c r="G37" t="inlineStr">
        <is>
          <t>FLEN</t>
        </is>
      </c>
      <c r="I37" t="n">
        <v>0.1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Skogsklocka
Svinrot
Vippärt
Grönvit nattviol</t>
        </is>
      </c>
      <c r="W37">
        <f>HYPERLINK("https://klasma.github.io/Logging_0482/artfynd/A 33225-2024 artfynd.xlsx", "A 33225-2024")</f>
        <v/>
      </c>
      <c r="X37">
        <f>HYPERLINK("https://klasma.github.io/Logging_0482/kartor/A 33225-2024 karta.png", "A 33225-2024")</f>
        <v/>
      </c>
      <c r="Y37">
        <f>HYPERLINK("https://klasma.github.io/Logging_0482/kartor_geotiff/A 33225-2024 georefererad karta.tif", "A 33225-2024")</f>
        <v/>
      </c>
      <c r="AA37">
        <f>HYPERLINK("https://klasma.github.io/Logging_0482/klagomål/A 33225-2024 FSC-klagomål.docx", "A 33225-2024")</f>
        <v/>
      </c>
      <c r="AB37">
        <f>HYPERLINK("https://klasma.github.io/Logging_0482/klagomålsmail/A 33225-2024 FSC-klagomål mail.docx", "A 33225-2024")</f>
        <v/>
      </c>
      <c r="AC37">
        <f>HYPERLINK("https://klasma.github.io/Logging_0482/tillsyn/A 33225-2024 tillsynsbegäran.docx", "A 33225-2024")</f>
        <v/>
      </c>
      <c r="AD37">
        <f>HYPERLINK("https://klasma.github.io/Logging_0482/tillsynsmail/A 33225-2024 tillsynsbegäran mail.docx", "A 33225-2024")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46317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11115-2026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46317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7.8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6</v>
      </c>
      <c r="V39" s="2" t="inlineStr">
        <is>
          <t>Dropptaggsvamp
Fönsterlav
Grå renlav
Gulvit renlav</t>
        </is>
      </c>
      <c r="W39">
        <f>HYPERLINK("https://klasma.github.io/Logging_0482/artfynd/A 11115-2026 artfynd.xlsx", "A 11115-2026")</f>
        <v/>
      </c>
      <c r="X39">
        <f>HYPERLINK("https://klasma.github.io/Logging_0482/kartor/A 11115-2026 karta.png", "A 11115-2026")</f>
        <v/>
      </c>
      <c r="Y39">
        <f>HYPERLINK("https://klasma.github.io/Logging_0482/kartor_geotiff/A 11115-2026 georefererad karta.tif", "A 11115-2026")</f>
        <v/>
      </c>
      <c r="AA39">
        <f>HYPERLINK("https://klasma.github.io/Logging_0482/klagomål/A 11115-2026 FSC-klagomål.docx", "A 11115-2026")</f>
        <v/>
      </c>
      <c r="AB39">
        <f>HYPERLINK("https://klasma.github.io/Logging_0482/klagomålsmail/A 11115-2026 FSC-klagomål mail.docx", "A 11115-2026")</f>
        <v/>
      </c>
      <c r="AC39">
        <f>HYPERLINK("https://klasma.github.io/Logging_0482/tillsyn/A 11115-2026 tillsynsbegäran.docx", "A 11115-2026")</f>
        <v/>
      </c>
      <c r="AD39">
        <f>HYPERLINK("https://klasma.github.io/Logging_0482/tillsynsmail/A 11115-2026 tillsynsbegäran mail.docx", "A 11115-2026")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46317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46317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46317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43457-2026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46315</v>
      </c>
      <c r="E43" s="1" t="n">
        <v>46317</v>
      </c>
      <c r="F43" t="inlineStr">
        <is>
          <t>SÖDERMANLANDS LÄN</t>
        </is>
      </c>
      <c r="G43" t="inlineStr">
        <is>
          <t>FLEN</t>
        </is>
      </c>
      <c r="I43" t="n">
        <v>0.5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Gullklöver
Slåtterfibbla
Svinrot
Vanlig backsmörblomma</t>
        </is>
      </c>
      <c r="W43">
        <f>HYPERLINK("https://klasma.github.io/Logging_0482/artfynd/A 43457-2026 artfynd.xlsx", "A 43457-2026")</f>
        <v/>
      </c>
      <c r="X43">
        <f>HYPERLINK("https://klasma.github.io/Logging_0482/kartor/A 43457-2026 karta.png", "A 43457-2026")</f>
        <v/>
      </c>
      <c r="Y43">
        <f>HYPERLINK("https://klasma.github.io/Logging_0482/kartor_geotiff/A 43457-2026 georefererad karta.tif", "A 43457-2026")</f>
        <v/>
      </c>
      <c r="AA43">
        <f>HYPERLINK("https://klasma.github.io/Logging_0482/klagomål/A 43457-2026 FSC-klagomål.docx", "A 43457-2026")</f>
        <v/>
      </c>
      <c r="AB43">
        <f>HYPERLINK("https://klasma.github.io/Logging_0482/klagomålsmail/A 43457-2026 FSC-klagomål mail.docx", "A 43457-2026")</f>
        <v/>
      </c>
      <c r="AC43">
        <f>HYPERLINK("https://klasma.github.io/Logging_0482/tillsyn/A 43457-2026 tillsynsbegäran.docx", "A 43457-2026")</f>
        <v/>
      </c>
      <c r="AD43">
        <f>HYPERLINK("https://klasma.github.io/Logging_0482/tillsynsmail/A 43457-2026 tillsynsbegäran mail.docx", "A 43457-2026")</f>
        <v/>
      </c>
    </row>
    <row r="44" ht="15" customHeight="1">
      <c r="A44" t="inlineStr">
        <is>
          <t>A 43459-2026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46315</v>
      </c>
      <c r="E44" s="1" t="n">
        <v>46317</v>
      </c>
      <c r="F44" t="inlineStr">
        <is>
          <t>SÖDERMANLANDS LÄN</t>
        </is>
      </c>
      <c r="G44" t="inlineStr">
        <is>
          <t>FLEN</t>
        </is>
      </c>
      <c r="I44" t="n">
        <v>9.300000000000001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Gullklöver
Slåtterfibbla
Svinrot
Vanlig backsmörblomma</t>
        </is>
      </c>
      <c r="W44">
        <f>HYPERLINK("https://klasma.github.io/Logging_0482/artfynd/A 43459-2026 artfynd.xlsx", "A 43459-2026")</f>
        <v/>
      </c>
      <c r="X44">
        <f>HYPERLINK("https://klasma.github.io/Logging_0482/kartor/A 43459-2026 karta.png", "A 43459-2026")</f>
        <v/>
      </c>
      <c r="Y44">
        <f>HYPERLINK("https://klasma.github.io/Logging_0482/kartor_geotiff/A 43459-2026 georefererad karta.tif", "A 43459-2026")</f>
        <v/>
      </c>
      <c r="AA44">
        <f>HYPERLINK("https://klasma.github.io/Logging_0482/klagomål/A 43459-2026 FSC-klagomål.docx", "A 43459-2026")</f>
        <v/>
      </c>
      <c r="AB44">
        <f>HYPERLINK("https://klasma.github.io/Logging_0482/klagomålsmail/A 43459-2026 FSC-klagomål mail.docx", "A 43459-2026")</f>
        <v/>
      </c>
      <c r="AC44">
        <f>HYPERLINK("https://klasma.github.io/Logging_0482/tillsyn/A 43459-2026 tillsynsbegäran.docx", "A 43459-2026")</f>
        <v/>
      </c>
      <c r="AD44">
        <f>HYPERLINK("https://klasma.github.io/Logging_0482/tillsynsmail/A 43459-2026 tillsynsbegäran mail.docx", "A 43459-2026")</f>
        <v/>
      </c>
    </row>
    <row r="45" ht="15" customHeight="1">
      <c r="A45" t="inlineStr">
        <is>
          <t>A 24037-2022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44724</v>
      </c>
      <c r="E45" s="1" t="n">
        <v>46317</v>
      </c>
      <c r="F45" t="inlineStr">
        <is>
          <t>SÖDERMANLANDS LÄN</t>
        </is>
      </c>
      <c r="G45" t="inlineStr">
        <is>
          <t>FLEN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Kransmossa
Majbräken</t>
        </is>
      </c>
      <c r="W45">
        <f>HYPERLINK("https://klasma.github.io/Logging_0482/artfynd/A 24037-2022 artfynd.xlsx", "A 24037-2022")</f>
        <v/>
      </c>
      <c r="X45">
        <f>HYPERLINK("https://klasma.github.io/Logging_0482/kartor/A 24037-2022 karta.png", "A 24037-2022")</f>
        <v/>
      </c>
      <c r="Y45">
        <f>HYPERLINK("https://klasma.github.io/Logging_0482/kartor_geotiff/A 24037-2022 georefererad karta.tif", "A 24037-2022")</f>
        <v/>
      </c>
      <c r="AA45">
        <f>HYPERLINK("https://klasma.github.io/Logging_0482/klagomål/A 24037-2022 FSC-klagomål.docx", "A 24037-2022")</f>
        <v/>
      </c>
      <c r="AB45">
        <f>HYPERLINK("https://klasma.github.io/Logging_0482/klagomålsmail/A 24037-2022 FSC-klagomål mail.docx", "A 24037-2022")</f>
        <v/>
      </c>
      <c r="AC45">
        <f>HYPERLINK("https://klasma.github.io/Logging_0482/tillsyn/A 24037-2022 tillsynsbegäran.docx", "A 24037-2022")</f>
        <v/>
      </c>
      <c r="AD45">
        <f>HYPERLINK("https://klasma.github.io/Logging_0482/tillsynsmail/A 24037-2022 tillsynsbegäran mail.docx", "A 24037-2022")</f>
        <v/>
      </c>
    </row>
    <row r="46" ht="15" customHeight="1">
      <c r="A46" t="inlineStr">
        <is>
          <t>A 63185-2023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45272</v>
      </c>
      <c r="E46" s="1" t="n">
        <v>46317</v>
      </c>
      <c r="F46" t="inlineStr">
        <is>
          <t>SÖDERMANLANDS LÄN</t>
        </is>
      </c>
      <c r="G46" t="inlineStr">
        <is>
          <t>FLEN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4</v>
      </c>
      <c r="U46" t="n">
        <v>3</v>
      </c>
      <c r="V46" s="2" t="inlineStr">
        <is>
          <t>Gullklöver
Majbräken
Sälg</t>
        </is>
      </c>
      <c r="W46">
        <f>HYPERLINK("https://klasma.github.io/Logging_0482/artfynd/A 63185-2023 artfynd.xlsx", "A 63185-2023")</f>
        <v/>
      </c>
      <c r="X46">
        <f>HYPERLINK("https://klasma.github.io/Logging_0482/kartor/A 63185-2023 karta.png", "A 63185-2023")</f>
        <v/>
      </c>
      <c r="Y46">
        <f>HYPERLINK("https://klasma.github.io/Logging_0482/kartor_geotiff/A 63185-2023 georefererad karta.tif", "A 63185-2023")</f>
        <v/>
      </c>
      <c r="AA46">
        <f>HYPERLINK("https://klasma.github.io/Logging_0482/klagomål/A 63185-2023 FSC-klagomål.docx", "A 63185-2023")</f>
        <v/>
      </c>
      <c r="AB46">
        <f>HYPERLINK("https://klasma.github.io/Logging_0482/klagomålsmail/A 63185-2023 FSC-klagomål mail.docx", "A 63185-2023")</f>
        <v/>
      </c>
      <c r="AC46">
        <f>HYPERLINK("https://klasma.github.io/Logging_0482/tillsyn/A 63185-2023 tillsynsbegäran.docx", "A 63185-2023")</f>
        <v/>
      </c>
      <c r="AD46">
        <f>HYPERLINK("https://klasma.github.io/Logging_0482/tillsynsmail/A 63185-2023 tillsynsbegäran mail.docx", "A 63185-2023")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46317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46317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46317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9539-2026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46317</v>
      </c>
      <c r="F50" t="inlineStr">
        <is>
          <t>SÖDERMANLANDS LÄN</t>
        </is>
      </c>
      <c r="G50" t="inlineStr">
        <is>
          <t>FLEN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Ask
Slåtterfibbla
Blåsippa</t>
        </is>
      </c>
      <c r="W50">
        <f>HYPERLINK("https://klasma.github.io/Logging_0482/artfynd/A 9539-2026 artfynd.xlsx", "A 9539-2026")</f>
        <v/>
      </c>
      <c r="X50">
        <f>HYPERLINK("https://klasma.github.io/Logging_0482/kartor/A 9539-2026 karta.png", "A 9539-2026")</f>
        <v/>
      </c>
      <c r="Y50">
        <f>HYPERLINK("https://klasma.github.io/Logging_0482/kartor_geotiff/A 9539-2026 georefererad karta.tif", "A 9539-2026")</f>
        <v/>
      </c>
      <c r="AA50">
        <f>HYPERLINK("https://klasma.github.io/Logging_0482/klagomål/A 9539-2026 FSC-klagomål.docx", "A 9539-2026")</f>
        <v/>
      </c>
      <c r="AB50">
        <f>HYPERLINK("https://klasma.github.io/Logging_0482/klagomålsmail/A 9539-2026 FSC-klagomål mail.docx", "A 9539-2026")</f>
        <v/>
      </c>
      <c r="AC50">
        <f>HYPERLINK("https://klasma.github.io/Logging_0482/tillsyn/A 9539-2026 tillsynsbegäran.docx", "A 9539-2026")</f>
        <v/>
      </c>
      <c r="AD50">
        <f>HYPERLINK("https://klasma.github.io/Logging_0482/tillsynsmail/A 9539-2026 tillsynsbegäran mail.docx", "A 9539-2026")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46317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2203-2022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46317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2.9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Knärot
Grönpyrola
Revlummer</t>
        </is>
      </c>
      <c r="W52">
        <f>HYPERLINK("https://klasma.github.io/Logging_0482/artfynd/A 2203-2022 artfynd.xlsx", "A 2203-2022")</f>
        <v/>
      </c>
      <c r="X52">
        <f>HYPERLINK("https://klasma.github.io/Logging_0482/kartor/A 2203-2022 karta.png", "A 2203-2022")</f>
        <v/>
      </c>
      <c r="Y52">
        <f>HYPERLINK("https://klasma.github.io/Logging_0482/kartor_geotiff/A 2203-2022 georefererad karta.tif", "A 2203-2022")</f>
        <v/>
      </c>
      <c r="Z52">
        <f>HYPERLINK("https://klasma.github.io/Logging_0482/knärot/A 2203-2022 karta knärot.png", "A 2203-2022")</f>
        <v/>
      </c>
      <c r="AA52">
        <f>HYPERLINK("https://klasma.github.io/Logging_0482/klagomål/A 2203-2022 FSC-klagomål.docx", "A 2203-2022")</f>
        <v/>
      </c>
      <c r="AB52">
        <f>HYPERLINK("https://klasma.github.io/Logging_0482/klagomålsmail/A 2203-2022 FSC-klagomål mail.docx", "A 2203-2022")</f>
        <v/>
      </c>
      <c r="AC52">
        <f>HYPERLINK("https://klasma.github.io/Logging_0482/tillsyn/A 2203-2022 tillsynsbegäran.docx", "A 2203-2022")</f>
        <v/>
      </c>
      <c r="AD52">
        <f>HYPERLINK("https://klasma.github.io/Logging_0482/tillsynsmail/A 2203-2022 tillsynsbegäran mail.docx", "A 2203-2022")</f>
        <v/>
      </c>
    </row>
    <row r="53" ht="15" customHeight="1">
      <c r="A53" t="inlineStr">
        <is>
          <t>A 54302-2025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46317</v>
      </c>
      <c r="F53" t="inlineStr">
        <is>
          <t>SÖDERMANLANDS LÄN</t>
        </is>
      </c>
      <c r="G53" t="inlineStr">
        <is>
          <t>FLEN</t>
        </is>
      </c>
      <c r="I53" t="n">
        <v>12.6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Dofttaggsvamp
Svinrot
Mattlummer</t>
        </is>
      </c>
      <c r="W53">
        <f>HYPERLINK("https://klasma.github.io/Logging_0482/artfynd/A 54302-2025 artfynd.xlsx", "A 54302-2025")</f>
        <v/>
      </c>
      <c r="X53">
        <f>HYPERLINK("https://klasma.github.io/Logging_0482/kartor/A 54302-2025 karta.png", "A 54302-2025")</f>
        <v/>
      </c>
      <c r="Y53">
        <f>HYPERLINK("https://klasma.github.io/Logging_0482/kartor_geotiff/A 54302-2025 georefererad karta.tif", "A 54302-2025")</f>
        <v/>
      </c>
      <c r="AA53">
        <f>HYPERLINK("https://klasma.github.io/Logging_0482/klagomål/A 54302-2025 FSC-klagomål.docx", "A 54302-2025")</f>
        <v/>
      </c>
      <c r="AB53">
        <f>HYPERLINK("https://klasma.github.io/Logging_0482/klagomålsmail/A 54302-2025 FSC-klagomål mail.docx", "A 54302-2025")</f>
        <v/>
      </c>
      <c r="AC53">
        <f>HYPERLINK("https://klasma.github.io/Logging_0482/tillsyn/A 54302-2025 tillsynsbegäran.docx", "A 54302-2025")</f>
        <v/>
      </c>
      <c r="AD53">
        <f>HYPERLINK("https://klasma.github.io/Logging_0482/tillsynsmail/A 54302-2025 tillsynsbegäran mail.docx", "A 54302-2025")</f>
        <v/>
      </c>
    </row>
    <row r="54" ht="15" customHeight="1">
      <c r="A54" t="inlineStr">
        <is>
          <t>A 31238-2022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44771</v>
      </c>
      <c r="E54" s="1" t="n">
        <v>46317</v>
      </c>
      <c r="F54" t="inlineStr">
        <is>
          <t>SÖDERMANLANDS LÄN</t>
        </is>
      </c>
      <c r="G54" t="inlineStr">
        <is>
          <t>FLEN</t>
        </is>
      </c>
      <c r="I54" t="n">
        <v>7.5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5</v>
      </c>
      <c r="U54" t="n">
        <v>5</v>
      </c>
      <c r="V54" s="2" t="inlineStr">
        <is>
          <t>Svedjenäva
Svinrot
Skogsbräsma</t>
        </is>
      </c>
      <c r="W54">
        <f>HYPERLINK("https://klasma.github.io/Logging_0482/artfynd/A 31238-2022 artfynd.xlsx", "A 31238-2022")</f>
        <v/>
      </c>
      <c r="X54">
        <f>HYPERLINK("https://klasma.github.io/Logging_0482/kartor/A 31238-2022 karta.png", "A 31238-2022")</f>
        <v/>
      </c>
      <c r="Y54">
        <f>HYPERLINK("https://klasma.github.io/Logging_0482/kartor_geotiff/A 31238-2022 georefererad karta.tif", "A 31238-2022")</f>
        <v/>
      </c>
      <c r="AA54">
        <f>HYPERLINK("https://klasma.github.io/Logging_0482/klagomål/A 31238-2022 FSC-klagomål.docx", "A 31238-2022")</f>
        <v/>
      </c>
      <c r="AB54">
        <f>HYPERLINK("https://klasma.github.io/Logging_0482/klagomålsmail/A 31238-2022 FSC-klagomål mail.docx", "A 31238-2022")</f>
        <v/>
      </c>
      <c r="AC54">
        <f>HYPERLINK("https://klasma.github.io/Logging_0482/tillsyn/A 31238-2022 tillsynsbegäran.docx", "A 31238-2022")</f>
        <v/>
      </c>
      <c r="AD54">
        <f>HYPERLINK("https://klasma.github.io/Logging_0482/tillsynsmail/A 31238-2022 tillsynsbegäran mail.docx", "A 31238-2022")</f>
        <v/>
      </c>
    </row>
    <row r="55" ht="15" customHeight="1">
      <c r="A55" t="inlineStr">
        <is>
          <t>A 33853-2022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46317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1.9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Gullklöver
Sädesärla
Svart trolldruva</t>
        </is>
      </c>
      <c r="W55">
        <f>HYPERLINK("https://klasma.github.io/Logging_0482/artfynd/A 33853-2022 artfynd.xlsx", "A 33853-2022")</f>
        <v/>
      </c>
      <c r="X55">
        <f>HYPERLINK("https://klasma.github.io/Logging_0482/kartor/A 33853-2022 karta.png", "A 33853-2022")</f>
        <v/>
      </c>
      <c r="Y55">
        <f>HYPERLINK("https://klasma.github.io/Logging_0482/kartor_geotiff/A 33853-2022 georefererad karta.tif", "A 33853-2022")</f>
        <v/>
      </c>
      <c r="AA55">
        <f>HYPERLINK("https://klasma.github.io/Logging_0482/klagomål/A 33853-2022 FSC-klagomål.docx", "A 33853-2022")</f>
        <v/>
      </c>
      <c r="AB55">
        <f>HYPERLINK("https://klasma.github.io/Logging_0482/klagomålsmail/A 33853-2022 FSC-klagomål mail.docx", "A 33853-2022")</f>
        <v/>
      </c>
      <c r="AC55">
        <f>HYPERLINK("https://klasma.github.io/Logging_0482/tillsyn/A 33853-2022 tillsynsbegäran.docx", "A 33853-2022")</f>
        <v/>
      </c>
      <c r="AD55">
        <f>HYPERLINK("https://klasma.github.io/Logging_0482/tillsynsmail/A 33853-2022 tillsynsbegäran mail.docx", "A 33853-2022")</f>
        <v/>
      </c>
      <c r="AE55">
        <f>HYPERLINK("https://klasma.github.io/Logging_0482/fåglar/A 33853-2022 prioriterade fågelarter.docx", "A 33853-2022")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46317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Gullklöver
Svinrot
Revlummer</t>
        </is>
      </c>
      <c r="W56">
        <f>HYPERLINK("https://klasma.github.io/Logging_0482/artfynd/A 29895-2026 artfynd.xlsx", "A 29895-2026")</f>
        <v/>
      </c>
      <c r="X56">
        <f>HYPERLINK("https://klasma.github.io/Logging_0482/kartor/A 29895-2026 karta.png", "A 29895-2026")</f>
        <v/>
      </c>
      <c r="Y56">
        <f>HYPERLINK("https://klasma.github.io/Logging_0482/kartor_geotiff/A 29895-2026 georefererad karta.tif", "A 29895-2026")</f>
        <v/>
      </c>
      <c r="AA56">
        <f>HYPERLINK("https://klasma.github.io/Logging_0482/klagomål/A 29895-2026 FSC-klagomål.docx", "A 29895-2026")</f>
        <v/>
      </c>
      <c r="AB56">
        <f>HYPERLINK("https://klasma.github.io/Logging_0482/klagomålsmail/A 29895-2026 FSC-klagomål mail.docx", "A 29895-2026")</f>
        <v/>
      </c>
      <c r="AC56">
        <f>HYPERLINK("https://klasma.github.io/Logging_0482/tillsyn/A 29895-2026 tillsynsbegäran.docx", "A 29895-2026")</f>
        <v/>
      </c>
      <c r="AD56">
        <f>HYPERLINK("https://klasma.github.io/Logging_0482/tillsynsmail/A 29895-2026 tillsynsbegäran mail.docx", "A 29895-2026")</f>
        <v/>
      </c>
    </row>
    <row r="57" ht="15" customHeight="1">
      <c r="A57" t="inlineStr">
        <is>
          <t>A 34985-2023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46317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2.8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Knärot
Grönpyrola
Revlummer</t>
        </is>
      </c>
      <c r="W57">
        <f>HYPERLINK("https://klasma.github.io/Logging_0482/artfynd/A 34985-2023 artfynd.xlsx", "A 34985-2023")</f>
        <v/>
      </c>
      <c r="X57">
        <f>HYPERLINK("https://klasma.github.io/Logging_0482/kartor/A 34985-2023 karta.png", "A 34985-2023")</f>
        <v/>
      </c>
      <c r="Y57">
        <f>HYPERLINK("https://klasma.github.io/Logging_0482/kartor_geotiff/A 34985-2023 georefererad karta.tif", "A 34985-2023")</f>
        <v/>
      </c>
      <c r="Z57">
        <f>HYPERLINK("https://klasma.github.io/Logging_0482/knärot/A 34985-2023 karta knärot.png", "A 34985-2023")</f>
        <v/>
      </c>
      <c r="AA57">
        <f>HYPERLINK("https://klasma.github.io/Logging_0482/klagomål/A 34985-2023 FSC-klagomål.docx", "A 34985-2023")</f>
        <v/>
      </c>
      <c r="AB57">
        <f>HYPERLINK("https://klasma.github.io/Logging_0482/klagomålsmail/A 34985-2023 FSC-klagomål mail.docx", "A 34985-2023")</f>
        <v/>
      </c>
      <c r="AC57">
        <f>HYPERLINK("https://klasma.github.io/Logging_0482/tillsyn/A 34985-2023 tillsynsbegäran.docx", "A 34985-2023")</f>
        <v/>
      </c>
      <c r="AD57">
        <f>HYPERLINK("https://klasma.github.io/Logging_0482/tillsynsmail/A 34985-2023 tillsynsbegäran mail.docx", "A 34985-2023")</f>
        <v/>
      </c>
    </row>
    <row r="58" ht="15" customHeight="1">
      <c r="A58" t="inlineStr">
        <is>
          <t>S 4520-2023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45275</v>
      </c>
      <c r="E58" s="1" t="n">
        <v>46317</v>
      </c>
      <c r="F58" t="inlineStr">
        <is>
          <t>SÖDERMANLANDS LÄN</t>
        </is>
      </c>
      <c r="G58" t="inlineStr">
        <is>
          <t>FLEN</t>
        </is>
      </c>
      <c r="H58" t="inlineStr">
        <is>
          <t>Holmen skog AB</t>
        </is>
      </c>
      <c r="I58" t="n">
        <v>61.5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Motaggsvamp
Vedskivlav
Åttafläckig praktbagge</t>
        </is>
      </c>
      <c r="W58">
        <f>HYPERLINK("https://klasma.github.io/Logging_0482/artfynd/S 4520-2023 artfynd.xlsx", "S 4520-2023")</f>
        <v/>
      </c>
      <c r="X58">
        <f>HYPERLINK("https://klasma.github.io/Logging_0482/kartor/S 4520-2023 karta.png", "S 4520-2023")</f>
        <v/>
      </c>
      <c r="Y58">
        <f>HYPERLINK("https://klasma.github.io/Logging_0482/kartor_geotiff/S 4520-2023 georefererad karta.tif", "S 4520-2023")</f>
        <v/>
      </c>
      <c r="Z58">
        <f>HYPERLINK("https://klasma.github.io/Logging_0482/knärot/S 4520-2023 karta knärot.png", "S 4520-2023")</f>
        <v/>
      </c>
      <c r="AA58">
        <f>HYPERLINK("https://klasma.github.io/Logging_0482/klagomål/S 4520-2023 FSC-klagomål.docx", "S 4520-2023")</f>
        <v/>
      </c>
      <c r="AB58">
        <f>HYPERLINK("https://klasma.github.io/Logging_0482/klagomålsmail/S 4520-2023 FSC-klagomål mail.docx", "S 4520-2023")</f>
        <v/>
      </c>
      <c r="AC58">
        <f>HYPERLINK("https://klasma.github.io/Logging_0482/tillsyn/S 4520-2023 tillsynsbegäran.docx", "S 4520-2023")</f>
        <v/>
      </c>
      <c r="AD58">
        <f>HYPERLINK("https://klasma.github.io/Logging_0482/tillsynsmail/S 4520-2023 tillsynsbegäran mail.docx", "S 4520-2023")</f>
        <v/>
      </c>
    </row>
    <row r="59" ht="15" customHeight="1">
      <c r="A59" t="inlineStr">
        <is>
          <t>S 5380-2022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44830</v>
      </c>
      <c r="E59" s="1" t="n">
        <v>46317</v>
      </c>
      <c r="F59" t="inlineStr">
        <is>
          <t>SÖDERMANLANDS LÄN</t>
        </is>
      </c>
      <c r="G59" t="inlineStr">
        <is>
          <t>FLEN</t>
        </is>
      </c>
      <c r="I59" t="n">
        <v>9.300000000000001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3</v>
      </c>
      <c r="V59" s="2" t="inlineStr">
        <is>
          <t>Lunglav
Svinrot
Blåsippa</t>
        </is>
      </c>
      <c r="W59">
        <f>HYPERLINK("https://klasma.github.io/Logging_0482/artfynd/S 5380-2022 artfynd.xlsx", "S 5380-2022")</f>
        <v/>
      </c>
      <c r="X59">
        <f>HYPERLINK("https://klasma.github.io/Logging_0482/kartor/S 5380-2022 karta.png", "S 5380-2022")</f>
        <v/>
      </c>
      <c r="Y59">
        <f>HYPERLINK("https://klasma.github.io/Logging_0482/kartor_geotiff/S 5380-2022 georefererad karta.tif", "S 5380-2022")</f>
        <v/>
      </c>
      <c r="AA59">
        <f>HYPERLINK("https://klasma.github.io/Logging_0482/klagomål/S 5380-2022 FSC-klagomål.docx", "S 5380-2022")</f>
        <v/>
      </c>
      <c r="AB59">
        <f>HYPERLINK("https://klasma.github.io/Logging_0482/klagomålsmail/S 5380-2022 FSC-klagomål mail.docx", "S 5380-2022")</f>
        <v/>
      </c>
      <c r="AC59">
        <f>HYPERLINK("https://klasma.github.io/Logging_0482/tillsyn/S 5380-2022 tillsynsbegäran.docx", "S 5380-2022")</f>
        <v/>
      </c>
      <c r="AD59">
        <f>HYPERLINK("https://klasma.github.io/Logging_0482/tillsynsmail/S 5380-2022 tillsynsbegäran mail.docx", "S 5380-2022")</f>
        <v/>
      </c>
    </row>
    <row r="60" ht="15" customHeight="1">
      <c r="A60" t="inlineStr">
        <is>
          <t>S 3319-2024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45530</v>
      </c>
      <c r="E60" s="1" t="n">
        <v>46317</v>
      </c>
      <c r="F60" t="inlineStr">
        <is>
          <t>SÖDERMANLANDS LÄN</t>
        </is>
      </c>
      <c r="G60" t="inlineStr">
        <is>
          <t>FLEN</t>
        </is>
      </c>
      <c r="I60" t="n">
        <v>0.2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Skogsklocka
Svinrot
Blåsippa</t>
        </is>
      </c>
      <c r="W60">
        <f>HYPERLINK("https://klasma.github.io/Logging_0482/artfynd/S 3319-2024 artfynd.xlsx", "S 3319-2024")</f>
        <v/>
      </c>
      <c r="X60">
        <f>HYPERLINK("https://klasma.github.io/Logging_0482/kartor/S 3319-2024 karta.png", "S 3319-2024")</f>
        <v/>
      </c>
      <c r="Y60">
        <f>HYPERLINK("https://klasma.github.io/Logging_0482/kartor_geotiff/S 3319-2024 georefererad karta.tif", "S 3319-2024")</f>
        <v/>
      </c>
      <c r="AA60">
        <f>HYPERLINK("https://klasma.github.io/Logging_0482/klagomål/S 3319-2024 FSC-klagomål.docx", "S 3319-2024")</f>
        <v/>
      </c>
      <c r="AB60">
        <f>HYPERLINK("https://klasma.github.io/Logging_0482/klagomålsmail/S 3319-2024 FSC-klagomål mail.docx", "S 3319-2024")</f>
        <v/>
      </c>
      <c r="AC60">
        <f>HYPERLINK("https://klasma.github.io/Logging_0482/tillsyn/S 3319-2024 tillsynsbegäran.docx", "S 3319-2024")</f>
        <v/>
      </c>
      <c r="AD60">
        <f>HYPERLINK("https://klasma.github.io/Logging_0482/tillsynsmail/S 3319-2024 tillsynsbegäran mail.docx", "S 3319-2024")</f>
        <v/>
      </c>
    </row>
    <row r="61" ht="15" customHeight="1">
      <c r="A61" t="inlineStr">
        <is>
          <t>A 12303-2022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44637</v>
      </c>
      <c r="E61" s="1" t="n">
        <v>46317</v>
      </c>
      <c r="F61" t="inlineStr">
        <is>
          <t>SÖDERMANLANDS LÄN</t>
        </is>
      </c>
      <c r="G61" t="inlineStr">
        <is>
          <t>FLEN</t>
        </is>
      </c>
      <c r="I61" t="n">
        <v>1.4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Röd glada
Trädlärka</t>
        </is>
      </c>
      <c r="W61">
        <f>HYPERLINK("https://klasma.github.io/Logging_0482/artfynd/A 12303-2022 artfynd.xlsx", "A 12303-2022")</f>
        <v/>
      </c>
      <c r="X61">
        <f>HYPERLINK("https://klasma.github.io/Logging_0482/kartor/A 12303-2022 karta.png", "A 12303-2022")</f>
        <v/>
      </c>
      <c r="Y61">
        <f>HYPERLINK("https://klasma.github.io/Logging_0482/kartor_geotiff/A 12303-2022 georefererad karta.tif", "A 12303-2022")</f>
        <v/>
      </c>
      <c r="AA61">
        <f>HYPERLINK("https://klasma.github.io/Logging_0482/klagomål/A 12303-2022 FSC-klagomål.docx", "A 12303-2022")</f>
        <v/>
      </c>
      <c r="AB61">
        <f>HYPERLINK("https://klasma.github.io/Logging_0482/klagomålsmail/A 12303-2022 FSC-klagomål mail.docx", "A 12303-2022")</f>
        <v/>
      </c>
      <c r="AC61">
        <f>HYPERLINK("https://klasma.github.io/Logging_0482/tillsyn/A 12303-2022 tillsynsbegäran.docx", "A 12303-2022")</f>
        <v/>
      </c>
      <c r="AD61">
        <f>HYPERLINK("https://klasma.github.io/Logging_0482/tillsynsmail/A 12303-2022 tillsynsbegäran mail.docx", "A 12303-2022")</f>
        <v/>
      </c>
      <c r="AE61">
        <f>HYPERLINK("https://klasma.github.io/Logging_0482/fåglar/A 12303-2022 prioriterade fågelarter.docx", "A 12303-2022")</f>
        <v/>
      </c>
    </row>
    <row r="62" ht="15" customHeight="1">
      <c r="A62" t="inlineStr">
        <is>
          <t>A 10789-2022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46317</v>
      </c>
      <c r="F62" t="inlineStr">
        <is>
          <t>SÖDERMANLANDS LÄN</t>
        </is>
      </c>
      <c r="G62" t="inlineStr">
        <is>
          <t>FLEN</t>
        </is>
      </c>
      <c r="I62" t="n">
        <v>1.1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1</v>
      </c>
      <c r="V62" s="2" t="inlineStr">
        <is>
          <t>Bombmurkla
Blåmossa</t>
        </is>
      </c>
      <c r="W62">
        <f>HYPERLINK("https://klasma.github.io/Logging_0482/artfynd/A 10789-2022 artfynd.xlsx", "A 10789-2022")</f>
        <v/>
      </c>
      <c r="X62">
        <f>HYPERLINK("https://klasma.github.io/Logging_0482/kartor/A 10789-2022 karta.png", "A 10789-2022")</f>
        <v/>
      </c>
      <c r="Y62">
        <f>HYPERLINK("https://klasma.github.io/Logging_0482/kartor_geotiff/A 10789-2022 georefererad karta.tif", "A 10789-2022")</f>
        <v/>
      </c>
      <c r="AA62">
        <f>HYPERLINK("https://klasma.github.io/Logging_0482/klagomål/A 10789-2022 FSC-klagomål.docx", "A 10789-2022")</f>
        <v/>
      </c>
      <c r="AB62">
        <f>HYPERLINK("https://klasma.github.io/Logging_0482/klagomålsmail/A 10789-2022 FSC-klagomål mail.docx", "A 10789-2022")</f>
        <v/>
      </c>
      <c r="AC62">
        <f>HYPERLINK("https://klasma.github.io/Logging_0482/tillsyn/A 10789-2022 tillsynsbegäran.docx", "A 10789-2022")</f>
        <v/>
      </c>
      <c r="AD62">
        <f>HYPERLINK("https://klasma.github.io/Logging_0482/tillsynsmail/A 10789-2022 tillsynsbegäran mail.docx", "A 10789-2022")</f>
        <v/>
      </c>
    </row>
    <row r="63" ht="15" customHeight="1">
      <c r="A63" t="inlineStr">
        <is>
          <t>A 22883-2022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46317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Gullklöver
Vippärt</t>
        </is>
      </c>
      <c r="W63">
        <f>HYPERLINK("https://klasma.github.io/Logging_0482/artfynd/A 22883-2022 artfynd.xlsx", "A 22883-2022")</f>
        <v/>
      </c>
      <c r="X63">
        <f>HYPERLINK("https://klasma.github.io/Logging_0482/kartor/A 22883-2022 karta.png", "A 22883-2022")</f>
        <v/>
      </c>
      <c r="Y63">
        <f>HYPERLINK("https://klasma.github.io/Logging_0482/kartor_geotiff/A 22883-2022 georefererad karta.tif", "A 22883-2022")</f>
        <v/>
      </c>
      <c r="AA63">
        <f>HYPERLINK("https://klasma.github.io/Logging_0482/klagomål/A 22883-2022 FSC-klagomål.docx", "A 22883-2022")</f>
        <v/>
      </c>
      <c r="AB63">
        <f>HYPERLINK("https://klasma.github.io/Logging_0482/klagomålsmail/A 22883-2022 FSC-klagomål mail.docx", "A 22883-2022")</f>
        <v/>
      </c>
      <c r="AC63">
        <f>HYPERLINK("https://klasma.github.io/Logging_0482/tillsyn/A 22883-2022 tillsynsbegäran.docx", "A 22883-2022")</f>
        <v/>
      </c>
      <c r="AD63">
        <f>HYPERLINK("https://klasma.github.io/Logging_0482/tillsynsmail/A 22883-2022 tillsynsbegäran mail.docx", "A 22883-2022")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46317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46317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24464-2025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46317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1.1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Motaggsvamp
Vedskivlav</t>
        </is>
      </c>
      <c r="W66">
        <f>HYPERLINK("https://klasma.github.io/Logging_0482/artfynd/A 24464-2025 artfynd.xlsx", "A 24464-2025")</f>
        <v/>
      </c>
      <c r="X66">
        <f>HYPERLINK("https://klasma.github.io/Logging_0482/kartor/A 24464-2025 karta.png", "A 24464-2025")</f>
        <v/>
      </c>
      <c r="Y66">
        <f>HYPERLINK("https://klasma.github.io/Logging_0482/kartor_geotiff/A 24464-2025 georefererad karta.tif", "A 24464-2025")</f>
        <v/>
      </c>
      <c r="AA66">
        <f>HYPERLINK("https://klasma.github.io/Logging_0482/klagomål/A 24464-2025 FSC-klagomål.docx", "A 24464-2025")</f>
        <v/>
      </c>
      <c r="AB66">
        <f>HYPERLINK("https://klasma.github.io/Logging_0482/klagomålsmail/A 24464-2025 FSC-klagomål mail.docx", "A 24464-2025")</f>
        <v/>
      </c>
      <c r="AC66">
        <f>HYPERLINK("https://klasma.github.io/Logging_0482/tillsyn/A 24464-2025 tillsynsbegäran.docx", "A 24464-2025")</f>
        <v/>
      </c>
      <c r="AD66">
        <f>HYPERLINK("https://klasma.github.io/Logging_0482/tillsynsmail/A 24464-2025 tillsynsbegäran mail.docx", "A 24464-2025")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46317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46317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41435-2022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46317</v>
      </c>
      <c r="F69" t="inlineStr">
        <is>
          <t>SÖDERMANLANDS LÄN</t>
        </is>
      </c>
      <c r="G69" t="inlineStr">
        <is>
          <t>FLEN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Vitsippa
Gullviva</t>
        </is>
      </c>
      <c r="W69">
        <f>HYPERLINK("https://klasma.github.io/Logging_0482/artfynd/A 41435-2022 artfynd.xlsx", "A 41435-2022")</f>
        <v/>
      </c>
      <c r="X69">
        <f>HYPERLINK("https://klasma.github.io/Logging_0482/kartor/A 41435-2022 karta.png", "A 41435-2022")</f>
        <v/>
      </c>
      <c r="Y69">
        <f>HYPERLINK("https://klasma.github.io/Logging_0482/kartor_geotiff/A 41435-2022 georefererad karta.tif", "A 41435-2022")</f>
        <v/>
      </c>
      <c r="AA69">
        <f>HYPERLINK("https://klasma.github.io/Logging_0482/klagomål/A 41435-2022 FSC-klagomål.docx", "A 41435-2022")</f>
        <v/>
      </c>
      <c r="AB69">
        <f>HYPERLINK("https://klasma.github.io/Logging_0482/klagomålsmail/A 41435-2022 FSC-klagomål mail.docx", "A 41435-2022")</f>
        <v/>
      </c>
      <c r="AC69">
        <f>HYPERLINK("https://klasma.github.io/Logging_0482/tillsyn/A 41435-2022 tillsynsbegäran.docx", "A 41435-2022")</f>
        <v/>
      </c>
      <c r="AD69">
        <f>HYPERLINK("https://klasma.github.io/Logging_0482/tillsynsmail/A 41435-2022 tillsynsbegäran mail.docx", "A 41435-2022")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46317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46317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46317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47194-2022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46317</v>
      </c>
      <c r="F73" t="inlineStr">
        <is>
          <t>SÖDERMANLANDS LÄN</t>
        </is>
      </c>
      <c r="G73" t="inlineStr">
        <is>
          <t>FLEN</t>
        </is>
      </c>
      <c r="H73" t="inlineStr">
        <is>
          <t>Övriga statliga verk och myndigheter</t>
        </is>
      </c>
      <c r="I73" t="n">
        <v>2.3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Gullklöver
Svinrot</t>
        </is>
      </c>
      <c r="W73">
        <f>HYPERLINK("https://klasma.github.io/Logging_0482/artfynd/A 47194-2022 artfynd.xlsx", "A 47194-2022")</f>
        <v/>
      </c>
      <c r="X73">
        <f>HYPERLINK("https://klasma.github.io/Logging_0482/kartor/A 47194-2022 karta.png", "A 47194-2022")</f>
        <v/>
      </c>
      <c r="Y73">
        <f>HYPERLINK("https://klasma.github.io/Logging_0482/kartor_geotiff/A 47194-2022 georefererad karta.tif", "A 47194-2022")</f>
        <v/>
      </c>
      <c r="AA73">
        <f>HYPERLINK("https://klasma.github.io/Logging_0482/klagomål/A 47194-2022 FSC-klagomål.docx", "A 47194-2022")</f>
        <v/>
      </c>
      <c r="AB73">
        <f>HYPERLINK("https://klasma.github.io/Logging_0482/klagomålsmail/A 47194-2022 FSC-klagomål mail.docx", "A 47194-2022")</f>
        <v/>
      </c>
      <c r="AC73">
        <f>HYPERLINK("https://klasma.github.io/Logging_0482/tillsyn/A 47194-2022 tillsynsbegäran.docx", "A 47194-2022")</f>
        <v/>
      </c>
      <c r="AD73">
        <f>HYPERLINK("https://klasma.github.io/Logging_0482/tillsynsmail/A 47194-2022 tillsynsbegäran mail.docx", "A 47194-2022")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46317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22101-2023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45068</v>
      </c>
      <c r="E75" s="1" t="n">
        <v>46317</v>
      </c>
      <c r="F75" t="inlineStr">
        <is>
          <t>SÖDERMANLANDS LÄN</t>
        </is>
      </c>
      <c r="G75" t="inlineStr">
        <is>
          <t>FLEN</t>
        </is>
      </c>
      <c r="I75" t="n">
        <v>2.7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Bombmurkla
Blåsippa</t>
        </is>
      </c>
      <c r="W75">
        <f>HYPERLINK("https://klasma.github.io/Logging_0482/artfynd/A 22101-2023 artfynd.xlsx", "A 22101-2023")</f>
        <v/>
      </c>
      <c r="X75">
        <f>HYPERLINK("https://klasma.github.io/Logging_0482/kartor/A 22101-2023 karta.png", "A 22101-2023")</f>
        <v/>
      </c>
      <c r="Y75">
        <f>HYPERLINK("https://klasma.github.io/Logging_0482/kartor_geotiff/A 22101-2023 georefererad karta.tif", "A 22101-2023")</f>
        <v/>
      </c>
      <c r="AA75">
        <f>HYPERLINK("https://klasma.github.io/Logging_0482/klagomål/A 22101-2023 FSC-klagomål.docx", "A 22101-2023")</f>
        <v/>
      </c>
      <c r="AB75">
        <f>HYPERLINK("https://klasma.github.io/Logging_0482/klagomålsmail/A 22101-2023 FSC-klagomål mail.docx", "A 22101-2023")</f>
        <v/>
      </c>
      <c r="AC75">
        <f>HYPERLINK("https://klasma.github.io/Logging_0482/tillsyn/A 22101-2023 tillsynsbegäran.docx", "A 22101-2023")</f>
        <v/>
      </c>
      <c r="AD75">
        <f>HYPERLINK("https://klasma.github.io/Logging_0482/tillsynsmail/A 22101-2023 tillsynsbegäran mail.docx", "A 22101-2023")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46317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39240-2023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46317</v>
      </c>
      <c r="F77" t="inlineStr">
        <is>
          <t>SÖDERMANLANDS LÄN</t>
        </is>
      </c>
      <c r="G77" t="inlineStr">
        <is>
          <t>FLEN</t>
        </is>
      </c>
      <c r="H77" t="inlineStr">
        <is>
          <t>Holmen skog AB</t>
        </is>
      </c>
      <c r="I77" t="n">
        <v>4.6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Motaggsvamp
Blodticka</t>
        </is>
      </c>
      <c r="W77">
        <f>HYPERLINK("https://klasma.github.io/Logging_0482/artfynd/A 39240-2023 artfynd.xlsx", "A 39240-2023")</f>
        <v/>
      </c>
      <c r="X77">
        <f>HYPERLINK("https://klasma.github.io/Logging_0482/kartor/A 39240-2023 karta.png", "A 39240-2023")</f>
        <v/>
      </c>
      <c r="Y77">
        <f>HYPERLINK("https://klasma.github.io/Logging_0482/kartor_geotiff/A 39240-2023 georefererad karta.tif", "A 39240-2023")</f>
        <v/>
      </c>
      <c r="AA77">
        <f>HYPERLINK("https://klasma.github.io/Logging_0482/klagomål/A 39240-2023 FSC-klagomål.docx", "A 39240-2023")</f>
        <v/>
      </c>
      <c r="AB77">
        <f>HYPERLINK("https://klasma.github.io/Logging_0482/klagomålsmail/A 39240-2023 FSC-klagomål mail.docx", "A 39240-2023")</f>
        <v/>
      </c>
      <c r="AC77">
        <f>HYPERLINK("https://klasma.github.io/Logging_0482/tillsyn/A 39240-2023 tillsynsbegäran.docx", "A 39240-2023")</f>
        <v/>
      </c>
      <c r="AD77">
        <f>HYPERLINK("https://klasma.github.io/Logging_0482/tillsynsmail/A 39240-2023 tillsynsbegäran mail.docx", "A 39240-2023")</f>
        <v/>
      </c>
    </row>
    <row r="78" ht="15" customHeight="1">
      <c r="A78" t="inlineStr">
        <is>
          <t>A 59607-2022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46317</v>
      </c>
      <c r="F78" t="inlineStr">
        <is>
          <t>SÖDERMANLANDS LÄN</t>
        </is>
      </c>
      <c r="G78" t="inlineStr">
        <is>
          <t>FLEN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Jungfrulin
Svinrot</t>
        </is>
      </c>
      <c r="W78">
        <f>HYPERLINK("https://klasma.github.io/Logging_0482/artfynd/A 59607-2022 artfynd.xlsx", "A 59607-2022")</f>
        <v/>
      </c>
      <c r="X78">
        <f>HYPERLINK("https://klasma.github.io/Logging_0482/kartor/A 59607-2022 karta.png", "A 59607-2022")</f>
        <v/>
      </c>
      <c r="Y78">
        <f>HYPERLINK("https://klasma.github.io/Logging_0482/kartor_geotiff/A 59607-2022 georefererad karta.tif", "A 59607-2022")</f>
        <v/>
      </c>
      <c r="AA78">
        <f>HYPERLINK("https://klasma.github.io/Logging_0482/klagomål/A 59607-2022 FSC-klagomål.docx", "A 59607-2022")</f>
        <v/>
      </c>
      <c r="AB78">
        <f>HYPERLINK("https://klasma.github.io/Logging_0482/klagomålsmail/A 59607-2022 FSC-klagomål mail.docx", "A 59607-2022")</f>
        <v/>
      </c>
      <c r="AC78">
        <f>HYPERLINK("https://klasma.github.io/Logging_0482/tillsyn/A 59607-2022 tillsynsbegäran.docx", "A 59607-2022")</f>
        <v/>
      </c>
      <c r="AD78">
        <f>HYPERLINK("https://klasma.github.io/Logging_0482/tillsynsmail/A 59607-2022 tillsynsbegäran mail.docx", "A 59607-2022")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46317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5852-2022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46317</v>
      </c>
      <c r="F80" t="inlineStr">
        <is>
          <t>SÖDERMANLANDS LÄN</t>
        </is>
      </c>
      <c r="G80" t="inlineStr">
        <is>
          <t>FLEN</t>
        </is>
      </c>
      <c r="I80" t="n">
        <v>2.6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Kamjordstjärna
Gullviva</t>
        </is>
      </c>
      <c r="W80">
        <f>HYPERLINK("https://klasma.github.io/Logging_0482/artfynd/A 5852-2022 artfynd.xlsx", "A 5852-2022")</f>
        <v/>
      </c>
      <c r="X80">
        <f>HYPERLINK("https://klasma.github.io/Logging_0482/kartor/A 5852-2022 karta.png", "A 5852-2022")</f>
        <v/>
      </c>
      <c r="Y80">
        <f>HYPERLINK("https://klasma.github.io/Logging_0482/kartor_geotiff/A 5852-2022 georefererad karta.tif", "A 5852-2022")</f>
        <v/>
      </c>
      <c r="AA80">
        <f>HYPERLINK("https://klasma.github.io/Logging_0482/klagomål/A 5852-2022 FSC-klagomål.docx", "A 5852-2022")</f>
        <v/>
      </c>
      <c r="AB80">
        <f>HYPERLINK("https://klasma.github.io/Logging_0482/klagomålsmail/A 5852-2022 FSC-klagomål mail.docx", "A 5852-2022")</f>
        <v/>
      </c>
      <c r="AC80">
        <f>HYPERLINK("https://klasma.github.io/Logging_0482/tillsyn/A 5852-2022 tillsynsbegäran.docx", "A 5852-2022")</f>
        <v/>
      </c>
      <c r="AD80">
        <f>HYPERLINK("https://klasma.github.io/Logging_0482/tillsynsmail/A 5852-2022 tillsynsbegäran mail.docx", "A 5852-2022")</f>
        <v/>
      </c>
    </row>
    <row r="81" ht="15" customHeight="1">
      <c r="A81" t="inlineStr">
        <is>
          <t>A 33107-2022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44785</v>
      </c>
      <c r="E81" s="1" t="n">
        <v>46317</v>
      </c>
      <c r="F81" t="inlineStr">
        <is>
          <t>SÖDERMANLANDS LÄN</t>
        </is>
      </c>
      <c r="G81" t="inlineStr">
        <is>
          <t>FLEN</t>
        </is>
      </c>
      <c r="I81" t="n">
        <v>5.9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Fjällig taggsvamp s.str.
Gullklöver</t>
        </is>
      </c>
      <c r="W81">
        <f>HYPERLINK("https://klasma.github.io/Logging_0482/artfynd/A 33107-2022 artfynd.xlsx", "A 33107-2022")</f>
        <v/>
      </c>
      <c r="X81">
        <f>HYPERLINK("https://klasma.github.io/Logging_0482/kartor/A 33107-2022 karta.png", "A 33107-2022")</f>
        <v/>
      </c>
      <c r="Y81">
        <f>HYPERLINK("https://klasma.github.io/Logging_0482/kartor_geotiff/A 33107-2022 georefererad karta.tif", "A 33107-2022")</f>
        <v/>
      </c>
      <c r="AA81">
        <f>HYPERLINK("https://klasma.github.io/Logging_0482/klagomål/A 33107-2022 FSC-klagomål.docx", "A 33107-2022")</f>
        <v/>
      </c>
      <c r="AB81">
        <f>HYPERLINK("https://klasma.github.io/Logging_0482/klagomålsmail/A 33107-2022 FSC-klagomål mail.docx", "A 33107-2022")</f>
        <v/>
      </c>
      <c r="AC81">
        <f>HYPERLINK("https://klasma.github.io/Logging_0482/tillsyn/A 33107-2022 tillsynsbegäran.docx", "A 33107-2022")</f>
        <v/>
      </c>
      <c r="AD81">
        <f>HYPERLINK("https://klasma.github.io/Logging_0482/tillsynsmail/A 33107-2022 tillsynsbegäran mail.docx", "A 33107-2022")</f>
        <v/>
      </c>
    </row>
    <row r="82" ht="15" customHeight="1">
      <c r="A82" t="inlineStr">
        <is>
          <t>A 11103-2023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44986</v>
      </c>
      <c r="E82" s="1" t="n">
        <v>46317</v>
      </c>
      <c r="F82" t="inlineStr">
        <is>
          <t>SÖDERMANLANDS LÄN</t>
        </is>
      </c>
      <c r="G82" t="inlineStr">
        <is>
          <t>FLEN</t>
        </is>
      </c>
      <c r="I82" t="n">
        <v>8.9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Ask
Blåmossa</t>
        </is>
      </c>
      <c r="W82">
        <f>HYPERLINK("https://klasma.github.io/Logging_0482/artfynd/A 11103-2023 artfynd.xlsx", "A 11103-2023")</f>
        <v/>
      </c>
      <c r="X82">
        <f>HYPERLINK("https://klasma.github.io/Logging_0482/kartor/A 11103-2023 karta.png", "A 11103-2023")</f>
        <v/>
      </c>
      <c r="Y82">
        <f>HYPERLINK("https://klasma.github.io/Logging_0482/kartor_geotiff/A 11103-2023 georefererad karta.tif", "A 11103-2023")</f>
        <v/>
      </c>
      <c r="AA82">
        <f>HYPERLINK("https://klasma.github.io/Logging_0482/klagomål/A 11103-2023 FSC-klagomål.docx", "A 11103-2023")</f>
        <v/>
      </c>
      <c r="AB82">
        <f>HYPERLINK("https://klasma.github.io/Logging_0482/klagomålsmail/A 11103-2023 FSC-klagomål mail.docx", "A 11103-2023")</f>
        <v/>
      </c>
      <c r="AC82">
        <f>HYPERLINK("https://klasma.github.io/Logging_0482/tillsyn/A 11103-2023 tillsynsbegäran.docx", "A 11103-2023")</f>
        <v/>
      </c>
      <c r="AD82">
        <f>HYPERLINK("https://klasma.github.io/Logging_0482/tillsynsmail/A 11103-2023 tillsynsbegäran mail.docx", "A 11103-2023")</f>
        <v/>
      </c>
    </row>
    <row r="83" ht="15" customHeight="1">
      <c r="A83" t="inlineStr">
        <is>
          <t>A 22511-2026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46317</v>
      </c>
      <c r="F83" t="inlineStr">
        <is>
          <t>SÖDERMANLANDS LÄN</t>
        </is>
      </c>
      <c r="G83" t="inlineStr">
        <is>
          <t>FLEN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Ormbär
Skriftlav</t>
        </is>
      </c>
      <c r="W83">
        <f>HYPERLINK("https://klasma.github.io/Logging_0482/artfynd/A 22511-2026 artfynd.xlsx", "A 22511-2026")</f>
        <v/>
      </c>
      <c r="X83">
        <f>HYPERLINK("https://klasma.github.io/Logging_0482/kartor/A 22511-2026 karta.png", "A 22511-2026")</f>
        <v/>
      </c>
      <c r="Y83">
        <f>HYPERLINK("https://klasma.github.io/Logging_0482/kartor_geotiff/A 22511-2026 georefererad karta.tif", "A 22511-2026")</f>
        <v/>
      </c>
      <c r="AA83">
        <f>HYPERLINK("https://klasma.github.io/Logging_0482/klagomål/A 22511-2026 FSC-klagomål.docx", "A 22511-2026")</f>
        <v/>
      </c>
      <c r="AB83">
        <f>HYPERLINK("https://klasma.github.io/Logging_0482/klagomålsmail/A 22511-2026 FSC-klagomål mail.docx", "A 22511-2026")</f>
        <v/>
      </c>
      <c r="AC83">
        <f>HYPERLINK("https://klasma.github.io/Logging_0482/tillsyn/A 22511-2026 tillsynsbegäran.docx", "A 22511-2026")</f>
        <v/>
      </c>
      <c r="AD83">
        <f>HYPERLINK("https://klasma.github.io/Logging_0482/tillsynsmail/A 22511-2026 tillsynsbegäran mail.docx", "A 22511-2026")</f>
        <v/>
      </c>
    </row>
    <row r="84" ht="15" customHeight="1">
      <c r="A84" t="inlineStr">
        <is>
          <t>A 34849-2026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46317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5</v>
      </c>
      <c r="U84" t="n">
        <v>0</v>
      </c>
      <c r="V84" s="2" t="inlineStr">
        <is>
          <t>Motaggsvamp
Vedskivlav</t>
        </is>
      </c>
      <c r="W84">
        <f>HYPERLINK("https://klasma.github.io/Logging_0482/artfynd/A 34849-2026 artfynd.xlsx", "A 34849-2026")</f>
        <v/>
      </c>
      <c r="X84">
        <f>HYPERLINK("https://klasma.github.io/Logging_0482/kartor/A 34849-2026 karta.png", "A 34849-2026")</f>
        <v/>
      </c>
      <c r="Y84">
        <f>HYPERLINK("https://klasma.github.io/Logging_0482/kartor_geotiff/A 34849-2026 georefererad karta.tif", "A 34849-2026")</f>
        <v/>
      </c>
      <c r="AA84">
        <f>HYPERLINK("https://klasma.github.io/Logging_0482/klagomål/A 34849-2026 FSC-klagomål.docx", "A 34849-2026")</f>
        <v/>
      </c>
      <c r="AB84">
        <f>HYPERLINK("https://klasma.github.io/Logging_0482/klagomålsmail/A 34849-2026 FSC-klagomål mail.docx", "A 34849-2026")</f>
        <v/>
      </c>
      <c r="AC84">
        <f>HYPERLINK("https://klasma.github.io/Logging_0482/tillsyn/A 34849-2026 tillsynsbegäran.docx", "A 34849-2026")</f>
        <v/>
      </c>
      <c r="AD84">
        <f>HYPERLINK("https://klasma.github.io/Logging_0482/tillsynsmail/A 34849-2026 tillsynsbegäran mail.docx", "A 34849-2026")</f>
        <v/>
      </c>
    </row>
    <row r="85" ht="15" customHeight="1">
      <c r="A85" t="inlineStr">
        <is>
          <t>A 19994-2022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44697</v>
      </c>
      <c r="E85" s="1" t="n">
        <v>46317</v>
      </c>
      <c r="F85" t="inlineStr">
        <is>
          <t>SÖDERMANLANDS LÄN</t>
        </is>
      </c>
      <c r="G85" t="inlineStr">
        <is>
          <t>FLEN</t>
        </is>
      </c>
      <c r="H85" t="inlineStr">
        <is>
          <t>Kyrkan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Mandelriska</t>
        </is>
      </c>
      <c r="W85">
        <f>HYPERLINK("https://klasma.github.io/Logging_0482/artfynd/A 19994-2022 artfynd.xlsx", "A 19994-2022")</f>
        <v/>
      </c>
      <c r="X85">
        <f>HYPERLINK("https://klasma.github.io/Logging_0482/kartor/A 19994-2022 karta.png", "A 19994-2022")</f>
        <v/>
      </c>
      <c r="Y85">
        <f>HYPERLINK("https://klasma.github.io/Logging_0482/kartor_geotiff/A 19994-2022 georefererad karta.tif", "A 19994-2022")</f>
        <v/>
      </c>
      <c r="AA85">
        <f>HYPERLINK("https://klasma.github.io/Logging_0482/klagomål/A 19994-2022 FSC-klagomål.docx", "A 19994-2022")</f>
        <v/>
      </c>
      <c r="AB85">
        <f>HYPERLINK("https://klasma.github.io/Logging_0482/klagomålsmail/A 19994-2022 FSC-klagomål mail.docx", "A 19994-2022")</f>
        <v/>
      </c>
      <c r="AC85">
        <f>HYPERLINK("https://klasma.github.io/Logging_0482/tillsyn/A 19994-2022 tillsynsbegäran.docx", "A 19994-2022")</f>
        <v/>
      </c>
      <c r="AD85">
        <f>HYPERLINK("https://klasma.github.io/Logging_0482/tillsynsmail/A 19994-2022 tillsynsbegäran mail.docx", "A 19994-2022")</f>
        <v/>
      </c>
    </row>
    <row r="86" ht="15" customHeight="1">
      <c r="A86" t="inlineStr">
        <is>
          <t>A 28153-2022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46317</v>
      </c>
      <c r="F86" t="inlineStr">
        <is>
          <t>SÖDERMANLANDS LÄN</t>
        </is>
      </c>
      <c r="G86" t="inlineStr">
        <is>
          <t>FLEN</t>
        </is>
      </c>
      <c r="I86" t="n">
        <v>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HYPERLINK("https://klasma.github.io/Logging_0482/artfynd/A 28153-2022 artfynd.xlsx", "A 28153-2022")</f>
        <v/>
      </c>
      <c r="X86">
        <f>HYPERLINK("https://klasma.github.io/Logging_0482/kartor/A 28153-2022 karta.png", "A 28153-2022")</f>
        <v/>
      </c>
      <c r="Y86">
        <f>HYPERLINK("https://klasma.github.io/Logging_0482/kartor_geotiff/A 28153-2022 georefererad karta.tif", "A 28153-2022")</f>
        <v/>
      </c>
      <c r="AA86">
        <f>HYPERLINK("https://klasma.github.io/Logging_0482/klagomål/A 28153-2022 FSC-klagomål.docx", "A 28153-2022")</f>
        <v/>
      </c>
      <c r="AB86">
        <f>HYPERLINK("https://klasma.github.io/Logging_0482/klagomålsmail/A 28153-2022 FSC-klagomål mail.docx", "A 28153-2022")</f>
        <v/>
      </c>
      <c r="AC86">
        <f>HYPERLINK("https://klasma.github.io/Logging_0482/tillsyn/A 28153-2022 tillsynsbegäran.docx", "A 28153-2022")</f>
        <v/>
      </c>
      <c r="AD86">
        <f>HYPERLINK("https://klasma.github.io/Logging_0482/tillsynsmail/A 28153-2022 tillsynsbegäran mail.docx", "A 28153-2022")</f>
        <v/>
      </c>
    </row>
    <row r="87" ht="15" customHeight="1">
      <c r="A87" t="inlineStr">
        <is>
          <t>A 62355-2021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46317</v>
      </c>
      <c r="F87" t="inlineStr">
        <is>
          <t>SÖDERMANLANDS LÄN</t>
        </is>
      </c>
      <c r="G87" t="inlineStr">
        <is>
          <t>FLEN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HYPERLINK("https://klasma.github.io/Logging_0482/artfynd/A 62355-2021 artfynd.xlsx", "A 62355-2021")</f>
        <v/>
      </c>
      <c r="X87">
        <f>HYPERLINK("https://klasma.github.io/Logging_0482/kartor/A 62355-2021 karta.png", "A 62355-2021")</f>
        <v/>
      </c>
      <c r="Y87">
        <f>HYPERLINK("https://klasma.github.io/Logging_0482/kartor_geotiff/A 62355-2021 georefererad karta.tif", "A 62355-2021")</f>
        <v/>
      </c>
      <c r="AA87">
        <f>HYPERLINK("https://klasma.github.io/Logging_0482/klagomål/A 62355-2021 FSC-klagomål.docx", "A 62355-2021")</f>
        <v/>
      </c>
      <c r="AB87">
        <f>HYPERLINK("https://klasma.github.io/Logging_0482/klagomålsmail/A 62355-2021 FSC-klagomål mail.docx", "A 62355-2021")</f>
        <v/>
      </c>
      <c r="AC87">
        <f>HYPERLINK("https://klasma.github.io/Logging_0482/tillsyn/A 62355-2021 tillsynsbegäran.docx", "A 62355-2021")</f>
        <v/>
      </c>
      <c r="AD87">
        <f>HYPERLINK("https://klasma.github.io/Logging_0482/tillsynsmail/A 62355-2021 tillsynsbegäran mail.docx", "A 62355-2021")</f>
        <v/>
      </c>
    </row>
    <row r="88" ht="15" customHeight="1">
      <c r="A88" t="inlineStr">
        <is>
          <t>A 7883-2022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46317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Plattlummer</t>
        </is>
      </c>
      <c r="W88">
        <f>HYPERLINK("https://klasma.github.io/Logging_0482/artfynd/A 7883-2022 artfynd.xlsx", "A 7883-2022")</f>
        <v/>
      </c>
      <c r="X88">
        <f>HYPERLINK("https://klasma.github.io/Logging_0482/kartor/A 7883-2022 karta.png", "A 7883-2022")</f>
        <v/>
      </c>
      <c r="Y88">
        <f>HYPERLINK("https://klasma.github.io/Logging_0482/kartor_geotiff/A 7883-2022 georefererad karta.tif", "A 7883-2022")</f>
        <v/>
      </c>
      <c r="AA88">
        <f>HYPERLINK("https://klasma.github.io/Logging_0482/klagomål/A 7883-2022 FSC-klagomål.docx", "A 7883-2022")</f>
        <v/>
      </c>
      <c r="AB88">
        <f>HYPERLINK("https://klasma.github.io/Logging_0482/klagomålsmail/A 7883-2022 FSC-klagomål mail.docx", "A 7883-2022")</f>
        <v/>
      </c>
      <c r="AC88">
        <f>HYPERLINK("https://klasma.github.io/Logging_0482/tillsyn/A 7883-2022 tillsynsbegäran.docx", "A 7883-2022")</f>
        <v/>
      </c>
      <c r="AD88">
        <f>HYPERLINK("https://klasma.github.io/Logging_0482/tillsynsmail/A 7883-2022 tillsynsbegäran mail.docx", "A 7883-2022")</f>
        <v/>
      </c>
    </row>
    <row r="89" ht="15" customHeight="1">
      <c r="A89" t="inlineStr">
        <is>
          <t>A 44563-2022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44838</v>
      </c>
      <c r="E89" s="1" t="n">
        <v>46317</v>
      </c>
      <c r="F89" t="inlineStr">
        <is>
          <t>SÖDERMANLANDS LÄN</t>
        </is>
      </c>
      <c r="G89" t="inlineStr">
        <is>
          <t>FLEN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HYPERLINK("https://klasma.github.io/Logging_0482/artfynd/A 44563-2022 artfynd.xlsx", "A 44563-2022")</f>
        <v/>
      </c>
      <c r="X89">
        <f>HYPERLINK("https://klasma.github.io/Logging_0482/kartor/A 44563-2022 karta.png", "A 44563-2022")</f>
        <v/>
      </c>
      <c r="Y89">
        <f>HYPERLINK("https://klasma.github.io/Logging_0482/kartor_geotiff/A 44563-2022 georefererad karta.tif", "A 44563-2022")</f>
        <v/>
      </c>
      <c r="AA89">
        <f>HYPERLINK("https://klasma.github.io/Logging_0482/klagomål/A 44563-2022 FSC-klagomål.docx", "A 44563-2022")</f>
        <v/>
      </c>
      <c r="AB89">
        <f>HYPERLINK("https://klasma.github.io/Logging_0482/klagomålsmail/A 44563-2022 FSC-klagomål mail.docx", "A 44563-2022")</f>
        <v/>
      </c>
      <c r="AC89">
        <f>HYPERLINK("https://klasma.github.io/Logging_0482/tillsyn/A 44563-2022 tillsynsbegäran.docx", "A 44563-2022")</f>
        <v/>
      </c>
      <c r="AD89">
        <f>HYPERLINK("https://klasma.github.io/Logging_0482/tillsynsmail/A 44563-2022 tillsynsbegäran mail.docx", "A 44563-2022")</f>
        <v/>
      </c>
    </row>
    <row r="90" ht="15" customHeight="1">
      <c r="A90" t="inlineStr">
        <is>
          <t>A 26245-2022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46317</v>
      </c>
      <c r="F90" t="inlineStr">
        <is>
          <t>SÖDERMANLANDS LÄN</t>
        </is>
      </c>
      <c r="G90" t="inlineStr">
        <is>
          <t>FLEN</t>
        </is>
      </c>
      <c r="I90" t="n">
        <v>2.9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HYPERLINK("https://klasma.github.io/Logging_0482/artfynd/A 26245-2022 artfynd.xlsx", "A 26245-2022")</f>
        <v/>
      </c>
      <c r="X90">
        <f>HYPERLINK("https://klasma.github.io/Logging_0482/kartor/A 26245-2022 karta.png", "A 26245-2022")</f>
        <v/>
      </c>
      <c r="Y90">
        <f>HYPERLINK("https://klasma.github.io/Logging_0482/kartor_geotiff/A 26245-2022 georefererad karta.tif", "A 26245-2022")</f>
        <v/>
      </c>
      <c r="AA90">
        <f>HYPERLINK("https://klasma.github.io/Logging_0482/klagomål/A 26245-2022 FSC-klagomål.docx", "A 26245-2022")</f>
        <v/>
      </c>
      <c r="AB90">
        <f>HYPERLINK("https://klasma.github.io/Logging_0482/klagomålsmail/A 26245-2022 FSC-klagomål mail.docx", "A 26245-2022")</f>
        <v/>
      </c>
      <c r="AC90">
        <f>HYPERLINK("https://klasma.github.io/Logging_0482/tillsyn/A 26245-2022 tillsynsbegäran.docx", "A 26245-2022")</f>
        <v/>
      </c>
      <c r="AD90">
        <f>HYPERLINK("https://klasma.github.io/Logging_0482/tillsynsmail/A 26245-2022 tillsynsbegäran mail.docx", "A 26245-2022")</f>
        <v/>
      </c>
    </row>
    <row r="91" ht="15" customHeight="1">
      <c r="A91" t="inlineStr">
        <is>
          <t>A 54737-2022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46317</v>
      </c>
      <c r="F91" t="inlineStr">
        <is>
          <t>SÖDERMANLANDS LÄN</t>
        </is>
      </c>
      <c r="G91" t="inlineStr">
        <is>
          <t>FLEN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HYPERLINK("https://klasma.github.io/Logging_0482/artfynd/A 54737-2022 artfynd.xlsx", "A 54737-2022")</f>
        <v/>
      </c>
      <c r="X91">
        <f>HYPERLINK("https://klasma.github.io/Logging_0482/kartor/A 54737-2022 karta.png", "A 54737-2022")</f>
        <v/>
      </c>
      <c r="Y91">
        <f>HYPERLINK("https://klasma.github.io/Logging_0482/kartor_geotiff/A 54737-2022 georefererad karta.tif", "A 54737-2022")</f>
        <v/>
      </c>
      <c r="AA91">
        <f>HYPERLINK("https://klasma.github.io/Logging_0482/klagomål/A 54737-2022 FSC-klagomål.docx", "A 54737-2022")</f>
        <v/>
      </c>
      <c r="AB91">
        <f>HYPERLINK("https://klasma.github.io/Logging_0482/klagomålsmail/A 54737-2022 FSC-klagomål mail.docx", "A 54737-2022")</f>
        <v/>
      </c>
      <c r="AC91">
        <f>HYPERLINK("https://klasma.github.io/Logging_0482/tillsyn/A 54737-2022 tillsynsbegäran.docx", "A 54737-2022")</f>
        <v/>
      </c>
      <c r="AD91">
        <f>HYPERLINK("https://klasma.github.io/Logging_0482/tillsynsmail/A 54737-2022 tillsynsbegäran mail.docx", "A 54737-2022")</f>
        <v/>
      </c>
    </row>
    <row r="92" ht="15" customHeight="1">
      <c r="A92" t="inlineStr">
        <is>
          <t>A 12056-2024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46317</v>
      </c>
      <c r="F92" t="inlineStr">
        <is>
          <t>SÖDERMANLANDS LÄN</t>
        </is>
      </c>
      <c r="G92" t="inlineStr">
        <is>
          <t>FLEN</t>
        </is>
      </c>
      <c r="I92" t="n">
        <v>8.4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Fjällig taggsvamp s.str.</t>
        </is>
      </c>
      <c r="W92">
        <f>HYPERLINK("https://klasma.github.io/Logging_0482/artfynd/A 12056-2024 artfynd.xlsx", "A 12056-2024")</f>
        <v/>
      </c>
      <c r="X92">
        <f>HYPERLINK("https://klasma.github.io/Logging_0482/kartor/A 12056-2024 karta.png", "A 12056-2024")</f>
        <v/>
      </c>
      <c r="Y92">
        <f>HYPERLINK("https://klasma.github.io/Logging_0482/kartor_geotiff/A 12056-2024 georefererad karta.tif", "A 12056-2024")</f>
        <v/>
      </c>
      <c r="AA92">
        <f>HYPERLINK("https://klasma.github.io/Logging_0482/klagomål/A 12056-2024 FSC-klagomål.docx", "A 12056-2024")</f>
        <v/>
      </c>
      <c r="AB92">
        <f>HYPERLINK("https://klasma.github.io/Logging_0482/klagomålsmail/A 12056-2024 FSC-klagomål mail.docx", "A 12056-2024")</f>
        <v/>
      </c>
      <c r="AC92">
        <f>HYPERLINK("https://klasma.github.io/Logging_0482/tillsyn/A 12056-2024 tillsynsbegäran.docx", "A 12056-2024")</f>
        <v/>
      </c>
      <c r="AD92">
        <f>HYPERLINK("https://klasma.github.io/Logging_0482/tillsynsmail/A 12056-2024 tillsynsbegäran mail.docx", "A 12056-2024")</f>
        <v/>
      </c>
    </row>
    <row r="93" ht="15" customHeight="1">
      <c r="A93" t="inlineStr">
        <is>
          <t>A 10770-2022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44624</v>
      </c>
      <c r="E93" s="1" t="n">
        <v>46317</v>
      </c>
      <c r="F93" t="inlineStr">
        <is>
          <t>SÖDERMANLANDS LÄN</t>
        </is>
      </c>
      <c r="G93" t="inlineStr">
        <is>
          <t>FLEN</t>
        </is>
      </c>
      <c r="I93" t="n">
        <v>2.3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HYPERLINK("https://klasma.github.io/Logging_0482/artfynd/A 10770-2022 artfynd.xlsx", "A 10770-2022")</f>
        <v/>
      </c>
      <c r="X93">
        <f>HYPERLINK("https://klasma.github.io/Logging_0482/kartor/A 10770-2022 karta.png", "A 10770-2022")</f>
        <v/>
      </c>
      <c r="Y93">
        <f>HYPERLINK("https://klasma.github.io/Logging_0482/kartor_geotiff/A 10770-2022 georefererad karta.tif", "A 10770-2022")</f>
        <v/>
      </c>
      <c r="AA93">
        <f>HYPERLINK("https://klasma.github.io/Logging_0482/klagomål/A 10770-2022 FSC-klagomål.docx", "A 10770-2022")</f>
        <v/>
      </c>
      <c r="AB93">
        <f>HYPERLINK("https://klasma.github.io/Logging_0482/klagomålsmail/A 10770-2022 FSC-klagomål mail.docx", "A 10770-2022")</f>
        <v/>
      </c>
      <c r="AC93">
        <f>HYPERLINK("https://klasma.github.io/Logging_0482/tillsyn/A 10770-2022 tillsynsbegäran.docx", "A 10770-2022")</f>
        <v/>
      </c>
      <c r="AD93">
        <f>HYPERLINK("https://klasma.github.io/Logging_0482/tillsynsmail/A 10770-2022 tillsynsbegäran mail.docx", "A 10770-2022")</f>
        <v/>
      </c>
    </row>
    <row r="94" ht="15" customHeight="1">
      <c r="A94" t="inlineStr">
        <is>
          <t>A 47581-2025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46317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47581-2025 artfynd.xlsx", "A 47581-2025")</f>
        <v/>
      </c>
      <c r="X94">
        <f>HYPERLINK("https://klasma.github.io/Logging_0482/kartor/A 47581-2025 karta.png", "A 47581-2025")</f>
        <v/>
      </c>
      <c r="Y94">
        <f>HYPERLINK("https://klasma.github.io/Logging_0482/kartor_geotiff/A 47581-2025 georefererad karta.tif", "A 47581-2025")</f>
        <v/>
      </c>
      <c r="AA94">
        <f>HYPERLINK("https://klasma.github.io/Logging_0482/klagomål/A 47581-2025 FSC-klagomål.docx", "A 47581-2025")</f>
        <v/>
      </c>
      <c r="AB94">
        <f>HYPERLINK("https://klasma.github.io/Logging_0482/klagomålsmail/A 47581-2025 FSC-klagomål mail.docx", "A 47581-2025")</f>
        <v/>
      </c>
      <c r="AC94">
        <f>HYPERLINK("https://klasma.github.io/Logging_0482/tillsyn/A 47581-2025 tillsynsbegäran.docx", "A 47581-2025")</f>
        <v/>
      </c>
      <c r="AD94">
        <f>HYPERLINK("https://klasma.github.io/Logging_0482/tillsynsmail/A 47581-2025 tillsynsbegäran mail.docx", "A 47581-2025")</f>
        <v/>
      </c>
    </row>
    <row r="95" ht="15" customHeight="1">
      <c r="A95" t="inlineStr">
        <is>
          <t>A 14273-2025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46317</v>
      </c>
      <c r="F95" t="inlineStr">
        <is>
          <t>SÖDERMANLANDS LÄN</t>
        </is>
      </c>
      <c r="G95" t="inlineStr">
        <is>
          <t>FLEN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Vedskivlav</t>
        </is>
      </c>
      <c r="W95">
        <f>HYPERLINK("https://klasma.github.io/Logging_0482/artfynd/A 14273-2025 artfynd.xlsx", "A 14273-2025")</f>
        <v/>
      </c>
      <c r="X95">
        <f>HYPERLINK("https://klasma.github.io/Logging_0482/kartor/A 14273-2025 karta.png", "A 14273-2025")</f>
        <v/>
      </c>
      <c r="Y95">
        <f>HYPERLINK("https://klasma.github.io/Logging_0482/kartor_geotiff/A 14273-2025 georefererad karta.tif", "A 14273-2025")</f>
        <v/>
      </c>
      <c r="AA95">
        <f>HYPERLINK("https://klasma.github.io/Logging_0482/klagomål/A 14273-2025 FSC-klagomål.docx", "A 14273-2025")</f>
        <v/>
      </c>
      <c r="AB95">
        <f>HYPERLINK("https://klasma.github.io/Logging_0482/klagomålsmail/A 14273-2025 FSC-klagomål mail.docx", "A 14273-2025")</f>
        <v/>
      </c>
      <c r="AC95">
        <f>HYPERLINK("https://klasma.github.io/Logging_0482/tillsyn/A 14273-2025 tillsynsbegäran.docx", "A 14273-2025")</f>
        <v/>
      </c>
      <c r="AD95">
        <f>HYPERLINK("https://klasma.github.io/Logging_0482/tillsynsmail/A 14273-2025 tillsynsbegäran mail.docx", "A 14273-2025")</f>
        <v/>
      </c>
    </row>
    <row r="96" ht="15" customHeight="1">
      <c r="A96" t="inlineStr">
        <is>
          <t>A 2043-2026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46317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Scharlakansvaxing</t>
        </is>
      </c>
      <c r="W96">
        <f>HYPERLINK("https://klasma.github.io/Logging_0482/artfynd/A 2043-2026 artfynd.xlsx", "A 2043-2026")</f>
        <v/>
      </c>
      <c r="X96">
        <f>HYPERLINK("https://klasma.github.io/Logging_0482/kartor/A 2043-2026 karta.png", "A 2043-2026")</f>
        <v/>
      </c>
      <c r="Y96">
        <f>HYPERLINK("https://klasma.github.io/Logging_0482/kartor_geotiff/A 2043-2026 georefererad karta.tif", "A 2043-2026")</f>
        <v/>
      </c>
      <c r="AA96">
        <f>HYPERLINK("https://klasma.github.io/Logging_0482/klagomål/A 2043-2026 FSC-klagomål.docx", "A 2043-2026")</f>
        <v/>
      </c>
      <c r="AB96">
        <f>HYPERLINK("https://klasma.github.io/Logging_0482/klagomålsmail/A 2043-2026 FSC-klagomål mail.docx", "A 2043-2026")</f>
        <v/>
      </c>
      <c r="AC96">
        <f>HYPERLINK("https://klasma.github.io/Logging_0482/tillsyn/A 2043-2026 tillsynsbegäran.docx", "A 2043-2026")</f>
        <v/>
      </c>
      <c r="AD96">
        <f>HYPERLINK("https://klasma.github.io/Logging_0482/tillsynsmail/A 2043-2026 tillsynsbegäran mail.docx", "A 2043-2026")</f>
        <v/>
      </c>
    </row>
    <row r="97" ht="15" customHeight="1">
      <c r="A97" t="inlineStr">
        <is>
          <t>A 52579-2025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46317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4.5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HYPERLINK("https://klasma.github.io/Logging_0482/artfynd/A 52579-2025 artfynd.xlsx", "A 52579-2025")</f>
        <v/>
      </c>
      <c r="X97">
        <f>HYPERLINK("https://klasma.github.io/Logging_0482/kartor/A 52579-2025 karta.png", "A 52579-2025")</f>
        <v/>
      </c>
      <c r="Y97">
        <f>HYPERLINK("https://klasma.github.io/Logging_0482/kartor_geotiff/A 52579-2025 georefererad karta.tif", "A 52579-2025")</f>
        <v/>
      </c>
      <c r="AA97">
        <f>HYPERLINK("https://klasma.github.io/Logging_0482/klagomål/A 52579-2025 FSC-klagomål.docx", "A 52579-2025")</f>
        <v/>
      </c>
      <c r="AB97">
        <f>HYPERLINK("https://klasma.github.io/Logging_0482/klagomålsmail/A 52579-2025 FSC-klagomål mail.docx", "A 52579-2025")</f>
        <v/>
      </c>
      <c r="AC97">
        <f>HYPERLINK("https://klasma.github.io/Logging_0482/tillsyn/A 52579-2025 tillsynsbegäran.docx", "A 52579-2025")</f>
        <v/>
      </c>
      <c r="AD97">
        <f>HYPERLINK("https://klasma.github.io/Logging_0482/tillsynsmail/A 52579-2025 tillsynsbegäran mail.docx", "A 52579-2025")</f>
        <v/>
      </c>
    </row>
    <row r="98" ht="15" customHeight="1">
      <c r="A98" t="inlineStr">
        <is>
          <t>A 2036-2026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46317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HYPERLINK("https://klasma.github.io/Logging_0482/artfynd/A 2036-2026 artfynd.xlsx", "A 2036-2026")</f>
        <v/>
      </c>
      <c r="X98">
        <f>HYPERLINK("https://klasma.github.io/Logging_0482/kartor/A 2036-2026 karta.png", "A 2036-2026")</f>
        <v/>
      </c>
      <c r="Y98">
        <f>HYPERLINK("https://klasma.github.io/Logging_0482/kartor_geotiff/A 2036-2026 georefererad karta.tif", "A 2036-2026")</f>
        <v/>
      </c>
      <c r="Z98">
        <f>HYPERLINK("https://klasma.github.io/Logging_0482/knärot/A 2036-2026 karta knärot.png", "A 2036-2026")</f>
        <v/>
      </c>
      <c r="AA98">
        <f>HYPERLINK("https://klasma.github.io/Logging_0482/klagomål/A 2036-2026 FSC-klagomål.docx", "A 2036-2026")</f>
        <v/>
      </c>
      <c r="AB98">
        <f>HYPERLINK("https://klasma.github.io/Logging_0482/klagomålsmail/A 2036-2026 FSC-klagomål mail.docx", "A 2036-2026")</f>
        <v/>
      </c>
      <c r="AC98">
        <f>HYPERLINK("https://klasma.github.io/Logging_0482/tillsyn/A 2036-2026 tillsynsbegäran.docx", "A 2036-2026")</f>
        <v/>
      </c>
      <c r="AD98">
        <f>HYPERLINK("https://klasma.github.io/Logging_0482/tillsynsmail/A 2036-2026 tillsynsbegäran mail.docx", "A 2036-2026")</f>
        <v/>
      </c>
    </row>
    <row r="99" ht="15" customHeight="1">
      <c r="A99" t="inlineStr">
        <is>
          <t>A 6714-2026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46317</v>
      </c>
      <c r="F99" t="inlineStr">
        <is>
          <t>SÖDERMANLANDS LÄN</t>
        </is>
      </c>
      <c r="G99" t="inlineStr">
        <is>
          <t>FLEN</t>
        </is>
      </c>
      <c r="I99" t="n">
        <v>4.6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6714-2026 artfynd.xlsx", "A 6714-2026")</f>
        <v/>
      </c>
      <c r="X99">
        <f>HYPERLINK("https://klasma.github.io/Logging_0482/kartor/A 6714-2026 karta.png", "A 6714-2026")</f>
        <v/>
      </c>
      <c r="Y99">
        <f>HYPERLINK("https://klasma.github.io/Logging_0482/kartor_geotiff/A 6714-2026 georefererad karta.tif", "A 6714-2026")</f>
        <v/>
      </c>
      <c r="AA99">
        <f>HYPERLINK("https://klasma.github.io/Logging_0482/klagomål/A 6714-2026 FSC-klagomål.docx", "A 6714-2026")</f>
        <v/>
      </c>
      <c r="AB99">
        <f>HYPERLINK("https://klasma.github.io/Logging_0482/klagomålsmail/A 6714-2026 FSC-klagomål mail.docx", "A 6714-2026")</f>
        <v/>
      </c>
      <c r="AC99">
        <f>HYPERLINK("https://klasma.github.io/Logging_0482/tillsyn/A 6714-2026 tillsynsbegäran.docx", "A 6714-2026")</f>
        <v/>
      </c>
      <c r="AD99">
        <f>HYPERLINK("https://klasma.github.io/Logging_0482/tillsynsmail/A 6714-2026 tillsynsbegäran mail.docx", "A 6714-2026")</f>
        <v/>
      </c>
    </row>
    <row r="100" ht="15" customHeight="1">
      <c r="A100" t="inlineStr">
        <is>
          <t>A 9446-2026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46317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HYPERLINK("https://klasma.github.io/Logging_0482/artfynd/A 9446-2026 artfynd.xlsx", "A 9446-2026")</f>
        <v/>
      </c>
      <c r="X100">
        <f>HYPERLINK("https://klasma.github.io/Logging_0482/kartor/A 9446-2026 karta.png", "A 9446-2026")</f>
        <v/>
      </c>
      <c r="Y100">
        <f>HYPERLINK("https://klasma.github.io/Logging_0482/kartor_geotiff/A 9446-2026 georefererad karta.tif", "A 9446-2026")</f>
        <v/>
      </c>
      <c r="AA100">
        <f>HYPERLINK("https://klasma.github.io/Logging_0482/klagomål/A 9446-2026 FSC-klagomål.docx", "A 9446-2026")</f>
        <v/>
      </c>
      <c r="AB100">
        <f>HYPERLINK("https://klasma.github.io/Logging_0482/klagomålsmail/A 9446-2026 FSC-klagomål mail.docx", "A 9446-2026")</f>
        <v/>
      </c>
      <c r="AC100">
        <f>HYPERLINK("https://klasma.github.io/Logging_0482/tillsyn/A 9446-2026 tillsynsbegäran.docx", "A 9446-2026")</f>
        <v/>
      </c>
      <c r="AD100">
        <f>HYPERLINK("https://klasma.github.io/Logging_0482/tillsynsmail/A 9446-2026 tillsynsbegäran mail.docx", "A 9446-2026")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46317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10999-2026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46079</v>
      </c>
      <c r="E102" s="1" t="n">
        <v>46317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HYPERLINK("https://klasma.github.io/Logging_0482/artfynd/A 10999-2026 artfynd.xlsx", "A 10999-2026")</f>
        <v/>
      </c>
      <c r="X102">
        <f>HYPERLINK("https://klasma.github.io/Logging_0482/kartor/A 10999-2026 karta.png", "A 10999-2026")</f>
        <v/>
      </c>
      <c r="Y102">
        <f>HYPERLINK("https://klasma.github.io/Logging_0482/kartor_geotiff/A 10999-2026 georefererad karta.tif", "A 10999-2026")</f>
        <v/>
      </c>
      <c r="AA102">
        <f>HYPERLINK("https://klasma.github.io/Logging_0482/klagomål/A 10999-2026 FSC-klagomål.docx", "A 10999-2026")</f>
        <v/>
      </c>
      <c r="AB102">
        <f>HYPERLINK("https://klasma.github.io/Logging_0482/klagomålsmail/A 10999-2026 FSC-klagomål mail.docx", "A 10999-2026")</f>
        <v/>
      </c>
      <c r="AC102">
        <f>HYPERLINK("https://klasma.github.io/Logging_0482/tillsyn/A 10999-2026 tillsynsbegäran.docx", "A 10999-2026")</f>
        <v/>
      </c>
      <c r="AD102">
        <f>HYPERLINK("https://klasma.github.io/Logging_0482/tillsynsmail/A 10999-2026 tillsynsbegäran mail.docx", "A 10999-2026")</f>
        <v/>
      </c>
    </row>
    <row r="103" ht="15" customHeight="1">
      <c r="A103" t="inlineStr">
        <is>
          <t>A 62535-2021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46317</v>
      </c>
      <c r="F103" t="inlineStr">
        <is>
          <t>SÖDERMANLANDS LÄN</t>
        </is>
      </c>
      <c r="G103" t="inlineStr">
        <is>
          <t>FLEN</t>
        </is>
      </c>
      <c r="I103" t="n">
        <v>0.6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HYPERLINK("https://klasma.github.io/Logging_0482/artfynd/A 62535-2021 artfynd.xlsx", "A 62535-2021")</f>
        <v/>
      </c>
      <c r="X103">
        <f>HYPERLINK("https://klasma.github.io/Logging_0482/kartor/A 62535-2021 karta.png", "A 62535-2021")</f>
        <v/>
      </c>
      <c r="Y103">
        <f>HYPERLINK("https://klasma.github.io/Logging_0482/kartor_geotiff/A 62535-2021 georefererad karta.tif", "A 62535-2021")</f>
        <v/>
      </c>
      <c r="AA103">
        <f>HYPERLINK("https://klasma.github.io/Logging_0482/klagomål/A 62535-2021 FSC-klagomål.docx", "A 62535-2021")</f>
        <v/>
      </c>
      <c r="AB103">
        <f>HYPERLINK("https://klasma.github.io/Logging_0482/klagomålsmail/A 62535-2021 FSC-klagomål mail.docx", "A 62535-2021")</f>
        <v/>
      </c>
      <c r="AC103">
        <f>HYPERLINK("https://klasma.github.io/Logging_0482/tillsyn/A 62535-2021 tillsynsbegäran.docx", "A 62535-2021")</f>
        <v/>
      </c>
      <c r="AD103">
        <f>HYPERLINK("https://klasma.github.io/Logging_0482/tillsynsmail/A 62535-2021 tillsynsbegäran mail.docx", "A 62535-2021")</f>
        <v/>
      </c>
    </row>
    <row r="104" ht="15" customHeight="1">
      <c r="A104" t="inlineStr">
        <is>
          <t>A 50202-2022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46317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5.8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50202-2022 artfynd.xlsx", "A 50202-2022")</f>
        <v/>
      </c>
      <c r="X104">
        <f>HYPERLINK("https://klasma.github.io/Logging_0482/kartor/A 50202-2022 karta.png", "A 50202-2022")</f>
        <v/>
      </c>
      <c r="Y104">
        <f>HYPERLINK("https://klasma.github.io/Logging_0482/kartor_geotiff/A 50202-2022 georefererad karta.tif", "A 50202-2022")</f>
        <v/>
      </c>
      <c r="AA104">
        <f>HYPERLINK("https://klasma.github.io/Logging_0482/klagomål/A 50202-2022 FSC-klagomål.docx", "A 50202-2022")</f>
        <v/>
      </c>
      <c r="AB104">
        <f>HYPERLINK("https://klasma.github.io/Logging_0482/klagomålsmail/A 50202-2022 FSC-klagomål mail.docx", "A 50202-2022")</f>
        <v/>
      </c>
      <c r="AC104">
        <f>HYPERLINK("https://klasma.github.io/Logging_0482/tillsyn/A 50202-2022 tillsynsbegäran.docx", "A 50202-2022")</f>
        <v/>
      </c>
      <c r="AD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14101-2025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46317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HYPERLINK("https://klasma.github.io/Logging_0482/artfynd/A 14101-2025 artfynd.xlsx", "A 14101-2025")</f>
        <v/>
      </c>
      <c r="X105">
        <f>HYPERLINK("https://klasma.github.io/Logging_0482/kartor/A 14101-2025 karta.png", "A 14101-2025")</f>
        <v/>
      </c>
      <c r="Y105">
        <f>HYPERLINK("https://klasma.github.io/Logging_0482/kartor_geotiff/A 14101-2025 georefererad karta.tif", "A 14101-2025")</f>
        <v/>
      </c>
      <c r="AA105">
        <f>HYPERLINK("https://klasma.github.io/Logging_0482/klagomål/A 14101-2025 FSC-klagomål.docx", "A 14101-2025")</f>
        <v/>
      </c>
      <c r="AB105">
        <f>HYPERLINK("https://klasma.github.io/Logging_0482/klagomålsmail/A 14101-2025 FSC-klagomål mail.docx", "A 14101-2025")</f>
        <v/>
      </c>
      <c r="AC105">
        <f>HYPERLINK("https://klasma.github.io/Logging_0482/tillsyn/A 14101-2025 tillsynsbegäran.docx", "A 14101-2025")</f>
        <v/>
      </c>
      <c r="AD105">
        <f>HYPERLINK("https://klasma.github.io/Logging_0482/tillsynsmail/A 14101-2025 tillsynsbegäran mail.docx", "A 14101-2025")</f>
        <v/>
      </c>
    </row>
    <row r="106" ht="15" customHeight="1">
      <c r="A106" t="inlineStr">
        <is>
          <t>A 60562-2021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44495</v>
      </c>
      <c r="E106" s="1" t="n">
        <v>46317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1.3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Gullklöver</t>
        </is>
      </c>
      <c r="W106">
        <f>HYPERLINK("https://klasma.github.io/Logging_0482/artfynd/A 60562-2021 artfynd.xlsx", "A 60562-2021")</f>
        <v/>
      </c>
      <c r="X106">
        <f>HYPERLINK("https://klasma.github.io/Logging_0482/kartor/A 60562-2021 karta.png", "A 60562-2021")</f>
        <v/>
      </c>
      <c r="Y106">
        <f>HYPERLINK("https://klasma.github.io/Logging_0482/kartor_geotiff/A 60562-2021 georefererad karta.tif", "A 60562-2021")</f>
        <v/>
      </c>
      <c r="AA106">
        <f>HYPERLINK("https://klasma.github.io/Logging_0482/klagomål/A 60562-2021 FSC-klagomål.docx", "A 60562-2021")</f>
        <v/>
      </c>
      <c r="AB106">
        <f>HYPERLINK("https://klasma.github.io/Logging_0482/klagomålsmail/A 60562-2021 FSC-klagomål mail.docx", "A 60562-2021")</f>
        <v/>
      </c>
      <c r="AC106">
        <f>HYPERLINK("https://klasma.github.io/Logging_0482/tillsyn/A 60562-2021 tillsynsbegäran.docx", "A 60562-2021")</f>
        <v/>
      </c>
      <c r="AD106">
        <f>HYPERLINK("https://klasma.github.io/Logging_0482/tillsynsmail/A 60562-2021 tillsynsbegäran mail.docx", "A 60562-2021")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46317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13858-2023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45007</v>
      </c>
      <c r="E108" s="1" t="n">
        <v>46317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Svedjenäva</t>
        </is>
      </c>
      <c r="W108">
        <f>HYPERLINK("https://klasma.github.io/Logging_0482/artfynd/A 13858-2023 artfynd.xlsx", "A 13858-2023")</f>
        <v/>
      </c>
      <c r="X108">
        <f>HYPERLINK("https://klasma.github.io/Logging_0482/kartor/A 13858-2023 karta.png", "A 13858-2023")</f>
        <v/>
      </c>
      <c r="Y108">
        <f>HYPERLINK("https://klasma.github.io/Logging_0482/kartor_geotiff/A 13858-2023 georefererad karta.tif", "A 13858-2023")</f>
        <v/>
      </c>
      <c r="AA108">
        <f>HYPERLINK("https://klasma.github.io/Logging_0482/klagomål/A 13858-2023 FSC-klagomål.docx", "A 13858-2023")</f>
        <v/>
      </c>
      <c r="AB108">
        <f>HYPERLINK("https://klasma.github.io/Logging_0482/klagomålsmail/A 13858-2023 FSC-klagomål mail.docx", "A 13858-2023")</f>
        <v/>
      </c>
      <c r="AC108">
        <f>HYPERLINK("https://klasma.github.io/Logging_0482/tillsyn/A 13858-2023 tillsynsbegäran.docx", "A 13858-2023")</f>
        <v/>
      </c>
      <c r="AD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45107-2023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45191</v>
      </c>
      <c r="E109" s="1" t="n">
        <v>46317</v>
      </c>
      <c r="F109" t="inlineStr">
        <is>
          <t>SÖDERMANLANDS LÄN</t>
        </is>
      </c>
      <c r="G109" t="inlineStr">
        <is>
          <t>FLEN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Brudborste</t>
        </is>
      </c>
      <c r="W109">
        <f>HYPERLINK("https://klasma.github.io/Logging_0482/artfynd/A 45107-2023 artfynd.xlsx", "A 45107-2023")</f>
        <v/>
      </c>
      <c r="X109">
        <f>HYPERLINK("https://klasma.github.io/Logging_0482/kartor/A 45107-2023 karta.png", "A 45107-2023")</f>
        <v/>
      </c>
      <c r="Y109">
        <f>HYPERLINK("https://klasma.github.io/Logging_0482/kartor_geotiff/A 45107-2023 georefererad karta.tif", "A 45107-2023")</f>
        <v/>
      </c>
      <c r="AA109">
        <f>HYPERLINK("https://klasma.github.io/Logging_0482/klagomål/A 45107-2023 FSC-klagomål.docx", "A 45107-2023")</f>
        <v/>
      </c>
      <c r="AB109">
        <f>HYPERLINK("https://klasma.github.io/Logging_0482/klagomålsmail/A 45107-2023 FSC-klagomål mail.docx", "A 45107-2023")</f>
        <v/>
      </c>
      <c r="AC109">
        <f>HYPERLINK("https://klasma.github.io/Logging_0482/tillsyn/A 45107-2023 tillsynsbegäran.docx", "A 45107-2023")</f>
        <v/>
      </c>
      <c r="AD109">
        <f>HYPERLINK("https://klasma.github.io/Logging_0482/tillsynsmail/A 45107-2023 tillsynsbegäran mail.docx", "A 45107-2023")</f>
        <v/>
      </c>
    </row>
    <row r="110" ht="15" customHeight="1">
      <c r="A110" t="inlineStr">
        <is>
          <t>A 1242-2022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46317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9.300000000000001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1242-2022 artfynd.xlsx", "A 1242-2022")</f>
        <v/>
      </c>
      <c r="X110">
        <f>HYPERLINK("https://klasma.github.io/Logging_0482/kartor/A 1242-2022 karta.png", "A 1242-2022")</f>
        <v/>
      </c>
      <c r="Y110">
        <f>HYPERLINK("https://klasma.github.io/Logging_0482/kartor_geotiff/A 1242-2022 georefererad karta.tif", "A 1242-2022")</f>
        <v/>
      </c>
      <c r="AA110">
        <f>HYPERLINK("https://klasma.github.io/Logging_0482/klagomål/A 1242-2022 FSC-klagomål.docx", "A 1242-2022")</f>
        <v/>
      </c>
      <c r="AB110">
        <f>HYPERLINK("https://klasma.github.io/Logging_0482/klagomålsmail/A 1242-2022 FSC-klagomål mail.docx", "A 1242-2022")</f>
        <v/>
      </c>
      <c r="AC110">
        <f>HYPERLINK("https://klasma.github.io/Logging_0482/tillsyn/A 1242-2022 tillsynsbegäran.docx", "A 1242-2022")</f>
        <v/>
      </c>
      <c r="AD110">
        <f>HYPERLINK("https://klasma.github.io/Logging_0482/tillsynsmail/A 1242-2022 tillsynsbegäran mail.docx", "A 1242-2022")</f>
        <v/>
      </c>
    </row>
    <row r="111" ht="15" customHeight="1">
      <c r="A111" t="inlineStr">
        <is>
          <t>A 12371-2022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44637</v>
      </c>
      <c r="E111" s="1" t="n">
        <v>46317</v>
      </c>
      <c r="F111" t="inlineStr">
        <is>
          <t>SÖDERMANLANDS LÄN</t>
        </is>
      </c>
      <c r="G111" t="inlineStr">
        <is>
          <t>FLEN</t>
        </is>
      </c>
      <c r="H111" t="inlineStr">
        <is>
          <t>Kommuner</t>
        </is>
      </c>
      <c r="I111" t="n">
        <v>2.1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12371-2022 artfynd.xlsx", "A 12371-2022")</f>
        <v/>
      </c>
      <c r="X111">
        <f>HYPERLINK("https://klasma.github.io/Logging_0482/kartor/A 12371-2022 karta.png", "A 12371-2022")</f>
        <v/>
      </c>
      <c r="Y111">
        <f>HYPERLINK("https://klasma.github.io/Logging_0482/kartor_geotiff/A 12371-2022 georefererad karta.tif", "A 12371-2022")</f>
        <v/>
      </c>
      <c r="AA111">
        <f>HYPERLINK("https://klasma.github.io/Logging_0482/klagomål/A 12371-2022 FSC-klagomål.docx", "A 12371-2022")</f>
        <v/>
      </c>
      <c r="AB111">
        <f>HYPERLINK("https://klasma.github.io/Logging_0482/klagomålsmail/A 12371-2022 FSC-klagomål mail.docx", "A 12371-2022")</f>
        <v/>
      </c>
      <c r="AC111">
        <f>HYPERLINK("https://klasma.github.io/Logging_0482/tillsyn/A 12371-2022 tillsynsbegäran.docx", "A 12371-2022")</f>
        <v/>
      </c>
      <c r="AD111">
        <f>HYPERLINK("https://klasma.github.io/Logging_0482/tillsynsmail/A 12371-2022 tillsynsbegäran mail.docx", "A 12371-2022")</f>
        <v/>
      </c>
    </row>
    <row r="112" ht="15" customHeight="1">
      <c r="A112" t="inlineStr">
        <is>
          <t>A 24179-2026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46168</v>
      </c>
      <c r="E112" s="1" t="n">
        <v>46317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Gullklöver</t>
        </is>
      </c>
      <c r="W112">
        <f>HYPERLINK("https://klasma.github.io/Logging_0482/artfynd/A 24179-2026 artfynd.xlsx", "A 24179-2026")</f>
        <v/>
      </c>
      <c r="X112">
        <f>HYPERLINK("https://klasma.github.io/Logging_0482/kartor/A 24179-2026 karta.png", "A 24179-2026")</f>
        <v/>
      </c>
      <c r="Y112">
        <f>HYPERLINK("https://klasma.github.io/Logging_0482/kartor_geotiff/A 24179-2026 georefererad karta.tif", "A 24179-2026")</f>
        <v/>
      </c>
      <c r="AA112">
        <f>HYPERLINK("https://klasma.github.io/Logging_0482/klagomål/A 24179-2026 FSC-klagomål.docx", "A 24179-2026")</f>
        <v/>
      </c>
      <c r="AB112">
        <f>HYPERLINK("https://klasma.github.io/Logging_0482/klagomålsmail/A 24179-2026 FSC-klagomål mail.docx", "A 24179-2026")</f>
        <v/>
      </c>
      <c r="AC112">
        <f>HYPERLINK("https://klasma.github.io/Logging_0482/tillsyn/A 24179-2026 tillsynsbegäran.docx", "A 24179-2026")</f>
        <v/>
      </c>
      <c r="AD112">
        <f>HYPERLINK("https://klasma.github.io/Logging_0482/tillsynsmail/A 24179-2026 tillsynsbegäran mail.docx", "A 24179-2026")</f>
        <v/>
      </c>
    </row>
    <row r="113" ht="15" customHeight="1">
      <c r="A113" t="inlineStr">
        <is>
          <t>A 14113-2025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46317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14113-2025 artfynd.xlsx", "A 14113-2025")</f>
        <v/>
      </c>
      <c r="X113">
        <f>HYPERLINK("https://klasma.github.io/Logging_0482/kartor/A 14113-2025 karta.png", "A 14113-2025")</f>
        <v/>
      </c>
      <c r="Y113">
        <f>HYPERLINK("https://klasma.github.io/Logging_0482/kartor_geotiff/A 14113-2025 georefererad karta.tif", "A 14113-2025")</f>
        <v/>
      </c>
      <c r="AA113">
        <f>HYPERLINK("https://klasma.github.io/Logging_0482/klagomål/A 14113-2025 FSC-klagomål.docx", "A 14113-2025")</f>
        <v/>
      </c>
      <c r="AB113">
        <f>HYPERLINK("https://klasma.github.io/Logging_0482/klagomålsmail/A 14113-2025 FSC-klagomål mail.docx", "A 14113-2025")</f>
        <v/>
      </c>
      <c r="AC113">
        <f>HYPERLINK("https://klasma.github.io/Logging_0482/tillsyn/A 14113-2025 tillsynsbegäran.docx", "A 14113-2025")</f>
        <v/>
      </c>
      <c r="AD113">
        <f>HYPERLINK("https://klasma.github.io/Logging_0482/tillsynsmail/A 14113-2025 tillsynsbegäran mail.docx", "A 14113-2025")</f>
        <v/>
      </c>
    </row>
    <row r="114" ht="15" customHeight="1">
      <c r="A114" t="inlineStr">
        <is>
          <t>A 39036-2023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46317</v>
      </c>
      <c r="F114" t="inlineStr">
        <is>
          <t>SÖDERMANLANDS LÄN</t>
        </is>
      </c>
      <c r="G114" t="inlineStr">
        <is>
          <t>FLEN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HYPERLINK("https://klasma.github.io/Logging_0482/artfynd/A 39036-2023 artfynd.xlsx", "A 39036-2023")</f>
        <v/>
      </c>
      <c r="X114">
        <f>HYPERLINK("https://klasma.github.io/Logging_0482/kartor/A 39036-2023 karta.png", "A 39036-2023")</f>
        <v/>
      </c>
      <c r="Y114">
        <f>HYPERLINK("https://klasma.github.io/Logging_0482/kartor_geotiff/A 39036-2023 georefererad karta.tif", "A 39036-2023")</f>
        <v/>
      </c>
      <c r="AA114">
        <f>HYPERLINK("https://klasma.github.io/Logging_0482/klagomål/A 39036-2023 FSC-klagomål.docx", "A 39036-2023")</f>
        <v/>
      </c>
      <c r="AB114">
        <f>HYPERLINK("https://klasma.github.io/Logging_0482/klagomålsmail/A 39036-2023 FSC-klagomål mail.docx", "A 39036-2023")</f>
        <v/>
      </c>
      <c r="AC114">
        <f>HYPERLINK("https://klasma.github.io/Logging_0482/tillsyn/A 39036-2023 tillsynsbegäran.docx", "A 39036-2023")</f>
        <v/>
      </c>
      <c r="AD114">
        <f>HYPERLINK("https://klasma.github.io/Logging_0482/tillsynsmail/A 39036-2023 tillsynsbegäran mail.docx", "A 39036-2023")</f>
        <v/>
      </c>
    </row>
    <row r="115" ht="15" customHeight="1">
      <c r="A115" t="inlineStr">
        <is>
          <t>A 33024-2022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44785</v>
      </c>
      <c r="E115" s="1" t="n">
        <v>46317</v>
      </c>
      <c r="F115" t="inlineStr">
        <is>
          <t>SÖDERMANLANDS LÄN</t>
        </is>
      </c>
      <c r="G115" t="inlineStr">
        <is>
          <t>FLEN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Blåsippa</t>
        </is>
      </c>
      <c r="W115">
        <f>HYPERLINK("https://klasma.github.io/Logging_0482/artfynd/A 33024-2022 artfynd.xlsx", "A 33024-2022")</f>
        <v/>
      </c>
      <c r="X115">
        <f>HYPERLINK("https://klasma.github.io/Logging_0482/kartor/A 33024-2022 karta.png", "A 33024-2022")</f>
        <v/>
      </c>
      <c r="Y115">
        <f>HYPERLINK("https://klasma.github.io/Logging_0482/kartor_geotiff/A 33024-2022 georefererad karta.tif", "A 33024-2022")</f>
        <v/>
      </c>
      <c r="AA115">
        <f>HYPERLINK("https://klasma.github.io/Logging_0482/klagomål/A 33024-2022 FSC-klagomål.docx", "A 33024-2022")</f>
        <v/>
      </c>
      <c r="AB115">
        <f>HYPERLINK("https://klasma.github.io/Logging_0482/klagomålsmail/A 33024-2022 FSC-klagomål mail.docx", "A 33024-2022")</f>
        <v/>
      </c>
      <c r="AC115">
        <f>HYPERLINK("https://klasma.github.io/Logging_0482/tillsyn/A 33024-2022 tillsynsbegäran.docx", "A 33024-2022")</f>
        <v/>
      </c>
      <c r="AD115">
        <f>HYPERLINK("https://klasma.github.io/Logging_0482/tillsynsmail/A 33024-2022 tillsynsbegäran mail.docx", "A 33024-2022")</f>
        <v/>
      </c>
    </row>
    <row r="116" ht="15" customHeight="1">
      <c r="A116" t="inlineStr">
        <is>
          <t>A 31427-2022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44774</v>
      </c>
      <c r="E116" s="1" t="n">
        <v>46317</v>
      </c>
      <c r="F116" t="inlineStr">
        <is>
          <t>SÖDERMANLANDS LÄN</t>
        </is>
      </c>
      <c r="G116" t="inlineStr">
        <is>
          <t>FLEN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HYPERLINK("https://klasma.github.io/Logging_0482/artfynd/A 31427-2022 artfynd.xlsx", "A 31427-2022")</f>
        <v/>
      </c>
      <c r="X116">
        <f>HYPERLINK("https://klasma.github.io/Logging_0482/kartor/A 31427-2022 karta.png", "A 31427-2022")</f>
        <v/>
      </c>
      <c r="Y116">
        <f>HYPERLINK("https://klasma.github.io/Logging_0482/kartor_geotiff/A 31427-2022 georefererad karta.tif", "A 31427-2022")</f>
        <v/>
      </c>
      <c r="AA116">
        <f>HYPERLINK("https://klasma.github.io/Logging_0482/klagomål/A 31427-2022 FSC-klagomål.docx", "A 31427-2022")</f>
        <v/>
      </c>
      <c r="AB116">
        <f>HYPERLINK("https://klasma.github.io/Logging_0482/klagomålsmail/A 31427-2022 FSC-klagomål mail.docx", "A 31427-2022")</f>
        <v/>
      </c>
      <c r="AC116">
        <f>HYPERLINK("https://klasma.github.io/Logging_0482/tillsyn/A 31427-2022 tillsynsbegäran.docx", "A 31427-2022")</f>
        <v/>
      </c>
      <c r="AD116">
        <f>HYPERLINK("https://klasma.github.io/Logging_0482/tillsynsmail/A 31427-2022 tillsynsbegäran mail.docx", "A 31427-2022")</f>
        <v/>
      </c>
    </row>
    <row r="117" ht="15" customHeight="1">
      <c r="A117" t="inlineStr">
        <is>
          <t>A 47756-2022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46317</v>
      </c>
      <c r="F117" t="inlineStr">
        <is>
          <t>SÖDERMANLANDS LÄN</t>
        </is>
      </c>
      <c r="G117" t="inlineStr">
        <is>
          <t>FLEN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HYPERLINK("https://klasma.github.io/Logging_0482/artfynd/A 47756-2022 artfynd.xlsx", "A 47756-2022")</f>
        <v/>
      </c>
      <c r="X117">
        <f>HYPERLINK("https://klasma.github.io/Logging_0482/kartor/A 47756-2022 karta.png", "A 47756-2022")</f>
        <v/>
      </c>
      <c r="Y117">
        <f>HYPERLINK("https://klasma.github.io/Logging_0482/kartor_geotiff/A 47756-2022 georefererad karta.tif", "A 47756-2022")</f>
        <v/>
      </c>
      <c r="AA117">
        <f>HYPERLINK("https://klasma.github.io/Logging_0482/klagomål/A 47756-2022 FSC-klagomål.docx", "A 47756-2022")</f>
        <v/>
      </c>
      <c r="AB117">
        <f>HYPERLINK("https://klasma.github.io/Logging_0482/klagomålsmail/A 47756-2022 FSC-klagomål mail.docx", "A 47756-2022")</f>
        <v/>
      </c>
      <c r="AC117">
        <f>HYPERLINK("https://klasma.github.io/Logging_0482/tillsyn/A 47756-2022 tillsynsbegäran.docx", "A 47756-2022")</f>
        <v/>
      </c>
      <c r="AD117">
        <f>HYPERLINK("https://klasma.github.io/Logging_0482/tillsynsmail/A 47756-2022 tillsynsbegäran mail.docx", "A 47756-2022")</f>
        <v/>
      </c>
    </row>
    <row r="118" ht="15" customHeight="1">
      <c r="A118" t="inlineStr">
        <is>
          <t>A 26310-2026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46317</v>
      </c>
      <c r="F118" t="inlineStr">
        <is>
          <t>SÖDERMANLANDS LÄN</t>
        </is>
      </c>
      <c r="G118" t="inlineStr">
        <is>
          <t>FLEN</t>
        </is>
      </c>
      <c r="I118" t="n">
        <v>1.2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HYPERLINK("https://klasma.github.io/Logging_0482/artfynd/A 26310-2026 artfynd.xlsx", "A 26310-2026")</f>
        <v/>
      </c>
      <c r="X118">
        <f>HYPERLINK("https://klasma.github.io/Logging_0482/kartor/A 26310-2026 karta.png", "A 26310-2026")</f>
        <v/>
      </c>
      <c r="Y118">
        <f>HYPERLINK("https://klasma.github.io/Logging_0482/kartor_geotiff/A 26310-2026 georefererad karta.tif", "A 26310-2026")</f>
        <v/>
      </c>
      <c r="AA118">
        <f>HYPERLINK("https://klasma.github.io/Logging_0482/klagomål/A 26310-2026 FSC-klagomål.docx", "A 26310-2026")</f>
        <v/>
      </c>
      <c r="AB118">
        <f>HYPERLINK("https://klasma.github.io/Logging_0482/klagomålsmail/A 26310-2026 FSC-klagomål mail.docx", "A 26310-2026")</f>
        <v/>
      </c>
      <c r="AC118">
        <f>HYPERLINK("https://klasma.github.io/Logging_0482/tillsyn/A 26310-2026 tillsynsbegäran.docx", "A 26310-2026")</f>
        <v/>
      </c>
      <c r="AD118">
        <f>HYPERLINK("https://klasma.github.io/Logging_0482/tillsynsmail/A 26310-2026 tillsynsbegäran mail.docx", "A 26310-2026")</f>
        <v/>
      </c>
      <c r="AE118">
        <f>HYPERLINK("https://klasma.github.io/Logging_0482/fåglar/A 26310-2026 prioriterade fågelarter.docx", "A 26310-2026")</f>
        <v/>
      </c>
    </row>
    <row r="119" ht="15" customHeight="1">
      <c r="A119" t="inlineStr">
        <is>
          <t>A 26052-2026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46317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HYPERLINK("https://klasma.github.io/Logging_0482/artfynd/A 26052-2026 artfynd.xlsx", "A 26052-2026")</f>
        <v/>
      </c>
      <c r="X119">
        <f>HYPERLINK("https://klasma.github.io/Logging_0482/kartor/A 26052-2026 karta.png", "A 26052-2026")</f>
        <v/>
      </c>
      <c r="Y119">
        <f>HYPERLINK("https://klasma.github.io/Logging_0482/kartor_geotiff/A 26052-2026 georefererad karta.tif", "A 26052-2026")</f>
        <v/>
      </c>
      <c r="AA119">
        <f>HYPERLINK("https://klasma.github.io/Logging_0482/klagomål/A 26052-2026 FSC-klagomål.docx", "A 26052-2026")</f>
        <v/>
      </c>
      <c r="AB119">
        <f>HYPERLINK("https://klasma.github.io/Logging_0482/klagomålsmail/A 26052-2026 FSC-klagomål mail.docx", "A 26052-2026")</f>
        <v/>
      </c>
      <c r="AC119">
        <f>HYPERLINK("https://klasma.github.io/Logging_0482/tillsyn/A 26052-2026 tillsynsbegäran.docx", "A 26052-2026")</f>
        <v/>
      </c>
      <c r="AD119">
        <f>HYPERLINK("https://klasma.github.io/Logging_0482/tillsynsmail/A 26052-2026 tillsynsbegäran mail.docx", "A 26052-2026")</f>
        <v/>
      </c>
    </row>
    <row r="120" ht="15" customHeight="1">
      <c r="A120" t="inlineStr">
        <is>
          <t>A 6982-2024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46317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Fläcknycklar</t>
        </is>
      </c>
      <c r="W120">
        <f>HYPERLINK("https://klasma.github.io/Logging_0482/artfynd/A 6982-2024 artfynd.xlsx", "A 6982-2024")</f>
        <v/>
      </c>
      <c r="X120">
        <f>HYPERLINK("https://klasma.github.io/Logging_0482/kartor/A 6982-2024 karta.png", "A 6982-2024")</f>
        <v/>
      </c>
      <c r="Y120">
        <f>HYPERLINK("https://klasma.github.io/Logging_0482/kartor_geotiff/A 6982-2024 georefererad karta.tif", "A 6982-2024")</f>
        <v/>
      </c>
      <c r="AA120">
        <f>HYPERLINK("https://klasma.github.io/Logging_0482/klagomål/A 6982-2024 FSC-klagomål.docx", "A 6982-2024")</f>
        <v/>
      </c>
      <c r="AB120">
        <f>HYPERLINK("https://klasma.github.io/Logging_0482/klagomålsmail/A 6982-2024 FSC-klagomål mail.docx", "A 6982-2024")</f>
        <v/>
      </c>
      <c r="AC120">
        <f>HYPERLINK("https://klasma.github.io/Logging_0482/tillsyn/A 6982-2024 tillsynsbegäran.docx", "A 6982-2024")</f>
        <v/>
      </c>
      <c r="AD120">
        <f>HYPERLINK("https://klasma.github.io/Logging_0482/tillsynsmail/A 6982-2024 tillsynsbegäran mail.docx", "A 6982-2024")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46317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46317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46317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46317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46317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66230-2021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46317</v>
      </c>
      <c r="F126" t="inlineStr">
        <is>
          <t>SÖDERMANLANDS LÄN</t>
        </is>
      </c>
      <c r="G126" t="inlineStr">
        <is>
          <t>FLEN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66230-2021 artfynd.xlsx", "A 66230-2021")</f>
        <v/>
      </c>
      <c r="X126">
        <f>HYPERLINK("https://klasma.github.io/Logging_0482/kartor/A 66230-2021 karta.png", "A 66230-2021")</f>
        <v/>
      </c>
      <c r="Y126">
        <f>HYPERLINK("https://klasma.github.io/Logging_0482/kartor_geotiff/A 66230-2021 georefererad karta.tif", "A 66230-2021")</f>
        <v/>
      </c>
      <c r="AA126">
        <f>HYPERLINK("https://klasma.github.io/Logging_0482/klagomål/A 66230-2021 FSC-klagomål.docx", "A 66230-2021")</f>
        <v/>
      </c>
      <c r="AB126">
        <f>HYPERLINK("https://klasma.github.io/Logging_0482/klagomålsmail/A 66230-2021 FSC-klagomål mail.docx", "A 66230-2021")</f>
        <v/>
      </c>
      <c r="AC126">
        <f>HYPERLINK("https://klasma.github.io/Logging_0482/tillsyn/A 66230-2021 tillsynsbegäran.docx", "A 66230-2021")</f>
        <v/>
      </c>
      <c r="AD126">
        <f>HYPERLINK("https://klasma.github.io/Logging_0482/tillsynsmail/A 66230-2021 tillsynsbegäran mail.docx", "A 66230-2021")</f>
        <v/>
      </c>
    </row>
    <row r="127" ht="15" customHeight="1">
      <c r="A127" t="inlineStr">
        <is>
          <t>A 29195-2023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46317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3.9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HYPERLINK("https://klasma.github.io/Logging_0482/artfynd/A 29195-2023 artfynd.xlsx", "A 29195-2023")</f>
        <v/>
      </c>
      <c r="X127">
        <f>HYPERLINK("https://klasma.github.io/Logging_0482/kartor/A 29195-2023 karta.png", "A 29195-2023")</f>
        <v/>
      </c>
      <c r="Y127">
        <f>HYPERLINK("https://klasma.github.io/Logging_0482/kartor_geotiff/A 29195-2023 georefererad karta.tif", "A 29195-2023")</f>
        <v/>
      </c>
      <c r="AA127">
        <f>HYPERLINK("https://klasma.github.io/Logging_0482/klagomål/A 29195-2023 FSC-klagomål.docx", "A 29195-2023")</f>
        <v/>
      </c>
      <c r="AB127">
        <f>HYPERLINK("https://klasma.github.io/Logging_0482/klagomålsmail/A 29195-2023 FSC-klagomål mail.docx", "A 29195-2023")</f>
        <v/>
      </c>
      <c r="AC127">
        <f>HYPERLINK("https://klasma.github.io/Logging_0482/tillsyn/A 29195-2023 tillsynsbegäran.docx", "A 29195-2023")</f>
        <v/>
      </c>
      <c r="AD127">
        <f>HYPERLINK("https://klasma.github.io/Logging_0482/tillsynsmail/A 29195-2023 tillsynsbegäran mail.docx", "A 29195-2023")</f>
        <v/>
      </c>
    </row>
    <row r="128" ht="15" customHeight="1">
      <c r="A128" t="inlineStr">
        <is>
          <t>A 34721-2023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45141</v>
      </c>
      <c r="E128" s="1" t="n">
        <v>46317</v>
      </c>
      <c r="F128" t="inlineStr">
        <is>
          <t>SÖDERMANLANDS LÄN</t>
        </is>
      </c>
      <c r="G128" t="inlineStr">
        <is>
          <t>FLEN</t>
        </is>
      </c>
      <c r="I128" t="n">
        <v>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Gullklöver</t>
        </is>
      </c>
      <c r="W128">
        <f>HYPERLINK("https://klasma.github.io/Logging_0482/artfynd/A 34721-2023 artfynd.xlsx", "A 34721-2023")</f>
        <v/>
      </c>
      <c r="X128">
        <f>HYPERLINK("https://klasma.github.io/Logging_0482/kartor/A 34721-2023 karta.png", "A 34721-2023")</f>
        <v/>
      </c>
      <c r="Y128">
        <f>HYPERLINK("https://klasma.github.io/Logging_0482/kartor_geotiff/A 34721-2023 georefererad karta.tif", "A 34721-2023")</f>
        <v/>
      </c>
      <c r="AA128">
        <f>HYPERLINK("https://klasma.github.io/Logging_0482/klagomål/A 34721-2023 FSC-klagomål.docx", "A 34721-2023")</f>
        <v/>
      </c>
      <c r="AB128">
        <f>HYPERLINK("https://klasma.github.io/Logging_0482/klagomålsmail/A 34721-2023 FSC-klagomål mail.docx", "A 34721-2023")</f>
        <v/>
      </c>
      <c r="AC128">
        <f>HYPERLINK("https://klasma.github.io/Logging_0482/tillsyn/A 34721-2023 tillsynsbegäran.docx", "A 34721-2023")</f>
        <v/>
      </c>
      <c r="AD128">
        <f>HYPERLINK("https://klasma.github.io/Logging_0482/tillsynsmail/A 34721-2023 tillsynsbegäran mail.docx", "A 34721-2023")</f>
        <v/>
      </c>
    </row>
    <row r="129" ht="15" customHeight="1">
      <c r="A129" t="inlineStr">
        <is>
          <t>A 60591-2022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46317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HYPERLINK("https://klasma.github.io/Logging_0482/artfynd/A 60591-2022 artfynd.xlsx", "A 60591-2022")</f>
        <v/>
      </c>
      <c r="X129">
        <f>HYPERLINK("https://klasma.github.io/Logging_0482/kartor/A 60591-2022 karta.png", "A 60591-2022")</f>
        <v/>
      </c>
      <c r="Y129">
        <f>HYPERLINK("https://klasma.github.io/Logging_0482/kartor_geotiff/A 60591-2022 georefererad karta.tif", "A 60591-2022")</f>
        <v/>
      </c>
      <c r="AA129">
        <f>HYPERLINK("https://klasma.github.io/Logging_0482/klagomål/A 60591-2022 FSC-klagomål.docx", "A 60591-2022")</f>
        <v/>
      </c>
      <c r="AB129">
        <f>HYPERLINK("https://klasma.github.io/Logging_0482/klagomålsmail/A 60591-2022 FSC-klagomål mail.docx", "A 60591-2022")</f>
        <v/>
      </c>
      <c r="AC129">
        <f>HYPERLINK("https://klasma.github.io/Logging_0482/tillsyn/A 60591-2022 tillsynsbegäran.docx", "A 60591-2022")</f>
        <v/>
      </c>
      <c r="AD129">
        <f>HYPERLINK("https://klasma.github.io/Logging_0482/tillsynsmail/A 60591-2022 tillsynsbegäran mail.docx", "A 60591-2022")</f>
        <v/>
      </c>
    </row>
    <row r="130" ht="15" customHeight="1">
      <c r="A130" t="inlineStr">
        <is>
          <t>A 34823-2023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45140</v>
      </c>
      <c r="E130" s="1" t="n">
        <v>46317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Mörk dunört</t>
        </is>
      </c>
      <c r="W130">
        <f>HYPERLINK("https://klasma.github.io/Logging_0482/artfynd/A 34823-2023 artfynd.xlsx", "A 34823-2023")</f>
        <v/>
      </c>
      <c r="X130">
        <f>HYPERLINK("https://klasma.github.io/Logging_0482/kartor/A 34823-2023 karta.png", "A 34823-2023")</f>
        <v/>
      </c>
      <c r="Y130">
        <f>HYPERLINK("https://klasma.github.io/Logging_0482/kartor_geotiff/A 34823-2023 georefererad karta.tif", "A 34823-2023")</f>
        <v/>
      </c>
      <c r="AA130">
        <f>HYPERLINK("https://klasma.github.io/Logging_0482/klagomål/A 34823-2023 FSC-klagomål.docx", "A 34823-2023")</f>
        <v/>
      </c>
      <c r="AB130">
        <f>HYPERLINK("https://klasma.github.io/Logging_0482/klagomålsmail/A 34823-2023 FSC-klagomål mail.docx", "A 34823-2023")</f>
        <v/>
      </c>
      <c r="AC130">
        <f>HYPERLINK("https://klasma.github.io/Logging_0482/tillsyn/A 34823-2023 tillsynsbegäran.docx", "A 34823-2023")</f>
        <v/>
      </c>
      <c r="AD130">
        <f>HYPERLINK("https://klasma.github.io/Logging_0482/tillsynsmail/A 34823-2023 tillsynsbegäran mail.docx", "A 34823-2023")</f>
        <v/>
      </c>
    </row>
    <row r="131" ht="15" customHeight="1">
      <c r="A131" t="inlineStr">
        <is>
          <t>A 60529-2024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46317</v>
      </c>
      <c r="F131" t="inlineStr">
        <is>
          <t>SÖDERMANLANDS LÄN</t>
        </is>
      </c>
      <c r="G131" t="inlineStr">
        <is>
          <t>FLEN</t>
        </is>
      </c>
      <c r="I131" t="n">
        <v>2.5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Skarp dropptaggsvamp</t>
        </is>
      </c>
      <c r="W131">
        <f>HYPERLINK("https://klasma.github.io/Logging_0482/artfynd/A 60529-2024 artfynd.xlsx", "A 60529-2024")</f>
        <v/>
      </c>
      <c r="X131">
        <f>HYPERLINK("https://klasma.github.io/Logging_0482/kartor/A 60529-2024 karta.png", "A 60529-2024")</f>
        <v/>
      </c>
      <c r="Y131">
        <f>HYPERLINK("https://klasma.github.io/Logging_0482/kartor_geotiff/A 60529-2024 georefererad karta.tif", "A 60529-2024")</f>
        <v/>
      </c>
      <c r="AA131">
        <f>HYPERLINK("https://klasma.github.io/Logging_0482/klagomål/A 60529-2024 FSC-klagomål.docx", "A 60529-2024")</f>
        <v/>
      </c>
      <c r="AB131">
        <f>HYPERLINK("https://klasma.github.io/Logging_0482/klagomålsmail/A 60529-2024 FSC-klagomål mail.docx", "A 60529-2024")</f>
        <v/>
      </c>
      <c r="AC131">
        <f>HYPERLINK("https://klasma.github.io/Logging_0482/tillsyn/A 60529-2024 tillsynsbegäran.docx", "A 60529-2024")</f>
        <v/>
      </c>
      <c r="AD131">
        <f>HYPERLINK("https://klasma.github.io/Logging_0482/tillsynsmail/A 60529-2024 tillsynsbegäran mail.docx", "A 60529-2024")</f>
        <v/>
      </c>
    </row>
    <row r="132" ht="15" customHeight="1">
      <c r="A132" t="inlineStr">
        <is>
          <t>A 49820-2023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46317</v>
      </c>
      <c r="F132" t="inlineStr">
        <is>
          <t>SÖDERMANLANDS LÄN</t>
        </is>
      </c>
      <c r="G132" t="inlineStr">
        <is>
          <t>FLEN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Gullviva</t>
        </is>
      </c>
      <c r="W132">
        <f>HYPERLINK("https://klasma.github.io/Logging_0482/artfynd/A 49820-2023 artfynd.xlsx", "A 49820-2023")</f>
        <v/>
      </c>
      <c r="X132">
        <f>HYPERLINK("https://klasma.github.io/Logging_0482/kartor/A 49820-2023 karta.png", "A 49820-2023")</f>
        <v/>
      </c>
      <c r="Y132">
        <f>HYPERLINK("https://klasma.github.io/Logging_0482/kartor_geotiff/A 49820-2023 georefererad karta.tif", "A 49820-2023")</f>
        <v/>
      </c>
      <c r="AA132">
        <f>HYPERLINK("https://klasma.github.io/Logging_0482/klagomål/A 49820-2023 FSC-klagomål.docx", "A 49820-2023")</f>
        <v/>
      </c>
      <c r="AB132">
        <f>HYPERLINK("https://klasma.github.io/Logging_0482/klagomålsmail/A 49820-2023 FSC-klagomål mail.docx", "A 49820-2023")</f>
        <v/>
      </c>
      <c r="AC132">
        <f>HYPERLINK("https://klasma.github.io/Logging_0482/tillsyn/A 49820-2023 tillsynsbegäran.docx", "A 49820-2023")</f>
        <v/>
      </c>
      <c r="AD132">
        <f>HYPERLINK("https://klasma.github.io/Logging_0482/tillsynsmail/A 49820-2023 tillsynsbegäran mail.docx", "A 49820-2023")</f>
        <v/>
      </c>
    </row>
    <row r="133" ht="15" customHeight="1">
      <c r="A133" t="inlineStr">
        <is>
          <t>A 37283-2024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45540</v>
      </c>
      <c r="E133" s="1" t="n">
        <v>46317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37283-2024 artfynd.xlsx", "A 37283-2024")</f>
        <v/>
      </c>
      <c r="X133">
        <f>HYPERLINK("https://klasma.github.io/Logging_0482/kartor/A 37283-2024 karta.png", "A 37283-2024")</f>
        <v/>
      </c>
      <c r="Y133">
        <f>HYPERLINK("https://klasma.github.io/Logging_0482/kartor_geotiff/A 37283-2024 georefererad karta.tif", "A 37283-2024")</f>
        <v/>
      </c>
      <c r="AA133">
        <f>HYPERLINK("https://klasma.github.io/Logging_0482/klagomål/A 37283-2024 FSC-klagomål.docx", "A 37283-2024")</f>
        <v/>
      </c>
      <c r="AB133">
        <f>HYPERLINK("https://klasma.github.io/Logging_0482/klagomålsmail/A 37283-2024 FSC-klagomål mail.docx", "A 37283-2024")</f>
        <v/>
      </c>
      <c r="AC133">
        <f>HYPERLINK("https://klasma.github.io/Logging_0482/tillsyn/A 37283-2024 tillsynsbegäran.docx", "A 37283-2024")</f>
        <v/>
      </c>
      <c r="AD133">
        <f>HYPERLINK("https://klasma.github.io/Logging_0482/tillsynsmail/A 37283-2024 tillsynsbegäran mail.docx", "A 37283-2024")</f>
        <v/>
      </c>
    </row>
    <row r="134" ht="15" customHeight="1">
      <c r="A134" t="inlineStr">
        <is>
          <t>A 7973-2024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45350</v>
      </c>
      <c r="E134" s="1" t="n">
        <v>46317</v>
      </c>
      <c r="F134" t="inlineStr">
        <is>
          <t>SÖDERMANLANDS LÄN</t>
        </is>
      </c>
      <c r="G134" t="inlineStr">
        <is>
          <t>FLEN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Vippärt</t>
        </is>
      </c>
      <c r="W134">
        <f>HYPERLINK("https://klasma.github.io/Logging_0482/artfynd/A 7973-2024 artfynd.xlsx", "A 7973-2024")</f>
        <v/>
      </c>
      <c r="X134">
        <f>HYPERLINK("https://klasma.github.io/Logging_0482/kartor/A 7973-2024 karta.png", "A 7973-2024")</f>
        <v/>
      </c>
      <c r="Y134">
        <f>HYPERLINK("https://klasma.github.io/Logging_0482/kartor_geotiff/A 7973-2024 georefererad karta.tif", "A 7973-2024")</f>
        <v/>
      </c>
      <c r="AA134">
        <f>HYPERLINK("https://klasma.github.io/Logging_0482/klagomål/A 7973-2024 FSC-klagomål.docx", "A 7973-2024")</f>
        <v/>
      </c>
      <c r="AB134">
        <f>HYPERLINK("https://klasma.github.io/Logging_0482/klagomålsmail/A 7973-2024 FSC-klagomål mail.docx", "A 7973-2024")</f>
        <v/>
      </c>
      <c r="AC134">
        <f>HYPERLINK("https://klasma.github.io/Logging_0482/tillsyn/A 7973-2024 tillsynsbegäran.docx", "A 7973-2024")</f>
        <v/>
      </c>
      <c r="AD134">
        <f>HYPERLINK("https://klasma.github.io/Logging_0482/tillsynsmail/A 7973-2024 tillsynsbegäran mail.docx", "A 7973-2024")</f>
        <v/>
      </c>
    </row>
    <row r="135" ht="15" customHeight="1">
      <c r="A135" t="inlineStr">
        <is>
          <t>A 43008-2023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45182</v>
      </c>
      <c r="E135" s="1" t="n">
        <v>46317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43008-2023 artfynd.xlsx", "A 43008-2023")</f>
        <v/>
      </c>
      <c r="X135">
        <f>HYPERLINK("https://klasma.github.io/Logging_0482/kartor/A 43008-2023 karta.png", "A 43008-2023")</f>
        <v/>
      </c>
      <c r="Y135">
        <f>HYPERLINK("https://klasma.github.io/Logging_0482/kartor_geotiff/A 43008-2023 georefererad karta.tif", "A 43008-2023")</f>
        <v/>
      </c>
      <c r="AA135">
        <f>HYPERLINK("https://klasma.github.io/Logging_0482/klagomål/A 43008-2023 FSC-klagomål.docx", "A 43008-2023")</f>
        <v/>
      </c>
      <c r="AB135">
        <f>HYPERLINK("https://klasma.github.io/Logging_0482/klagomålsmail/A 43008-2023 FSC-klagomål mail.docx", "A 43008-2023")</f>
        <v/>
      </c>
      <c r="AC135">
        <f>HYPERLINK("https://klasma.github.io/Logging_0482/tillsyn/A 43008-2023 tillsynsbegäran.docx", "A 43008-2023")</f>
        <v/>
      </c>
      <c r="AD135">
        <f>HYPERLINK("https://klasma.github.io/Logging_0482/tillsynsmail/A 43008-2023 tillsynsbegäran mail.docx", "A 43008-2023")</f>
        <v/>
      </c>
    </row>
    <row r="136" ht="15" customHeight="1">
      <c r="A136" t="inlineStr">
        <is>
          <t>A 40333-2026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46294</v>
      </c>
      <c r="E136" s="1" t="n">
        <v>46317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Gullviva</t>
        </is>
      </c>
      <c r="W136">
        <f>HYPERLINK("https://klasma.github.io/Logging_0482/artfynd/A 40333-2026 artfynd.xlsx", "A 40333-2026")</f>
        <v/>
      </c>
      <c r="X136">
        <f>HYPERLINK("https://klasma.github.io/Logging_0482/kartor/A 40333-2026 karta.png", "A 40333-2026")</f>
        <v/>
      </c>
      <c r="Y136">
        <f>HYPERLINK("https://klasma.github.io/Logging_0482/kartor_geotiff/A 40333-2026 georefererad karta.tif", "A 40333-2026")</f>
        <v/>
      </c>
      <c r="AA136">
        <f>HYPERLINK("https://klasma.github.io/Logging_0482/klagomål/A 40333-2026 FSC-klagomål.docx", "A 40333-2026")</f>
        <v/>
      </c>
      <c r="AB136">
        <f>HYPERLINK("https://klasma.github.io/Logging_0482/klagomålsmail/A 40333-2026 FSC-klagomål mail.docx", "A 40333-2026")</f>
        <v/>
      </c>
      <c r="AC136">
        <f>HYPERLINK("https://klasma.github.io/Logging_0482/tillsyn/A 40333-2026 tillsynsbegäran.docx", "A 40333-2026")</f>
        <v/>
      </c>
      <c r="AD136">
        <f>HYPERLINK("https://klasma.github.io/Logging_0482/tillsynsmail/A 40333-2026 tillsynsbegäran mail.docx", "A 40333-2026")</f>
        <v/>
      </c>
    </row>
    <row r="137" ht="15" customHeight="1">
      <c r="A137" t="inlineStr">
        <is>
          <t>A 37317-2023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46317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5.1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Svavelriska</t>
        </is>
      </c>
      <c r="W137">
        <f>HYPERLINK("https://klasma.github.io/Logging_0482/artfynd/A 37317-2023 artfynd.xlsx", "A 37317-2023")</f>
        <v/>
      </c>
      <c r="X137">
        <f>HYPERLINK("https://klasma.github.io/Logging_0482/kartor/A 37317-2023 karta.png", "A 37317-2023")</f>
        <v/>
      </c>
      <c r="Y137">
        <f>HYPERLINK("https://klasma.github.io/Logging_0482/kartor_geotiff/A 37317-2023 georefererad karta.tif", "A 37317-2023")</f>
        <v/>
      </c>
      <c r="AA137">
        <f>HYPERLINK("https://klasma.github.io/Logging_0482/klagomål/A 37317-2023 FSC-klagomål.docx", "A 37317-2023")</f>
        <v/>
      </c>
      <c r="AB137">
        <f>HYPERLINK("https://klasma.github.io/Logging_0482/klagomålsmail/A 37317-2023 FSC-klagomål mail.docx", "A 37317-2023")</f>
        <v/>
      </c>
      <c r="AC137">
        <f>HYPERLINK("https://klasma.github.io/Logging_0482/tillsyn/A 37317-2023 tillsynsbegäran.docx", "A 37317-2023")</f>
        <v/>
      </c>
      <c r="AD137">
        <f>HYPERLINK("https://klasma.github.io/Logging_0482/tillsynsmail/A 37317-2023 tillsynsbegäran mail.docx", "A 37317-2023")</f>
        <v/>
      </c>
    </row>
    <row r="138" ht="15" customHeight="1">
      <c r="A138" t="inlineStr">
        <is>
          <t>A 46115-2023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45196</v>
      </c>
      <c r="E138" s="1" t="n">
        <v>46317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HYPERLINK("https://klasma.github.io/Logging_0482/artfynd/A 46115-2023 artfynd.xlsx", "A 46115-2023")</f>
        <v/>
      </c>
      <c r="X138">
        <f>HYPERLINK("https://klasma.github.io/Logging_0482/kartor/A 46115-2023 karta.png", "A 46115-2023")</f>
        <v/>
      </c>
      <c r="Y138">
        <f>HYPERLINK("https://klasma.github.io/Logging_0482/kartor_geotiff/A 46115-2023 georefererad karta.tif", "A 46115-2023")</f>
        <v/>
      </c>
      <c r="AA138">
        <f>HYPERLINK("https://klasma.github.io/Logging_0482/klagomål/A 46115-2023 FSC-klagomål.docx", "A 46115-2023")</f>
        <v/>
      </c>
      <c r="AB138">
        <f>HYPERLINK("https://klasma.github.io/Logging_0482/klagomålsmail/A 46115-2023 FSC-klagomål mail.docx", "A 46115-2023")</f>
        <v/>
      </c>
      <c r="AC138">
        <f>HYPERLINK("https://klasma.github.io/Logging_0482/tillsyn/A 46115-2023 tillsynsbegäran.docx", "A 46115-2023")</f>
        <v/>
      </c>
      <c r="AD138">
        <f>HYPERLINK("https://klasma.github.io/Logging_0482/tillsynsmail/A 46115-2023 tillsynsbegäran mail.docx", "A 46115-2023")</f>
        <v/>
      </c>
    </row>
    <row r="139" ht="15" customHeight="1">
      <c r="A139" t="inlineStr">
        <is>
          <t>A 56308-2024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46317</v>
      </c>
      <c r="F139" t="inlineStr">
        <is>
          <t>SÖDERMANLANDS LÄN</t>
        </is>
      </c>
      <c r="G139" t="inlineStr">
        <is>
          <t>FLEN</t>
        </is>
      </c>
      <c r="I139" t="n">
        <v>2.1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56308-2024 artfynd.xlsx", "A 56308-2024")</f>
        <v/>
      </c>
      <c r="X139">
        <f>HYPERLINK("https://klasma.github.io/Logging_0482/kartor/A 56308-2024 karta.png", "A 56308-2024")</f>
        <v/>
      </c>
      <c r="Y139">
        <f>HYPERLINK("https://klasma.github.io/Logging_0482/kartor_geotiff/A 56308-2024 georefererad karta.tif", "A 56308-2024")</f>
        <v/>
      </c>
      <c r="AA139">
        <f>HYPERLINK("https://klasma.github.io/Logging_0482/klagomål/A 56308-2024 FSC-klagomål.docx", "A 56308-2024")</f>
        <v/>
      </c>
      <c r="AB139">
        <f>HYPERLINK("https://klasma.github.io/Logging_0482/klagomålsmail/A 56308-2024 FSC-klagomål mail.docx", "A 56308-2024")</f>
        <v/>
      </c>
      <c r="AC139">
        <f>HYPERLINK("https://klasma.github.io/Logging_0482/tillsyn/A 56308-2024 tillsynsbegäran.docx", "A 56308-2024")</f>
        <v/>
      </c>
      <c r="AD139">
        <f>HYPERLINK("https://klasma.github.io/Logging_0482/tillsynsmail/A 56308-2024 tillsynsbegäran mail.docx", "A 56308-2024")</f>
        <v/>
      </c>
    </row>
    <row r="140" ht="15" customHeight="1">
      <c r="A140" t="inlineStr">
        <is>
          <t>A 21704-2026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46317</v>
      </c>
      <c r="F140" t="inlineStr">
        <is>
          <t>SÖDERMANLANDS LÄN</t>
        </is>
      </c>
      <c r="G140" t="inlineStr">
        <is>
          <t>FLEN</t>
        </is>
      </c>
      <c r="I140" t="n">
        <v>10.2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Kandelabersvamp</t>
        </is>
      </c>
      <c r="W140">
        <f>HYPERLINK("https://klasma.github.io/Logging_0482/artfynd/A 21704-2026 artfynd.xlsx", "A 21704-2026")</f>
        <v/>
      </c>
      <c r="X140">
        <f>HYPERLINK("https://klasma.github.io/Logging_0482/kartor/A 21704-2026 karta.png", "A 21704-2026")</f>
        <v/>
      </c>
      <c r="Y140">
        <f>HYPERLINK("https://klasma.github.io/Logging_0482/kartor_geotiff/A 21704-2026 georefererad karta.tif", "A 21704-2026")</f>
        <v/>
      </c>
      <c r="AA140">
        <f>HYPERLINK("https://klasma.github.io/Logging_0482/klagomål/A 21704-2026 FSC-klagomål.docx", "A 21704-2026")</f>
        <v/>
      </c>
      <c r="AB140">
        <f>HYPERLINK("https://klasma.github.io/Logging_0482/klagomålsmail/A 21704-2026 FSC-klagomål mail.docx", "A 21704-2026")</f>
        <v/>
      </c>
      <c r="AC140">
        <f>HYPERLINK("https://klasma.github.io/Logging_0482/tillsyn/A 21704-2026 tillsynsbegäran.docx", "A 21704-2026")</f>
        <v/>
      </c>
      <c r="AD140">
        <f>HYPERLINK("https://klasma.github.io/Logging_0482/tillsynsmail/A 21704-2026 tillsynsbegäran mail.docx", "A 21704-2026")</f>
        <v/>
      </c>
    </row>
    <row r="141" ht="15" customHeight="1">
      <c r="A141" t="inlineStr">
        <is>
          <t>A 43456-2026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46315</v>
      </c>
      <c r="E141" s="1" t="n">
        <v>46317</v>
      </c>
      <c r="F141" t="inlineStr">
        <is>
          <t>SÖDERMANLANDS LÄN</t>
        </is>
      </c>
      <c r="G141" t="inlineStr">
        <is>
          <t>FLEN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43456-2026 artfynd.xlsx", "A 43456-2026")</f>
        <v/>
      </c>
      <c r="X141">
        <f>HYPERLINK("https://klasma.github.io/Logging_0482/kartor/A 43456-2026 karta.png", "A 43456-2026")</f>
        <v/>
      </c>
      <c r="Y141">
        <f>HYPERLINK("https://klasma.github.io/Logging_0482/kartor_geotiff/A 43456-2026 georefererad karta.tif", "A 43456-2026")</f>
        <v/>
      </c>
      <c r="AA141">
        <f>HYPERLINK("https://klasma.github.io/Logging_0482/klagomål/A 43456-2026 FSC-klagomål.docx", "A 43456-2026")</f>
        <v/>
      </c>
      <c r="AB141">
        <f>HYPERLINK("https://klasma.github.io/Logging_0482/klagomålsmail/A 43456-2026 FSC-klagomål mail.docx", "A 43456-2026")</f>
        <v/>
      </c>
      <c r="AC141">
        <f>HYPERLINK("https://klasma.github.io/Logging_0482/tillsyn/A 43456-2026 tillsynsbegäran.docx", "A 43456-2026")</f>
        <v/>
      </c>
      <c r="AD141">
        <f>HYPERLINK("https://klasma.github.io/Logging_0482/tillsynsmail/A 43456-2026 tillsynsbegäran mail.docx", "A 43456-2026")</f>
        <v/>
      </c>
    </row>
    <row r="142" ht="15" customHeight="1">
      <c r="A142" t="inlineStr">
        <is>
          <t>A 62223-2021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46317</v>
      </c>
      <c r="F142" t="inlineStr">
        <is>
          <t>SÖDERMANLANDS LÄN</t>
        </is>
      </c>
      <c r="G142" t="inlineStr">
        <is>
          <t>FLEN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70701-2021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44536</v>
      </c>
      <c r="E143" s="1" t="n">
        <v>46317</v>
      </c>
      <c r="F143" t="inlineStr">
        <is>
          <t>SÖDERMANLANDS LÄN</t>
        </is>
      </c>
      <c r="G143" t="inlineStr">
        <is>
          <t>FLEN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46317</v>
      </c>
      <c r="F144" t="inlineStr">
        <is>
          <t>SÖDERMANLANDS LÄN</t>
        </is>
      </c>
      <c r="G144" t="inlineStr">
        <is>
          <t>FLEN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70215-2021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44535</v>
      </c>
      <c r="E145" s="1" t="n">
        <v>46317</v>
      </c>
      <c r="F145" t="inlineStr">
        <is>
          <t>SÖDERMANLANDS LÄN</t>
        </is>
      </c>
      <c r="G145" t="inlineStr">
        <is>
          <t>FLEN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46317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46317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46317</v>
      </c>
      <c r="F148" t="inlineStr">
        <is>
          <t>SÖDERMANLANDS LÄN</t>
        </is>
      </c>
      <c r="G148" t="inlineStr">
        <is>
          <t>FLEN</t>
        </is>
      </c>
      <c r="H148" t="inlineStr">
        <is>
          <t>Övriga statliga verk och myndigheter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44752</v>
      </c>
      <c r="E149" s="1" t="n">
        <v>46317</v>
      </c>
      <c r="F149" t="inlineStr">
        <is>
          <t>SÖDERMANLANDS LÄN</t>
        </is>
      </c>
      <c r="G149" t="inlineStr">
        <is>
          <t>FLEN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46317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46317</v>
      </c>
      <c r="F151" t="inlineStr">
        <is>
          <t>SÖDERMANLANDS LÄN</t>
        </is>
      </c>
      <c r="G151" t="inlineStr">
        <is>
          <t>FLEN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46317</v>
      </c>
      <c r="F152" t="inlineStr">
        <is>
          <t>SÖDERMANLANDS LÄN</t>
        </is>
      </c>
      <c r="G152" t="inlineStr">
        <is>
          <t>FLEN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44745</v>
      </c>
      <c r="E153" s="1" t="n">
        <v>46317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46317</v>
      </c>
      <c r="F154" t="inlineStr">
        <is>
          <t>SÖDERMANLANDS LÄN</t>
        </is>
      </c>
      <c r="G154" t="inlineStr">
        <is>
          <t>FLEN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46317</v>
      </c>
      <c r="F155" t="inlineStr">
        <is>
          <t>SÖDERMANLANDS LÄN</t>
        </is>
      </c>
      <c r="G155" t="inlineStr">
        <is>
          <t>FLEN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44807</v>
      </c>
      <c r="E156" s="1" t="n">
        <v>46317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46317</v>
      </c>
      <c r="F157" t="inlineStr">
        <is>
          <t>SÖDERMANLANDS LÄN</t>
        </is>
      </c>
      <c r="G157" t="inlineStr">
        <is>
          <t>FLEN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46317</v>
      </c>
      <c r="F158" t="inlineStr">
        <is>
          <t>SÖDERMANLANDS LÄN</t>
        </is>
      </c>
      <c r="G158" t="inlineStr">
        <is>
          <t>FLEN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46317</v>
      </c>
      <c r="F159" t="inlineStr">
        <is>
          <t>SÖDERMANLANDS LÄN</t>
        </is>
      </c>
      <c r="G159" t="inlineStr">
        <is>
          <t>FLEN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44770</v>
      </c>
      <c r="E160" s="1" t="n">
        <v>46317</v>
      </c>
      <c r="F160" t="inlineStr">
        <is>
          <t>SÖDERMANLANDS LÄN</t>
        </is>
      </c>
      <c r="G160" t="inlineStr">
        <is>
          <t>FLEN</t>
        </is>
      </c>
      <c r="H160" t="inlineStr">
        <is>
          <t>Övriga statliga verk och myndigheter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46317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44640</v>
      </c>
      <c r="E162" s="1" t="n">
        <v>46317</v>
      </c>
      <c r="F162" t="inlineStr">
        <is>
          <t>SÖDERMANLANDS LÄN</t>
        </is>
      </c>
      <c r="G162" t="inlineStr">
        <is>
          <t>FLEN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46317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46317</v>
      </c>
      <c r="F164" t="inlineStr">
        <is>
          <t>SÖDERMANLANDS LÄN</t>
        </is>
      </c>
      <c r="G164" t="inlineStr">
        <is>
          <t>FLEN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44643</v>
      </c>
      <c r="E165" s="1" t="n">
        <v>46317</v>
      </c>
      <c r="F165" t="inlineStr">
        <is>
          <t>SÖDERMANLANDS LÄN</t>
        </is>
      </c>
      <c r="G165" t="inlineStr">
        <is>
          <t>FLEN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44778</v>
      </c>
      <c r="E166" s="1" t="n">
        <v>46317</v>
      </c>
      <c r="F166" t="inlineStr">
        <is>
          <t>SÖDERMANLANDS LÄN</t>
        </is>
      </c>
      <c r="G166" t="inlineStr">
        <is>
          <t>FLEN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46317</v>
      </c>
      <c r="F167" t="inlineStr">
        <is>
          <t>SÖDERMANLANDS LÄN</t>
        </is>
      </c>
      <c r="G167" t="inlineStr">
        <is>
          <t>FLEN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46317</v>
      </c>
      <c r="F168" t="inlineStr">
        <is>
          <t>SÖDERMANLANDS LÄN</t>
        </is>
      </c>
      <c r="G168" t="inlineStr">
        <is>
          <t>FLEN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46317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46317</v>
      </c>
      <c r="F170" t="inlineStr">
        <is>
          <t>SÖDERMANLANDS LÄN</t>
        </is>
      </c>
      <c r="G170" t="inlineStr">
        <is>
          <t>FLEN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44854</v>
      </c>
      <c r="E171" s="1" t="n">
        <v>46317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46317</v>
      </c>
      <c r="F172" t="inlineStr">
        <is>
          <t>SÖDERMANLANDS LÄN</t>
        </is>
      </c>
      <c r="G172" t="inlineStr">
        <is>
          <t>FLEN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46317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46317</v>
      </c>
      <c r="F174" t="inlineStr">
        <is>
          <t>SÖDERMANLANDS LÄN</t>
        </is>
      </c>
      <c r="G174" t="inlineStr">
        <is>
          <t>FLEN</t>
        </is>
      </c>
      <c r="H174" t="inlineStr">
        <is>
          <t>Övriga statliga verk och myndigheter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46317</v>
      </c>
      <c r="F175" t="inlineStr">
        <is>
          <t>SÖDERMANLANDS LÄN</t>
        </is>
      </c>
      <c r="G175" t="inlineStr">
        <is>
          <t>FLEN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44636</v>
      </c>
      <c r="E176" s="1" t="n">
        <v>46317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46317</v>
      </c>
      <c r="F177" t="inlineStr">
        <is>
          <t>SÖDERMANLANDS LÄN</t>
        </is>
      </c>
      <c r="G177" t="inlineStr">
        <is>
          <t>FLEN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46317</v>
      </c>
      <c r="F178" t="inlineStr">
        <is>
          <t>SÖDERMANLANDS LÄN</t>
        </is>
      </c>
      <c r="G178" t="inlineStr">
        <is>
          <t>FLEN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44566</v>
      </c>
      <c r="E179" s="1" t="n">
        <v>46317</v>
      </c>
      <c r="F179" t="inlineStr">
        <is>
          <t>SÖDERMANLANDS LÄN</t>
        </is>
      </c>
      <c r="G179" t="inlineStr">
        <is>
          <t>FLEN</t>
        </is>
      </c>
      <c r="H179" t="inlineStr">
        <is>
          <t>Kyrkan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46317</v>
      </c>
      <c r="F180" t="inlineStr">
        <is>
          <t>SÖDERMANLANDS LÄN</t>
        </is>
      </c>
      <c r="G180" t="inlineStr">
        <is>
          <t>FLEN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46317</v>
      </c>
      <c r="F181" t="inlineStr">
        <is>
          <t>SÖDERMANLANDS LÄN</t>
        </is>
      </c>
      <c r="G181" t="inlineStr">
        <is>
          <t>FLEN</t>
        </is>
      </c>
      <c r="H181" t="inlineStr">
        <is>
          <t>Övriga statliga verk och myndigheter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44643</v>
      </c>
      <c r="E182" s="1" t="n">
        <v>46317</v>
      </c>
      <c r="F182" t="inlineStr">
        <is>
          <t>SÖDERMANLANDS LÄN</t>
        </is>
      </c>
      <c r="G182" t="inlineStr">
        <is>
          <t>FLEN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46317</v>
      </c>
      <c r="F183" t="inlineStr">
        <is>
          <t>SÖDERMANLANDS LÄN</t>
        </is>
      </c>
      <c r="G183" t="inlineStr">
        <is>
          <t>FLEN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46317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46317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46317</v>
      </c>
      <c r="F186" t="inlineStr">
        <is>
          <t>SÖDERMANLANDS LÄN</t>
        </is>
      </c>
      <c r="G186" t="inlineStr">
        <is>
          <t>FLEN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45311</v>
      </c>
      <c r="E187" s="1" t="n">
        <v>46317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46317</v>
      </c>
      <c r="F188" t="inlineStr">
        <is>
          <t>SÖDERMANLANDS LÄN</t>
        </is>
      </c>
      <c r="G188" t="inlineStr">
        <is>
          <t>FLEN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46317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46317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45228</v>
      </c>
      <c r="E191" s="1" t="n">
        <v>46317</v>
      </c>
      <c r="F191" t="inlineStr">
        <is>
          <t>SÖDERMANLANDS LÄN</t>
        </is>
      </c>
      <c r="G191" t="inlineStr">
        <is>
          <t>FLEN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44636</v>
      </c>
      <c r="E192" s="1" t="n">
        <v>46317</v>
      </c>
      <c r="F192" t="inlineStr">
        <is>
          <t>SÖDERMANLANDS LÄN</t>
        </is>
      </c>
      <c r="G192" t="inlineStr">
        <is>
          <t>FLEN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45222</v>
      </c>
      <c r="E193" s="1" t="n">
        <v>46317</v>
      </c>
      <c r="F193" t="inlineStr">
        <is>
          <t>SÖDERMANLANDS LÄN</t>
        </is>
      </c>
      <c r="G193" t="inlineStr">
        <is>
          <t>FLEN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46317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46317</v>
      </c>
      <c r="F195" t="inlineStr">
        <is>
          <t>SÖDERMANLANDS LÄN</t>
        </is>
      </c>
      <c r="G195" t="inlineStr">
        <is>
          <t>FLEN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45250</v>
      </c>
      <c r="E196" s="1" t="n">
        <v>46317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45398</v>
      </c>
      <c r="E197" s="1" t="n">
        <v>46317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21476-2024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45441</v>
      </c>
      <c r="E198" s="1" t="n">
        <v>46317</v>
      </c>
      <c r="F198" t="inlineStr">
        <is>
          <t>SÖDERMANLANDS LÄN</t>
        </is>
      </c>
      <c r="G198" t="inlineStr">
        <is>
          <t>FLEN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44796</v>
      </c>
      <c r="E199" s="1" t="n">
        <v>46317</v>
      </c>
      <c r="F199" t="inlineStr">
        <is>
          <t>SÖDERMANLANDS LÄN</t>
        </is>
      </c>
      <c r="G199" t="inlineStr">
        <is>
          <t>FLEN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46317</v>
      </c>
      <c r="F200" t="inlineStr">
        <is>
          <t>SÖDERMANLANDS LÄN</t>
        </is>
      </c>
      <c r="G200" t="inlineStr">
        <is>
          <t>FLEN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46317</v>
      </c>
      <c r="F201" t="inlineStr">
        <is>
          <t>SÖDERMANLANDS LÄN</t>
        </is>
      </c>
      <c r="G201" t="inlineStr">
        <is>
          <t>FLEN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46317</v>
      </c>
      <c r="F202" t="inlineStr">
        <is>
          <t>SÖDERMANLANDS LÄN</t>
        </is>
      </c>
      <c r="G202" t="inlineStr">
        <is>
          <t>FLEN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45790</v>
      </c>
      <c r="E203" s="1" t="n">
        <v>46317</v>
      </c>
      <c r="F203" t="inlineStr">
        <is>
          <t>SÖDERMANLANDS LÄN</t>
        </is>
      </c>
      <c r="G203" t="inlineStr">
        <is>
          <t>FLEN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22867-2025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45790</v>
      </c>
      <c r="E204" s="1" t="n">
        <v>46317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45790</v>
      </c>
      <c r="E205" s="1" t="n">
        <v>46317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46317</v>
      </c>
      <c r="F206" t="inlineStr">
        <is>
          <t>SÖDERMANLANDS LÄN</t>
        </is>
      </c>
      <c r="G206" t="inlineStr">
        <is>
          <t>FLEN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44887</v>
      </c>
      <c r="E207" s="1" t="n">
        <v>46317</v>
      </c>
      <c r="F207" t="inlineStr">
        <is>
          <t>SÖDERMANLANDS LÄN</t>
        </is>
      </c>
      <c r="G207" t="inlineStr">
        <is>
          <t>FLEN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46317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65869-2021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46317</v>
      </c>
      <c r="F209" t="inlineStr">
        <is>
          <t>SÖDERMANLANDS LÄN</t>
        </is>
      </c>
      <c r="G209" t="inlineStr">
        <is>
          <t>FLEN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46317</v>
      </c>
      <c r="F210" t="inlineStr">
        <is>
          <t>SÖDERMANLANDS LÄN</t>
        </is>
      </c>
      <c r="G210" t="inlineStr">
        <is>
          <t>FLEN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46317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45256</v>
      </c>
      <c r="E212" s="1" t="n">
        <v>46317</v>
      </c>
      <c r="F212" t="inlineStr">
        <is>
          <t>SÖDERMANLANDS LÄN</t>
        </is>
      </c>
      <c r="G212" t="inlineStr">
        <is>
          <t>FLEN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46317</v>
      </c>
      <c r="F213" t="inlineStr">
        <is>
          <t>SÖDERMANLANDS LÄN</t>
        </is>
      </c>
      <c r="G213" t="inlineStr">
        <is>
          <t>FLEN</t>
        </is>
      </c>
      <c r="H213" t="inlineStr">
        <is>
          <t>Holmen skog AB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46317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46317</v>
      </c>
      <c r="F215" t="inlineStr">
        <is>
          <t>SÖDERMANLANDS LÄN</t>
        </is>
      </c>
      <c r="G215" t="inlineStr">
        <is>
          <t>FLEN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46317</v>
      </c>
      <c r="F216" t="inlineStr">
        <is>
          <t>SÖDERMANLANDS LÄN</t>
        </is>
      </c>
      <c r="G216" t="inlineStr">
        <is>
          <t>FLEN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46317</v>
      </c>
      <c r="F217" t="inlineStr">
        <is>
          <t>SÖDERMANLANDS LÄN</t>
        </is>
      </c>
      <c r="G217" t="inlineStr">
        <is>
          <t>FLEN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45702</v>
      </c>
      <c r="E218" s="1" t="n">
        <v>46317</v>
      </c>
      <c r="F218" t="inlineStr">
        <is>
          <t>SÖDERMANLANDS LÄN</t>
        </is>
      </c>
      <c r="G218" t="inlineStr">
        <is>
          <t>FLEN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46317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46317</v>
      </c>
      <c r="F220" t="inlineStr">
        <is>
          <t>SÖDERMANLANDS LÄN</t>
        </is>
      </c>
      <c r="G220" t="inlineStr">
        <is>
          <t>FLEN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45684</v>
      </c>
      <c r="E221" s="1" t="n">
        <v>46317</v>
      </c>
      <c r="F221" t="inlineStr">
        <is>
          <t>SÖDERMANLANDS LÄN</t>
        </is>
      </c>
      <c r="G221" t="inlineStr">
        <is>
          <t>FLEN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46317</v>
      </c>
      <c r="F222" t="inlineStr">
        <is>
          <t>SÖDERMANLANDS LÄN</t>
        </is>
      </c>
      <c r="G222" t="inlineStr">
        <is>
          <t>FLEN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45176</v>
      </c>
      <c r="E223" s="1" t="n">
        <v>46317</v>
      </c>
      <c r="F223" t="inlineStr">
        <is>
          <t>SÖDERMANLANDS LÄN</t>
        </is>
      </c>
      <c r="G223" t="inlineStr">
        <is>
          <t>FLEN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66979-2021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46317</v>
      </c>
      <c r="F224" t="inlineStr">
        <is>
          <t>SÖDERMANLANDS LÄN</t>
        </is>
      </c>
      <c r="G224" t="inlineStr">
        <is>
          <t>FLEN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46317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46317</v>
      </c>
      <c r="F226" t="inlineStr">
        <is>
          <t>SÖDERMANLANDS LÄN</t>
        </is>
      </c>
      <c r="G226" t="inlineStr">
        <is>
          <t>FLEN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46317</v>
      </c>
      <c r="F227" t="inlineStr">
        <is>
          <t>SÖDERMANLANDS LÄN</t>
        </is>
      </c>
      <c r="G227" t="inlineStr">
        <is>
          <t>FLEN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46317</v>
      </c>
      <c r="F228" t="inlineStr">
        <is>
          <t>SÖDERMANLANDS LÄN</t>
        </is>
      </c>
      <c r="G228" t="inlineStr">
        <is>
          <t>FLEN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46317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46317</v>
      </c>
      <c r="F230" t="inlineStr">
        <is>
          <t>SÖDERMANLANDS LÄN</t>
        </is>
      </c>
      <c r="G230" t="inlineStr">
        <is>
          <t>FLEN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46317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46317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45830</v>
      </c>
      <c r="E233" s="1" t="n">
        <v>46317</v>
      </c>
      <c r="F233" t="inlineStr">
        <is>
          <t>SÖDERMANLANDS LÄN</t>
        </is>
      </c>
      <c r="G233" t="inlineStr">
        <is>
          <t>FLEN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45830</v>
      </c>
      <c r="E234" s="1" t="n">
        <v>46317</v>
      </c>
      <c r="F234" t="inlineStr">
        <is>
          <t>SÖDERMANLANDS LÄN</t>
        </is>
      </c>
      <c r="G234" t="inlineStr">
        <is>
          <t>FLEN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46317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46317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46317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45014</v>
      </c>
      <c r="E238" s="1" t="n">
        <v>46317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44588</v>
      </c>
      <c r="E239" s="1" t="n">
        <v>46317</v>
      </c>
      <c r="F239" t="inlineStr">
        <is>
          <t>SÖDERMANLANDS LÄN</t>
        </is>
      </c>
      <c r="G239" t="inlineStr">
        <is>
          <t>FLEN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44006-2022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44838</v>
      </c>
      <c r="E240" s="1" t="n">
        <v>46317</v>
      </c>
      <c r="F240" t="inlineStr">
        <is>
          <t>SÖDERMANLANDS LÄN</t>
        </is>
      </c>
      <c r="G240" t="inlineStr">
        <is>
          <t>FLEN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4899-2023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44958</v>
      </c>
      <c r="E241" s="1" t="n">
        <v>46317</v>
      </c>
      <c r="F241" t="inlineStr">
        <is>
          <t>SÖDERMANLANDS LÄN</t>
        </is>
      </c>
      <c r="G241" t="inlineStr">
        <is>
          <t>FLEN</t>
        </is>
      </c>
      <c r="H241" t="inlineStr">
        <is>
          <t>Kyrkan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45702</v>
      </c>
      <c r="E242" s="1" t="n">
        <v>46317</v>
      </c>
      <c r="F242" t="inlineStr">
        <is>
          <t>SÖDERMANLANDS LÄN</t>
        </is>
      </c>
      <c r="G242" t="inlineStr">
        <is>
          <t>FLEN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45226</v>
      </c>
      <c r="E243" s="1" t="n">
        <v>46317</v>
      </c>
      <c r="F243" t="inlineStr">
        <is>
          <t>SÖDERMANLANDS LÄN</t>
        </is>
      </c>
      <c r="G243" t="inlineStr">
        <is>
          <t>FLEN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46317</v>
      </c>
      <c r="F244" t="inlineStr">
        <is>
          <t>SÖDERMANLANDS LÄN</t>
        </is>
      </c>
      <c r="G244" t="inlineStr">
        <is>
          <t>FLEN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46317</v>
      </c>
      <c r="F245" t="inlineStr">
        <is>
          <t>SÖDERMANLANDS LÄN</t>
        </is>
      </c>
      <c r="G245" t="inlineStr">
        <is>
          <t>FLEN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46317</v>
      </c>
      <c r="F246" t="inlineStr">
        <is>
          <t>SÖDERMANLANDS LÄN</t>
        </is>
      </c>
      <c r="G246" t="inlineStr">
        <is>
          <t>FLEN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46317</v>
      </c>
      <c r="F247" t="inlineStr">
        <is>
          <t>SÖDERMANLANDS LÄN</t>
        </is>
      </c>
      <c r="G247" t="inlineStr">
        <is>
          <t>FLEN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46317</v>
      </c>
      <c r="F248" t="inlineStr">
        <is>
          <t>SÖDERMANLANDS LÄN</t>
        </is>
      </c>
      <c r="G248" t="inlineStr">
        <is>
          <t>FLEN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44899</v>
      </c>
      <c r="E249" s="1" t="n">
        <v>46317</v>
      </c>
      <c r="F249" t="inlineStr">
        <is>
          <t>SÖDERMANLANDS LÄN</t>
        </is>
      </c>
      <c r="G249" t="inlineStr">
        <is>
          <t>FLEN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46317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67464-2021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46317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46317</v>
      </c>
      <c r="F252" t="inlineStr">
        <is>
          <t>SÖDERMANLANDS LÄN</t>
        </is>
      </c>
      <c r="G252" t="inlineStr">
        <is>
          <t>FLEN</t>
        </is>
      </c>
      <c r="H252" t="inlineStr">
        <is>
          <t>Övriga statliga verk och myndigheter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45209</v>
      </c>
      <c r="E253" s="1" t="n">
        <v>46317</v>
      </c>
      <c r="F253" t="inlineStr">
        <is>
          <t>SÖDERMANLANDS LÄN</t>
        </is>
      </c>
      <c r="G253" t="inlineStr">
        <is>
          <t>FLEN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46317</v>
      </c>
      <c r="F254" t="inlineStr">
        <is>
          <t>SÖDERMANLANDS LÄN</t>
        </is>
      </c>
      <c r="G254" t="inlineStr">
        <is>
          <t>FLEN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46317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46317</v>
      </c>
      <c r="F256" t="inlineStr">
        <is>
          <t>SÖDERMANLANDS LÄN</t>
        </is>
      </c>
      <c r="G256" t="inlineStr">
        <is>
          <t>FLEN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44778</v>
      </c>
      <c r="E257" s="1" t="n">
        <v>46317</v>
      </c>
      <c r="F257" t="inlineStr">
        <is>
          <t>SÖDERMANLANDS LÄN</t>
        </is>
      </c>
      <c r="G257" t="inlineStr">
        <is>
          <t>FLEN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46317</v>
      </c>
      <c r="F258" t="inlineStr">
        <is>
          <t>SÖDERMANLANDS LÄN</t>
        </is>
      </c>
      <c r="G258" t="inlineStr">
        <is>
          <t>FLEN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46317</v>
      </c>
      <c r="F259" t="inlineStr">
        <is>
          <t>SÖDERMANLANDS LÄN</t>
        </is>
      </c>
      <c r="G259" t="inlineStr">
        <is>
          <t>FLEN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54282-2025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45964</v>
      </c>
      <c r="E260" s="1" t="n">
        <v>46317</v>
      </c>
      <c r="F260" t="inlineStr">
        <is>
          <t>SÖDERMANLANDS LÄN</t>
        </is>
      </c>
      <c r="G260" t="inlineStr">
        <is>
          <t>FLEN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54283-2025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45964</v>
      </c>
      <c r="E261" s="1" t="n">
        <v>46317</v>
      </c>
      <c r="F261" t="inlineStr">
        <is>
          <t>SÖDERMANLANDS LÄN</t>
        </is>
      </c>
      <c r="G261" t="inlineStr">
        <is>
          <t>FLEN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46317</v>
      </c>
      <c r="F262" t="inlineStr">
        <is>
          <t>SÖDERMANLANDS LÄN</t>
        </is>
      </c>
      <c r="G262" t="inlineStr">
        <is>
          <t>FLEN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45974</v>
      </c>
      <c r="E263" s="1" t="n">
        <v>46317</v>
      </c>
      <c r="F263" t="inlineStr">
        <is>
          <t>SÖDERMANLANDS LÄN</t>
        </is>
      </c>
      <c r="G263" t="inlineStr">
        <is>
          <t>FLEN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46317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46317</v>
      </c>
      <c r="F265" t="inlineStr">
        <is>
          <t>SÖDERMANLANDS LÄN</t>
        </is>
      </c>
      <c r="G265" t="inlineStr">
        <is>
          <t>FLEN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44761</v>
      </c>
      <c r="E266" s="1" t="n">
        <v>46317</v>
      </c>
      <c r="F266" t="inlineStr">
        <is>
          <t>SÖDERMANLANDS LÄN</t>
        </is>
      </c>
      <c r="G266" t="inlineStr">
        <is>
          <t>FLEN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46317</v>
      </c>
      <c r="F267" t="inlineStr">
        <is>
          <t>SÖDERMANLANDS LÄN</t>
        </is>
      </c>
      <c r="G267" t="inlineStr">
        <is>
          <t>FLEN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46317</v>
      </c>
      <c r="F268" t="inlineStr">
        <is>
          <t>SÖDERMANLANDS LÄN</t>
        </is>
      </c>
      <c r="G268" t="inlineStr">
        <is>
          <t>FLEN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44970</v>
      </c>
      <c r="E269" s="1" t="n">
        <v>46317</v>
      </c>
      <c r="F269" t="inlineStr">
        <is>
          <t>SÖDERMANLANDS LÄN</t>
        </is>
      </c>
      <c r="G269" t="inlineStr">
        <is>
          <t>FLEN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23835-2022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44722</v>
      </c>
      <c r="E270" s="1" t="n">
        <v>46317</v>
      </c>
      <c r="F270" t="inlineStr">
        <is>
          <t>SÖDERMANLANDS LÄN</t>
        </is>
      </c>
      <c r="G270" t="inlineStr">
        <is>
          <t>FLEN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44722</v>
      </c>
      <c r="E271" s="1" t="n">
        <v>46317</v>
      </c>
      <c r="F271" t="inlineStr">
        <is>
          <t>SÖDERMANLANDS LÄN</t>
        </is>
      </c>
      <c r="G271" t="inlineStr">
        <is>
          <t>FLEN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45993</v>
      </c>
      <c r="E272" s="1" t="n">
        <v>46317</v>
      </c>
      <c r="F272" t="inlineStr">
        <is>
          <t>SÖDERMANLANDS LÄN</t>
        </is>
      </c>
      <c r="G272" t="inlineStr">
        <is>
          <t>FLEN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46317</v>
      </c>
      <c r="F273" t="inlineStr">
        <is>
          <t>SÖDERMANLANDS LÄN</t>
        </is>
      </c>
      <c r="G273" t="inlineStr">
        <is>
          <t>FLEN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46317</v>
      </c>
      <c r="F274" t="inlineStr">
        <is>
          <t>SÖDERMANLANDS LÄN</t>
        </is>
      </c>
      <c r="G274" t="inlineStr">
        <is>
          <t>FLEN</t>
        </is>
      </c>
      <c r="H274" t="inlineStr">
        <is>
          <t>Kyrkan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46317</v>
      </c>
      <c r="F275" t="inlineStr">
        <is>
          <t>SÖDERMANLANDS LÄN</t>
        </is>
      </c>
      <c r="G275" t="inlineStr">
        <is>
          <t>FLEN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46317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46317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46317</v>
      </c>
      <c r="F278" t="inlineStr">
        <is>
          <t>SÖDERMANLANDS LÄN</t>
        </is>
      </c>
      <c r="G278" t="inlineStr">
        <is>
          <t>FLEN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46317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46317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9079-2025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46317</v>
      </c>
      <c r="F281" t="inlineStr">
        <is>
          <t>SÖDERMANLANDS LÄN</t>
        </is>
      </c>
      <c r="G281" t="inlineStr">
        <is>
          <t>FLEN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46317</v>
      </c>
      <c r="F282" t="inlineStr">
        <is>
          <t>SÖDERMANLANDS LÄN</t>
        </is>
      </c>
      <c r="G282" t="inlineStr">
        <is>
          <t>FLEN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46317</v>
      </c>
      <c r="F283" t="inlineStr">
        <is>
          <t>SÖDERMANLANDS LÄN</t>
        </is>
      </c>
      <c r="G283" t="inlineStr">
        <is>
          <t>FLEN</t>
        </is>
      </c>
      <c r="H283" t="inlineStr">
        <is>
          <t>Övriga statliga verk och myndigheter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49775-2024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45597</v>
      </c>
      <c r="E284" s="1" t="n">
        <v>46317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46317</v>
      </c>
      <c r="F285" t="inlineStr">
        <is>
          <t>SÖDERMANLANDS LÄN</t>
        </is>
      </c>
      <c r="G285" t="inlineStr">
        <is>
          <t>FLEN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52472-2023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46317</v>
      </c>
      <c r="F286" t="inlineStr">
        <is>
          <t>SÖDERMANLANDS LÄN</t>
        </is>
      </c>
      <c r="G286" t="inlineStr">
        <is>
          <t>FLEN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46317</v>
      </c>
      <c r="F287" t="inlineStr">
        <is>
          <t>SÖDERMANLANDS LÄN</t>
        </is>
      </c>
      <c r="G287" t="inlineStr">
        <is>
          <t>FLEN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46317</v>
      </c>
      <c r="F288" t="inlineStr">
        <is>
          <t>SÖDERMANLANDS LÄN</t>
        </is>
      </c>
      <c r="G288" t="inlineStr">
        <is>
          <t>FLEN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9511-2026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46317</v>
      </c>
      <c r="F289" t="inlineStr">
        <is>
          <t>SÖDERMANLANDS LÄN</t>
        </is>
      </c>
      <c r="G289" t="inlineStr">
        <is>
          <t>FLEN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46317</v>
      </c>
      <c r="F290" t="inlineStr">
        <is>
          <t>SÖDERMANLANDS LÄN</t>
        </is>
      </c>
      <c r="G290" t="inlineStr">
        <is>
          <t>FLEN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46317</v>
      </c>
      <c r="F291" t="inlineStr">
        <is>
          <t>SÖDERMANLANDS LÄN</t>
        </is>
      </c>
      <c r="G291" t="inlineStr">
        <is>
          <t>FLEN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46317</v>
      </c>
      <c r="F292" t="inlineStr">
        <is>
          <t>SÖDERMANLANDS LÄN</t>
        </is>
      </c>
      <c r="G292" t="inlineStr">
        <is>
          <t>FLEN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45228</v>
      </c>
      <c r="E293" s="1" t="n">
        <v>46317</v>
      </c>
      <c r="F293" t="inlineStr">
        <is>
          <t>SÖDERMANLANDS LÄN</t>
        </is>
      </c>
      <c r="G293" t="inlineStr">
        <is>
          <t>FLEN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46317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46079</v>
      </c>
      <c r="E295" s="1" t="n">
        <v>46317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46317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46082</v>
      </c>
      <c r="E297" s="1" t="n">
        <v>46317</v>
      </c>
      <c r="F297" t="inlineStr">
        <is>
          <t>SÖDERMANLANDS LÄN</t>
        </is>
      </c>
      <c r="G297" t="inlineStr">
        <is>
          <t>FLEN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46317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46080</v>
      </c>
      <c r="E299" s="1" t="n">
        <v>46317</v>
      </c>
      <c r="F299" t="inlineStr">
        <is>
          <t>SÖDERMANLANDS LÄN</t>
        </is>
      </c>
      <c r="G299" t="inlineStr">
        <is>
          <t>FLEN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46080</v>
      </c>
      <c r="E300" s="1" t="n">
        <v>46317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66867-2021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44522</v>
      </c>
      <c r="E301" s="1" t="n">
        <v>46317</v>
      </c>
      <c r="F301" t="inlineStr">
        <is>
          <t>SÖDERMANLANDS LÄN</t>
        </is>
      </c>
      <c r="G301" t="inlineStr">
        <is>
          <t>FLEN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46317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46317</v>
      </c>
      <c r="F303" t="inlineStr">
        <is>
          <t>SÖDERMANLANDS LÄN</t>
        </is>
      </c>
      <c r="G303" t="inlineStr">
        <is>
          <t>FLEN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46317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46317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45007</v>
      </c>
      <c r="E306" s="1" t="n">
        <v>46317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45345</v>
      </c>
      <c r="E307" s="1" t="n">
        <v>46317</v>
      </c>
      <c r="F307" t="inlineStr">
        <is>
          <t>SÖDERMANLANDS LÄN</t>
        </is>
      </c>
      <c r="G307" t="inlineStr">
        <is>
          <t>FLEN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46317</v>
      </c>
      <c r="F308" t="inlineStr">
        <is>
          <t>SÖDERMANLANDS LÄN</t>
        </is>
      </c>
      <c r="G308" t="inlineStr">
        <is>
          <t>FLEN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44909</v>
      </c>
      <c r="E309" s="1" t="n">
        <v>46317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46317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46317</v>
      </c>
      <c r="F311" t="inlineStr">
        <is>
          <t>SÖDERMANLANDS LÄN</t>
        </is>
      </c>
      <c r="G311" t="inlineStr">
        <is>
          <t>FLEN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46317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44848</v>
      </c>
      <c r="E313" s="1" t="n">
        <v>46317</v>
      </c>
      <c r="F313" t="inlineStr">
        <is>
          <t>SÖDERMANLANDS LÄN</t>
        </is>
      </c>
      <c r="G313" t="inlineStr">
        <is>
          <t>FLEN</t>
        </is>
      </c>
      <c r="H313" t="inlineStr">
        <is>
          <t>Övriga statliga verk och myndigheter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46317</v>
      </c>
      <c r="F314" t="inlineStr">
        <is>
          <t>SÖDERMANLANDS LÄN</t>
        </is>
      </c>
      <c r="G314" t="inlineStr">
        <is>
          <t>FLEN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50898-2022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44864</v>
      </c>
      <c r="E315" s="1" t="n">
        <v>46317</v>
      </c>
      <c r="F315" t="inlineStr">
        <is>
          <t>SÖDERMANLANDS LÄN</t>
        </is>
      </c>
      <c r="G315" t="inlineStr">
        <is>
          <t>FLEN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46317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46112</v>
      </c>
      <c r="E317" s="1" t="n">
        <v>46317</v>
      </c>
      <c r="F317" t="inlineStr">
        <is>
          <t>SÖDERMANLANDS LÄN</t>
        </is>
      </c>
      <c r="G317" t="inlineStr">
        <is>
          <t>FLEN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46317</v>
      </c>
      <c r="F318" t="inlineStr">
        <is>
          <t>SÖDERMANLANDS LÄN</t>
        </is>
      </c>
      <c r="G318" t="inlineStr">
        <is>
          <t>FLEN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50358-2023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45216</v>
      </c>
      <c r="E319" s="1" t="n">
        <v>46317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40404-2024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46317</v>
      </c>
      <c r="F320" t="inlineStr">
        <is>
          <t>SÖDERMANLANDS LÄN</t>
        </is>
      </c>
      <c r="G320" t="inlineStr">
        <is>
          <t>FLEN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46317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46317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46317</v>
      </c>
      <c r="F323" t="inlineStr">
        <is>
          <t>SÖDERMANLANDS LÄN</t>
        </is>
      </c>
      <c r="G323" t="inlineStr">
        <is>
          <t>FLEN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46317</v>
      </c>
      <c r="F324" t="inlineStr">
        <is>
          <t>SÖDERMANLANDS LÄN</t>
        </is>
      </c>
      <c r="G324" t="inlineStr">
        <is>
          <t>FLEN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46317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46317</v>
      </c>
      <c r="F326" t="inlineStr">
        <is>
          <t>SÖDERMANLANDS LÄN</t>
        </is>
      </c>
      <c r="G326" t="inlineStr">
        <is>
          <t>FLEN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46317</v>
      </c>
      <c r="F327" t="inlineStr">
        <is>
          <t>SÖDERMANLANDS LÄN</t>
        </is>
      </c>
      <c r="G327" t="inlineStr">
        <is>
          <t>FLEN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46317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45104</v>
      </c>
      <c r="E329" s="1" t="n">
        <v>46317</v>
      </c>
      <c r="F329" t="inlineStr">
        <is>
          <t>SÖDERMANLANDS LÄN</t>
        </is>
      </c>
      <c r="G329" t="inlineStr">
        <is>
          <t>FLEN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46317</v>
      </c>
      <c r="F330" t="inlineStr">
        <is>
          <t>SÖDERMANLANDS LÄN</t>
        </is>
      </c>
      <c r="G330" t="inlineStr">
        <is>
          <t>FLEN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46317</v>
      </c>
      <c r="F331" t="inlineStr">
        <is>
          <t>SÖDERMANLANDS LÄN</t>
        </is>
      </c>
      <c r="G331" t="inlineStr">
        <is>
          <t>FLEN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46317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45081</v>
      </c>
      <c r="E333" s="1" t="n">
        <v>46317</v>
      </c>
      <c r="F333" t="inlineStr">
        <is>
          <t>SÖDERMANLANDS LÄN</t>
        </is>
      </c>
      <c r="G333" t="inlineStr">
        <is>
          <t>FLEN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45081</v>
      </c>
      <c r="E334" s="1" t="n">
        <v>46317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46317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46317</v>
      </c>
      <c r="F336" t="inlineStr">
        <is>
          <t>SÖDERMANLANDS LÄN</t>
        </is>
      </c>
      <c r="G336" t="inlineStr">
        <is>
          <t>FLEN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46317</v>
      </c>
      <c r="F337" t="inlineStr">
        <is>
          <t>SÖDERMANLANDS LÄN</t>
        </is>
      </c>
      <c r="G337" t="inlineStr">
        <is>
          <t>FLEN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46317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46317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46317</v>
      </c>
      <c r="F340" t="inlineStr">
        <is>
          <t>SÖDERMANLANDS LÄN</t>
        </is>
      </c>
      <c r="G340" t="inlineStr">
        <is>
          <t>FLEN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73923-2021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44553</v>
      </c>
      <c r="E341" s="1" t="n">
        <v>46317</v>
      </c>
      <c r="F341" t="inlineStr">
        <is>
          <t>SÖDERMANLANDS LÄN</t>
        </is>
      </c>
      <c r="G341" t="inlineStr">
        <is>
          <t>FLEN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44909</v>
      </c>
      <c r="E342" s="1" t="n">
        <v>46317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46317</v>
      </c>
      <c r="F343" t="inlineStr">
        <is>
          <t>SÖDERMANLANDS LÄN</t>
        </is>
      </c>
      <c r="G343" t="inlineStr">
        <is>
          <t>FLEN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46317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46317</v>
      </c>
      <c r="F345" t="inlineStr">
        <is>
          <t>SÖDERMANLANDS LÄN</t>
        </is>
      </c>
      <c r="G345" t="inlineStr">
        <is>
          <t>FLEN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46317</v>
      </c>
      <c r="F346" t="inlineStr">
        <is>
          <t>SÖDERMANLANDS LÄN</t>
        </is>
      </c>
      <c r="G346" t="inlineStr">
        <is>
          <t>FLEN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44980</v>
      </c>
      <c r="E347" s="1" t="n">
        <v>46317</v>
      </c>
      <c r="F347" t="inlineStr">
        <is>
          <t>SÖDERMANLANDS LÄN</t>
        </is>
      </c>
      <c r="G347" t="inlineStr">
        <is>
          <t>FLEN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46317</v>
      </c>
      <c r="F348" t="inlineStr">
        <is>
          <t>SÖDERMANLANDS LÄN</t>
        </is>
      </c>
      <c r="G348" t="inlineStr">
        <is>
          <t>FLEN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44807</v>
      </c>
      <c r="E349" s="1" t="n">
        <v>46317</v>
      </c>
      <c r="F349" t="inlineStr">
        <is>
          <t>SÖDERMANLANDS LÄN</t>
        </is>
      </c>
      <c r="G349" t="inlineStr">
        <is>
          <t>FLEN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46317</v>
      </c>
      <c r="F350" t="inlineStr">
        <is>
          <t>SÖDERMANLANDS LÄN</t>
        </is>
      </c>
      <c r="G350" t="inlineStr">
        <is>
          <t>FLEN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44957</v>
      </c>
      <c r="E351" s="1" t="n">
        <v>46317</v>
      </c>
      <c r="F351" t="inlineStr">
        <is>
          <t>SÖDERMANLANDS LÄN</t>
        </is>
      </c>
      <c r="G351" t="inlineStr">
        <is>
          <t>FLEN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44614</v>
      </c>
      <c r="E352" s="1" t="n">
        <v>46317</v>
      </c>
      <c r="F352" t="inlineStr">
        <is>
          <t>SÖDERMANLANDS LÄN</t>
        </is>
      </c>
      <c r="G352" t="inlineStr">
        <is>
          <t>FLEN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46317</v>
      </c>
      <c r="F353" t="inlineStr">
        <is>
          <t>SÖDERMANLANDS LÄN</t>
        </is>
      </c>
      <c r="G353" t="inlineStr">
        <is>
          <t>FLEN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45528</v>
      </c>
      <c r="E354" s="1" t="n">
        <v>46317</v>
      </c>
      <c r="F354" t="inlineStr">
        <is>
          <t>SÖDERMANLANDS LÄN</t>
        </is>
      </c>
      <c r="G354" t="inlineStr">
        <is>
          <t>FLEN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72314-2021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46317</v>
      </c>
      <c r="F355" t="inlineStr">
        <is>
          <t>SÖDERMANLANDS LÄN</t>
        </is>
      </c>
      <c r="G355" t="inlineStr">
        <is>
          <t>FLEN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45869</v>
      </c>
      <c r="E356" s="1" t="n">
        <v>46317</v>
      </c>
      <c r="F356" t="inlineStr">
        <is>
          <t>SÖDERMANLANDS LÄN</t>
        </is>
      </c>
      <c r="G356" t="inlineStr">
        <is>
          <t>FLEN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46317</v>
      </c>
      <c r="F357" t="inlineStr">
        <is>
          <t>SÖDERMANLANDS LÄN</t>
        </is>
      </c>
      <c r="G357" t="inlineStr">
        <is>
          <t>FLEN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41630-2023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46317</v>
      </c>
      <c r="F358" t="inlineStr">
        <is>
          <t>SÖDERMANLANDS LÄN</t>
        </is>
      </c>
      <c r="G358" t="inlineStr">
        <is>
          <t>FLEN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46317</v>
      </c>
      <c r="F359" t="inlineStr">
        <is>
          <t>SÖDERMANLANDS LÄN</t>
        </is>
      </c>
      <c r="G359" t="inlineStr">
        <is>
          <t>FLEN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38753-2023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46317</v>
      </c>
      <c r="F360" t="inlineStr">
        <is>
          <t>SÖDERMANLANDS LÄN</t>
        </is>
      </c>
      <c r="G360" t="inlineStr">
        <is>
          <t>FLEN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45718</v>
      </c>
      <c r="E361" s="1" t="n">
        <v>46317</v>
      </c>
      <c r="F361" t="inlineStr">
        <is>
          <t>SÖDERMANLANDS LÄN</t>
        </is>
      </c>
      <c r="G361" t="inlineStr">
        <is>
          <t>FLEN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44495</v>
      </c>
      <c r="E362" s="1" t="n">
        <v>46317</v>
      </c>
      <c r="F362" t="inlineStr">
        <is>
          <t>SÖDERMANLANDS LÄN</t>
        </is>
      </c>
      <c r="G362" t="inlineStr">
        <is>
          <t>FLEN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46317</v>
      </c>
      <c r="F363" t="inlineStr">
        <is>
          <t>SÖDERMANLANDS LÄN</t>
        </is>
      </c>
      <c r="G363" t="inlineStr">
        <is>
          <t>FLEN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46317</v>
      </c>
      <c r="F364" t="inlineStr">
        <is>
          <t>SÖDERMANLANDS LÄN</t>
        </is>
      </c>
      <c r="G364" t="inlineStr">
        <is>
          <t>FLEN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46317</v>
      </c>
      <c r="F365" t="inlineStr">
        <is>
          <t>SÖDERMANLANDS LÄN</t>
        </is>
      </c>
      <c r="G365" t="inlineStr">
        <is>
          <t>FLEN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46317</v>
      </c>
      <c r="F366" t="inlineStr">
        <is>
          <t>SÖDERMANLANDS LÄN</t>
        </is>
      </c>
      <c r="G366" t="inlineStr">
        <is>
          <t>FLEN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8293-2022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44610</v>
      </c>
      <c r="E367" s="1" t="n">
        <v>46317</v>
      </c>
      <c r="F367" t="inlineStr">
        <is>
          <t>SÖDERMANLANDS LÄN</t>
        </is>
      </c>
      <c r="G367" t="inlineStr">
        <is>
          <t>FLEN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44602</v>
      </c>
      <c r="E368" s="1" t="n">
        <v>46317</v>
      </c>
      <c r="F368" t="inlineStr">
        <is>
          <t>SÖDERMANLANDS LÄN</t>
        </is>
      </c>
      <c r="G368" t="inlineStr">
        <is>
          <t>FLEN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45114</v>
      </c>
      <c r="E369" s="1" t="n">
        <v>46317</v>
      </c>
      <c r="F369" t="inlineStr">
        <is>
          <t>SÖDERMANLANDS LÄN</t>
        </is>
      </c>
      <c r="G369" t="inlineStr">
        <is>
          <t>FLEN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46317</v>
      </c>
      <c r="F370" t="inlineStr">
        <is>
          <t>SÖDERMANLANDS LÄN</t>
        </is>
      </c>
      <c r="G370" t="inlineStr">
        <is>
          <t>FLEN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46317</v>
      </c>
      <c r="F371" t="inlineStr">
        <is>
          <t>SÖDERMANLANDS LÄN</t>
        </is>
      </c>
      <c r="G371" t="inlineStr">
        <is>
          <t>FLEN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46317</v>
      </c>
      <c r="F372" t="inlineStr">
        <is>
          <t>SÖDERMANLANDS LÄN</t>
        </is>
      </c>
      <c r="G372" t="inlineStr">
        <is>
          <t>FLEN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69588-2021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46317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52353-2023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46317</v>
      </c>
      <c r="F374" t="inlineStr">
        <is>
          <t>SÖDERMANLANDS LÄN</t>
        </is>
      </c>
      <c r="G374" t="inlineStr">
        <is>
          <t>FLEN</t>
        </is>
      </c>
      <c r="H374" t="inlineStr">
        <is>
          <t>Kyrkan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11747-2022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46317</v>
      </c>
      <c r="F375" t="inlineStr">
        <is>
          <t>SÖDERMANLANDS LÄN</t>
        </is>
      </c>
      <c r="G375" t="inlineStr">
        <is>
          <t>FLEN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46317</v>
      </c>
      <c r="F376" t="inlineStr">
        <is>
          <t>SÖDERMANLANDS LÄN</t>
        </is>
      </c>
      <c r="G376" t="inlineStr">
        <is>
          <t>FLEN</t>
        </is>
      </c>
      <c r="H376" t="inlineStr">
        <is>
          <t>Övriga statliga verk och myndigheter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45209</v>
      </c>
      <c r="E377" s="1" t="n">
        <v>46317</v>
      </c>
      <c r="F377" t="inlineStr">
        <is>
          <t>SÖDERMANLANDS LÄN</t>
        </is>
      </c>
      <c r="G377" t="inlineStr">
        <is>
          <t>FLEN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8903-2022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44614</v>
      </c>
      <c r="E378" s="1" t="n">
        <v>46317</v>
      </c>
      <c r="F378" t="inlineStr">
        <is>
          <t>SÖDERMANLANDS LÄN</t>
        </is>
      </c>
      <c r="G378" t="inlineStr">
        <is>
          <t>FLEN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44676</v>
      </c>
      <c r="E379" s="1" t="n">
        <v>46317</v>
      </c>
      <c r="F379" t="inlineStr">
        <is>
          <t>SÖDERMANLANDS LÄN</t>
        </is>
      </c>
      <c r="G379" t="inlineStr">
        <is>
          <t>FLEN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45454</v>
      </c>
      <c r="E380" s="1" t="n">
        <v>46317</v>
      </c>
      <c r="F380" t="inlineStr">
        <is>
          <t>SÖDERMANLANDS LÄN</t>
        </is>
      </c>
      <c r="G380" t="inlineStr">
        <is>
          <t>FLEN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46317</v>
      </c>
      <c r="F381" t="inlineStr">
        <is>
          <t>SÖDERMANLANDS LÄN</t>
        </is>
      </c>
      <c r="G381" t="inlineStr">
        <is>
          <t>FLEN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46317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46317</v>
      </c>
      <c r="F383" t="inlineStr">
        <is>
          <t>SÖDERMANLANDS LÄN</t>
        </is>
      </c>
      <c r="G383" t="inlineStr">
        <is>
          <t>FLEN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46317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46317</v>
      </c>
      <c r="F385" t="inlineStr">
        <is>
          <t>SÖDERMANLANDS LÄN</t>
        </is>
      </c>
      <c r="G385" t="inlineStr">
        <is>
          <t>FLEN</t>
        </is>
      </c>
      <c r="H385" t="inlineStr">
        <is>
          <t>Övriga statliga verk och myndigheter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46317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46317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45230</v>
      </c>
      <c r="E388" s="1" t="n">
        <v>46317</v>
      </c>
      <c r="F388" t="inlineStr">
        <is>
          <t>SÖDERMANLANDS LÄN</t>
        </is>
      </c>
      <c r="G388" t="inlineStr">
        <is>
          <t>FLEN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46401-2022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46317</v>
      </c>
      <c r="F389" t="inlineStr">
        <is>
          <t>SÖDERMANLANDS LÄN</t>
        </is>
      </c>
      <c r="G389" t="inlineStr">
        <is>
          <t>FLEN</t>
        </is>
      </c>
      <c r="H389" t="inlineStr">
        <is>
          <t>Kyrkan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46317</v>
      </c>
      <c r="F390" t="inlineStr">
        <is>
          <t>SÖDERMANLANDS LÄN</t>
        </is>
      </c>
      <c r="G390" t="inlineStr">
        <is>
          <t>FLEN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39891-2022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44819</v>
      </c>
      <c r="E391" s="1" t="n">
        <v>46317</v>
      </c>
      <c r="F391" t="inlineStr">
        <is>
          <t>SÖDERMANLANDS LÄN</t>
        </is>
      </c>
      <c r="G391" t="inlineStr">
        <is>
          <t>FLEN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54781-2024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45618</v>
      </c>
      <c r="E392" s="1" t="n">
        <v>46317</v>
      </c>
      <c r="F392" t="inlineStr">
        <is>
          <t>SÖDERMANLANDS LÄN</t>
        </is>
      </c>
      <c r="G392" t="inlineStr">
        <is>
          <t>FLEN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46317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  <c r="Z393">
        <f>HYPERLINK("https://klasma.github.io/Logging_0482/knärot/A 24450-2026 karta knärot.png", "A 24450-2026")</f>
        <v/>
      </c>
      <c r="AA393">
        <f>HYPERLINK("https://klasma.github.io/Logging_0482/klagomål/A 24450-2026 FSC-klagomål.docx", "A 24450-2026")</f>
        <v/>
      </c>
      <c r="AB393">
        <f>HYPERLINK("https://klasma.github.io/Logging_0482/klagomålsmail/A 24450-2026 FSC-klagomål mail.docx", "A 24450-2026")</f>
        <v/>
      </c>
      <c r="AC393">
        <f>HYPERLINK("https://klasma.github.io/Logging_0482/tillsyn/A 24450-2026 tillsynsbegäran.docx", "A 24450-2026")</f>
        <v/>
      </c>
      <c r="AD393">
        <f>HYPERLINK("https://klasma.github.io/Logging_0482/tillsynsmail/A 24450-2026 tillsynsbegäran mail.docx", "A 24450-2026")</f>
        <v/>
      </c>
    </row>
    <row r="394" ht="15" customHeight="1">
      <c r="A394" t="inlineStr">
        <is>
          <t>A 21167-2023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45057</v>
      </c>
      <c r="E394" s="1" t="n">
        <v>46317</v>
      </c>
      <c r="F394" t="inlineStr">
        <is>
          <t>SÖDERMANLANDS LÄN</t>
        </is>
      </c>
      <c r="G394" t="inlineStr">
        <is>
          <t>FLEN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46317</v>
      </c>
      <c r="F395" t="inlineStr">
        <is>
          <t>SÖDERMANLANDS LÄN</t>
        </is>
      </c>
      <c r="G395" t="inlineStr">
        <is>
          <t>FLEN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47872-2025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45932</v>
      </c>
      <c r="E396" s="1" t="n">
        <v>46317</v>
      </c>
      <c r="F396" t="inlineStr">
        <is>
          <t>SÖDERMANLANDS LÄN</t>
        </is>
      </c>
      <c r="G396" t="inlineStr">
        <is>
          <t>FLEN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46317</v>
      </c>
      <c r="F397" t="inlineStr">
        <is>
          <t>SÖDERMANLANDS LÄN</t>
        </is>
      </c>
      <c r="G397" t="inlineStr">
        <is>
          <t>FLEN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44733</v>
      </c>
      <c r="E398" s="1" t="n">
        <v>46317</v>
      </c>
      <c r="F398" t="inlineStr">
        <is>
          <t>SÖDERMANLANDS LÄN</t>
        </is>
      </c>
      <c r="G398" t="inlineStr">
        <is>
          <t>FLEN</t>
        </is>
      </c>
      <c r="I398" t="n">
        <v>8.699999999999999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59599-2022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44907</v>
      </c>
      <c r="E399" s="1" t="n">
        <v>46317</v>
      </c>
      <c r="F399" t="inlineStr">
        <is>
          <t>SÖDERMANLANDS LÄN</t>
        </is>
      </c>
      <c r="G399" t="inlineStr">
        <is>
          <t>FLEN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46176</v>
      </c>
      <c r="E400" s="1" t="n">
        <v>46317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45315</v>
      </c>
      <c r="E401" s="1" t="n">
        <v>46317</v>
      </c>
      <c r="F401" t="inlineStr">
        <is>
          <t>SÖDERMANLANDS LÄN</t>
        </is>
      </c>
      <c r="G401" t="inlineStr">
        <is>
          <t>FLEN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55445-2022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46317</v>
      </c>
      <c r="F402" t="inlineStr">
        <is>
          <t>SÖDERMANLANDS LÄN</t>
        </is>
      </c>
      <c r="G402" t="inlineStr">
        <is>
          <t>FLEN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45378</v>
      </c>
      <c r="E403" s="1" t="n">
        <v>46317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46317</v>
      </c>
      <c r="F404" t="inlineStr">
        <is>
          <t>SÖDERMANLANDS LÄN</t>
        </is>
      </c>
      <c r="G404" t="inlineStr">
        <is>
          <t>FLEN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46317</v>
      </c>
      <c r="F405" t="inlineStr">
        <is>
          <t>SÖDERMANLANDS LÄN</t>
        </is>
      </c>
      <c r="G405" t="inlineStr">
        <is>
          <t>FLEN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46317</v>
      </c>
      <c r="F406" t="inlineStr">
        <is>
          <t>SÖDERMANLANDS LÄN</t>
        </is>
      </c>
      <c r="G406" t="inlineStr">
        <is>
          <t>FLEN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46317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46317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46317</v>
      </c>
      <c r="F409" t="inlineStr">
        <is>
          <t>SÖDERMANLANDS LÄN</t>
        </is>
      </c>
      <c r="G409" t="inlineStr">
        <is>
          <t>FLEN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46317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46317</v>
      </c>
      <c r="F411" t="inlineStr">
        <is>
          <t>SÖDERMANLANDS LÄN</t>
        </is>
      </c>
      <c r="G411" t="inlineStr">
        <is>
          <t>FLEN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44900</v>
      </c>
      <c r="E412" s="1" t="n">
        <v>46317</v>
      </c>
      <c r="F412" t="inlineStr">
        <is>
          <t>SÖDERMANLANDS LÄN</t>
        </is>
      </c>
      <c r="G412" t="inlineStr">
        <is>
          <t>FLEN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45309</v>
      </c>
      <c r="E413" s="1" t="n">
        <v>46317</v>
      </c>
      <c r="F413" t="inlineStr">
        <is>
          <t>SÖDERMANLANDS LÄN</t>
        </is>
      </c>
      <c r="G413" t="inlineStr">
        <is>
          <t>FLEN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44958</v>
      </c>
      <c r="E414" s="1" t="n">
        <v>46317</v>
      </c>
      <c r="F414" t="inlineStr">
        <is>
          <t>SÖDERMANLANDS LÄN</t>
        </is>
      </c>
      <c r="G414" t="inlineStr">
        <is>
          <t>FLEN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51925-2022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44868</v>
      </c>
      <c r="E415" s="1" t="n">
        <v>46317</v>
      </c>
      <c r="F415" t="inlineStr">
        <is>
          <t>SÖDERMANLANDS LÄN</t>
        </is>
      </c>
      <c r="G415" t="inlineStr">
        <is>
          <t>FLEN</t>
        </is>
      </c>
      <c r="H415" t="inlineStr">
        <is>
          <t>Övriga statliga verk och myndigheter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46317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46317</v>
      </c>
      <c r="F417" t="inlineStr">
        <is>
          <t>SÖDERMANLANDS LÄN</t>
        </is>
      </c>
      <c r="G417" t="inlineStr">
        <is>
          <t>FLEN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46317</v>
      </c>
      <c r="F418" t="inlineStr">
        <is>
          <t>SÖDERMANLANDS LÄN</t>
        </is>
      </c>
      <c r="G418" t="inlineStr">
        <is>
          <t>FLEN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44624</v>
      </c>
      <c r="E419" s="1" t="n">
        <v>46317</v>
      </c>
      <c r="F419" t="inlineStr">
        <is>
          <t>SÖDERMANLANDS LÄN</t>
        </is>
      </c>
      <c r="G419" t="inlineStr">
        <is>
          <t>FLEN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44624</v>
      </c>
      <c r="E420" s="1" t="n">
        <v>46317</v>
      </c>
      <c r="F420" t="inlineStr">
        <is>
          <t>SÖDERMANLANDS LÄN</t>
        </is>
      </c>
      <c r="G420" t="inlineStr">
        <is>
          <t>FLEN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16908-2024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45411</v>
      </c>
      <c r="E421" s="1" t="n">
        <v>46317</v>
      </c>
      <c r="F421" t="inlineStr">
        <is>
          <t>SÖDERMANLANDS LÄN</t>
        </is>
      </c>
      <c r="G421" t="inlineStr">
        <is>
          <t>FLEN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46317</v>
      </c>
      <c r="F422" t="inlineStr">
        <is>
          <t>SÖDERMANLANDS LÄN</t>
        </is>
      </c>
      <c r="G422" t="inlineStr">
        <is>
          <t>FLEN</t>
        </is>
      </c>
      <c r="H422" t="inlineStr">
        <is>
          <t>Kommuner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46317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57046-2023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46317</v>
      </c>
      <c r="F424" t="inlineStr">
        <is>
          <t>SÖDERMANLANDS LÄN</t>
        </is>
      </c>
      <c r="G424" t="inlineStr">
        <is>
          <t>FLEN</t>
        </is>
      </c>
      <c r="H424" t="inlineStr">
        <is>
          <t>Övriga statliga verk och myndigheter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46317</v>
      </c>
      <c r="F425" t="inlineStr">
        <is>
          <t>SÖDERMANLANDS LÄN</t>
        </is>
      </c>
      <c r="G425" t="inlineStr">
        <is>
          <t>FLEN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48826-2022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44859</v>
      </c>
      <c r="E426" s="1" t="n">
        <v>46317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45501</v>
      </c>
      <c r="E427" s="1" t="n">
        <v>46317</v>
      </c>
      <c r="F427" t="inlineStr">
        <is>
          <t>SÖDERMANLANDS LÄN</t>
        </is>
      </c>
      <c r="G427" t="inlineStr">
        <is>
          <t>FLEN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46317</v>
      </c>
      <c r="F428" t="inlineStr">
        <is>
          <t>SÖDERMANLANDS LÄN</t>
        </is>
      </c>
      <c r="G428" t="inlineStr">
        <is>
          <t>FLEN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44566</v>
      </c>
      <c r="E429" s="1" t="n">
        <v>46317</v>
      </c>
      <c r="F429" t="inlineStr">
        <is>
          <t>SÖDERMANLANDS LÄN</t>
        </is>
      </c>
      <c r="G429" t="inlineStr">
        <is>
          <t>FLEN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46317</v>
      </c>
      <c r="F430" t="inlineStr">
        <is>
          <t>SÖDERMANLANDS LÄN</t>
        </is>
      </c>
      <c r="G430" t="inlineStr">
        <is>
          <t>FLEN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44855</v>
      </c>
      <c r="E431" s="1" t="n">
        <v>46317</v>
      </c>
      <c r="F431" t="inlineStr">
        <is>
          <t>SÖDERMANLANDS LÄN</t>
        </is>
      </c>
      <c r="G431" t="inlineStr">
        <is>
          <t>FLEN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44855</v>
      </c>
      <c r="E432" s="1" t="n">
        <v>46317</v>
      </c>
      <c r="F432" t="inlineStr">
        <is>
          <t>SÖDERMANLANDS LÄN</t>
        </is>
      </c>
      <c r="G432" t="inlineStr">
        <is>
          <t>FLEN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46317</v>
      </c>
      <c r="F433" t="inlineStr">
        <is>
          <t>SÖDERMANLANDS LÄN</t>
        </is>
      </c>
      <c r="G433" t="inlineStr">
        <is>
          <t>FLEN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46317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45482</v>
      </c>
      <c r="E435" s="1" t="n">
        <v>46317</v>
      </c>
      <c r="F435" t="inlineStr">
        <is>
          <t>SÖDERMANLANDS LÄN</t>
        </is>
      </c>
      <c r="G435" t="inlineStr">
        <is>
          <t>FLEN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45213</v>
      </c>
      <c r="E436" s="1" t="n">
        <v>46317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31965-2024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45510</v>
      </c>
      <c r="E437" s="1" t="n">
        <v>46317</v>
      </c>
      <c r="F437" t="inlineStr">
        <is>
          <t>SÖDERMANLANDS LÄN</t>
        </is>
      </c>
      <c r="G437" t="inlineStr">
        <is>
          <t>FLEN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44914</v>
      </c>
      <c r="E438" s="1" t="n">
        <v>46317</v>
      </c>
      <c r="F438" t="inlineStr">
        <is>
          <t>SÖDERMANLANDS LÄN</t>
        </is>
      </c>
      <c r="G438" t="inlineStr">
        <is>
          <t>FLEN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46229</v>
      </c>
      <c r="E439" s="1" t="n">
        <v>46317</v>
      </c>
      <c r="F439" t="inlineStr">
        <is>
          <t>SÖDERMANLANDS LÄN</t>
        </is>
      </c>
      <c r="G439" t="inlineStr">
        <is>
          <t>FLEN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33103-2022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44785</v>
      </c>
      <c r="E440" s="1" t="n">
        <v>46317</v>
      </c>
      <c r="F440" t="inlineStr">
        <is>
          <t>SÖDERMANLANDS LÄN</t>
        </is>
      </c>
      <c r="G440" t="inlineStr">
        <is>
          <t>FLEN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44648</v>
      </c>
      <c r="E441" s="1" t="n">
        <v>46317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44979</v>
      </c>
      <c r="E442" s="1" t="n">
        <v>46317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46317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26663-2022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44739</v>
      </c>
      <c r="E444" s="1" t="n">
        <v>46317</v>
      </c>
      <c r="F444" t="inlineStr">
        <is>
          <t>SÖDERMANLANDS LÄN</t>
        </is>
      </c>
      <c r="G444" t="inlineStr">
        <is>
          <t>FLEN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44769</v>
      </c>
      <c r="E445" s="1" t="n">
        <v>46317</v>
      </c>
      <c r="F445" t="inlineStr">
        <is>
          <t>SÖDERMANLANDS LÄN</t>
        </is>
      </c>
      <c r="G445" t="inlineStr">
        <is>
          <t>FLEN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45036</v>
      </c>
      <c r="E446" s="1" t="n">
        <v>46317</v>
      </c>
      <c r="F446" t="inlineStr">
        <is>
          <t>SÖDERMANLANDS LÄN</t>
        </is>
      </c>
      <c r="G446" t="inlineStr">
        <is>
          <t>FLEN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46240</v>
      </c>
      <c r="E447" s="1" t="n">
        <v>46317</v>
      </c>
      <c r="F447" t="inlineStr">
        <is>
          <t>SÖDERMANLANDS LÄN</t>
        </is>
      </c>
      <c r="G447" t="inlineStr">
        <is>
          <t>FLEN</t>
        </is>
      </c>
      <c r="I447" t="n">
        <v>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51872-2022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44872</v>
      </c>
      <c r="E448" s="1" t="n">
        <v>46317</v>
      </c>
      <c r="F448" t="inlineStr">
        <is>
          <t>SÖDERMANLANDS LÄN</t>
        </is>
      </c>
      <c r="G448" t="inlineStr">
        <is>
          <t>FLEN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46244</v>
      </c>
      <c r="E449" s="1" t="n">
        <v>46317</v>
      </c>
      <c r="F449" t="inlineStr">
        <is>
          <t>SÖDERMANLANDS LÄN</t>
        </is>
      </c>
      <c r="G449" t="inlineStr">
        <is>
          <t>FLEN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46317</v>
      </c>
      <c r="F450" t="inlineStr">
        <is>
          <t>SÖDERMANLANDS LÄN</t>
        </is>
      </c>
      <c r="G450" t="inlineStr">
        <is>
          <t>FLEN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46317</v>
      </c>
      <c r="F451" t="inlineStr">
        <is>
          <t>SÖDERMANLANDS LÄN</t>
        </is>
      </c>
      <c r="G451" t="inlineStr">
        <is>
          <t>FLEN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20791-2022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44701</v>
      </c>
      <c r="E452" s="1" t="n">
        <v>46317</v>
      </c>
      <c r="F452" t="inlineStr">
        <is>
          <t>SÖDERMANLANDS LÄN</t>
        </is>
      </c>
      <c r="G452" t="inlineStr">
        <is>
          <t>FLEN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46317</v>
      </c>
      <c r="F453" t="inlineStr">
        <is>
          <t>SÖDERMANLANDS LÄN</t>
        </is>
      </c>
      <c r="G453" t="inlineStr">
        <is>
          <t>FLEN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62579-2023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45270</v>
      </c>
      <c r="E454" s="1" t="n">
        <v>46317</v>
      </c>
      <c r="F454" t="inlineStr">
        <is>
          <t>SÖDERMANLANDS LÄN</t>
        </is>
      </c>
      <c r="G454" t="inlineStr">
        <is>
          <t>FLEN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46317</v>
      </c>
      <c r="F455" t="inlineStr">
        <is>
          <t>SÖDERMANLANDS LÄN</t>
        </is>
      </c>
      <c r="G455" t="inlineStr">
        <is>
          <t>FLEN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45518</v>
      </c>
      <c r="E456" s="1" t="n">
        <v>46317</v>
      </c>
      <c r="F456" t="inlineStr">
        <is>
          <t>SÖDERMANLANDS LÄN</t>
        </is>
      </c>
      <c r="G456" t="inlineStr">
        <is>
          <t>FLEN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44561-2024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46317</v>
      </c>
      <c r="F457" t="inlineStr">
        <is>
          <t>SÖDERMANLANDS LÄN</t>
        </is>
      </c>
      <c r="G457" t="inlineStr">
        <is>
          <t>FLEN</t>
        </is>
      </c>
      <c r="H457" t="inlineStr">
        <is>
          <t>Övriga statliga verk och myndigheter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46317</v>
      </c>
      <c r="F458" t="inlineStr">
        <is>
          <t>SÖDERMANLANDS LÄN</t>
        </is>
      </c>
      <c r="G458" t="inlineStr">
        <is>
          <t>FLEN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45365</v>
      </c>
      <c r="E459" s="1" t="n">
        <v>46317</v>
      </c>
      <c r="F459" t="inlineStr">
        <is>
          <t>SÖDERMANLANDS LÄN</t>
        </is>
      </c>
      <c r="G459" t="inlineStr">
        <is>
          <t>FLEN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45299</v>
      </c>
      <c r="E460" s="1" t="n">
        <v>46317</v>
      </c>
      <c r="F460" t="inlineStr">
        <is>
          <t>SÖDERMANLANDS LÄN</t>
        </is>
      </c>
      <c r="G460" t="inlineStr">
        <is>
          <t>FLEN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46317</v>
      </c>
      <c r="F461" t="inlineStr">
        <is>
          <t>SÖDERMANLANDS LÄN</t>
        </is>
      </c>
      <c r="G461" t="inlineStr">
        <is>
          <t>FLEN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15904-2023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45022</v>
      </c>
      <c r="E462" s="1" t="n">
        <v>46317</v>
      </c>
      <c r="F462" t="inlineStr">
        <is>
          <t>SÖDERMANLANDS LÄN</t>
        </is>
      </c>
      <c r="G462" t="inlineStr">
        <is>
          <t>FLEN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45110</v>
      </c>
      <c r="E463" s="1" t="n">
        <v>46317</v>
      </c>
      <c r="F463" t="inlineStr">
        <is>
          <t>SÖDERMANLANDS LÄN</t>
        </is>
      </c>
      <c r="G463" t="inlineStr">
        <is>
          <t>FLEN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36096-2023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46317</v>
      </c>
      <c r="F464" t="inlineStr">
        <is>
          <t>SÖDERMANLANDS LÄN</t>
        </is>
      </c>
      <c r="G464" t="inlineStr">
        <is>
          <t>FLEN</t>
        </is>
      </c>
      <c r="H464" t="inlineStr">
        <is>
          <t>Kyrkan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40408-2024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46317</v>
      </c>
      <c r="F465" t="inlineStr">
        <is>
          <t>SÖDERMANLANDS LÄN</t>
        </is>
      </c>
      <c r="G465" t="inlineStr">
        <is>
          <t>FLEN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46317</v>
      </c>
      <c r="F466" t="inlineStr">
        <is>
          <t>SÖDERMANLANDS LÄN</t>
        </is>
      </c>
      <c r="G466" t="inlineStr">
        <is>
          <t>FLEN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34612-2023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46317</v>
      </c>
      <c r="F467" t="inlineStr">
        <is>
          <t>SÖDERMANLANDS LÄN</t>
        </is>
      </c>
      <c r="G467" t="inlineStr">
        <is>
          <t>FLEN</t>
        </is>
      </c>
      <c r="H467" t="inlineStr">
        <is>
          <t>Kyrkan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44931</v>
      </c>
      <c r="E468" s="1" t="n">
        <v>46317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2738-2022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46317</v>
      </c>
      <c r="F469" t="inlineStr">
        <is>
          <t>SÖDERMANLANDS LÄN</t>
        </is>
      </c>
      <c r="G469" t="inlineStr">
        <is>
          <t>FLEN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46317</v>
      </c>
      <c r="F470" t="inlineStr">
        <is>
          <t>SÖDERMANLANDS LÄN</t>
        </is>
      </c>
      <c r="G470" t="inlineStr">
        <is>
          <t>FLEN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45217</v>
      </c>
      <c r="E471" s="1" t="n">
        <v>46317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33936-2026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46250</v>
      </c>
      <c r="E472" s="1" t="n">
        <v>46317</v>
      </c>
      <c r="F472" t="inlineStr">
        <is>
          <t>SÖDERMANLANDS LÄN</t>
        </is>
      </c>
      <c r="G472" t="inlineStr">
        <is>
          <t>FLEN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22028-2023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45066</v>
      </c>
      <c r="E473" s="1" t="n">
        <v>46317</v>
      </c>
      <c r="F473" t="inlineStr">
        <is>
          <t>SÖDERMANLANDS LÄN</t>
        </is>
      </c>
      <c r="G473" t="inlineStr">
        <is>
          <t>FLEN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46317</v>
      </c>
      <c r="F474" t="inlineStr">
        <is>
          <t>SÖDERMANLANDS LÄN</t>
        </is>
      </c>
      <c r="G474" t="inlineStr">
        <is>
          <t>FLEN</t>
        </is>
      </c>
      <c r="H474" t="inlineStr">
        <is>
          <t>Kyrkan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46317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45667</v>
      </c>
      <c r="E476" s="1" t="n">
        <v>46317</v>
      </c>
      <c r="F476" t="inlineStr">
        <is>
          <t>SÖDERMANLANDS LÄN</t>
        </is>
      </c>
      <c r="G476" t="inlineStr">
        <is>
          <t>FLEN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46317</v>
      </c>
      <c r="F477" t="inlineStr">
        <is>
          <t>SÖDERMANLANDS LÄN</t>
        </is>
      </c>
      <c r="G477" t="inlineStr">
        <is>
          <t>FLEN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53518-2023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45230</v>
      </c>
      <c r="E478" s="1" t="n">
        <v>46317</v>
      </c>
      <c r="F478" t="inlineStr">
        <is>
          <t>SÖDERMANLANDS LÄN</t>
        </is>
      </c>
      <c r="G478" t="inlineStr">
        <is>
          <t>FLEN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14599-2023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45013</v>
      </c>
      <c r="E479" s="1" t="n">
        <v>46317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46317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46251</v>
      </c>
      <c r="E481" s="1" t="n">
        <v>46317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33727-2026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46251</v>
      </c>
      <c r="E482" s="1" t="n">
        <v>46317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46253</v>
      </c>
      <c r="E483" s="1" t="n">
        <v>46317</v>
      </c>
      <c r="F483" t="inlineStr">
        <is>
          <t>SÖDERMANLANDS LÄN</t>
        </is>
      </c>
      <c r="G483" t="inlineStr">
        <is>
          <t>FLEN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42731-2024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45566</v>
      </c>
      <c r="E484" s="1" t="n">
        <v>46317</v>
      </c>
      <c r="F484" t="inlineStr">
        <is>
          <t>SÖDERMANLANDS LÄN</t>
        </is>
      </c>
      <c r="G484" t="inlineStr">
        <is>
          <t>FLEN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57044-2023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46317</v>
      </c>
      <c r="F485" t="inlineStr">
        <is>
          <t>SÖDERMANLANDS LÄN</t>
        </is>
      </c>
      <c r="G485" t="inlineStr">
        <is>
          <t>FLEN</t>
        </is>
      </c>
      <c r="H485" t="inlineStr">
        <is>
          <t>Övriga statliga verk och myndigheter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13233-2024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45386</v>
      </c>
      <c r="E486" s="1" t="n">
        <v>46317</v>
      </c>
      <c r="F486" t="inlineStr">
        <is>
          <t>SÖDERMANLANDS LÄN</t>
        </is>
      </c>
      <c r="G486" t="inlineStr">
        <is>
          <t>FLEN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46295</v>
      </c>
      <c r="E487" s="1" t="n">
        <v>46317</v>
      </c>
      <c r="F487" t="inlineStr">
        <is>
          <t>SÖDERMANLANDS LÄN</t>
        </is>
      </c>
      <c r="G487" t="inlineStr">
        <is>
          <t>FLEN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46317</v>
      </c>
      <c r="F488" t="inlineStr">
        <is>
          <t>SÖDERMANLANDS LÄN</t>
        </is>
      </c>
      <c r="G488" t="inlineStr">
        <is>
          <t>FLEN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45777</v>
      </c>
      <c r="E489" s="1" t="n">
        <v>46317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46317</v>
      </c>
      <c r="F490" t="inlineStr">
        <is>
          <t>SÖDERMANLANDS LÄN</t>
        </is>
      </c>
      <c r="G490" t="inlineStr">
        <is>
          <t>FLEN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45252</v>
      </c>
      <c r="E491" s="1" t="n">
        <v>46317</v>
      </c>
      <c r="F491" t="inlineStr">
        <is>
          <t>SÖDERMANLANDS LÄN</t>
        </is>
      </c>
      <c r="G491" t="inlineStr">
        <is>
          <t>FLEN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46317</v>
      </c>
      <c r="F492" t="inlineStr">
        <is>
          <t>SÖDERMANLANDS LÄN</t>
        </is>
      </c>
      <c r="G492" t="inlineStr">
        <is>
          <t>FLEN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47055-2022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44852</v>
      </c>
      <c r="E493" s="1" t="n">
        <v>46317</v>
      </c>
      <c r="F493" t="inlineStr">
        <is>
          <t>SÖDERMANLANDS LÄN</t>
        </is>
      </c>
      <c r="G493" t="inlineStr">
        <is>
          <t>FLEN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54736-2022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44883</v>
      </c>
      <c r="E494" s="1" t="n">
        <v>46317</v>
      </c>
      <c r="F494" t="inlineStr">
        <is>
          <t>SÖDERMANLANDS LÄN</t>
        </is>
      </c>
      <c r="G494" t="inlineStr">
        <is>
          <t>FLEN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46296</v>
      </c>
      <c r="E495" s="1" t="n">
        <v>46317</v>
      </c>
      <c r="F495" t="inlineStr">
        <is>
          <t>SÖDERMANLANDS LÄN</t>
        </is>
      </c>
      <c r="G495" t="inlineStr">
        <is>
          <t>FLEN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46317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46317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8.5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46317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46317</v>
      </c>
      <c r="F499" t="inlineStr">
        <is>
          <t>SÖDERMANLANDS LÄN</t>
        </is>
      </c>
      <c r="G499" t="inlineStr">
        <is>
          <t>FLEN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46252</v>
      </c>
      <c r="E500" s="1" t="n">
        <v>46317</v>
      </c>
      <c r="F500" t="inlineStr">
        <is>
          <t>SÖDERMANLANDS LÄN</t>
        </is>
      </c>
      <c r="G500" t="inlineStr">
        <is>
          <t>FLEN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46317</v>
      </c>
      <c r="F501" t="inlineStr">
        <is>
          <t>SÖDERMANLANDS LÄN</t>
        </is>
      </c>
      <c r="G501" t="inlineStr">
        <is>
          <t>FLEN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46249</v>
      </c>
      <c r="E502" s="1" t="n">
        <v>46317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46317</v>
      </c>
      <c r="F503" t="inlineStr">
        <is>
          <t>SÖDERMANLANDS LÄN</t>
        </is>
      </c>
      <c r="G503" t="inlineStr">
        <is>
          <t>FLEN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42324-2026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46307</v>
      </c>
      <c r="E504" s="1" t="n">
        <v>46317</v>
      </c>
      <c r="F504" t="inlineStr">
        <is>
          <t>SÖDERMANLANDS LÄN</t>
        </is>
      </c>
      <c r="G504" t="inlineStr">
        <is>
          <t>FLEN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46317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46317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46317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46317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45239</v>
      </c>
      <c r="E509" s="1" t="n">
        <v>46317</v>
      </c>
      <c r="F509" t="inlineStr">
        <is>
          <t>SÖDERMANLANDS LÄN</t>
        </is>
      </c>
      <c r="G509" t="inlineStr">
        <is>
          <t>FLEN</t>
        </is>
      </c>
      <c r="H509" t="inlineStr">
        <is>
          <t>Övriga statliga verk och myndigheter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46317</v>
      </c>
      <c r="F510" t="inlineStr">
        <is>
          <t>SÖDERMANLANDS LÄN</t>
        </is>
      </c>
      <c r="G510" t="inlineStr">
        <is>
          <t>FLEN</t>
        </is>
      </c>
      <c r="H510" t="inlineStr">
        <is>
          <t>Övriga statliga verk och myndigheter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46273</v>
      </c>
      <c r="E511" s="1" t="n">
        <v>46317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46273</v>
      </c>
      <c r="E512" s="1" t="n">
        <v>46317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46273</v>
      </c>
      <c r="E513" s="1" t="n">
        <v>46317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482-2022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44588</v>
      </c>
      <c r="E514" s="1" t="n">
        <v>46317</v>
      </c>
      <c r="F514" t="inlineStr">
        <is>
          <t>SÖDERMANLANDS LÄN</t>
        </is>
      </c>
      <c r="G514" t="inlineStr">
        <is>
          <t>FLEN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2321-2022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44685</v>
      </c>
      <c r="E515" s="1" t="n">
        <v>46317</v>
      </c>
      <c r="F515" t="inlineStr">
        <is>
          <t>SÖDERMANLANDS LÄN</t>
        </is>
      </c>
      <c r="G515" t="inlineStr">
        <is>
          <t>FLEN</t>
        </is>
      </c>
      <c r="H515" t="inlineStr">
        <is>
          <t>Kyrkan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458-2023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44964</v>
      </c>
      <c r="E516" s="1" t="n">
        <v>46317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292-2025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45686</v>
      </c>
      <c r="E517" s="1" t="n">
        <v>46317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3723-2022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44742</v>
      </c>
      <c r="E518" s="1" t="n">
        <v>46317</v>
      </c>
      <c r="F518" t="inlineStr">
        <is>
          <t>SÖDERMANLANDS LÄN</t>
        </is>
      </c>
      <c r="G518" t="inlineStr">
        <is>
          <t>FLEN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1976-2024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45446</v>
      </c>
      <c r="E519" s="1" t="n">
        <v>46317</v>
      </c>
      <c r="F519" t="inlineStr">
        <is>
          <t>SÖDERMANLANDS LÄN</t>
        </is>
      </c>
      <c r="G519" t="inlineStr">
        <is>
          <t>FLEN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1287-2024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45403</v>
      </c>
      <c r="E520" s="1" t="n">
        <v>46317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1528-2026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46164</v>
      </c>
      <c r="E521" s="1" t="n">
        <v>46317</v>
      </c>
      <c r="F521" t="inlineStr">
        <is>
          <t>SÖDERMANLANDS LÄN</t>
        </is>
      </c>
      <c r="G521" t="inlineStr">
        <is>
          <t>FLEN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2026-10-22T01:58:39Z</dcterms:created>
  <dcterms:modified xmlns:dcterms="http://purl.org/dc/terms/" xmlns:xsi="http://www.w3.org/2001/XMLSchema-instance" xsi:type="dcterms:W3CDTF">2026-10-22T01:58:39Z</dcterms:modified>
</cp:coreProperties>
</file>