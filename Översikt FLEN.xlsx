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46254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46254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46254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46254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46254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46254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46254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46254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46254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46254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46254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46254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46254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46254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46254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46254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46254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46254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46254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46254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46254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46254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46254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46254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10107-2023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46254</v>
      </c>
      <c r="F40" t="inlineStr">
        <is>
          <t>SÖDERMANLANDS LÄN</t>
        </is>
      </c>
      <c r="G40" t="inlineStr">
        <is>
          <t>FLEN</t>
        </is>
      </c>
      <c r="I40" t="n">
        <v>21.1</v>
      </c>
      <c r="J40" t="n">
        <v>2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Bombmurkla
Svedjenäva
Blåmossa
Mattlummer</t>
        </is>
      </c>
      <c r="W40">
        <f>HYPERLINK("https://klasma.github.io/Logging_0482/artfynd/A 10107-2023 artfynd.xlsx", "A 10107-2023")</f>
        <v/>
      </c>
      <c r="X40">
        <f>HYPERLINK("https://klasma.github.io/Logging_0482/kartor/A 10107-2023 karta.png", "A 10107-2023")</f>
        <v/>
      </c>
      <c r="Y40">
        <f>HYPERLINK("https://klasma.github.io/Logging_0482/kartor_geotiff/A 10107-2023 georefererad karta.tif", "A 10107-2023")</f>
        <v/>
      </c>
      <c r="AA40">
        <f>HYPERLINK("https://klasma.github.io/Logging_0482/klagomål/A 10107-2023 FSC-klagomål.docx", "A 10107-2023")</f>
        <v/>
      </c>
      <c r="AB40">
        <f>HYPERLINK("https://klasma.github.io/Logging_0482/klagomålsmail/A 10107-2023 FSC-klagomål mail.docx", "A 10107-2023")</f>
        <v/>
      </c>
      <c r="AC40">
        <f>HYPERLINK("https://klasma.github.io/Logging_0482/tillsyn/A 10107-2023 tillsynsbegäran.docx", "A 10107-2023")</f>
        <v/>
      </c>
      <c r="AD40">
        <f>HYPERLINK("https://klasma.github.io/Logging_0482/tillsynsmail/A 10107-2023 tillsynsbegäran mail.docx", "A 10107-2023")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46254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46254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1</v>
      </c>
      <c r="V42" s="2" t="inlineStr">
        <is>
          <t>Sexfläckig bastardsvärmare
Gullklöver
Jungfrulin
Svinrot</t>
        </is>
      </c>
      <c r="W42">
        <f>HYPERLINK("https://klasma.github.io/Logging_0482/artfynd/A 16503-2026 artfynd.xlsx", "A 16503-2026")</f>
        <v/>
      </c>
      <c r="X42">
        <f>HYPERLINK("https://klasma.github.io/Logging_0482/kartor/A 16503-2026 karta.png", "A 16503-2026")</f>
        <v/>
      </c>
      <c r="Y42">
        <f>HYPERLINK("https://klasma.github.io/Logging_0482/kartor_geotiff/A 16503-2026 georefererad karta.tif", "A 16503-2026")</f>
        <v/>
      </c>
      <c r="AA42">
        <f>HYPERLINK("https://klasma.github.io/Logging_0482/klagomål/A 16503-2026 FSC-klagomål.docx", "A 16503-2026")</f>
        <v/>
      </c>
      <c r="AB42">
        <f>HYPERLINK("https://klasma.github.io/Logging_0482/klagomålsmail/A 16503-2026 FSC-klagomål mail.docx", "A 16503-2026")</f>
        <v/>
      </c>
      <c r="AC42">
        <f>HYPERLINK("https://klasma.github.io/Logging_0482/tillsyn/A 16503-2026 tillsynsbegäran.docx", "A 16503-2026")</f>
        <v/>
      </c>
      <c r="AD42">
        <f>HYPERLINK("https://klasma.github.io/Logging_0482/tillsynsmail/A 16503-2026 tillsynsbegäran mail.docx", "A 16503-2026")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46254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46254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46254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46254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46254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46254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29895-2026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46254</v>
      </c>
      <c r="F49" t="inlineStr">
        <is>
          <t>SÖDERMANLANDS LÄN</t>
        </is>
      </c>
      <c r="G49" t="inlineStr">
        <is>
          <t>FLEN</t>
        </is>
      </c>
      <c r="I49" t="n">
        <v>0.7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Gullklöver
Svinrot
Revlummer</t>
        </is>
      </c>
      <c r="W49">
        <f>HYPERLINK("https://klasma.github.io/Logging_0482/artfynd/A 29895-2026 artfynd.xlsx", "A 29895-2026")</f>
        <v/>
      </c>
      <c r="X49">
        <f>HYPERLINK("https://klasma.github.io/Logging_0482/kartor/A 29895-2026 karta.png", "A 29895-2026")</f>
        <v/>
      </c>
      <c r="Y49">
        <f>HYPERLINK("https://klasma.github.io/Logging_0482/kartor_geotiff/A 29895-2026 georefererad karta.tif", "A 29895-2026")</f>
        <v/>
      </c>
      <c r="AA49">
        <f>HYPERLINK("https://klasma.github.io/Logging_0482/klagomål/A 29895-2026 FSC-klagomål.docx", "A 29895-2026")</f>
        <v/>
      </c>
      <c r="AB49">
        <f>HYPERLINK("https://klasma.github.io/Logging_0482/klagomålsmail/A 29895-2026 FSC-klagomål mail.docx", "A 29895-2026")</f>
        <v/>
      </c>
      <c r="AC49">
        <f>HYPERLINK("https://klasma.github.io/Logging_0482/tillsyn/A 29895-2026 tillsynsbegäran.docx", "A 29895-2026")</f>
        <v/>
      </c>
      <c r="AD49">
        <f>HYPERLINK("https://klasma.github.io/Logging_0482/tillsynsmail/A 29895-2026 tillsynsbegäran mail.docx", "A 29895-2026")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46254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46254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46254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Tallkötticka
Grönpyrola
Kamjordstjärna</t>
        </is>
      </c>
      <c r="W52">
        <f>HYPERLINK("https://klasma.github.io/Logging_0482/artfynd/A 1149-2025 artfynd.xlsx", "A 1149-2025")</f>
        <v/>
      </c>
      <c r="X52">
        <f>HYPERLINK("https://klasma.github.io/Logging_0482/kartor/A 1149-2025 karta.png", "A 1149-2025")</f>
        <v/>
      </c>
      <c r="Y52">
        <f>HYPERLINK("https://klasma.github.io/Logging_0482/kartor_geotiff/A 1149-2025 georefererad karta.tif", "A 1149-2025")</f>
        <v/>
      </c>
      <c r="AA52">
        <f>HYPERLINK("https://klasma.github.io/Logging_0482/klagomål/A 1149-2025 FSC-klagomål.docx", "A 1149-2025")</f>
        <v/>
      </c>
      <c r="AB52">
        <f>HYPERLINK("https://klasma.github.io/Logging_0482/klagomålsmail/A 1149-2025 FSC-klagomål mail.docx", "A 1149-2025")</f>
        <v/>
      </c>
      <c r="AC52">
        <f>HYPERLINK("https://klasma.github.io/Logging_0482/tillsyn/A 1149-2025 tillsynsbegäran.docx", "A 1149-2025")</f>
        <v/>
      </c>
      <c r="AD52">
        <f>HYPERLINK("https://klasma.github.io/Logging_0482/tillsynsmail/A 1149-2025 tillsynsbegäran mail.docx", "A 1149-2025")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46254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46254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46254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46254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A 34985-2023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46254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2.8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Knärot
Grönpyrola
Revlummer</t>
        </is>
      </c>
      <c r="W57">
        <f>HYPERLINK("https://klasma.github.io/Logging_0482/artfynd/A 34985-2023 artfynd.xlsx", "A 34985-2023")</f>
        <v/>
      </c>
      <c r="X57">
        <f>HYPERLINK("https://klasma.github.io/Logging_0482/kartor/A 34985-2023 karta.png", "A 34985-2023")</f>
        <v/>
      </c>
      <c r="Y57">
        <f>HYPERLINK("https://klasma.github.io/Logging_0482/kartor_geotiff/A 34985-2023 georefererad karta.tif", "A 34985-2023")</f>
        <v/>
      </c>
      <c r="Z57">
        <f>HYPERLINK("https://klasma.github.io/Logging_0482/knärot/A 34985-2023 karta knärot.png", "A 34985-2023")</f>
        <v/>
      </c>
      <c r="AA57">
        <f>HYPERLINK("https://klasma.github.io/Logging_0482/klagomål/A 34985-2023 FSC-klagomål.docx", "A 34985-2023")</f>
        <v/>
      </c>
      <c r="AB57">
        <f>HYPERLINK("https://klasma.github.io/Logging_0482/klagomålsmail/A 34985-2023 FSC-klagomål mail.docx", "A 34985-2023")</f>
        <v/>
      </c>
      <c r="AC57">
        <f>HYPERLINK("https://klasma.github.io/Logging_0482/tillsyn/A 34985-2023 tillsynsbegäran.docx", "A 34985-2023")</f>
        <v/>
      </c>
      <c r="AD57">
        <f>HYPERLINK("https://klasma.github.io/Logging_0482/tillsynsmail/A 34985-2023 tillsynsbegäran mail.docx", "A 34985-2023")</f>
        <v/>
      </c>
    </row>
    <row r="58" ht="15" customHeight="1">
      <c r="A58" t="inlineStr">
        <is>
          <t>A 17512-2026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46254</v>
      </c>
      <c r="F58" t="inlineStr">
        <is>
          <t>SÖDERMANLANDS LÄN</t>
        </is>
      </c>
      <c r="G58" t="inlineStr">
        <is>
          <t>FLEN</t>
        </is>
      </c>
      <c r="I58" t="n">
        <v>1.7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Majbräken
Sälg</t>
        </is>
      </c>
      <c r="W58">
        <f>HYPERLINK("https://klasma.github.io/Logging_0482/artfynd/A 17512-2026 artfynd.xlsx", "A 17512-2026")</f>
        <v/>
      </c>
      <c r="X58">
        <f>HYPERLINK("https://klasma.github.io/Logging_0482/kartor/A 17512-2026 karta.png", "A 17512-2026")</f>
        <v/>
      </c>
      <c r="Y58">
        <f>HYPERLINK("https://klasma.github.io/Logging_0482/kartor_geotiff/A 17512-2026 georefererad karta.tif", "A 17512-2026")</f>
        <v/>
      </c>
      <c r="AA58">
        <f>HYPERLINK("https://klasma.github.io/Logging_0482/klagomål/A 17512-2026 FSC-klagomål.docx", "A 17512-2026")</f>
        <v/>
      </c>
      <c r="AB58">
        <f>HYPERLINK("https://klasma.github.io/Logging_0482/klagomålsmail/A 17512-2026 FSC-klagomål mail.docx", "A 17512-2026")</f>
        <v/>
      </c>
      <c r="AC58">
        <f>HYPERLINK("https://klasma.github.io/Logging_0482/tillsyn/A 17512-2026 tillsynsbegäran.docx", "A 17512-2026")</f>
        <v/>
      </c>
      <c r="AD58">
        <f>HYPERLINK("https://klasma.github.io/Logging_0482/tillsynsmail/A 17512-2026 tillsynsbegäran mail.docx", "A 17512-2026")</f>
        <v/>
      </c>
    </row>
    <row r="59" ht="15" customHeight="1">
      <c r="A59" t="inlineStr">
        <is>
          <t>A 38465-2025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46254</v>
      </c>
      <c r="F59" t="inlineStr">
        <is>
          <t>SÖDERMANLANDS LÄN</t>
        </is>
      </c>
      <c r="G59" t="inlineStr">
        <is>
          <t>FLEN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Gullklöver
Nattviol</t>
        </is>
      </c>
      <c r="W59">
        <f>HYPERLINK("https://klasma.github.io/Logging_0482/artfynd/A 38465-2025 artfynd.xlsx", "A 38465-2025")</f>
        <v/>
      </c>
      <c r="X59">
        <f>HYPERLINK("https://klasma.github.io/Logging_0482/kartor/A 38465-2025 karta.png", "A 38465-2025")</f>
        <v/>
      </c>
      <c r="Y59">
        <f>HYPERLINK("https://klasma.github.io/Logging_0482/kartor_geotiff/A 38465-2025 georefererad karta.tif", "A 38465-2025")</f>
        <v/>
      </c>
      <c r="AA59">
        <f>HYPERLINK("https://klasma.github.io/Logging_0482/klagomål/A 38465-2025 FSC-klagomål.docx", "A 38465-2025")</f>
        <v/>
      </c>
      <c r="AB59">
        <f>HYPERLINK("https://klasma.github.io/Logging_0482/klagomålsmail/A 38465-2025 FSC-klagomål mail.docx", "A 38465-2025")</f>
        <v/>
      </c>
      <c r="AC59">
        <f>HYPERLINK("https://klasma.github.io/Logging_0482/tillsyn/A 38465-2025 tillsynsbegäran.docx", "A 38465-2025")</f>
        <v/>
      </c>
      <c r="AD59">
        <f>HYPERLINK("https://klasma.github.io/Logging_0482/tillsynsmail/A 38465-2025 tillsynsbegäran mail.docx", "A 38465-2025")</f>
        <v/>
      </c>
    </row>
    <row r="60" ht="15" customHeight="1">
      <c r="A60" t="inlineStr">
        <is>
          <t>A 38466-2025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46254</v>
      </c>
      <c r="F60" t="inlineStr">
        <is>
          <t>SÖDERMANLANDS LÄN</t>
        </is>
      </c>
      <c r="G60" t="inlineStr">
        <is>
          <t>FLEN</t>
        </is>
      </c>
      <c r="I60" t="n">
        <v>5.4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Svinrot
Blåsippa
Gullviva</t>
        </is>
      </c>
      <c r="W60">
        <f>HYPERLINK("https://klasma.github.io/Logging_0482/artfynd/A 38466-2025 artfynd.xlsx", "A 38466-2025")</f>
        <v/>
      </c>
      <c r="X60">
        <f>HYPERLINK("https://klasma.github.io/Logging_0482/kartor/A 38466-2025 karta.png", "A 38466-2025")</f>
        <v/>
      </c>
      <c r="Y60">
        <f>HYPERLINK("https://klasma.github.io/Logging_0482/kartor_geotiff/A 38466-2025 georefererad karta.tif", "A 38466-2025")</f>
        <v/>
      </c>
      <c r="AA60">
        <f>HYPERLINK("https://klasma.github.io/Logging_0482/klagomål/A 38466-2025 FSC-klagomål.docx", "A 38466-2025")</f>
        <v/>
      </c>
      <c r="AB60">
        <f>HYPERLINK("https://klasma.github.io/Logging_0482/klagomålsmail/A 38466-2025 FSC-klagomål mail.docx", "A 38466-2025")</f>
        <v/>
      </c>
      <c r="AC60">
        <f>HYPERLINK("https://klasma.github.io/Logging_0482/tillsyn/A 38466-2025 tillsynsbegäran.docx", "A 38466-2025")</f>
        <v/>
      </c>
      <c r="AD60">
        <f>HYPERLINK("https://klasma.github.io/Logging_0482/tillsynsmail/A 38466-2025 tillsynsbegäran mail.docx", "A 38466-2025")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46254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46254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46254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46254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46254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46254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46254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49255-2021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46254</v>
      </c>
      <c r="F68" t="inlineStr">
        <is>
          <t>SÖDERMANLANDS LÄN</t>
        </is>
      </c>
      <c r="G68" t="inlineStr">
        <is>
          <t>FLEN</t>
        </is>
      </c>
      <c r="I68" t="n">
        <v>15.6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Backstarr
Revlummer</t>
        </is>
      </c>
      <c r="W68">
        <f>HYPERLINK("https://klasma.github.io/Logging_0482/artfynd/A 49255-2021 artfynd.xlsx", "A 49255-2021")</f>
        <v/>
      </c>
      <c r="X68">
        <f>HYPERLINK("https://klasma.github.io/Logging_0482/kartor/A 49255-2021 karta.png", "A 49255-2021")</f>
        <v/>
      </c>
      <c r="Y68">
        <f>HYPERLINK("https://klasma.github.io/Logging_0482/kartor_geotiff/A 49255-2021 georefererad karta.tif", "A 49255-2021")</f>
        <v/>
      </c>
      <c r="AA68">
        <f>HYPERLINK("https://klasma.github.io/Logging_0482/klagomål/A 49255-2021 FSC-klagomål.docx", "A 49255-2021")</f>
        <v/>
      </c>
      <c r="AB68">
        <f>HYPERLINK("https://klasma.github.io/Logging_0482/klagomålsmail/A 49255-2021 FSC-klagomål mail.docx", "A 49255-2021")</f>
        <v/>
      </c>
      <c r="AC68">
        <f>HYPERLINK("https://klasma.github.io/Logging_0482/tillsyn/A 49255-2021 tillsynsbegäran.docx", "A 49255-2021")</f>
        <v/>
      </c>
      <c r="AD68">
        <f>HYPERLINK("https://klasma.github.io/Logging_0482/tillsynsmail/A 49255-2021 tillsynsbegäran mail.docx", "A 49255-2021")</f>
        <v/>
      </c>
    </row>
    <row r="69" ht="15" customHeight="1">
      <c r="A69" t="inlineStr">
        <is>
          <t>A 41435-2022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46254</v>
      </c>
      <c r="F69" t="inlineStr">
        <is>
          <t>SÖDERMANLANDS LÄN</t>
        </is>
      </c>
      <c r="G69" t="inlineStr">
        <is>
          <t>FLEN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Vitsippa
Gullviva</t>
        </is>
      </c>
      <c r="W69">
        <f>HYPERLINK("https://klasma.github.io/Logging_0482/artfynd/A 41435-2022 artfynd.xlsx", "A 41435-2022")</f>
        <v/>
      </c>
      <c r="X69">
        <f>HYPERLINK("https://klasma.github.io/Logging_0482/kartor/A 41435-2022 karta.png", "A 41435-2022")</f>
        <v/>
      </c>
      <c r="Y69">
        <f>HYPERLINK("https://klasma.github.io/Logging_0482/kartor_geotiff/A 41435-2022 georefererad karta.tif", "A 41435-2022")</f>
        <v/>
      </c>
      <c r="AA69">
        <f>HYPERLINK("https://klasma.github.io/Logging_0482/klagomål/A 41435-2022 FSC-klagomål.docx", "A 41435-2022")</f>
        <v/>
      </c>
      <c r="AB69">
        <f>HYPERLINK("https://klasma.github.io/Logging_0482/klagomålsmail/A 41435-2022 FSC-klagomål mail.docx", "A 41435-2022")</f>
        <v/>
      </c>
      <c r="AC69">
        <f>HYPERLINK("https://klasma.github.io/Logging_0482/tillsyn/A 41435-2022 tillsynsbegäran.docx", "A 41435-2022")</f>
        <v/>
      </c>
      <c r="AD69">
        <f>HYPERLINK("https://klasma.github.io/Logging_0482/tillsynsmail/A 41435-2022 tillsynsbegäran mail.docx", "A 41435-2022")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46254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46254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46254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55092-2021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46254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Sälg
Huggorm</t>
        </is>
      </c>
      <c r="W73">
        <f>HYPERLINK("https://klasma.github.io/Logging_0482/artfynd/A 55092-2021 artfynd.xlsx", "A 55092-2021")</f>
        <v/>
      </c>
      <c r="X73">
        <f>HYPERLINK("https://klasma.github.io/Logging_0482/kartor/A 55092-2021 karta.png", "A 55092-2021")</f>
        <v/>
      </c>
      <c r="Y73">
        <f>HYPERLINK("https://klasma.github.io/Logging_0482/kartor_geotiff/A 55092-2021 georefererad karta.tif", "A 55092-2021")</f>
        <v/>
      </c>
      <c r="AA73">
        <f>HYPERLINK("https://klasma.github.io/Logging_0482/klagomål/A 55092-2021 FSC-klagomål.docx", "A 55092-2021")</f>
        <v/>
      </c>
      <c r="AB73">
        <f>HYPERLINK("https://klasma.github.io/Logging_0482/klagomålsmail/A 55092-2021 FSC-klagomål mail.docx", "A 55092-2021")</f>
        <v/>
      </c>
      <c r="AC73">
        <f>HYPERLINK("https://klasma.github.io/Logging_0482/tillsyn/A 55092-2021 tillsynsbegäran.docx", "A 55092-2021")</f>
        <v/>
      </c>
      <c r="AD73">
        <f>HYPERLINK("https://klasma.github.io/Logging_0482/tillsynsmail/A 55092-2021 tillsynsbegäran mail.docx", "A 55092-2021")</f>
        <v/>
      </c>
    </row>
    <row r="74" ht="15" customHeight="1">
      <c r="A74" t="inlineStr">
        <is>
          <t>A 7506-2023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44971</v>
      </c>
      <c r="E74" s="1" t="n">
        <v>46254</v>
      </c>
      <c r="F74" t="inlineStr">
        <is>
          <t>SÖDERMANLANDS LÄN</t>
        </is>
      </c>
      <c r="G74" t="inlineStr">
        <is>
          <t>FLEN</t>
        </is>
      </c>
      <c r="I74" t="n">
        <v>3.3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Slåtterfibbla
Svinrot</t>
        </is>
      </c>
      <c r="W74">
        <f>HYPERLINK("https://klasma.github.io/Logging_0482/artfynd/A 7506-2023 artfynd.xlsx", "A 7506-2023")</f>
        <v/>
      </c>
      <c r="X74">
        <f>HYPERLINK("https://klasma.github.io/Logging_0482/kartor/A 7506-2023 karta.png", "A 7506-2023")</f>
        <v/>
      </c>
      <c r="Y74">
        <f>HYPERLINK("https://klasma.github.io/Logging_0482/kartor_geotiff/A 7506-2023 georefererad karta.tif", "A 7506-2023")</f>
        <v/>
      </c>
      <c r="AA74">
        <f>HYPERLINK("https://klasma.github.io/Logging_0482/klagomål/A 7506-2023 FSC-klagomål.docx", "A 7506-2023")</f>
        <v/>
      </c>
      <c r="AB74">
        <f>HYPERLINK("https://klasma.github.io/Logging_0482/klagomålsmail/A 7506-2023 FSC-klagomål mail.docx", "A 7506-2023")</f>
        <v/>
      </c>
      <c r="AC74">
        <f>HYPERLINK("https://klasma.github.io/Logging_0482/tillsyn/A 7506-2023 tillsynsbegäran.docx", "A 7506-2023")</f>
        <v/>
      </c>
      <c r="AD74">
        <f>HYPERLINK("https://klasma.github.io/Logging_0482/tillsynsmail/A 7506-2023 tillsynsbegäran mail.docx", "A 7506-2023")</f>
        <v/>
      </c>
    </row>
    <row r="75" ht="15" customHeight="1">
      <c r="A75" t="inlineStr">
        <is>
          <t>A 22511-2026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46155</v>
      </c>
      <c r="E75" s="1" t="n">
        <v>46254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Ormbär
Skriftlav</t>
        </is>
      </c>
      <c r="W75">
        <f>HYPERLINK("https://klasma.github.io/Logging_0482/artfynd/A 22511-2026 artfynd.xlsx", "A 22511-2026")</f>
        <v/>
      </c>
      <c r="X75">
        <f>HYPERLINK("https://klasma.github.io/Logging_0482/kartor/A 22511-2026 karta.png", "A 22511-2026")</f>
        <v/>
      </c>
      <c r="Y75">
        <f>HYPERLINK("https://klasma.github.io/Logging_0482/kartor_geotiff/A 22511-2026 georefererad karta.tif", "A 22511-2026")</f>
        <v/>
      </c>
      <c r="AA75">
        <f>HYPERLINK("https://klasma.github.io/Logging_0482/klagomål/A 22511-2026 FSC-klagomål.docx", "A 22511-2026")</f>
        <v/>
      </c>
      <c r="AB75">
        <f>HYPERLINK("https://klasma.github.io/Logging_0482/klagomålsmail/A 22511-2026 FSC-klagomål mail.docx", "A 22511-2026")</f>
        <v/>
      </c>
      <c r="AC75">
        <f>HYPERLINK("https://klasma.github.io/Logging_0482/tillsyn/A 22511-2026 tillsynsbegäran.docx", "A 22511-2026")</f>
        <v/>
      </c>
      <c r="AD75">
        <f>HYPERLINK("https://klasma.github.io/Logging_0482/tillsynsmail/A 22511-2026 tillsynsbegäran mail.docx", "A 22511-2026")</f>
        <v/>
      </c>
    </row>
    <row r="76" ht="15" customHeight="1">
      <c r="A76" t="inlineStr">
        <is>
          <t>A 15557-2026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46254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Gullklöver
Svinrot</t>
        </is>
      </c>
      <c r="W76">
        <f>HYPERLINK("https://klasma.github.io/Logging_0482/artfynd/A 15557-2026 artfynd.xlsx", "A 15557-2026")</f>
        <v/>
      </c>
      <c r="X76">
        <f>HYPERLINK("https://klasma.github.io/Logging_0482/kartor/A 15557-2026 karta.png", "A 15557-2026")</f>
        <v/>
      </c>
      <c r="Y76">
        <f>HYPERLINK("https://klasma.github.io/Logging_0482/kartor_geotiff/A 15557-2026 georefererad karta.tif", "A 15557-2026")</f>
        <v/>
      </c>
      <c r="AA76">
        <f>HYPERLINK("https://klasma.github.io/Logging_0482/klagomål/A 15557-2026 FSC-klagomål.docx", "A 15557-2026")</f>
        <v/>
      </c>
      <c r="AB76">
        <f>HYPERLINK("https://klasma.github.io/Logging_0482/klagomålsmail/A 15557-2026 FSC-klagomål mail.docx", "A 15557-2026")</f>
        <v/>
      </c>
      <c r="AC76">
        <f>HYPERLINK("https://klasma.github.io/Logging_0482/tillsyn/A 15557-2026 tillsynsbegäran.docx", "A 15557-2026")</f>
        <v/>
      </c>
      <c r="AD76">
        <f>HYPERLINK("https://klasma.github.io/Logging_0482/tillsynsmail/A 15557-2026 tillsynsbegäran mail.docx", "A 15557-2026")</f>
        <v/>
      </c>
    </row>
    <row r="77" ht="15" customHeight="1">
      <c r="A77" t="inlineStr">
        <is>
          <t>A 32744-2025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45838</v>
      </c>
      <c r="E77" s="1" t="n">
        <v>46254</v>
      </c>
      <c r="F77" t="inlineStr">
        <is>
          <t>SÖDERMANLANDS LÄN</t>
        </is>
      </c>
      <c r="G77" t="inlineStr">
        <is>
          <t>FLEN</t>
        </is>
      </c>
      <c r="I77" t="n">
        <v>1.8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Ekticka
Klasefibbla</t>
        </is>
      </c>
      <c r="W77">
        <f>HYPERLINK("https://klasma.github.io/Logging_0482/artfynd/A 32744-2025 artfynd.xlsx", "A 32744-2025")</f>
        <v/>
      </c>
      <c r="X77">
        <f>HYPERLINK("https://klasma.github.io/Logging_0482/kartor/A 32744-2025 karta.png", "A 32744-2025")</f>
        <v/>
      </c>
      <c r="Y77">
        <f>HYPERLINK("https://klasma.github.io/Logging_0482/kartor_geotiff/A 32744-2025 georefererad karta.tif", "A 32744-2025")</f>
        <v/>
      </c>
      <c r="AA77">
        <f>HYPERLINK("https://klasma.github.io/Logging_0482/klagomål/A 32744-2025 FSC-klagomål.docx", "A 32744-2025")</f>
        <v/>
      </c>
      <c r="AB77">
        <f>HYPERLINK("https://klasma.github.io/Logging_0482/klagomålsmail/A 32744-2025 FSC-klagomål mail.docx", "A 32744-2025")</f>
        <v/>
      </c>
      <c r="AC77">
        <f>HYPERLINK("https://klasma.github.io/Logging_0482/tillsyn/A 32744-2025 tillsynsbegäran.docx", "A 32744-2025")</f>
        <v/>
      </c>
      <c r="AD77">
        <f>HYPERLINK("https://klasma.github.io/Logging_0482/tillsynsmail/A 32744-2025 tillsynsbegäran mail.docx", "A 32744-2025")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46254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46254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59607-2022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46254</v>
      </c>
      <c r="F80" t="inlineStr">
        <is>
          <t>SÖDERMANLANDS LÄN</t>
        </is>
      </c>
      <c r="G80" t="inlineStr">
        <is>
          <t>FLEN</t>
        </is>
      </c>
      <c r="I80" t="n">
        <v>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Jungfrulin
Svinrot</t>
        </is>
      </c>
      <c r="W80">
        <f>HYPERLINK("https://klasma.github.io/Logging_0482/artfynd/A 59607-2022 artfynd.xlsx", "A 59607-2022")</f>
        <v/>
      </c>
      <c r="X80">
        <f>HYPERLINK("https://klasma.github.io/Logging_0482/kartor/A 59607-2022 karta.png", "A 59607-2022")</f>
        <v/>
      </c>
      <c r="Y80">
        <f>HYPERLINK("https://klasma.github.io/Logging_0482/kartor_geotiff/A 59607-2022 georefererad karta.tif", "A 59607-2022")</f>
        <v/>
      </c>
      <c r="AA80">
        <f>HYPERLINK("https://klasma.github.io/Logging_0482/klagomål/A 59607-2022 FSC-klagomål.docx", "A 59607-2022")</f>
        <v/>
      </c>
      <c r="AB80">
        <f>HYPERLINK("https://klasma.github.io/Logging_0482/klagomålsmail/A 59607-2022 FSC-klagomål mail.docx", "A 59607-2022")</f>
        <v/>
      </c>
      <c r="AC80">
        <f>HYPERLINK("https://klasma.github.io/Logging_0482/tillsyn/A 59607-2022 tillsynsbegäran.docx", "A 59607-2022")</f>
        <v/>
      </c>
      <c r="AD80">
        <f>HYPERLINK("https://klasma.github.io/Logging_0482/tillsynsmail/A 59607-2022 tillsynsbegäran mail.docx", "A 59607-2022")</f>
        <v/>
      </c>
    </row>
    <row r="81" ht="15" customHeight="1">
      <c r="A81" t="inlineStr">
        <is>
          <t>A 5852-2022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46254</v>
      </c>
      <c r="F81" t="inlineStr">
        <is>
          <t>SÖDERMANLANDS LÄN</t>
        </is>
      </c>
      <c r="G81" t="inlineStr">
        <is>
          <t>FLEN</t>
        </is>
      </c>
      <c r="I81" t="n">
        <v>2.6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Kamjordstjärna
Gullviva</t>
        </is>
      </c>
      <c r="W81">
        <f>HYPERLINK("https://klasma.github.io/Logging_0482/artfynd/A 5852-2022 artfynd.xlsx", "A 5852-2022")</f>
        <v/>
      </c>
      <c r="X81">
        <f>HYPERLINK("https://klasma.github.io/Logging_0482/kartor/A 5852-2022 karta.png", "A 5852-2022")</f>
        <v/>
      </c>
      <c r="Y81">
        <f>HYPERLINK("https://klasma.github.io/Logging_0482/kartor_geotiff/A 5852-2022 georefererad karta.tif", "A 5852-2022")</f>
        <v/>
      </c>
      <c r="AA81">
        <f>HYPERLINK("https://klasma.github.io/Logging_0482/klagomål/A 5852-2022 FSC-klagomål.docx", "A 5852-2022")</f>
        <v/>
      </c>
      <c r="AB81">
        <f>HYPERLINK("https://klasma.github.io/Logging_0482/klagomålsmail/A 5852-2022 FSC-klagomål mail.docx", "A 5852-2022")</f>
        <v/>
      </c>
      <c r="AC81">
        <f>HYPERLINK("https://klasma.github.io/Logging_0482/tillsyn/A 5852-2022 tillsynsbegäran.docx", "A 5852-2022")</f>
        <v/>
      </c>
      <c r="AD81">
        <f>HYPERLINK("https://klasma.github.io/Logging_0482/tillsynsmail/A 5852-2022 tillsynsbegäran mail.docx", "A 5852-2022")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46254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47194-2022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46254</v>
      </c>
      <c r="F83" t="inlineStr">
        <is>
          <t>SÖDERMANLANDS LÄN</t>
        </is>
      </c>
      <c r="G83" t="inlineStr">
        <is>
          <t>FLEN</t>
        </is>
      </c>
      <c r="H83" t="inlineStr">
        <is>
          <t>Övriga statliga verk och myndigheter</t>
        </is>
      </c>
      <c r="I83" t="n">
        <v>2.3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Gullklöver
Svinrot</t>
        </is>
      </c>
      <c r="W83">
        <f>HYPERLINK("https://klasma.github.io/Logging_0482/artfynd/A 47194-2022 artfynd.xlsx", "A 47194-2022")</f>
        <v/>
      </c>
      <c r="X83">
        <f>HYPERLINK("https://klasma.github.io/Logging_0482/kartor/A 47194-2022 karta.png", "A 47194-2022")</f>
        <v/>
      </c>
      <c r="Y83">
        <f>HYPERLINK("https://klasma.github.io/Logging_0482/kartor_geotiff/A 47194-2022 georefererad karta.tif", "A 47194-2022")</f>
        <v/>
      </c>
      <c r="AA83">
        <f>HYPERLINK("https://klasma.github.io/Logging_0482/klagomål/A 47194-2022 FSC-klagomål.docx", "A 47194-2022")</f>
        <v/>
      </c>
      <c r="AB83">
        <f>HYPERLINK("https://klasma.github.io/Logging_0482/klagomålsmail/A 47194-2022 FSC-klagomål mail.docx", "A 47194-2022")</f>
        <v/>
      </c>
      <c r="AC83">
        <f>HYPERLINK("https://klasma.github.io/Logging_0482/tillsyn/A 47194-2022 tillsynsbegäran.docx", "A 47194-2022")</f>
        <v/>
      </c>
      <c r="AD83">
        <f>HYPERLINK("https://klasma.github.io/Logging_0482/tillsynsmail/A 47194-2022 tillsynsbegäran mail.docx", "A 47194-2022")</f>
        <v/>
      </c>
    </row>
    <row r="84" ht="15" customHeight="1">
      <c r="A84" t="inlineStr">
        <is>
          <t>A 4330-2026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46254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4.9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Backstarr
Blåsippa</t>
        </is>
      </c>
      <c r="W84">
        <f>HYPERLINK("https://klasma.github.io/Logging_0482/artfynd/A 4330-2026 artfynd.xlsx", "A 4330-2026")</f>
        <v/>
      </c>
      <c r="X84">
        <f>HYPERLINK("https://klasma.github.io/Logging_0482/kartor/A 4330-2026 karta.png", "A 4330-2026")</f>
        <v/>
      </c>
      <c r="Y84">
        <f>HYPERLINK("https://klasma.github.io/Logging_0482/kartor_geotiff/A 4330-2026 georefererad karta.tif", "A 4330-2026")</f>
        <v/>
      </c>
      <c r="AA84">
        <f>HYPERLINK("https://klasma.github.io/Logging_0482/klagomål/A 4330-2026 FSC-klagomål.docx", "A 4330-2026")</f>
        <v/>
      </c>
      <c r="AB84">
        <f>HYPERLINK("https://klasma.github.io/Logging_0482/klagomålsmail/A 4330-2026 FSC-klagomål mail.docx", "A 4330-2026")</f>
        <v/>
      </c>
      <c r="AC84">
        <f>HYPERLINK("https://klasma.github.io/Logging_0482/tillsyn/A 4330-2026 tillsynsbegäran.docx", "A 4330-2026")</f>
        <v/>
      </c>
      <c r="AD84">
        <f>HYPERLINK("https://klasma.github.io/Logging_0482/tillsynsmail/A 4330-2026 tillsynsbegäran mail.docx", "A 4330-2026")</f>
        <v/>
      </c>
    </row>
    <row r="85" ht="15" customHeight="1">
      <c r="A85" t="inlineStr">
        <is>
          <t>A 33107-2022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44785</v>
      </c>
      <c r="E85" s="1" t="n">
        <v>46254</v>
      </c>
      <c r="F85" t="inlineStr">
        <is>
          <t>SÖDERMANLANDS LÄN</t>
        </is>
      </c>
      <c r="G85" t="inlineStr">
        <is>
          <t>FLEN</t>
        </is>
      </c>
      <c r="I85" t="n">
        <v>5.9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Fjällig taggsvamp s.str.
Gullklöver</t>
        </is>
      </c>
      <c r="W85">
        <f>HYPERLINK("https://klasma.github.io/Logging_0482/artfynd/A 33107-2022 artfynd.xlsx", "A 33107-2022")</f>
        <v/>
      </c>
      <c r="X85">
        <f>HYPERLINK("https://klasma.github.io/Logging_0482/kartor/A 33107-2022 karta.png", "A 33107-2022")</f>
        <v/>
      </c>
      <c r="Y85">
        <f>HYPERLINK("https://klasma.github.io/Logging_0482/kartor_geotiff/A 33107-2022 georefererad karta.tif", "A 33107-2022")</f>
        <v/>
      </c>
      <c r="AA85">
        <f>HYPERLINK("https://klasma.github.io/Logging_0482/klagomål/A 33107-2022 FSC-klagomål.docx", "A 33107-2022")</f>
        <v/>
      </c>
      <c r="AB85">
        <f>HYPERLINK("https://klasma.github.io/Logging_0482/klagomålsmail/A 33107-2022 FSC-klagomål mail.docx", "A 33107-2022")</f>
        <v/>
      </c>
      <c r="AC85">
        <f>HYPERLINK("https://klasma.github.io/Logging_0482/tillsyn/A 33107-2022 tillsynsbegäran.docx", "A 33107-2022")</f>
        <v/>
      </c>
      <c r="AD85">
        <f>HYPERLINK("https://klasma.github.io/Logging_0482/tillsynsmail/A 33107-2022 tillsynsbegäran mail.docx", "A 33107-2022")</f>
        <v/>
      </c>
    </row>
    <row r="86" ht="15" customHeight="1">
      <c r="A86" t="inlineStr">
        <is>
          <t>A 8887-2026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46068</v>
      </c>
      <c r="E86" s="1" t="n">
        <v>46254</v>
      </c>
      <c r="F86" t="inlineStr">
        <is>
          <t>SÖDERMANLANDS LÄN</t>
        </is>
      </c>
      <c r="G86" t="inlineStr">
        <is>
          <t>FLEN</t>
        </is>
      </c>
      <c r="I86" t="n">
        <v>2.1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Större vattensalamander
Mindre vattensalamander</t>
        </is>
      </c>
      <c r="W86">
        <f>HYPERLINK("https://klasma.github.io/Logging_0482/artfynd/A 8887-2026 artfynd.xlsx", "A 8887-2026")</f>
        <v/>
      </c>
      <c r="X86">
        <f>HYPERLINK("https://klasma.github.io/Logging_0482/kartor/A 8887-2026 karta.png", "A 8887-2026")</f>
        <v/>
      </c>
      <c r="Y86">
        <f>HYPERLINK("https://klasma.github.io/Logging_0482/kartor_geotiff/A 8887-2026 georefererad karta.tif", "A 8887-2026")</f>
        <v/>
      </c>
      <c r="AA86">
        <f>HYPERLINK("https://klasma.github.io/Logging_0482/klagomål/A 8887-2026 FSC-klagomål.docx", "A 8887-2026")</f>
        <v/>
      </c>
      <c r="AB86">
        <f>HYPERLINK("https://klasma.github.io/Logging_0482/klagomålsmail/A 8887-2026 FSC-klagomål mail.docx", "A 8887-2026")</f>
        <v/>
      </c>
      <c r="AC86">
        <f>HYPERLINK("https://klasma.github.io/Logging_0482/tillsyn/A 8887-2026 tillsynsbegäran.docx", "A 8887-2026")</f>
        <v/>
      </c>
      <c r="AD86">
        <f>HYPERLINK("https://klasma.github.io/Logging_0482/tillsynsmail/A 8887-2026 tillsynsbegäran mail.docx", "A 8887-2026")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46254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46254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52858-2023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46254</v>
      </c>
      <c r="F89" t="inlineStr">
        <is>
          <t>SÖDERMANLANDS LÄN</t>
        </is>
      </c>
      <c r="G89" t="inlineStr">
        <is>
          <t>FLEN</t>
        </is>
      </c>
      <c r="I89" t="n">
        <v>3.6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1</v>
      </c>
      <c r="V89" s="2" t="inlineStr">
        <is>
          <t>Mindre hackspett
Tallticka</t>
        </is>
      </c>
      <c r="W89">
        <f>HYPERLINK("https://klasma.github.io/Logging_0482/artfynd/A 52858-2023 artfynd.xlsx", "A 52858-2023")</f>
        <v/>
      </c>
      <c r="X89">
        <f>HYPERLINK("https://klasma.github.io/Logging_0482/kartor/A 52858-2023 karta.png", "A 52858-2023")</f>
        <v/>
      </c>
      <c r="Y89">
        <f>HYPERLINK("https://klasma.github.io/Logging_0482/kartor_geotiff/A 52858-2023 georefererad karta.tif", "A 52858-2023")</f>
        <v/>
      </c>
      <c r="AA89">
        <f>HYPERLINK("https://klasma.github.io/Logging_0482/klagomål/A 52858-2023 FSC-klagomål.docx", "A 52858-2023")</f>
        <v/>
      </c>
      <c r="AB89">
        <f>HYPERLINK("https://klasma.github.io/Logging_0482/klagomålsmail/A 52858-2023 FSC-klagomål mail.docx", "A 52858-2023")</f>
        <v/>
      </c>
      <c r="AC89">
        <f>HYPERLINK("https://klasma.github.io/Logging_0482/tillsyn/A 52858-2023 tillsynsbegäran.docx", "A 52858-2023")</f>
        <v/>
      </c>
      <c r="AD89">
        <f>HYPERLINK("https://klasma.github.io/Logging_0482/tillsynsmail/A 52858-2023 tillsynsbegäran mail.docx", "A 52858-2023")</f>
        <v/>
      </c>
      <c r="AE89">
        <f>HYPERLINK("https://klasma.github.io/Logging_0482/fåglar/A 52858-2023 prioriterade fågelarter.docx", "A 52858-2023")</f>
        <v/>
      </c>
    </row>
    <row r="90" ht="15" customHeight="1">
      <c r="A90" t="inlineStr">
        <is>
          <t>A 24464-2025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46254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Motaggsvamp
Vedskivlav</t>
        </is>
      </c>
      <c r="W90">
        <f>HYPERLINK("https://klasma.github.io/Logging_0482/artfynd/A 24464-2025 artfynd.xlsx", "A 24464-2025")</f>
        <v/>
      </c>
      <c r="X90">
        <f>HYPERLINK("https://klasma.github.io/Logging_0482/kartor/A 24464-2025 karta.png", "A 24464-2025")</f>
        <v/>
      </c>
      <c r="Y90">
        <f>HYPERLINK("https://klasma.github.io/Logging_0482/kartor_geotiff/A 24464-2025 georefererad karta.tif", "A 24464-2025")</f>
        <v/>
      </c>
      <c r="AA90">
        <f>HYPERLINK("https://klasma.github.io/Logging_0482/klagomål/A 24464-2025 FSC-klagomål.docx", "A 24464-2025")</f>
        <v/>
      </c>
      <c r="AB90">
        <f>HYPERLINK("https://klasma.github.io/Logging_0482/klagomålsmail/A 24464-2025 FSC-klagomål mail.docx", "A 24464-2025")</f>
        <v/>
      </c>
      <c r="AC90">
        <f>HYPERLINK("https://klasma.github.io/Logging_0482/tillsyn/A 24464-2025 tillsynsbegäran.docx", "A 24464-2025")</f>
        <v/>
      </c>
      <c r="AD90">
        <f>HYPERLINK("https://klasma.github.io/Logging_0482/tillsynsmail/A 24464-2025 tillsynsbegäran mail.docx", "A 24464-2025")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46254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Mandelriska</t>
        </is>
      </c>
      <c r="W91">
        <f>HYPERLINK("https://klasma.github.io/Logging_0482/artfynd/A 19994-2022 artfynd.xlsx", "A 19994-2022")</f>
        <v/>
      </c>
      <c r="X91">
        <f>HYPERLINK("https://klasma.github.io/Logging_0482/kartor/A 19994-2022 karta.png", "A 19994-2022")</f>
        <v/>
      </c>
      <c r="Y91">
        <f>HYPERLINK("https://klasma.github.io/Logging_0482/kartor_geotiff/A 19994-2022 georefererad karta.tif", "A 19994-2022")</f>
        <v/>
      </c>
      <c r="AA91">
        <f>HYPERLINK("https://klasma.github.io/Logging_0482/klagomål/A 19994-2022 FSC-klagomål.docx", "A 19994-2022")</f>
        <v/>
      </c>
      <c r="AB91">
        <f>HYPERLINK("https://klasma.github.io/Logging_0482/klagomålsmail/A 19994-2022 FSC-klagomål mail.docx", "A 19994-2022")</f>
        <v/>
      </c>
      <c r="AC91">
        <f>HYPERLINK("https://klasma.github.io/Logging_0482/tillsyn/A 19994-2022 tillsynsbegäran.docx", "A 19994-2022")</f>
        <v/>
      </c>
      <c r="AD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46254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HYPERLINK("https://klasma.github.io/Logging_0482/artfynd/A 28153-2022 artfynd.xlsx", "A 28153-2022")</f>
        <v/>
      </c>
      <c r="X92">
        <f>HYPERLINK("https://klasma.github.io/Logging_0482/kartor/A 28153-2022 karta.png", "A 28153-2022")</f>
        <v/>
      </c>
      <c r="Y92">
        <f>HYPERLINK("https://klasma.github.io/Logging_0482/kartor_geotiff/A 28153-2022 georefererad karta.tif", "A 28153-2022")</f>
        <v/>
      </c>
      <c r="AA92">
        <f>HYPERLINK("https://klasma.github.io/Logging_0482/klagomål/A 28153-2022 FSC-klagomål.docx", "A 28153-2022")</f>
        <v/>
      </c>
      <c r="AB92">
        <f>HYPERLINK("https://klasma.github.io/Logging_0482/klagomålsmail/A 28153-2022 FSC-klagomål mail.docx", "A 28153-2022")</f>
        <v/>
      </c>
      <c r="AC92">
        <f>HYPERLINK("https://klasma.github.io/Logging_0482/tillsyn/A 28153-2022 tillsynsbegäran.docx", "A 28153-2022")</f>
        <v/>
      </c>
      <c r="AD92">
        <f>HYPERLINK("https://klasma.github.io/Logging_0482/tillsynsmail/A 28153-2022 tillsynsbegäran mail.docx", "A 28153-2022")</f>
        <v/>
      </c>
    </row>
    <row r="93" ht="15" customHeight="1">
      <c r="A93" t="inlineStr">
        <is>
          <t>A 62355-2021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46254</v>
      </c>
      <c r="F93" t="inlineStr">
        <is>
          <t>SÖDERMANLANDS LÄN</t>
        </is>
      </c>
      <c r="G93" t="inlineStr">
        <is>
          <t>FLEN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HYPERLINK("https://klasma.github.io/Logging_0482/artfynd/A 62355-2021 artfynd.xlsx", "A 62355-2021")</f>
        <v/>
      </c>
      <c r="X93">
        <f>HYPERLINK("https://klasma.github.io/Logging_0482/kartor/A 62355-2021 karta.png", "A 62355-2021")</f>
        <v/>
      </c>
      <c r="Y93">
        <f>HYPERLINK("https://klasma.github.io/Logging_0482/kartor_geotiff/A 62355-2021 georefererad karta.tif", "A 62355-2021")</f>
        <v/>
      </c>
      <c r="AA93">
        <f>HYPERLINK("https://klasma.github.io/Logging_0482/klagomål/A 62355-2021 FSC-klagomål.docx", "A 62355-2021")</f>
        <v/>
      </c>
      <c r="AB93">
        <f>HYPERLINK("https://klasma.github.io/Logging_0482/klagomålsmail/A 62355-2021 FSC-klagomål mail.docx", "A 62355-2021")</f>
        <v/>
      </c>
      <c r="AC93">
        <f>HYPERLINK("https://klasma.github.io/Logging_0482/tillsyn/A 62355-2021 tillsynsbegäran.docx", "A 62355-2021")</f>
        <v/>
      </c>
      <c r="AD93">
        <f>HYPERLINK("https://klasma.github.io/Logging_0482/tillsynsmail/A 62355-2021 tillsynsbegäran mail.docx", "A 62355-2021")</f>
        <v/>
      </c>
    </row>
    <row r="94" ht="15" customHeight="1">
      <c r="A94" t="inlineStr">
        <is>
          <t>A 7883-2022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46254</v>
      </c>
      <c r="F94" t="inlineStr">
        <is>
          <t>SÖDERMANLANDS LÄN</t>
        </is>
      </c>
      <c r="G94" t="inlineStr">
        <is>
          <t>FLEN</t>
        </is>
      </c>
      <c r="H94" t="inlineStr">
        <is>
          <t>Övriga statliga verk och myndigheter</t>
        </is>
      </c>
      <c r="I94" t="n">
        <v>2.2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Plattlummer</t>
        </is>
      </c>
      <c r="W94">
        <f>HYPERLINK("https://klasma.github.io/Logging_0482/artfynd/A 7883-2022 artfynd.xlsx", "A 7883-2022")</f>
        <v/>
      </c>
      <c r="X94">
        <f>HYPERLINK("https://klasma.github.io/Logging_0482/kartor/A 7883-2022 karta.png", "A 7883-2022")</f>
        <v/>
      </c>
      <c r="Y94">
        <f>HYPERLINK("https://klasma.github.io/Logging_0482/kartor_geotiff/A 7883-2022 georefererad karta.tif", "A 7883-2022")</f>
        <v/>
      </c>
      <c r="AA94">
        <f>HYPERLINK("https://klasma.github.io/Logging_0482/klagomål/A 7883-2022 FSC-klagomål.docx", "A 7883-2022")</f>
        <v/>
      </c>
      <c r="AB94">
        <f>HYPERLINK("https://klasma.github.io/Logging_0482/klagomålsmail/A 7883-2022 FSC-klagomål mail.docx", "A 7883-2022")</f>
        <v/>
      </c>
      <c r="AC94">
        <f>HYPERLINK("https://klasma.github.io/Logging_0482/tillsyn/A 7883-2022 tillsynsbegäran.docx", "A 7883-2022")</f>
        <v/>
      </c>
      <c r="AD94">
        <f>HYPERLINK("https://klasma.github.io/Logging_0482/tillsynsmail/A 7883-2022 tillsynsbegäran mail.docx", "A 7883-2022")</f>
        <v/>
      </c>
    </row>
    <row r="95" ht="15" customHeight="1">
      <c r="A95" t="inlineStr">
        <is>
          <t>A 44563-2022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44838</v>
      </c>
      <c r="E95" s="1" t="n">
        <v>46254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HYPERLINK("https://klasma.github.io/Logging_0482/artfynd/A 44563-2022 artfynd.xlsx", "A 44563-2022")</f>
        <v/>
      </c>
      <c r="X95">
        <f>HYPERLINK("https://klasma.github.io/Logging_0482/kartor/A 44563-2022 karta.png", "A 44563-2022")</f>
        <v/>
      </c>
      <c r="Y95">
        <f>HYPERLINK("https://klasma.github.io/Logging_0482/kartor_geotiff/A 44563-2022 georefererad karta.tif", "A 44563-2022")</f>
        <v/>
      </c>
      <c r="AA95">
        <f>HYPERLINK("https://klasma.github.io/Logging_0482/klagomål/A 44563-2022 FSC-klagomål.docx", "A 44563-2022")</f>
        <v/>
      </c>
      <c r="AB95">
        <f>HYPERLINK("https://klasma.github.io/Logging_0482/klagomålsmail/A 44563-2022 FSC-klagomål mail.docx", "A 44563-2022")</f>
        <v/>
      </c>
      <c r="AC95">
        <f>HYPERLINK("https://klasma.github.io/Logging_0482/tillsyn/A 44563-2022 tillsynsbegäran.docx", "A 44563-2022")</f>
        <v/>
      </c>
      <c r="AD95">
        <f>HYPERLINK("https://klasma.github.io/Logging_0482/tillsynsmail/A 44563-2022 tillsynsbegäran mail.docx", "A 44563-2022")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46254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34823-2023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46254</v>
      </c>
      <c r="F97" t="inlineStr">
        <is>
          <t>SÖDERMANLANDS LÄN</t>
        </is>
      </c>
      <c r="G97" t="inlineStr">
        <is>
          <t>FLEN</t>
        </is>
      </c>
      <c r="I97" t="n">
        <v>1.3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Mörk dunört</t>
        </is>
      </c>
      <c r="W97">
        <f>HYPERLINK("https://klasma.github.io/Logging_0482/artfynd/A 34823-2023 artfynd.xlsx", "A 34823-2023")</f>
        <v/>
      </c>
      <c r="X97">
        <f>HYPERLINK("https://klasma.github.io/Logging_0482/kartor/A 34823-2023 karta.png", "A 34823-2023")</f>
        <v/>
      </c>
      <c r="Y97">
        <f>HYPERLINK("https://klasma.github.io/Logging_0482/kartor_geotiff/A 34823-2023 georefererad karta.tif", "A 34823-2023")</f>
        <v/>
      </c>
      <c r="AA97">
        <f>HYPERLINK("https://klasma.github.io/Logging_0482/klagomål/A 34823-2023 FSC-klagomål.docx", "A 34823-2023")</f>
        <v/>
      </c>
      <c r="AB97">
        <f>HYPERLINK("https://klasma.github.io/Logging_0482/klagomålsmail/A 34823-2023 FSC-klagomål mail.docx", "A 34823-2023")</f>
        <v/>
      </c>
      <c r="AC97">
        <f>HYPERLINK("https://klasma.github.io/Logging_0482/tillsyn/A 34823-2023 tillsynsbegäran.docx", "A 34823-2023")</f>
        <v/>
      </c>
      <c r="AD97">
        <f>HYPERLINK("https://klasma.github.io/Logging_0482/tillsynsmail/A 34823-2023 tillsynsbegäran mail.docx", "A 34823-2023")</f>
        <v/>
      </c>
    </row>
    <row r="98" ht="15" customHeight="1">
      <c r="A98" t="inlineStr">
        <is>
          <t>A 31972-2024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45510</v>
      </c>
      <c r="E98" s="1" t="n">
        <v>46254</v>
      </c>
      <c r="F98" t="inlineStr">
        <is>
          <t>SÖDERMANLANDS LÄN</t>
        </is>
      </c>
      <c r="G98" t="inlineStr">
        <is>
          <t>FLEN</t>
        </is>
      </c>
      <c r="I98" t="n">
        <v>3.4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Åkerrödtoppa</t>
        </is>
      </c>
      <c r="W98">
        <f>HYPERLINK("https://klasma.github.io/Logging_0482/artfynd/A 31972-2024 artfynd.xlsx", "A 31972-2024")</f>
        <v/>
      </c>
      <c r="X98">
        <f>HYPERLINK("https://klasma.github.io/Logging_0482/kartor/A 31972-2024 karta.png", "A 31972-2024")</f>
        <v/>
      </c>
      <c r="Y98">
        <f>HYPERLINK("https://klasma.github.io/Logging_0482/kartor_geotiff/A 31972-2024 georefererad karta.tif", "A 31972-2024")</f>
        <v/>
      </c>
      <c r="AA98">
        <f>HYPERLINK("https://klasma.github.io/Logging_0482/klagomål/A 31972-2024 FSC-klagomål.docx", "A 31972-2024")</f>
        <v/>
      </c>
      <c r="AB98">
        <f>HYPERLINK("https://klasma.github.io/Logging_0482/klagomålsmail/A 31972-2024 FSC-klagomål mail.docx", "A 31972-2024")</f>
        <v/>
      </c>
      <c r="AC98">
        <f>HYPERLINK("https://klasma.github.io/Logging_0482/tillsyn/A 31972-2024 tillsynsbegäran.docx", "A 31972-2024")</f>
        <v/>
      </c>
      <c r="AD98">
        <f>HYPERLINK("https://klasma.github.io/Logging_0482/tillsynsmail/A 31972-2024 tillsynsbegäran mail.docx", "A 31972-2024")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46254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52563-2021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46254</v>
      </c>
      <c r="F100" t="inlineStr">
        <is>
          <t>SÖDERMANLANDS LÄN</t>
        </is>
      </c>
      <c r="G100" t="inlineStr">
        <is>
          <t>FLEN</t>
        </is>
      </c>
      <c r="I100" t="n">
        <v>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Gulsparv</t>
        </is>
      </c>
      <c r="W100">
        <f>HYPERLINK("https://klasma.github.io/Logging_0482/artfynd/A 52563-2021 artfynd.xlsx", "A 52563-2021")</f>
        <v/>
      </c>
      <c r="X100">
        <f>HYPERLINK("https://klasma.github.io/Logging_0482/kartor/A 52563-2021 karta.png", "A 52563-2021")</f>
        <v/>
      </c>
      <c r="Y100">
        <f>HYPERLINK("https://klasma.github.io/Logging_0482/kartor_geotiff/A 52563-2021 georefererad karta.tif", "A 52563-2021")</f>
        <v/>
      </c>
      <c r="AA100">
        <f>HYPERLINK("https://klasma.github.io/Logging_0482/klagomål/A 52563-2021 FSC-klagomål.docx", "A 52563-2021")</f>
        <v/>
      </c>
      <c r="AB100">
        <f>HYPERLINK("https://klasma.github.io/Logging_0482/klagomålsmail/A 52563-2021 FSC-klagomål mail.docx", "A 52563-2021")</f>
        <v/>
      </c>
      <c r="AC100">
        <f>HYPERLINK("https://klasma.github.io/Logging_0482/tillsyn/A 52563-2021 tillsynsbegäran.docx", "A 52563-2021")</f>
        <v/>
      </c>
      <c r="AD100">
        <f>HYPERLINK("https://klasma.github.io/Logging_0482/tillsynsmail/A 52563-2021 tillsynsbegäran mail.docx", "A 52563-2021")</f>
        <v/>
      </c>
      <c r="AE100">
        <f>HYPERLINK("https://klasma.github.io/Logging_0482/fåglar/A 52563-2021 prioriterade fågelarter.docx", "A 52563-2021")</f>
        <v/>
      </c>
    </row>
    <row r="101" ht="15" customHeight="1">
      <c r="A101" t="inlineStr">
        <is>
          <t>A 13858-2023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45007</v>
      </c>
      <c r="E101" s="1" t="n">
        <v>46254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Svedjenäva</t>
        </is>
      </c>
      <c r="W101">
        <f>HYPERLINK("https://klasma.github.io/Logging_0482/artfynd/A 13858-2023 artfynd.xlsx", "A 13858-2023")</f>
        <v/>
      </c>
      <c r="X101">
        <f>HYPERLINK("https://klasma.github.io/Logging_0482/kartor/A 13858-2023 karta.png", "A 13858-2023")</f>
        <v/>
      </c>
      <c r="Y101">
        <f>HYPERLINK("https://klasma.github.io/Logging_0482/kartor_geotiff/A 13858-2023 georefererad karta.tif", "A 13858-2023")</f>
        <v/>
      </c>
      <c r="AA101">
        <f>HYPERLINK("https://klasma.github.io/Logging_0482/klagomål/A 13858-2023 FSC-klagomål.docx", "A 13858-2023")</f>
        <v/>
      </c>
      <c r="AB101">
        <f>HYPERLINK("https://klasma.github.io/Logging_0482/klagomålsmail/A 13858-2023 FSC-klagomål mail.docx", "A 13858-2023")</f>
        <v/>
      </c>
      <c r="AC101">
        <f>HYPERLINK("https://klasma.github.io/Logging_0482/tillsyn/A 13858-2023 tillsynsbegäran.docx", "A 13858-2023")</f>
        <v/>
      </c>
      <c r="AD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37283-2024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46254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37283-2024 artfynd.xlsx", "A 37283-2024")</f>
        <v/>
      </c>
      <c r="X102">
        <f>HYPERLINK("https://klasma.github.io/Logging_0482/kartor/A 37283-2024 karta.png", "A 37283-2024")</f>
        <v/>
      </c>
      <c r="Y102">
        <f>HYPERLINK("https://klasma.github.io/Logging_0482/kartor_geotiff/A 37283-2024 georefererad karta.tif", "A 37283-2024")</f>
        <v/>
      </c>
      <c r="AA102">
        <f>HYPERLINK("https://klasma.github.io/Logging_0482/klagomål/A 37283-2024 FSC-klagomål.docx", "A 37283-2024")</f>
        <v/>
      </c>
      <c r="AB102">
        <f>HYPERLINK("https://klasma.github.io/Logging_0482/klagomålsmail/A 37283-2024 FSC-klagomål mail.docx", "A 37283-2024")</f>
        <v/>
      </c>
      <c r="AC102">
        <f>HYPERLINK("https://klasma.github.io/Logging_0482/tillsyn/A 37283-2024 tillsynsbegäran.docx", "A 37283-2024")</f>
        <v/>
      </c>
      <c r="AD102">
        <f>HYPERLINK("https://klasma.github.io/Logging_0482/tillsynsmail/A 37283-2024 tillsynsbegäran mail.docx", "A 37283-2024")</f>
        <v/>
      </c>
    </row>
    <row r="103" ht="15" customHeight="1">
      <c r="A103" t="inlineStr">
        <is>
          <t>A 7525-2024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45348</v>
      </c>
      <c r="E103" s="1" t="n">
        <v>46254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backsmörblomma</t>
        </is>
      </c>
      <c r="W103">
        <f>HYPERLINK("https://klasma.github.io/Logging_0482/artfynd/A 7525-2024 artfynd.xlsx", "A 7525-2024")</f>
        <v/>
      </c>
      <c r="X103">
        <f>HYPERLINK("https://klasma.github.io/Logging_0482/kartor/A 7525-2024 karta.png", "A 7525-2024")</f>
        <v/>
      </c>
      <c r="Y103">
        <f>HYPERLINK("https://klasma.github.io/Logging_0482/kartor_geotiff/A 7525-2024 georefererad karta.tif", "A 7525-2024")</f>
        <v/>
      </c>
      <c r="AA103">
        <f>HYPERLINK("https://klasma.github.io/Logging_0482/klagomål/A 7525-2024 FSC-klagomål.docx", "A 7525-2024")</f>
        <v/>
      </c>
      <c r="AB103">
        <f>HYPERLINK("https://klasma.github.io/Logging_0482/klagomålsmail/A 7525-2024 FSC-klagomål mail.docx", "A 7525-2024")</f>
        <v/>
      </c>
      <c r="AC103">
        <f>HYPERLINK("https://klasma.github.io/Logging_0482/tillsyn/A 7525-2024 tillsynsbegäran.docx", "A 7525-2024")</f>
        <v/>
      </c>
      <c r="AD103">
        <f>HYPERLINK("https://klasma.github.io/Logging_0482/tillsynsmail/A 7525-2024 tillsynsbegäran mail.docx", "A 7525-2024")</f>
        <v/>
      </c>
    </row>
    <row r="104" ht="15" customHeight="1">
      <c r="A104" t="inlineStr">
        <is>
          <t>A 31427-2022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44774</v>
      </c>
      <c r="E104" s="1" t="n">
        <v>46254</v>
      </c>
      <c r="F104" t="inlineStr">
        <is>
          <t>SÖDERMANLANDS LÄN</t>
        </is>
      </c>
      <c r="G104" t="inlineStr">
        <is>
          <t>FLEN</t>
        </is>
      </c>
      <c r="I104" t="n">
        <v>3.7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HYPERLINK("https://klasma.github.io/Logging_0482/artfynd/A 31427-2022 artfynd.xlsx", "A 31427-2022")</f>
        <v/>
      </c>
      <c r="X104">
        <f>HYPERLINK("https://klasma.github.io/Logging_0482/kartor/A 31427-2022 karta.png", "A 31427-2022")</f>
        <v/>
      </c>
      <c r="Y104">
        <f>HYPERLINK("https://klasma.github.io/Logging_0482/kartor_geotiff/A 31427-2022 georefererad karta.tif", "A 31427-2022")</f>
        <v/>
      </c>
      <c r="AA104">
        <f>HYPERLINK("https://klasma.github.io/Logging_0482/klagomål/A 31427-2022 FSC-klagomål.docx", "A 31427-2022")</f>
        <v/>
      </c>
      <c r="AB104">
        <f>HYPERLINK("https://klasma.github.io/Logging_0482/klagomålsmail/A 31427-2022 FSC-klagomål mail.docx", "A 31427-2022")</f>
        <v/>
      </c>
      <c r="AC104">
        <f>HYPERLINK("https://klasma.github.io/Logging_0482/tillsyn/A 31427-2022 tillsynsbegäran.docx", "A 31427-2022")</f>
        <v/>
      </c>
      <c r="AD104">
        <f>HYPERLINK("https://klasma.github.io/Logging_0482/tillsynsmail/A 31427-2022 tillsynsbegäran mail.docx", "A 31427-2022")</f>
        <v/>
      </c>
    </row>
    <row r="105" ht="15" customHeight="1">
      <c r="A105" t="inlineStr">
        <is>
          <t>A 14113-2025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46254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14113-2025 artfynd.xlsx", "A 14113-2025")</f>
        <v/>
      </c>
      <c r="X105">
        <f>HYPERLINK("https://klasma.github.io/Logging_0482/kartor/A 14113-2025 karta.png", "A 14113-2025")</f>
        <v/>
      </c>
      <c r="Y105">
        <f>HYPERLINK("https://klasma.github.io/Logging_0482/kartor_geotiff/A 14113-2025 georefererad karta.tif", "A 14113-2025")</f>
        <v/>
      </c>
      <c r="AA105">
        <f>HYPERLINK("https://klasma.github.io/Logging_0482/klagomål/A 14113-2025 FSC-klagomål.docx", "A 14113-2025")</f>
        <v/>
      </c>
      <c r="AB105">
        <f>HYPERLINK("https://klasma.github.io/Logging_0482/klagomålsmail/A 14113-2025 FSC-klagomål mail.docx", "A 14113-2025")</f>
        <v/>
      </c>
      <c r="AC105">
        <f>HYPERLINK("https://klasma.github.io/Logging_0482/tillsyn/A 14113-2025 tillsynsbegäran.docx", "A 14113-2025")</f>
        <v/>
      </c>
      <c r="AD105">
        <f>HYPERLINK("https://klasma.github.io/Logging_0482/tillsynsmail/A 14113-2025 tillsynsbegäran mail.docx", "A 14113-2025")</f>
        <v/>
      </c>
    </row>
    <row r="106" ht="15" customHeight="1">
      <c r="A106" t="inlineStr">
        <is>
          <t>A 38829-2025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46254</v>
      </c>
      <c r="F106" t="inlineStr">
        <is>
          <t>SÖDERMANLANDS LÄN</t>
        </is>
      </c>
      <c r="G106" t="inlineStr">
        <is>
          <t>FLEN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38829-2025 artfynd.xlsx", "A 38829-2025")</f>
        <v/>
      </c>
      <c r="X106">
        <f>HYPERLINK("https://klasma.github.io/Logging_0482/kartor/A 38829-2025 karta.png", "A 38829-2025")</f>
        <v/>
      </c>
      <c r="Y106">
        <f>HYPERLINK("https://klasma.github.io/Logging_0482/kartor_geotiff/A 38829-2025 georefererad karta.tif", "A 38829-2025")</f>
        <v/>
      </c>
      <c r="AA106">
        <f>HYPERLINK("https://klasma.github.io/Logging_0482/klagomål/A 38829-2025 FSC-klagomål.docx", "A 38829-2025")</f>
        <v/>
      </c>
      <c r="AB106">
        <f>HYPERLINK("https://klasma.github.io/Logging_0482/klagomålsmail/A 38829-2025 FSC-klagomål mail.docx", "A 38829-2025")</f>
        <v/>
      </c>
      <c r="AC106">
        <f>HYPERLINK("https://klasma.github.io/Logging_0482/tillsyn/A 38829-2025 tillsynsbegäran.docx", "A 38829-2025")</f>
        <v/>
      </c>
      <c r="AD106">
        <f>HYPERLINK("https://klasma.github.io/Logging_0482/tillsynsmail/A 38829-2025 tillsynsbegäran mail.docx", "A 38829-2025")</f>
        <v/>
      </c>
    </row>
    <row r="107" ht="15" customHeight="1">
      <c r="A107" t="inlineStr">
        <is>
          <t>A 6982-2024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46254</v>
      </c>
      <c r="F107" t="inlineStr">
        <is>
          <t>SÖDERMANLANDS LÄN</t>
        </is>
      </c>
      <c r="G107" t="inlineStr">
        <is>
          <t>FLEN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HYPERLINK("https://klasma.github.io/Logging_0482/artfynd/A 6982-2024 artfynd.xlsx", "A 6982-2024")</f>
        <v/>
      </c>
      <c r="X107">
        <f>HYPERLINK("https://klasma.github.io/Logging_0482/kartor/A 6982-2024 karta.png", "A 6982-2024")</f>
        <v/>
      </c>
      <c r="Y107">
        <f>HYPERLINK("https://klasma.github.io/Logging_0482/kartor_geotiff/A 6982-2024 georefererad karta.tif", "A 6982-2024")</f>
        <v/>
      </c>
      <c r="AA107">
        <f>HYPERLINK("https://klasma.github.io/Logging_0482/klagomål/A 6982-2024 FSC-klagomål.docx", "A 6982-2024")</f>
        <v/>
      </c>
      <c r="AB107">
        <f>HYPERLINK("https://klasma.github.io/Logging_0482/klagomålsmail/A 6982-2024 FSC-klagomål mail.docx", "A 6982-2024")</f>
        <v/>
      </c>
      <c r="AC107">
        <f>HYPERLINK("https://klasma.github.io/Logging_0482/tillsyn/A 6982-2024 tillsynsbegäran.docx", "A 6982-2024")</f>
        <v/>
      </c>
      <c r="AD107">
        <f>HYPERLINK("https://klasma.github.io/Logging_0482/tillsynsmail/A 6982-2024 tillsynsbegäran mail.docx", "A 6982-2024")</f>
        <v/>
      </c>
    </row>
    <row r="108" ht="15" customHeight="1">
      <c r="A108" t="inlineStr">
        <is>
          <t>A 21704-2026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46254</v>
      </c>
      <c r="F108" t="inlineStr">
        <is>
          <t>SÖDERMANLANDS LÄN</t>
        </is>
      </c>
      <c r="G108" t="inlineStr">
        <is>
          <t>FLEN</t>
        </is>
      </c>
      <c r="I108" t="n">
        <v>10.2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Kandelabersvamp</t>
        </is>
      </c>
      <c r="W108">
        <f>HYPERLINK("https://klasma.github.io/Logging_0482/artfynd/A 21704-2026 artfynd.xlsx", "A 21704-2026")</f>
        <v/>
      </c>
      <c r="X108">
        <f>HYPERLINK("https://klasma.github.io/Logging_0482/kartor/A 21704-2026 karta.png", "A 21704-2026")</f>
        <v/>
      </c>
      <c r="Y108">
        <f>HYPERLINK("https://klasma.github.io/Logging_0482/kartor_geotiff/A 21704-2026 georefererad karta.tif", "A 21704-2026")</f>
        <v/>
      </c>
      <c r="AA108">
        <f>HYPERLINK("https://klasma.github.io/Logging_0482/klagomål/A 21704-2026 FSC-klagomål.docx", "A 21704-2026")</f>
        <v/>
      </c>
      <c r="AB108">
        <f>HYPERLINK("https://klasma.github.io/Logging_0482/klagomålsmail/A 21704-2026 FSC-klagomål mail.docx", "A 21704-2026")</f>
        <v/>
      </c>
      <c r="AC108">
        <f>HYPERLINK("https://klasma.github.io/Logging_0482/tillsyn/A 21704-2026 tillsynsbegäran.docx", "A 21704-2026")</f>
        <v/>
      </c>
      <c r="AD108">
        <f>HYPERLINK("https://klasma.github.io/Logging_0482/tillsynsmail/A 21704-2026 tillsynsbegäran mail.docx", "A 21704-2026")</f>
        <v/>
      </c>
    </row>
    <row r="109" ht="15" customHeight="1">
      <c r="A109" t="inlineStr">
        <is>
          <t>A 43008-2023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46254</v>
      </c>
      <c r="F109" t="inlineStr">
        <is>
          <t>SÖDERMANLANDS LÄN</t>
        </is>
      </c>
      <c r="G109" t="inlineStr">
        <is>
          <t>FLEN</t>
        </is>
      </c>
      <c r="I109" t="n">
        <v>1.5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Gullklöver</t>
        </is>
      </c>
      <c r="W109">
        <f>HYPERLINK("https://klasma.github.io/Logging_0482/artfynd/A 43008-2023 artfynd.xlsx", "A 43008-2023")</f>
        <v/>
      </c>
      <c r="X109">
        <f>HYPERLINK("https://klasma.github.io/Logging_0482/kartor/A 43008-2023 karta.png", "A 43008-2023")</f>
        <v/>
      </c>
      <c r="Y109">
        <f>HYPERLINK("https://klasma.github.io/Logging_0482/kartor_geotiff/A 43008-2023 georefererad karta.tif", "A 43008-2023")</f>
        <v/>
      </c>
      <c r="AA109">
        <f>HYPERLINK("https://klasma.github.io/Logging_0482/klagomål/A 43008-2023 FSC-klagomål.docx", "A 43008-2023")</f>
        <v/>
      </c>
      <c r="AB109">
        <f>HYPERLINK("https://klasma.github.io/Logging_0482/klagomålsmail/A 43008-2023 FSC-klagomål mail.docx", "A 43008-2023")</f>
        <v/>
      </c>
      <c r="AC109">
        <f>HYPERLINK("https://klasma.github.io/Logging_0482/tillsyn/A 43008-2023 tillsynsbegäran.docx", "A 43008-2023")</f>
        <v/>
      </c>
      <c r="AD109">
        <f>HYPERLINK("https://klasma.github.io/Logging_0482/tillsynsmail/A 43008-2023 tillsynsbegäran mail.docx", "A 43008-2023")</f>
        <v/>
      </c>
    </row>
    <row r="110" ht="15" customHeight="1">
      <c r="A110" t="inlineStr">
        <is>
          <t>A 54302-2025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46254</v>
      </c>
      <c r="F110" t="inlineStr">
        <is>
          <t>SÖDERMANLANDS LÄN</t>
        </is>
      </c>
      <c r="G110" t="inlineStr">
        <is>
          <t>FLEN</t>
        </is>
      </c>
      <c r="I110" t="n">
        <v>12.6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Dofttaggsvamp</t>
        </is>
      </c>
      <c r="W110">
        <f>HYPERLINK("https://klasma.github.io/Logging_0482/artfynd/A 54302-2025 artfynd.xlsx", "A 54302-2025")</f>
        <v/>
      </c>
      <c r="X110">
        <f>HYPERLINK("https://klasma.github.io/Logging_0482/kartor/A 54302-2025 karta.png", "A 54302-2025")</f>
        <v/>
      </c>
      <c r="Y110">
        <f>HYPERLINK("https://klasma.github.io/Logging_0482/kartor_geotiff/A 54302-2025 georefererad karta.tif", "A 54302-2025")</f>
        <v/>
      </c>
      <c r="AA110">
        <f>HYPERLINK("https://klasma.github.io/Logging_0482/klagomål/A 54302-2025 FSC-klagomål.docx", "A 54302-2025")</f>
        <v/>
      </c>
      <c r="AB110">
        <f>HYPERLINK("https://klasma.github.io/Logging_0482/klagomålsmail/A 54302-2025 FSC-klagomål mail.docx", "A 54302-2025")</f>
        <v/>
      </c>
      <c r="AC110">
        <f>HYPERLINK("https://klasma.github.io/Logging_0482/tillsyn/A 54302-2025 tillsynsbegäran.docx", "A 54302-2025")</f>
        <v/>
      </c>
      <c r="AD110">
        <f>HYPERLINK("https://klasma.github.io/Logging_0482/tillsynsmail/A 54302-2025 tillsynsbegäran mail.docx", "A 54302-2025")</f>
        <v/>
      </c>
    </row>
    <row r="111" ht="15" customHeight="1">
      <c r="A111" t="inlineStr">
        <is>
          <t>A 34721-2023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45141</v>
      </c>
      <c r="E111" s="1" t="n">
        <v>46254</v>
      </c>
      <c r="F111" t="inlineStr">
        <is>
          <t>SÖDERMANLANDS LÄN</t>
        </is>
      </c>
      <c r="G111" t="inlineStr">
        <is>
          <t>FLEN</t>
        </is>
      </c>
      <c r="I111" t="n">
        <v>4.1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34721-2023 artfynd.xlsx", "A 34721-2023")</f>
        <v/>
      </c>
      <c r="X111">
        <f>HYPERLINK("https://klasma.github.io/Logging_0482/kartor/A 34721-2023 karta.png", "A 34721-2023")</f>
        <v/>
      </c>
      <c r="Y111">
        <f>HYPERLINK("https://klasma.github.io/Logging_0482/kartor_geotiff/A 34721-2023 georefererad karta.tif", "A 34721-2023")</f>
        <v/>
      </c>
      <c r="AA111">
        <f>HYPERLINK("https://klasma.github.io/Logging_0482/klagomål/A 34721-2023 FSC-klagomål.docx", "A 34721-2023")</f>
        <v/>
      </c>
      <c r="AB111">
        <f>HYPERLINK("https://klasma.github.io/Logging_0482/klagomålsmail/A 34721-2023 FSC-klagomål mail.docx", "A 34721-2023")</f>
        <v/>
      </c>
      <c r="AC111">
        <f>HYPERLINK("https://klasma.github.io/Logging_0482/tillsyn/A 34721-2023 tillsynsbegäran.docx", "A 34721-2023")</f>
        <v/>
      </c>
      <c r="AD111">
        <f>HYPERLINK("https://klasma.github.io/Logging_0482/tillsynsmail/A 34721-2023 tillsynsbegäran mail.docx", "A 34721-2023")</f>
        <v/>
      </c>
    </row>
    <row r="112" ht="15" customHeight="1">
      <c r="A112" t="inlineStr">
        <is>
          <t>A 66230-2021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46254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66230-2021 artfynd.xlsx", "A 66230-2021")</f>
        <v/>
      </c>
      <c r="X112">
        <f>HYPERLINK("https://klasma.github.io/Logging_0482/kartor/A 66230-2021 karta.png", "A 66230-2021")</f>
        <v/>
      </c>
      <c r="Y112">
        <f>HYPERLINK("https://klasma.github.io/Logging_0482/kartor_geotiff/A 66230-2021 georefererad karta.tif", "A 66230-2021")</f>
        <v/>
      </c>
      <c r="AA112">
        <f>HYPERLINK("https://klasma.github.io/Logging_0482/klagomål/A 66230-2021 FSC-klagomål.docx", "A 66230-2021")</f>
        <v/>
      </c>
      <c r="AB112">
        <f>HYPERLINK("https://klasma.github.io/Logging_0482/klagomålsmail/A 66230-2021 FSC-klagomål mail.docx", "A 66230-2021")</f>
        <v/>
      </c>
      <c r="AC112">
        <f>HYPERLINK("https://klasma.github.io/Logging_0482/tillsyn/A 66230-2021 tillsynsbegäran.docx", "A 66230-2021")</f>
        <v/>
      </c>
      <c r="AD112">
        <f>HYPERLINK("https://klasma.github.io/Logging_0482/tillsynsmail/A 66230-2021 tillsynsbegäran mail.docx", "A 66230-2021")</f>
        <v/>
      </c>
    </row>
    <row r="113" ht="15" customHeight="1">
      <c r="A113" t="inlineStr">
        <is>
          <t>A 1242-2022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44572</v>
      </c>
      <c r="E113" s="1" t="n">
        <v>46254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1242-2022 artfynd.xlsx", "A 1242-2022")</f>
        <v/>
      </c>
      <c r="X113">
        <f>HYPERLINK("https://klasma.github.io/Logging_0482/kartor/A 1242-2022 karta.png", "A 1242-2022")</f>
        <v/>
      </c>
      <c r="Y113">
        <f>HYPERLINK("https://klasma.github.io/Logging_0482/kartor_geotiff/A 1242-2022 georefererad karta.tif", "A 1242-2022")</f>
        <v/>
      </c>
      <c r="AA113">
        <f>HYPERLINK("https://klasma.github.io/Logging_0482/klagomål/A 1242-2022 FSC-klagomål.docx", "A 1242-2022")</f>
        <v/>
      </c>
      <c r="AB113">
        <f>HYPERLINK("https://klasma.github.io/Logging_0482/klagomålsmail/A 1242-2022 FSC-klagomål mail.docx", "A 1242-2022")</f>
        <v/>
      </c>
      <c r="AC113">
        <f>HYPERLINK("https://klasma.github.io/Logging_0482/tillsyn/A 1242-2022 tillsynsbegäran.docx", "A 1242-2022")</f>
        <v/>
      </c>
      <c r="AD113">
        <f>HYPERLINK("https://klasma.github.io/Logging_0482/tillsynsmail/A 1242-2022 tillsynsbegäran mail.docx", "A 1242-2022")</f>
        <v/>
      </c>
    </row>
    <row r="114" ht="15" customHeight="1">
      <c r="A114" t="inlineStr">
        <is>
          <t>A 14101-2025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46254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HYPERLINK("https://klasma.github.io/Logging_0482/artfynd/A 14101-2025 artfynd.xlsx", "A 14101-2025")</f>
        <v/>
      </c>
      <c r="X114">
        <f>HYPERLINK("https://klasma.github.io/Logging_0482/kartor/A 14101-2025 karta.png", "A 14101-2025")</f>
        <v/>
      </c>
      <c r="Y114">
        <f>HYPERLINK("https://klasma.github.io/Logging_0482/kartor_geotiff/A 14101-2025 georefererad karta.tif", "A 14101-2025")</f>
        <v/>
      </c>
      <c r="AA114">
        <f>HYPERLINK("https://klasma.github.io/Logging_0482/klagomål/A 14101-2025 FSC-klagomål.docx", "A 14101-2025")</f>
        <v/>
      </c>
      <c r="AB114">
        <f>HYPERLINK("https://klasma.github.io/Logging_0482/klagomålsmail/A 14101-2025 FSC-klagomål mail.docx", "A 14101-2025")</f>
        <v/>
      </c>
      <c r="AC114">
        <f>HYPERLINK("https://klasma.github.io/Logging_0482/tillsyn/A 14101-2025 tillsynsbegäran.docx", "A 14101-2025")</f>
        <v/>
      </c>
      <c r="AD114">
        <f>HYPERLINK("https://klasma.github.io/Logging_0482/tillsynsmail/A 14101-2025 tillsynsbegäran mail.docx", "A 14101-2025")</f>
        <v/>
      </c>
    </row>
    <row r="115" ht="15" customHeight="1">
      <c r="A115" t="inlineStr">
        <is>
          <t>A 37317-2023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46254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5.1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Svavelriska</t>
        </is>
      </c>
      <c r="W115">
        <f>HYPERLINK("https://klasma.github.io/Logging_0482/artfynd/A 37317-2023 artfynd.xlsx", "A 37317-2023")</f>
        <v/>
      </c>
      <c r="X115">
        <f>HYPERLINK("https://klasma.github.io/Logging_0482/kartor/A 37317-2023 karta.png", "A 37317-2023")</f>
        <v/>
      </c>
      <c r="Y115">
        <f>HYPERLINK("https://klasma.github.io/Logging_0482/kartor_geotiff/A 37317-2023 georefererad karta.tif", "A 37317-2023")</f>
        <v/>
      </c>
      <c r="AA115">
        <f>HYPERLINK("https://klasma.github.io/Logging_0482/klagomål/A 37317-2023 FSC-klagomål.docx", "A 37317-2023")</f>
        <v/>
      </c>
      <c r="AB115">
        <f>HYPERLINK("https://klasma.github.io/Logging_0482/klagomålsmail/A 37317-2023 FSC-klagomål mail.docx", "A 37317-2023")</f>
        <v/>
      </c>
      <c r="AC115">
        <f>HYPERLINK("https://klasma.github.io/Logging_0482/tillsyn/A 37317-2023 tillsynsbegäran.docx", "A 37317-2023")</f>
        <v/>
      </c>
      <c r="AD115">
        <f>HYPERLINK("https://klasma.github.io/Logging_0482/tillsynsmail/A 37317-2023 tillsynsbegäran mail.docx", "A 37317-2023")</f>
        <v/>
      </c>
    </row>
    <row r="116" ht="15" customHeight="1">
      <c r="A116" t="inlineStr">
        <is>
          <t>A 24179-2026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46254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1.8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Gullklöver</t>
        </is>
      </c>
      <c r="W116">
        <f>HYPERLINK("https://klasma.github.io/Logging_0482/artfynd/A 24179-2026 artfynd.xlsx", "A 24179-2026")</f>
        <v/>
      </c>
      <c r="X116">
        <f>HYPERLINK("https://klasma.github.io/Logging_0482/kartor/A 24179-2026 karta.png", "A 24179-2026")</f>
        <v/>
      </c>
      <c r="Y116">
        <f>HYPERLINK("https://klasma.github.io/Logging_0482/kartor_geotiff/A 24179-2026 georefererad karta.tif", "A 24179-2026")</f>
        <v/>
      </c>
      <c r="AA116">
        <f>HYPERLINK("https://klasma.github.io/Logging_0482/klagomål/A 24179-2026 FSC-klagomål.docx", "A 24179-2026")</f>
        <v/>
      </c>
      <c r="AB116">
        <f>HYPERLINK("https://klasma.github.io/Logging_0482/klagomålsmail/A 24179-2026 FSC-klagomål mail.docx", "A 24179-2026")</f>
        <v/>
      </c>
      <c r="AC116">
        <f>HYPERLINK("https://klasma.github.io/Logging_0482/tillsyn/A 24179-2026 tillsynsbegäran.docx", "A 24179-2026")</f>
        <v/>
      </c>
      <c r="AD116">
        <f>HYPERLINK("https://klasma.github.io/Logging_0482/tillsynsmail/A 24179-2026 tillsynsbegäran mail.docx", "A 24179-2026")</f>
        <v/>
      </c>
    </row>
    <row r="117" ht="15" customHeight="1">
      <c r="A117" t="inlineStr">
        <is>
          <t>A 60529-2024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46254</v>
      </c>
      <c r="F117" t="inlineStr">
        <is>
          <t>SÖDERMANLANDS LÄN</t>
        </is>
      </c>
      <c r="G117" t="inlineStr">
        <is>
          <t>FLEN</t>
        </is>
      </c>
      <c r="I117" t="n">
        <v>2.5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Skarp dropptaggsvamp</t>
        </is>
      </c>
      <c r="W117">
        <f>HYPERLINK("https://klasma.github.io/Logging_0482/artfynd/A 60529-2024 artfynd.xlsx", "A 60529-2024")</f>
        <v/>
      </c>
      <c r="X117">
        <f>HYPERLINK("https://klasma.github.io/Logging_0482/kartor/A 60529-2024 karta.png", "A 60529-2024")</f>
        <v/>
      </c>
      <c r="Y117">
        <f>HYPERLINK("https://klasma.github.io/Logging_0482/kartor_geotiff/A 60529-2024 georefererad karta.tif", "A 60529-2024")</f>
        <v/>
      </c>
      <c r="AA117">
        <f>HYPERLINK("https://klasma.github.io/Logging_0482/klagomål/A 60529-2024 FSC-klagomål.docx", "A 60529-2024")</f>
        <v/>
      </c>
      <c r="AB117">
        <f>HYPERLINK("https://klasma.github.io/Logging_0482/klagomålsmail/A 60529-2024 FSC-klagomål mail.docx", "A 60529-2024")</f>
        <v/>
      </c>
      <c r="AC117">
        <f>HYPERLINK("https://klasma.github.io/Logging_0482/tillsyn/A 60529-2024 tillsynsbegäran.docx", "A 60529-2024")</f>
        <v/>
      </c>
      <c r="AD117">
        <f>HYPERLINK("https://klasma.github.io/Logging_0482/tillsynsmail/A 60529-2024 tillsynsbegäran mail.docx", "A 60529-2024")</f>
        <v/>
      </c>
    </row>
    <row r="118" ht="15" customHeight="1">
      <c r="A118" t="inlineStr">
        <is>
          <t>A 53339-2023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46254</v>
      </c>
      <c r="F118" t="inlineStr">
        <is>
          <t>SÖDERMANLANDS LÄN</t>
        </is>
      </c>
      <c r="G118" t="inlineStr">
        <is>
          <t>FLEN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HYPERLINK("https://klasma.github.io/Logging_0482/artfynd/A 53339-2023 artfynd.xlsx", "A 53339-2023")</f>
        <v/>
      </c>
      <c r="X118">
        <f>HYPERLINK("https://klasma.github.io/Logging_0482/kartor/A 53339-2023 karta.png", "A 53339-2023")</f>
        <v/>
      </c>
      <c r="Y118">
        <f>HYPERLINK("https://klasma.github.io/Logging_0482/kartor_geotiff/A 53339-2023 georefererad karta.tif", "A 53339-2023")</f>
        <v/>
      </c>
      <c r="AA118">
        <f>HYPERLINK("https://klasma.github.io/Logging_0482/klagomål/A 53339-2023 FSC-klagomål.docx", "A 53339-2023")</f>
        <v/>
      </c>
      <c r="AB118">
        <f>HYPERLINK("https://klasma.github.io/Logging_0482/klagomålsmail/A 53339-2023 FSC-klagomål mail.docx", "A 53339-2023")</f>
        <v/>
      </c>
      <c r="AC118">
        <f>HYPERLINK("https://klasma.github.io/Logging_0482/tillsyn/A 53339-2023 tillsynsbegäran.docx", "A 53339-2023")</f>
        <v/>
      </c>
      <c r="AD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47581-2025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46254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47581-2025 artfynd.xlsx", "A 47581-2025")</f>
        <v/>
      </c>
      <c r="X119">
        <f>HYPERLINK("https://klasma.github.io/Logging_0482/kartor/A 47581-2025 karta.png", "A 47581-2025")</f>
        <v/>
      </c>
      <c r="Y119">
        <f>HYPERLINK("https://klasma.github.io/Logging_0482/kartor_geotiff/A 47581-2025 georefererad karta.tif", "A 47581-2025")</f>
        <v/>
      </c>
      <c r="AA119">
        <f>HYPERLINK("https://klasma.github.io/Logging_0482/klagomål/A 47581-2025 FSC-klagomål.docx", "A 47581-2025")</f>
        <v/>
      </c>
      <c r="AB119">
        <f>HYPERLINK("https://klasma.github.io/Logging_0482/klagomålsmail/A 47581-2025 FSC-klagomål mail.docx", "A 47581-2025")</f>
        <v/>
      </c>
      <c r="AC119">
        <f>HYPERLINK("https://klasma.github.io/Logging_0482/tillsyn/A 47581-2025 tillsynsbegäran.docx", "A 47581-2025")</f>
        <v/>
      </c>
      <c r="AD119">
        <f>HYPERLINK("https://klasma.github.io/Logging_0482/tillsynsmail/A 47581-2025 tillsynsbegäran mail.docx", "A 47581-2025")</f>
        <v/>
      </c>
    </row>
    <row r="120" ht="15" customHeight="1">
      <c r="A120" t="inlineStr">
        <is>
          <t>A 26310-2026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46254</v>
      </c>
      <c r="F120" t="inlineStr">
        <is>
          <t>SÖDERMANLANDS LÄN</t>
        </is>
      </c>
      <c r="G120" t="inlineStr">
        <is>
          <t>FLEN</t>
        </is>
      </c>
      <c r="I120" t="n">
        <v>1.2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HYPERLINK("https://klasma.github.io/Logging_0482/artfynd/A 26310-2026 artfynd.xlsx", "A 26310-2026")</f>
        <v/>
      </c>
      <c r="X120">
        <f>HYPERLINK("https://klasma.github.io/Logging_0482/kartor/A 26310-2026 karta.png", "A 26310-2026")</f>
        <v/>
      </c>
      <c r="Y120">
        <f>HYPERLINK("https://klasma.github.io/Logging_0482/kartor_geotiff/A 26310-2026 georefererad karta.tif", "A 26310-2026")</f>
        <v/>
      </c>
      <c r="AA120">
        <f>HYPERLINK("https://klasma.github.io/Logging_0482/klagomål/A 26310-2026 FSC-klagomål.docx", "A 26310-2026")</f>
        <v/>
      </c>
      <c r="AB120">
        <f>HYPERLINK("https://klasma.github.io/Logging_0482/klagomålsmail/A 26310-2026 FSC-klagomål mail.docx", "A 26310-2026")</f>
        <v/>
      </c>
      <c r="AC120">
        <f>HYPERLINK("https://klasma.github.io/Logging_0482/tillsyn/A 26310-2026 tillsynsbegäran.docx", "A 26310-2026")</f>
        <v/>
      </c>
      <c r="AD120">
        <f>HYPERLINK("https://klasma.github.io/Logging_0482/tillsynsmail/A 26310-2026 tillsynsbegäran mail.docx", "A 26310-2026")</f>
        <v/>
      </c>
      <c r="AE120">
        <f>HYPERLINK("https://klasma.github.io/Logging_0482/fåglar/A 26310-2026 prioriterade fågelarter.docx", "A 26310-2026")</f>
        <v/>
      </c>
    </row>
    <row r="121" ht="15" customHeight="1">
      <c r="A121" t="inlineStr">
        <is>
          <t>A 26052-2026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46254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HYPERLINK("https://klasma.github.io/Logging_0482/artfynd/A 26052-2026 artfynd.xlsx", "A 26052-2026")</f>
        <v/>
      </c>
      <c r="X121">
        <f>HYPERLINK("https://klasma.github.io/Logging_0482/kartor/A 26052-2026 karta.png", "A 26052-2026")</f>
        <v/>
      </c>
      <c r="Y121">
        <f>HYPERLINK("https://klasma.github.io/Logging_0482/kartor_geotiff/A 26052-2026 georefererad karta.tif", "A 26052-2026")</f>
        <v/>
      </c>
      <c r="AA121">
        <f>HYPERLINK("https://klasma.github.io/Logging_0482/klagomål/A 26052-2026 FSC-klagomål.docx", "A 26052-2026")</f>
        <v/>
      </c>
      <c r="AB121">
        <f>HYPERLINK("https://klasma.github.io/Logging_0482/klagomålsmail/A 26052-2026 FSC-klagomål mail.docx", "A 26052-2026")</f>
        <v/>
      </c>
      <c r="AC121">
        <f>HYPERLINK("https://klasma.github.io/Logging_0482/tillsyn/A 26052-2026 tillsynsbegäran.docx", "A 26052-2026")</f>
        <v/>
      </c>
      <c r="AD121">
        <f>HYPERLINK("https://klasma.github.io/Logging_0482/tillsynsmail/A 26052-2026 tillsynsbegäran mail.docx", "A 26052-2026")</f>
        <v/>
      </c>
    </row>
    <row r="122" ht="15" customHeight="1">
      <c r="A122" t="inlineStr">
        <is>
          <t>A 52546-2021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44463</v>
      </c>
      <c r="E122" s="1" t="n">
        <v>46254</v>
      </c>
      <c r="F122" t="inlineStr">
        <is>
          <t>SÖDERMANLANDS LÄN</t>
        </is>
      </c>
      <c r="G122" t="inlineStr">
        <is>
          <t>FLEN</t>
        </is>
      </c>
      <c r="I122" t="n">
        <v>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Mindre bastardsvärmare</t>
        </is>
      </c>
      <c r="W122">
        <f>HYPERLINK("https://klasma.github.io/Logging_0482/artfynd/A 52546-2021 artfynd.xlsx", "A 52546-2021")</f>
        <v/>
      </c>
      <c r="X122">
        <f>HYPERLINK("https://klasma.github.io/Logging_0482/kartor/A 52546-2021 karta.png", "A 52546-2021")</f>
        <v/>
      </c>
      <c r="Y122">
        <f>HYPERLINK("https://klasma.github.io/Logging_0482/kartor_geotiff/A 52546-2021 georefererad karta.tif", "A 52546-2021")</f>
        <v/>
      </c>
      <c r="AA122">
        <f>HYPERLINK("https://klasma.github.io/Logging_0482/klagomål/A 52546-2021 FSC-klagomål.docx", "A 52546-2021")</f>
        <v/>
      </c>
      <c r="AB122">
        <f>HYPERLINK("https://klasma.github.io/Logging_0482/klagomålsmail/A 52546-2021 FSC-klagomål mail.docx", "A 52546-2021")</f>
        <v/>
      </c>
      <c r="AC122">
        <f>HYPERLINK("https://klasma.github.io/Logging_0482/tillsyn/A 52546-2021 tillsynsbegäran.docx", "A 52546-2021")</f>
        <v/>
      </c>
      <c r="AD122">
        <f>HYPERLINK("https://klasma.github.io/Logging_0482/tillsynsmail/A 52546-2021 tillsynsbegäran mail.docx", "A 52546-2021")</f>
        <v/>
      </c>
    </row>
    <row r="123" ht="15" customHeight="1">
      <c r="A123" t="inlineStr">
        <is>
          <t>A 45120-2021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46254</v>
      </c>
      <c r="F123" t="inlineStr">
        <is>
          <t>SÖDERMANLANDS LÄN</t>
        </is>
      </c>
      <c r="G123" t="inlineStr">
        <is>
          <t>FLEN</t>
        </is>
      </c>
      <c r="I123" t="n">
        <v>1.5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Svinrot</t>
        </is>
      </c>
      <c r="W123">
        <f>HYPERLINK("https://klasma.github.io/Logging_0482/artfynd/A 45120-2021 artfynd.xlsx", "A 45120-2021")</f>
        <v/>
      </c>
      <c r="X123">
        <f>HYPERLINK("https://klasma.github.io/Logging_0482/kartor/A 45120-2021 karta.png", "A 45120-2021")</f>
        <v/>
      </c>
      <c r="Y123">
        <f>HYPERLINK("https://klasma.github.io/Logging_0482/kartor_geotiff/A 45120-2021 georefererad karta.tif", "A 45120-2021")</f>
        <v/>
      </c>
      <c r="AA123">
        <f>HYPERLINK("https://klasma.github.io/Logging_0482/klagomål/A 45120-2021 FSC-klagomål.docx", "A 45120-2021")</f>
        <v/>
      </c>
      <c r="AB123">
        <f>HYPERLINK("https://klasma.github.io/Logging_0482/klagomålsmail/A 45120-2021 FSC-klagomål mail.docx", "A 45120-2021")</f>
        <v/>
      </c>
      <c r="AC123">
        <f>HYPERLINK("https://klasma.github.io/Logging_0482/tillsyn/A 45120-2021 tillsynsbegäran.docx", "A 45120-2021")</f>
        <v/>
      </c>
      <c r="AD123">
        <f>HYPERLINK("https://klasma.github.io/Logging_0482/tillsynsmail/A 45120-2021 tillsynsbegäran mail.docx", "A 45120-2021")</f>
        <v/>
      </c>
    </row>
    <row r="124" ht="15" customHeight="1">
      <c r="A124" t="inlineStr">
        <is>
          <t>A 52579-2025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46254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4.5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Slåtterfibbla</t>
        </is>
      </c>
      <c r="W124">
        <f>HYPERLINK("https://klasma.github.io/Logging_0482/artfynd/A 52579-2025 artfynd.xlsx", "A 52579-2025")</f>
        <v/>
      </c>
      <c r="X124">
        <f>HYPERLINK("https://klasma.github.io/Logging_0482/kartor/A 52579-2025 karta.png", "A 52579-2025")</f>
        <v/>
      </c>
      <c r="Y124">
        <f>HYPERLINK("https://klasma.github.io/Logging_0482/kartor_geotiff/A 52579-2025 georefererad karta.tif", "A 52579-2025")</f>
        <v/>
      </c>
      <c r="AA124">
        <f>HYPERLINK("https://klasma.github.io/Logging_0482/klagomål/A 52579-2025 FSC-klagomål.docx", "A 52579-2025")</f>
        <v/>
      </c>
      <c r="AB124">
        <f>HYPERLINK("https://klasma.github.io/Logging_0482/klagomålsmail/A 52579-2025 FSC-klagomål mail.docx", "A 52579-2025")</f>
        <v/>
      </c>
      <c r="AC124">
        <f>HYPERLINK("https://klasma.github.io/Logging_0482/tillsyn/A 52579-2025 tillsynsbegäran.docx", "A 52579-2025")</f>
        <v/>
      </c>
      <c r="AD124">
        <f>HYPERLINK("https://klasma.github.io/Logging_0482/tillsynsmail/A 52579-2025 tillsynsbegäran mail.docx", "A 52579-2025")</f>
        <v/>
      </c>
    </row>
    <row r="125" ht="15" customHeight="1">
      <c r="A125" t="inlineStr">
        <is>
          <t>A 46987-2024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46254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HYPERLINK("https://klasma.github.io/Logging_0482/artfynd/A 46987-2024 artfynd.xlsx", "A 46987-2024")</f>
        <v/>
      </c>
      <c r="X125">
        <f>HYPERLINK("https://klasma.github.io/Logging_0482/kartor/A 46987-2024 karta.png", "A 46987-2024")</f>
        <v/>
      </c>
      <c r="Y125">
        <f>HYPERLINK("https://klasma.github.io/Logging_0482/kartor_geotiff/A 46987-2024 georefererad karta.tif", "A 46987-2024")</f>
        <v/>
      </c>
      <c r="AA125">
        <f>HYPERLINK("https://klasma.github.io/Logging_0482/klagomål/A 46987-2024 FSC-klagomål.docx", "A 46987-2024")</f>
        <v/>
      </c>
      <c r="AB125">
        <f>HYPERLINK("https://klasma.github.io/Logging_0482/klagomålsmail/A 46987-2024 FSC-klagomål mail.docx", "A 46987-2024")</f>
        <v/>
      </c>
      <c r="AC125">
        <f>HYPERLINK("https://klasma.github.io/Logging_0482/tillsyn/A 46987-2024 tillsynsbegäran.docx", "A 46987-2024")</f>
        <v/>
      </c>
      <c r="AD125">
        <f>HYPERLINK("https://klasma.github.io/Logging_0482/tillsynsmail/A 46987-2024 tillsynsbegäran mail.docx", "A 46987-2024")</f>
        <v/>
      </c>
    </row>
    <row r="126" ht="15" customHeight="1">
      <c r="A126" t="inlineStr">
        <is>
          <t>A 10770-2022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44624</v>
      </c>
      <c r="E126" s="1" t="n">
        <v>46254</v>
      </c>
      <c r="F126" t="inlineStr">
        <is>
          <t>SÖDERMANLANDS LÄN</t>
        </is>
      </c>
      <c r="G126" t="inlineStr">
        <is>
          <t>FLEN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10770-2022 artfynd.xlsx", "A 10770-2022")</f>
        <v/>
      </c>
      <c r="X126">
        <f>HYPERLINK("https://klasma.github.io/Logging_0482/kartor/A 10770-2022 karta.png", "A 10770-2022")</f>
        <v/>
      </c>
      <c r="Y126">
        <f>HYPERLINK("https://klasma.github.io/Logging_0482/kartor_geotiff/A 10770-2022 georefererad karta.tif", "A 10770-2022")</f>
        <v/>
      </c>
      <c r="AA126">
        <f>HYPERLINK("https://klasma.github.io/Logging_0482/klagomål/A 10770-2022 FSC-klagomål.docx", "A 10770-2022")</f>
        <v/>
      </c>
      <c r="AB126">
        <f>HYPERLINK("https://klasma.github.io/Logging_0482/klagomålsmail/A 10770-2022 FSC-klagomål mail.docx", "A 10770-2022")</f>
        <v/>
      </c>
      <c r="AC126">
        <f>HYPERLINK("https://klasma.github.io/Logging_0482/tillsyn/A 10770-2022 tillsynsbegäran.docx", "A 10770-2022")</f>
        <v/>
      </c>
      <c r="AD126">
        <f>HYPERLINK("https://klasma.github.io/Logging_0482/tillsynsmail/A 10770-2022 tillsynsbegäran mail.docx", "A 10770-2022")</f>
        <v/>
      </c>
    </row>
    <row r="127" ht="15" customHeight="1">
      <c r="A127" t="inlineStr">
        <is>
          <t>A 39036-2023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46254</v>
      </c>
      <c r="F127" t="inlineStr">
        <is>
          <t>SÖDERMANLANDS LÄN</t>
        </is>
      </c>
      <c r="G127" t="inlineStr">
        <is>
          <t>FLEN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HYPERLINK("https://klasma.github.io/Logging_0482/artfynd/A 39036-2023 artfynd.xlsx", "A 39036-2023")</f>
        <v/>
      </c>
      <c r="X127">
        <f>HYPERLINK("https://klasma.github.io/Logging_0482/kartor/A 39036-2023 karta.png", "A 39036-2023")</f>
        <v/>
      </c>
      <c r="Y127">
        <f>HYPERLINK("https://klasma.github.io/Logging_0482/kartor_geotiff/A 39036-2023 georefererad karta.tif", "A 39036-2023")</f>
        <v/>
      </c>
      <c r="AA127">
        <f>HYPERLINK("https://klasma.github.io/Logging_0482/klagomål/A 39036-2023 FSC-klagomål.docx", "A 39036-2023")</f>
        <v/>
      </c>
      <c r="AB127">
        <f>HYPERLINK("https://klasma.github.io/Logging_0482/klagomålsmail/A 39036-2023 FSC-klagomål mail.docx", "A 39036-2023")</f>
        <v/>
      </c>
      <c r="AC127">
        <f>HYPERLINK("https://klasma.github.io/Logging_0482/tillsyn/A 39036-2023 tillsynsbegäran.docx", "A 39036-2023")</f>
        <v/>
      </c>
      <c r="AD127">
        <f>HYPERLINK("https://klasma.github.io/Logging_0482/tillsynsmail/A 39036-2023 tillsynsbegäran mail.docx", "A 39036-2023")</f>
        <v/>
      </c>
    </row>
    <row r="128" ht="15" customHeight="1">
      <c r="A128" t="inlineStr">
        <is>
          <t>A 12371-2022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46254</v>
      </c>
      <c r="F128" t="inlineStr">
        <is>
          <t>SÖDERMANLANDS LÄN</t>
        </is>
      </c>
      <c r="G128" t="inlineStr">
        <is>
          <t>FLEN</t>
        </is>
      </c>
      <c r="H128" t="inlineStr">
        <is>
          <t>Kommuner</t>
        </is>
      </c>
      <c r="I128" t="n">
        <v>2.1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Gullklöver</t>
        </is>
      </c>
      <c r="W128">
        <f>HYPERLINK("https://klasma.github.io/Logging_0482/artfynd/A 12371-2022 artfynd.xlsx", "A 12371-2022")</f>
        <v/>
      </c>
      <c r="X128">
        <f>HYPERLINK("https://klasma.github.io/Logging_0482/kartor/A 12371-2022 karta.png", "A 12371-2022")</f>
        <v/>
      </c>
      <c r="Y128">
        <f>HYPERLINK("https://klasma.github.io/Logging_0482/kartor_geotiff/A 12371-2022 georefererad karta.tif", "A 12371-2022")</f>
        <v/>
      </c>
      <c r="AA128">
        <f>HYPERLINK("https://klasma.github.io/Logging_0482/klagomål/A 12371-2022 FSC-klagomål.docx", "A 12371-2022")</f>
        <v/>
      </c>
      <c r="AB128">
        <f>HYPERLINK("https://klasma.github.io/Logging_0482/klagomålsmail/A 12371-2022 FSC-klagomål mail.docx", "A 12371-2022")</f>
        <v/>
      </c>
      <c r="AC128">
        <f>HYPERLINK("https://klasma.github.io/Logging_0482/tillsyn/A 12371-2022 tillsynsbegäran.docx", "A 12371-2022")</f>
        <v/>
      </c>
      <c r="AD128">
        <f>HYPERLINK("https://klasma.github.io/Logging_0482/tillsynsmail/A 12371-2022 tillsynsbegäran mail.docx", "A 12371-2022")</f>
        <v/>
      </c>
    </row>
    <row r="129" ht="15" customHeight="1">
      <c r="A129" t="inlineStr">
        <is>
          <t>A 60591-2022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46254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HYPERLINK("https://klasma.github.io/Logging_0482/artfynd/A 60591-2022 artfynd.xlsx", "A 60591-2022")</f>
        <v/>
      </c>
      <c r="X129">
        <f>HYPERLINK("https://klasma.github.io/Logging_0482/kartor/A 60591-2022 karta.png", "A 60591-2022")</f>
        <v/>
      </c>
      <c r="Y129">
        <f>HYPERLINK("https://klasma.github.io/Logging_0482/kartor_geotiff/A 60591-2022 georefererad karta.tif", "A 60591-2022")</f>
        <v/>
      </c>
      <c r="AA129">
        <f>HYPERLINK("https://klasma.github.io/Logging_0482/klagomål/A 60591-2022 FSC-klagomål.docx", "A 60591-2022")</f>
        <v/>
      </c>
      <c r="AB129">
        <f>HYPERLINK("https://klasma.github.io/Logging_0482/klagomålsmail/A 60591-2022 FSC-klagomål mail.docx", "A 60591-2022")</f>
        <v/>
      </c>
      <c r="AC129">
        <f>HYPERLINK("https://klasma.github.io/Logging_0482/tillsyn/A 60591-2022 tillsynsbegäran.docx", "A 60591-2022")</f>
        <v/>
      </c>
      <c r="AD129">
        <f>HYPERLINK("https://klasma.github.io/Logging_0482/tillsynsmail/A 60591-2022 tillsynsbegäran mail.docx", "A 60591-2022")</f>
        <v/>
      </c>
    </row>
    <row r="130" ht="15" customHeight="1">
      <c r="A130" t="inlineStr">
        <is>
          <t>A 4259-2023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46254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HYPERLINK("https://klasma.github.io/Logging_0482/artfynd/A 4259-2023 artfynd.xlsx", "A 4259-2023")</f>
        <v/>
      </c>
      <c r="X130">
        <f>HYPERLINK("https://klasma.github.io/Logging_0482/kartor/A 4259-2023 karta.png", "A 4259-2023")</f>
        <v/>
      </c>
      <c r="Y130">
        <f>HYPERLINK("https://klasma.github.io/Logging_0482/kartor_geotiff/A 4259-2023 georefererad karta.tif", "A 4259-2023")</f>
        <v/>
      </c>
      <c r="AA130">
        <f>HYPERLINK("https://klasma.github.io/Logging_0482/klagomål/A 4259-2023 FSC-klagomål.docx", "A 4259-2023")</f>
        <v/>
      </c>
      <c r="AB130">
        <f>HYPERLINK("https://klasma.github.io/Logging_0482/klagomålsmail/A 4259-2023 FSC-klagomål mail.docx", "A 4259-2023")</f>
        <v/>
      </c>
      <c r="AC130">
        <f>HYPERLINK("https://klasma.github.io/Logging_0482/tillsyn/A 4259-2023 tillsynsbegäran.docx", "A 4259-2023")</f>
        <v/>
      </c>
      <c r="AD130">
        <f>HYPERLINK("https://klasma.github.io/Logging_0482/tillsynsmail/A 4259-2023 tillsynsbegäran mail.docx", "A 4259-2023")</f>
        <v/>
      </c>
    </row>
    <row r="131" ht="15" customHeight="1">
      <c r="A131" t="inlineStr">
        <is>
          <t>A 30406-2026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46209</v>
      </c>
      <c r="E131" s="1" t="n">
        <v>46254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HYPERLINK("https://klasma.github.io/Logging_0482/artfynd/A 30406-2026 artfynd.xlsx", "A 30406-2026")</f>
        <v/>
      </c>
      <c r="X131">
        <f>HYPERLINK("https://klasma.github.io/Logging_0482/kartor/A 30406-2026 karta.png", "A 30406-2026")</f>
        <v/>
      </c>
      <c r="Y131">
        <f>HYPERLINK("https://klasma.github.io/Logging_0482/kartor_geotiff/A 30406-2026 georefererad karta.tif", "A 30406-2026")</f>
        <v/>
      </c>
      <c r="AA131">
        <f>HYPERLINK("https://klasma.github.io/Logging_0482/klagomål/A 30406-2026 FSC-klagomål.docx", "A 30406-2026")</f>
        <v/>
      </c>
      <c r="AB131">
        <f>HYPERLINK("https://klasma.github.io/Logging_0482/klagomålsmail/A 30406-2026 FSC-klagomål mail.docx", "A 30406-2026")</f>
        <v/>
      </c>
      <c r="AC131">
        <f>HYPERLINK("https://klasma.github.io/Logging_0482/tillsyn/A 30406-2026 tillsynsbegäran.docx", "A 30406-2026")</f>
        <v/>
      </c>
      <c r="AD131">
        <f>HYPERLINK("https://klasma.github.io/Logging_0482/tillsynsmail/A 30406-2026 tillsynsbegäran mail.docx", "A 30406-2026")</f>
        <v/>
      </c>
    </row>
    <row r="132" ht="15" customHeight="1">
      <c r="A132" t="inlineStr">
        <is>
          <t>A 12306-2022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46254</v>
      </c>
      <c r="F132" t="inlineStr">
        <is>
          <t>SÖDERMANLANDS LÄN</t>
        </is>
      </c>
      <c r="G132" t="inlineStr">
        <is>
          <t>FLEN</t>
        </is>
      </c>
      <c r="I132" t="n">
        <v>3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Järnsparv</t>
        </is>
      </c>
      <c r="W132">
        <f>HYPERLINK("https://klasma.github.io/Logging_0482/artfynd/A 12306-2022 artfynd.xlsx", "A 12306-2022")</f>
        <v/>
      </c>
      <c r="X132">
        <f>HYPERLINK("https://klasma.github.io/Logging_0482/kartor/A 12306-2022 karta.png", "A 12306-2022")</f>
        <v/>
      </c>
      <c r="Y132">
        <f>HYPERLINK("https://klasma.github.io/Logging_0482/kartor_geotiff/A 12306-2022 georefererad karta.tif", "A 12306-2022")</f>
        <v/>
      </c>
      <c r="AA132">
        <f>HYPERLINK("https://klasma.github.io/Logging_0482/klagomål/A 12306-2022 FSC-klagomål.docx", "A 12306-2022")</f>
        <v/>
      </c>
      <c r="AB132">
        <f>HYPERLINK("https://klasma.github.io/Logging_0482/klagomålsmail/A 12306-2022 FSC-klagomål mail.docx", "A 12306-2022")</f>
        <v/>
      </c>
      <c r="AC132">
        <f>HYPERLINK("https://klasma.github.io/Logging_0482/tillsyn/A 12306-2022 tillsynsbegäran.docx", "A 12306-2022")</f>
        <v/>
      </c>
      <c r="AD132">
        <f>HYPERLINK("https://klasma.github.io/Logging_0482/tillsynsmail/A 12306-2022 tillsynsbegäran mail.docx", "A 12306-2022")</f>
        <v/>
      </c>
      <c r="AE132">
        <f>HYPERLINK("https://klasma.github.io/Logging_0482/fåglar/A 12306-2022 prioriterade fågelarter.docx", "A 12306-2022")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46254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60562-2021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46254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Gullklöver</t>
        </is>
      </c>
      <c r="W134">
        <f>HYPERLINK("https://klasma.github.io/Logging_0482/artfynd/A 60562-2021 artfynd.xlsx", "A 60562-2021")</f>
        <v/>
      </c>
      <c r="X134">
        <f>HYPERLINK("https://klasma.github.io/Logging_0482/kartor/A 60562-2021 karta.png", "A 60562-2021")</f>
        <v/>
      </c>
      <c r="Y134">
        <f>HYPERLINK("https://klasma.github.io/Logging_0482/kartor_geotiff/A 60562-2021 georefererad karta.tif", "A 60562-2021")</f>
        <v/>
      </c>
      <c r="AA134">
        <f>HYPERLINK("https://klasma.github.io/Logging_0482/klagomål/A 60562-2021 FSC-klagomål.docx", "A 60562-2021")</f>
        <v/>
      </c>
      <c r="AB134">
        <f>HYPERLINK("https://klasma.github.io/Logging_0482/klagomålsmail/A 60562-2021 FSC-klagomål mail.docx", "A 60562-2021")</f>
        <v/>
      </c>
      <c r="AC134">
        <f>HYPERLINK("https://klasma.github.io/Logging_0482/tillsyn/A 60562-2021 tillsynsbegäran.docx", "A 60562-2021")</f>
        <v/>
      </c>
      <c r="AD134">
        <f>HYPERLINK("https://klasma.github.io/Logging_0482/tillsynsmail/A 60562-2021 tillsynsbegäran mail.docx", "A 60562-2021")</f>
        <v/>
      </c>
    </row>
    <row r="135" ht="15" customHeight="1">
      <c r="A135" t="inlineStr">
        <is>
          <t>A 50202-2022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46254</v>
      </c>
      <c r="F135" t="inlineStr">
        <is>
          <t>SÖDERMANLANDS LÄN</t>
        </is>
      </c>
      <c r="G135" t="inlineStr">
        <is>
          <t>FLEN</t>
        </is>
      </c>
      <c r="H135" t="inlineStr">
        <is>
          <t>Kyrkan</t>
        </is>
      </c>
      <c r="I135" t="n">
        <v>5.8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50202-2022 artfynd.xlsx", "A 50202-2022")</f>
        <v/>
      </c>
      <c r="X135">
        <f>HYPERLINK("https://klasma.github.io/Logging_0482/kartor/A 50202-2022 karta.png", "A 50202-2022")</f>
        <v/>
      </c>
      <c r="Y135">
        <f>HYPERLINK("https://klasma.github.io/Logging_0482/kartor_geotiff/A 50202-2022 georefererad karta.tif", "A 50202-2022")</f>
        <v/>
      </c>
      <c r="AA135">
        <f>HYPERLINK("https://klasma.github.io/Logging_0482/klagomål/A 50202-2022 FSC-klagomål.docx", "A 50202-2022")</f>
        <v/>
      </c>
      <c r="AB135">
        <f>HYPERLINK("https://klasma.github.io/Logging_0482/klagomålsmail/A 50202-2022 FSC-klagomål mail.docx", "A 50202-2022")</f>
        <v/>
      </c>
      <c r="AC135">
        <f>HYPERLINK("https://klasma.github.io/Logging_0482/tillsyn/A 50202-2022 tillsynsbegäran.docx", "A 50202-2022")</f>
        <v/>
      </c>
      <c r="AD135">
        <f>HYPERLINK("https://klasma.github.io/Logging_0482/tillsynsmail/A 50202-2022 tillsynsbegäran mail.docx", "A 50202-2022")</f>
        <v/>
      </c>
    </row>
    <row r="136" ht="15" customHeight="1">
      <c r="A136" t="inlineStr">
        <is>
          <t>A 2043-2026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46254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2.1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Scharlakansvaxing</t>
        </is>
      </c>
      <c r="W136">
        <f>HYPERLINK("https://klasma.github.io/Logging_0482/artfynd/A 2043-2026 artfynd.xlsx", "A 2043-2026")</f>
        <v/>
      </c>
      <c r="X136">
        <f>HYPERLINK("https://klasma.github.io/Logging_0482/kartor/A 2043-2026 karta.png", "A 2043-2026")</f>
        <v/>
      </c>
      <c r="Y136">
        <f>HYPERLINK("https://klasma.github.io/Logging_0482/kartor_geotiff/A 2043-2026 georefererad karta.tif", "A 2043-2026")</f>
        <v/>
      </c>
      <c r="AA136">
        <f>HYPERLINK("https://klasma.github.io/Logging_0482/klagomål/A 2043-2026 FSC-klagomål.docx", "A 2043-2026")</f>
        <v/>
      </c>
      <c r="AB136">
        <f>HYPERLINK("https://klasma.github.io/Logging_0482/klagomålsmail/A 2043-2026 FSC-klagomål mail.docx", "A 2043-2026")</f>
        <v/>
      </c>
      <c r="AC136">
        <f>HYPERLINK("https://klasma.github.io/Logging_0482/tillsyn/A 2043-2026 tillsynsbegäran.docx", "A 2043-2026")</f>
        <v/>
      </c>
      <c r="AD136">
        <f>HYPERLINK("https://klasma.github.io/Logging_0482/tillsynsmail/A 2043-2026 tillsynsbegäran mail.docx", "A 2043-2026")</f>
        <v/>
      </c>
    </row>
    <row r="137" ht="15" customHeight="1">
      <c r="A137" t="inlineStr">
        <is>
          <t>A 2036-2026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46254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0.6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Knärot</t>
        </is>
      </c>
      <c r="W137">
        <f>HYPERLINK("https://klasma.github.io/Logging_0482/artfynd/A 2036-2026 artfynd.xlsx", "A 2036-2026")</f>
        <v/>
      </c>
      <c r="X137">
        <f>HYPERLINK("https://klasma.github.io/Logging_0482/kartor/A 2036-2026 karta.png", "A 2036-2026")</f>
        <v/>
      </c>
      <c r="Y137">
        <f>HYPERLINK("https://klasma.github.io/Logging_0482/kartor_geotiff/A 2036-2026 georefererad karta.tif", "A 2036-2026")</f>
        <v/>
      </c>
      <c r="Z137">
        <f>HYPERLINK("https://klasma.github.io/Logging_0482/knärot/A 2036-2026 karta knärot.png", "A 2036-2026")</f>
        <v/>
      </c>
      <c r="AA137">
        <f>HYPERLINK("https://klasma.github.io/Logging_0482/klagomål/A 2036-2026 FSC-klagomål.docx", "A 2036-2026")</f>
        <v/>
      </c>
      <c r="AB137">
        <f>HYPERLINK("https://klasma.github.io/Logging_0482/klagomålsmail/A 2036-2026 FSC-klagomål mail.docx", "A 2036-2026")</f>
        <v/>
      </c>
      <c r="AC137">
        <f>HYPERLINK("https://klasma.github.io/Logging_0482/tillsyn/A 2036-2026 tillsynsbegäran.docx", "A 2036-2026")</f>
        <v/>
      </c>
      <c r="AD137">
        <f>HYPERLINK("https://klasma.github.io/Logging_0482/tillsynsmail/A 2036-2026 tillsynsbegäran mail.docx", "A 2036-2026")</f>
        <v/>
      </c>
    </row>
    <row r="138" ht="15" customHeight="1">
      <c r="A138" t="inlineStr">
        <is>
          <t>A 7973-2024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46254</v>
      </c>
      <c r="F138" t="inlineStr">
        <is>
          <t>SÖDERMANLANDS LÄN</t>
        </is>
      </c>
      <c r="G138" t="inlineStr">
        <is>
          <t>FLEN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Vippärt</t>
        </is>
      </c>
      <c r="W138">
        <f>HYPERLINK("https://klasma.github.io/Logging_0482/artfynd/A 7973-2024 artfynd.xlsx", "A 7973-2024")</f>
        <v/>
      </c>
      <c r="X138">
        <f>HYPERLINK("https://klasma.github.io/Logging_0482/kartor/A 7973-2024 karta.png", "A 7973-2024")</f>
        <v/>
      </c>
      <c r="Y138">
        <f>HYPERLINK("https://klasma.github.io/Logging_0482/kartor_geotiff/A 7973-2024 georefererad karta.tif", "A 7973-2024")</f>
        <v/>
      </c>
      <c r="AA138">
        <f>HYPERLINK("https://klasma.github.io/Logging_0482/klagomål/A 7973-2024 FSC-klagomål.docx", "A 7973-2024")</f>
        <v/>
      </c>
      <c r="AB138">
        <f>HYPERLINK("https://klasma.github.io/Logging_0482/klagomålsmail/A 7973-2024 FSC-klagomål mail.docx", "A 7973-2024")</f>
        <v/>
      </c>
      <c r="AC138">
        <f>HYPERLINK("https://klasma.github.io/Logging_0482/tillsyn/A 7973-2024 tillsynsbegäran.docx", "A 7973-2024")</f>
        <v/>
      </c>
      <c r="AD138">
        <f>HYPERLINK("https://klasma.github.io/Logging_0482/tillsynsmail/A 7973-2024 tillsynsbegäran mail.docx", "A 7973-2024")</f>
        <v/>
      </c>
    </row>
    <row r="139" ht="15" customHeight="1">
      <c r="A139" t="inlineStr">
        <is>
          <t>A 12056-2024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45377</v>
      </c>
      <c r="E139" s="1" t="n">
        <v>46254</v>
      </c>
      <c r="F139" t="inlineStr">
        <is>
          <t>SÖDERMANLANDS LÄN</t>
        </is>
      </c>
      <c r="G139" t="inlineStr">
        <is>
          <t>FLEN</t>
        </is>
      </c>
      <c r="I139" t="n">
        <v>8.4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Fjällig taggsvamp s.str.</t>
        </is>
      </c>
      <c r="W139">
        <f>HYPERLINK("https://klasma.github.io/Logging_0482/artfynd/A 12056-2024 artfynd.xlsx", "A 12056-2024")</f>
        <v/>
      </c>
      <c r="X139">
        <f>HYPERLINK("https://klasma.github.io/Logging_0482/kartor/A 12056-2024 karta.png", "A 12056-2024")</f>
        <v/>
      </c>
      <c r="Y139">
        <f>HYPERLINK("https://klasma.github.io/Logging_0482/kartor_geotiff/A 12056-2024 georefererad karta.tif", "A 12056-2024")</f>
        <v/>
      </c>
      <c r="AA139">
        <f>HYPERLINK("https://klasma.github.io/Logging_0482/klagomål/A 12056-2024 FSC-klagomål.docx", "A 12056-2024")</f>
        <v/>
      </c>
      <c r="AB139">
        <f>HYPERLINK("https://klasma.github.io/Logging_0482/klagomålsmail/A 12056-2024 FSC-klagomål mail.docx", "A 12056-2024")</f>
        <v/>
      </c>
      <c r="AC139">
        <f>HYPERLINK("https://klasma.github.io/Logging_0482/tillsyn/A 12056-2024 tillsynsbegäran.docx", "A 12056-2024")</f>
        <v/>
      </c>
      <c r="AD139">
        <f>HYPERLINK("https://klasma.github.io/Logging_0482/tillsynsmail/A 12056-2024 tillsynsbegäran mail.docx", "A 12056-2024")</f>
        <v/>
      </c>
    </row>
    <row r="140" ht="15" customHeight="1">
      <c r="A140" t="inlineStr">
        <is>
          <t>A 6714-2026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46254</v>
      </c>
      <c r="F140" t="inlineStr">
        <is>
          <t>SÖDERMANLANDS LÄN</t>
        </is>
      </c>
      <c r="G140" t="inlineStr">
        <is>
          <t>FLEN</t>
        </is>
      </c>
      <c r="I140" t="n">
        <v>4.6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Svinrot</t>
        </is>
      </c>
      <c r="W140">
        <f>HYPERLINK("https://klasma.github.io/Logging_0482/artfynd/A 6714-2026 artfynd.xlsx", "A 6714-2026")</f>
        <v/>
      </c>
      <c r="X140">
        <f>HYPERLINK("https://klasma.github.io/Logging_0482/kartor/A 6714-2026 karta.png", "A 6714-2026")</f>
        <v/>
      </c>
      <c r="Y140">
        <f>HYPERLINK("https://klasma.github.io/Logging_0482/kartor_geotiff/A 6714-2026 georefererad karta.tif", "A 6714-2026")</f>
        <v/>
      </c>
      <c r="AA140">
        <f>HYPERLINK("https://klasma.github.io/Logging_0482/klagomål/A 6714-2026 FSC-klagomål.docx", "A 6714-2026")</f>
        <v/>
      </c>
      <c r="AB140">
        <f>HYPERLINK("https://klasma.github.io/Logging_0482/klagomålsmail/A 6714-2026 FSC-klagomål mail.docx", "A 6714-2026")</f>
        <v/>
      </c>
      <c r="AC140">
        <f>HYPERLINK("https://klasma.github.io/Logging_0482/tillsyn/A 6714-2026 tillsynsbegäran.docx", "A 6714-2026")</f>
        <v/>
      </c>
      <c r="AD140">
        <f>HYPERLINK("https://klasma.github.io/Logging_0482/tillsynsmail/A 6714-2026 tillsynsbegäran mail.docx", "A 6714-2026")</f>
        <v/>
      </c>
    </row>
    <row r="141" ht="15" customHeight="1">
      <c r="A141" t="inlineStr">
        <is>
          <t>A 47756-2022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44854</v>
      </c>
      <c r="E141" s="1" t="n">
        <v>46254</v>
      </c>
      <c r="F141" t="inlineStr">
        <is>
          <t>SÖDERMANLANDS LÄN</t>
        </is>
      </c>
      <c r="G141" t="inlineStr">
        <is>
          <t>FLEN</t>
        </is>
      </c>
      <c r="I141" t="n">
        <v>2.4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47756-2022 artfynd.xlsx", "A 47756-2022")</f>
        <v/>
      </c>
      <c r="X141">
        <f>HYPERLINK("https://klasma.github.io/Logging_0482/kartor/A 47756-2022 karta.png", "A 47756-2022")</f>
        <v/>
      </c>
      <c r="Y141">
        <f>HYPERLINK("https://klasma.github.io/Logging_0482/kartor_geotiff/A 47756-2022 georefererad karta.tif", "A 47756-2022")</f>
        <v/>
      </c>
      <c r="AA141">
        <f>HYPERLINK("https://klasma.github.io/Logging_0482/klagomål/A 47756-2022 FSC-klagomål.docx", "A 47756-2022")</f>
        <v/>
      </c>
      <c r="AB141">
        <f>HYPERLINK("https://klasma.github.io/Logging_0482/klagomålsmail/A 47756-2022 FSC-klagomål mail.docx", "A 47756-2022")</f>
        <v/>
      </c>
      <c r="AC141">
        <f>HYPERLINK("https://klasma.github.io/Logging_0482/tillsyn/A 47756-2022 tillsynsbegäran.docx", "A 47756-2022")</f>
        <v/>
      </c>
      <c r="AD141">
        <f>HYPERLINK("https://klasma.github.io/Logging_0482/tillsynsmail/A 47756-2022 tillsynsbegäran mail.docx", "A 47756-2022")</f>
        <v/>
      </c>
    </row>
    <row r="142" ht="15" customHeight="1">
      <c r="A142" t="inlineStr">
        <is>
          <t>A 9446-2026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46254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0.8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HYPERLINK("https://klasma.github.io/Logging_0482/artfynd/A 9446-2026 artfynd.xlsx", "A 9446-2026")</f>
        <v/>
      </c>
      <c r="X142">
        <f>HYPERLINK("https://klasma.github.io/Logging_0482/kartor/A 9446-2026 karta.png", "A 9446-2026")</f>
        <v/>
      </c>
      <c r="Y142">
        <f>HYPERLINK("https://klasma.github.io/Logging_0482/kartor_geotiff/A 9446-2026 georefererad karta.tif", "A 9446-2026")</f>
        <v/>
      </c>
      <c r="AA142">
        <f>HYPERLINK("https://klasma.github.io/Logging_0482/klagomål/A 9446-2026 FSC-klagomål.docx", "A 9446-2026")</f>
        <v/>
      </c>
      <c r="AB142">
        <f>HYPERLINK("https://klasma.github.io/Logging_0482/klagomålsmail/A 9446-2026 FSC-klagomål mail.docx", "A 9446-2026")</f>
        <v/>
      </c>
      <c r="AC142">
        <f>HYPERLINK("https://klasma.github.io/Logging_0482/tillsyn/A 9446-2026 tillsynsbegäran.docx", "A 9446-2026")</f>
        <v/>
      </c>
      <c r="AD142">
        <f>HYPERLINK("https://klasma.github.io/Logging_0482/tillsynsmail/A 9446-2026 tillsynsbegäran mail.docx", "A 9446-2026")</f>
        <v/>
      </c>
    </row>
    <row r="143" ht="15" customHeight="1">
      <c r="A143" t="inlineStr">
        <is>
          <t>A 62535-2021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46254</v>
      </c>
      <c r="F143" t="inlineStr">
        <is>
          <t>SÖDERMANLANDS LÄN</t>
        </is>
      </c>
      <c r="G143" t="inlineStr">
        <is>
          <t>FLEN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62535-2021 artfynd.xlsx", "A 62535-2021")</f>
        <v/>
      </c>
      <c r="X143">
        <f>HYPERLINK("https://klasma.github.io/Logging_0482/kartor/A 62535-2021 karta.png", "A 62535-2021")</f>
        <v/>
      </c>
      <c r="Y143">
        <f>HYPERLINK("https://klasma.github.io/Logging_0482/kartor_geotiff/A 62535-2021 georefererad karta.tif", "A 62535-2021")</f>
        <v/>
      </c>
      <c r="AA143">
        <f>HYPERLINK("https://klasma.github.io/Logging_0482/klagomål/A 62535-2021 FSC-klagomål.docx", "A 62535-2021")</f>
        <v/>
      </c>
      <c r="AB143">
        <f>HYPERLINK("https://klasma.github.io/Logging_0482/klagomålsmail/A 62535-2021 FSC-klagomål mail.docx", "A 62535-2021")</f>
        <v/>
      </c>
      <c r="AC143">
        <f>HYPERLINK("https://klasma.github.io/Logging_0482/tillsyn/A 62535-2021 tillsynsbegäran.docx", "A 62535-2021")</f>
        <v/>
      </c>
      <c r="AD143">
        <f>HYPERLINK("https://klasma.github.io/Logging_0482/tillsynsmail/A 62535-2021 tillsynsbegäran mail.docx", "A 62535-2021")</f>
        <v/>
      </c>
    </row>
    <row r="144" ht="15" customHeight="1">
      <c r="A144" t="inlineStr">
        <is>
          <t>A 14273-2025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46254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Vedskivlav</t>
        </is>
      </c>
      <c r="W144">
        <f>HYPERLINK("https://klasma.github.io/Logging_0482/artfynd/A 14273-2025 artfynd.xlsx", "A 14273-2025")</f>
        <v/>
      </c>
      <c r="X144">
        <f>HYPERLINK("https://klasma.github.io/Logging_0482/kartor/A 14273-2025 karta.png", "A 14273-2025")</f>
        <v/>
      </c>
      <c r="Y144">
        <f>HYPERLINK("https://klasma.github.io/Logging_0482/kartor_geotiff/A 14273-2025 georefererad karta.tif", "A 14273-2025")</f>
        <v/>
      </c>
      <c r="AA144">
        <f>HYPERLINK("https://klasma.github.io/Logging_0482/klagomål/A 14273-2025 FSC-klagomål.docx", "A 14273-2025")</f>
        <v/>
      </c>
      <c r="AB144">
        <f>HYPERLINK("https://klasma.github.io/Logging_0482/klagomålsmail/A 14273-2025 FSC-klagomål mail.docx", "A 14273-2025")</f>
        <v/>
      </c>
      <c r="AC144">
        <f>HYPERLINK("https://klasma.github.io/Logging_0482/tillsyn/A 14273-2025 tillsynsbegäran.docx", "A 14273-2025")</f>
        <v/>
      </c>
      <c r="AD144">
        <f>HYPERLINK("https://klasma.github.io/Logging_0482/tillsynsmail/A 14273-2025 tillsynsbegäran mail.docx", "A 14273-2025")</f>
        <v/>
      </c>
    </row>
    <row r="145" ht="15" customHeight="1">
      <c r="A145" t="inlineStr">
        <is>
          <t>A 10999-2026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46254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3.6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10999-2026 artfynd.xlsx", "A 10999-2026")</f>
        <v/>
      </c>
      <c r="X145">
        <f>HYPERLINK("https://klasma.github.io/Logging_0482/kartor/A 10999-2026 karta.png", "A 10999-2026")</f>
        <v/>
      </c>
      <c r="Y145">
        <f>HYPERLINK("https://klasma.github.io/Logging_0482/kartor_geotiff/A 10999-2026 georefererad karta.tif", "A 10999-2026")</f>
        <v/>
      </c>
      <c r="AA145">
        <f>HYPERLINK("https://klasma.github.io/Logging_0482/klagomål/A 10999-2026 FSC-klagomål.docx", "A 10999-2026")</f>
        <v/>
      </c>
      <c r="AB145">
        <f>HYPERLINK("https://klasma.github.io/Logging_0482/klagomålsmail/A 10999-2026 FSC-klagomål mail.docx", "A 10999-2026")</f>
        <v/>
      </c>
      <c r="AC145">
        <f>HYPERLINK("https://klasma.github.io/Logging_0482/tillsyn/A 10999-2026 tillsynsbegäran.docx", "A 10999-2026")</f>
        <v/>
      </c>
      <c r="AD145">
        <f>HYPERLINK("https://klasma.github.io/Logging_0482/tillsynsmail/A 10999-2026 tillsynsbegäran mail.docx", "A 10999-2026")</f>
        <v/>
      </c>
    </row>
    <row r="146" ht="15" customHeight="1">
      <c r="A146" t="inlineStr">
        <is>
          <t>A 49820-2023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46254</v>
      </c>
      <c r="F146" t="inlineStr">
        <is>
          <t>SÖDERMANLANDS LÄN</t>
        </is>
      </c>
      <c r="G146" t="inlineStr">
        <is>
          <t>FLEN</t>
        </is>
      </c>
      <c r="I146" t="n">
        <v>3.2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Gullviva</t>
        </is>
      </c>
      <c r="W146">
        <f>HYPERLINK("https://klasma.github.io/Logging_0482/artfynd/A 49820-2023 artfynd.xlsx", "A 49820-2023")</f>
        <v/>
      </c>
      <c r="X146">
        <f>HYPERLINK("https://klasma.github.io/Logging_0482/kartor/A 49820-2023 karta.png", "A 49820-2023")</f>
        <v/>
      </c>
      <c r="Y146">
        <f>HYPERLINK("https://klasma.github.io/Logging_0482/kartor_geotiff/A 49820-2023 georefererad karta.tif", "A 49820-2023")</f>
        <v/>
      </c>
      <c r="AA146">
        <f>HYPERLINK("https://klasma.github.io/Logging_0482/klagomål/A 49820-2023 FSC-klagomål.docx", "A 49820-2023")</f>
        <v/>
      </c>
      <c r="AB146">
        <f>HYPERLINK("https://klasma.github.io/Logging_0482/klagomålsmail/A 49820-2023 FSC-klagomål mail.docx", "A 49820-2023")</f>
        <v/>
      </c>
      <c r="AC146">
        <f>HYPERLINK("https://klasma.github.io/Logging_0482/tillsyn/A 49820-2023 tillsynsbegäran.docx", "A 49820-2023")</f>
        <v/>
      </c>
      <c r="AD146">
        <f>HYPERLINK("https://klasma.github.io/Logging_0482/tillsynsmail/A 49820-2023 tillsynsbegäran mail.docx", "A 49820-2023")</f>
        <v/>
      </c>
    </row>
    <row r="147" ht="15" customHeight="1">
      <c r="A147" t="inlineStr">
        <is>
          <t>A 45107-2023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46254</v>
      </c>
      <c r="F147" t="inlineStr">
        <is>
          <t>SÖDERMANLANDS LÄN</t>
        </is>
      </c>
      <c r="G147" t="inlineStr">
        <is>
          <t>FLEN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Brudborste</t>
        </is>
      </c>
      <c r="W147">
        <f>HYPERLINK("https://klasma.github.io/Logging_0482/artfynd/A 45107-2023 artfynd.xlsx", "A 45107-2023")</f>
        <v/>
      </c>
      <c r="X147">
        <f>HYPERLINK("https://klasma.github.io/Logging_0482/kartor/A 45107-2023 karta.png", "A 45107-2023")</f>
        <v/>
      </c>
      <c r="Y147">
        <f>HYPERLINK("https://klasma.github.io/Logging_0482/kartor_geotiff/A 45107-2023 georefererad karta.tif", "A 45107-2023")</f>
        <v/>
      </c>
      <c r="AA147">
        <f>HYPERLINK("https://klasma.github.io/Logging_0482/klagomål/A 45107-2023 FSC-klagomål.docx", "A 45107-2023")</f>
        <v/>
      </c>
      <c r="AB147">
        <f>HYPERLINK("https://klasma.github.io/Logging_0482/klagomålsmail/A 45107-2023 FSC-klagomål mail.docx", "A 45107-2023")</f>
        <v/>
      </c>
      <c r="AC147">
        <f>HYPERLINK("https://klasma.github.io/Logging_0482/tillsyn/A 45107-2023 tillsynsbegäran.docx", "A 45107-2023")</f>
        <v/>
      </c>
      <c r="AD147">
        <f>HYPERLINK("https://klasma.github.io/Logging_0482/tillsynsmail/A 45107-2023 tillsynsbegäran mail.docx", "A 45107-2023")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46254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46254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46254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46254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46254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46254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46254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46254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46254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46254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46254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46254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46254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46254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46254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46254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46254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46254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46254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46254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46254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46254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46254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46254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46254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46254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46254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46254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46254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46254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46254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46254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46254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46254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46254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46254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46254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46254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46254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46254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46254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46254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46254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46254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46254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46254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46254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46254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46254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46254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46254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46254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46254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44566</v>
      </c>
      <c r="E201" s="1" t="n">
        <v>46254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46254</v>
      </c>
      <c r="F202" t="inlineStr">
        <is>
          <t>SÖDERMANLANDS LÄN</t>
        </is>
      </c>
      <c r="G202" t="inlineStr">
        <is>
          <t>FLEN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46254</v>
      </c>
      <c r="F203" t="inlineStr">
        <is>
          <t>SÖDERMANLANDS LÄN</t>
        </is>
      </c>
      <c r="G203" t="inlineStr">
        <is>
          <t>FLEN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44643</v>
      </c>
      <c r="E204" s="1" t="n">
        <v>46254</v>
      </c>
      <c r="F204" t="inlineStr">
        <is>
          <t>SÖDERMANLANDS LÄN</t>
        </is>
      </c>
      <c r="G204" t="inlineStr">
        <is>
          <t>FLEN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46254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44705</v>
      </c>
      <c r="E206" s="1" t="n">
        <v>46254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46254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46254</v>
      </c>
      <c r="F208" t="inlineStr">
        <is>
          <t>SÖDERMANLANDS LÄN</t>
        </is>
      </c>
      <c r="G208" t="inlineStr">
        <is>
          <t>FLEN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46254</v>
      </c>
      <c r="F209" t="inlineStr">
        <is>
          <t>SÖDERMANLANDS LÄN</t>
        </is>
      </c>
      <c r="G209" t="inlineStr">
        <is>
          <t>FLEN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46254</v>
      </c>
      <c r="F210" t="inlineStr">
        <is>
          <t>SÖDERMANLANDS LÄN</t>
        </is>
      </c>
      <c r="G210" t="inlineStr">
        <is>
          <t>FLEN</t>
        </is>
      </c>
      <c r="H210" t="inlineStr">
        <is>
          <t>Övriga statliga verk och myndigheter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46254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46254</v>
      </c>
      <c r="F212" t="inlineStr">
        <is>
          <t>SÖDERMANLANDS LÄN</t>
        </is>
      </c>
      <c r="G212" t="inlineStr">
        <is>
          <t>FLEN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46254</v>
      </c>
      <c r="F213" t="inlineStr">
        <is>
          <t>SÖDERMANLANDS LÄN</t>
        </is>
      </c>
      <c r="G213" t="inlineStr">
        <is>
          <t>FLEN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69588-2021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46254</v>
      </c>
      <c r="F214" t="inlineStr">
        <is>
          <t>SÖDERMANLANDS LÄN</t>
        </is>
      </c>
      <c r="G214" t="inlineStr">
        <is>
          <t>FLEN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65869-2021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46254</v>
      </c>
      <c r="F215" t="inlineStr">
        <is>
          <t>SÖDERMANLANDS LÄN</t>
        </is>
      </c>
      <c r="G215" t="inlineStr">
        <is>
          <t>FLEN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44785</v>
      </c>
      <c r="E216" s="1" t="n">
        <v>46254</v>
      </c>
      <c r="F216" t="inlineStr">
        <is>
          <t>SÖDERMANLANDS LÄN</t>
        </is>
      </c>
      <c r="G216" t="inlineStr">
        <is>
          <t>FLEN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46254</v>
      </c>
      <c r="F217" t="inlineStr">
        <is>
          <t>SÖDERMANLANDS LÄN</t>
        </is>
      </c>
      <c r="G217" t="inlineStr">
        <is>
          <t>FLEN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46254</v>
      </c>
      <c r="F218" t="inlineStr">
        <is>
          <t>SÖDERMANLANDS LÄN</t>
        </is>
      </c>
      <c r="G218" t="inlineStr">
        <is>
          <t>FLEN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60255-2021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46254</v>
      </c>
      <c r="F219" t="inlineStr">
        <is>
          <t>SÖDERMANLANDS LÄN</t>
        </is>
      </c>
      <c r="G219" t="inlineStr">
        <is>
          <t>FLEN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72314-2021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44544</v>
      </c>
      <c r="E220" s="1" t="n">
        <v>46254</v>
      </c>
      <c r="F220" t="inlineStr">
        <is>
          <t>SÖDERMANLANDS LÄN</t>
        </is>
      </c>
      <c r="G220" t="inlineStr">
        <is>
          <t>FLEN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54666-2021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46254</v>
      </c>
      <c r="F221" t="inlineStr">
        <is>
          <t>SÖDERMANLANDS LÄN</t>
        </is>
      </c>
      <c r="G221" t="inlineStr">
        <is>
          <t>FLEN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46254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45510</v>
      </c>
      <c r="E223" s="1" t="n">
        <v>46254</v>
      </c>
      <c r="F223" t="inlineStr">
        <is>
          <t>SÖDERMANLANDS LÄN</t>
        </is>
      </c>
      <c r="G223" t="inlineStr">
        <is>
          <t>FLEN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46254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47604-2021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44448</v>
      </c>
      <c r="E225" s="1" t="n">
        <v>46254</v>
      </c>
      <c r="F225" t="inlineStr">
        <is>
          <t>SÖDERMANLANDS LÄN</t>
        </is>
      </c>
      <c r="G225" t="inlineStr">
        <is>
          <t>FLEN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46254</v>
      </c>
      <c r="F226" t="inlineStr">
        <is>
          <t>SÖDERMANLANDS LÄN</t>
        </is>
      </c>
      <c r="G226" t="inlineStr">
        <is>
          <t>FLEN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46254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46254</v>
      </c>
      <c r="F228" t="inlineStr">
        <is>
          <t>SÖDERMANLANDS LÄN</t>
        </is>
      </c>
      <c r="G228" t="inlineStr">
        <is>
          <t>FLEN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46254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45597</v>
      </c>
      <c r="E230" s="1" t="n">
        <v>46254</v>
      </c>
      <c r="F230" t="inlineStr">
        <is>
          <t>SÖDERMANLANDS LÄN</t>
        </is>
      </c>
      <c r="G230" t="inlineStr">
        <is>
          <t>FLEN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52980-2023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46254</v>
      </c>
      <c r="F231" t="inlineStr">
        <is>
          <t>SÖDERMANLANDS LÄN</t>
        </is>
      </c>
      <c r="G231" t="inlineStr">
        <is>
          <t>FLEN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46254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45270</v>
      </c>
      <c r="E233" s="1" t="n">
        <v>46254</v>
      </c>
      <c r="F233" t="inlineStr">
        <is>
          <t>SÖDERMANLANDS LÄN</t>
        </is>
      </c>
      <c r="G233" t="inlineStr">
        <is>
          <t>FLEN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44970</v>
      </c>
      <c r="E234" s="1" t="n">
        <v>46254</v>
      </c>
      <c r="F234" t="inlineStr">
        <is>
          <t>SÖDERMANLANDS LÄN</t>
        </is>
      </c>
      <c r="G234" t="inlineStr">
        <is>
          <t>FLEN</t>
        </is>
      </c>
      <c r="H234" t="inlineStr">
        <is>
          <t>Kommuner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46254</v>
      </c>
      <c r="F235" t="inlineStr">
        <is>
          <t>SÖDERMANLANDS LÄN</t>
        </is>
      </c>
      <c r="G235" t="inlineStr">
        <is>
          <t>FLEN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46254</v>
      </c>
      <c r="F236" t="inlineStr">
        <is>
          <t>SÖDERMANLANDS LÄN</t>
        </is>
      </c>
      <c r="G236" t="inlineStr">
        <is>
          <t>FLEN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44733</v>
      </c>
      <c r="E237" s="1" t="n">
        <v>46254</v>
      </c>
      <c r="F237" t="inlineStr">
        <is>
          <t>SÖDERMANLANDS LÄN</t>
        </is>
      </c>
      <c r="G237" t="inlineStr">
        <is>
          <t>FLEN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46254</v>
      </c>
      <c r="F238" t="inlineStr">
        <is>
          <t>SÖDERMANLANDS LÄN</t>
        </is>
      </c>
      <c r="G238" t="inlineStr">
        <is>
          <t>FLEN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66867-2021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44522</v>
      </c>
      <c r="E239" s="1" t="n">
        <v>46254</v>
      </c>
      <c r="F239" t="inlineStr">
        <is>
          <t>SÖDERMANLANDS LÄN</t>
        </is>
      </c>
      <c r="G239" t="inlineStr">
        <is>
          <t>FLEN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46254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46254</v>
      </c>
      <c r="F241" t="inlineStr">
        <is>
          <t>SÖDERMANLANDS LÄN</t>
        </is>
      </c>
      <c r="G241" t="inlineStr">
        <is>
          <t>FLEN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46254</v>
      </c>
      <c r="F242" t="inlineStr">
        <is>
          <t>SÖDERMANLANDS LÄN</t>
        </is>
      </c>
      <c r="G242" t="inlineStr">
        <is>
          <t>FLEN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44859</v>
      </c>
      <c r="E243" s="1" t="n">
        <v>46254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46254</v>
      </c>
      <c r="F244" t="inlineStr">
        <is>
          <t>SÖDERMANLANDS LÄN</t>
        </is>
      </c>
      <c r="G244" t="inlineStr">
        <is>
          <t>FLEN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10771-2022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44624</v>
      </c>
      <c r="E245" s="1" t="n">
        <v>46254</v>
      </c>
      <c r="F245" t="inlineStr">
        <is>
          <t>SÖDERMANLANDS LÄN</t>
        </is>
      </c>
      <c r="G245" t="inlineStr">
        <is>
          <t>FLEN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46254</v>
      </c>
      <c r="F246" t="inlineStr">
        <is>
          <t>SÖDERMANLANDS LÄN</t>
        </is>
      </c>
      <c r="G246" t="inlineStr">
        <is>
          <t>FLEN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45740</v>
      </c>
      <c r="E247" s="1" t="n">
        <v>46254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45311</v>
      </c>
      <c r="E248" s="1" t="n">
        <v>46254</v>
      </c>
      <c r="F248" t="inlineStr">
        <is>
          <t>SÖDERMANLANDS LÄN</t>
        </is>
      </c>
      <c r="G248" t="inlineStr">
        <is>
          <t>FLEN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44588</v>
      </c>
      <c r="E249" s="1" t="n">
        <v>46254</v>
      </c>
      <c r="F249" t="inlineStr">
        <is>
          <t>SÖDERMANLANDS LÄN</t>
        </is>
      </c>
      <c r="G249" t="inlineStr">
        <is>
          <t>FLEN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51872-2022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44872</v>
      </c>
      <c r="E250" s="1" t="n">
        <v>46254</v>
      </c>
      <c r="F250" t="inlineStr">
        <is>
          <t>SÖDERMANLANDS LÄN</t>
        </is>
      </c>
      <c r="G250" t="inlineStr">
        <is>
          <t>FLEN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46254</v>
      </c>
      <c r="F251" t="inlineStr">
        <is>
          <t>SÖDERMANLANDS LÄN</t>
        </is>
      </c>
      <c r="G251" t="inlineStr">
        <is>
          <t>FLEN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46254</v>
      </c>
      <c r="F252" t="inlineStr">
        <is>
          <t>SÖDERMANLANDS LÄN</t>
        </is>
      </c>
      <c r="G252" t="inlineStr">
        <is>
          <t>FLEN</t>
        </is>
      </c>
      <c r="H252" t="inlineStr">
        <is>
          <t>Övriga statliga verk och myndigheter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44859</v>
      </c>
      <c r="E253" s="1" t="n">
        <v>46254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53121-2023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45228</v>
      </c>
      <c r="E254" s="1" t="n">
        <v>46254</v>
      </c>
      <c r="F254" t="inlineStr">
        <is>
          <t>SÖDERMANLANDS LÄN</t>
        </is>
      </c>
      <c r="G254" t="inlineStr">
        <is>
          <t>FLEN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45057</v>
      </c>
      <c r="E255" s="1" t="n">
        <v>46254</v>
      </c>
      <c r="F255" t="inlineStr">
        <is>
          <t>SÖDERMANLANDS LÄN</t>
        </is>
      </c>
      <c r="G255" t="inlineStr">
        <is>
          <t>FLEN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44602</v>
      </c>
      <c r="E256" s="1" t="n">
        <v>46254</v>
      </c>
      <c r="F256" t="inlineStr">
        <is>
          <t>SÖDERMANLANDS LÄN</t>
        </is>
      </c>
      <c r="G256" t="inlineStr">
        <is>
          <t>FLEN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45034</v>
      </c>
      <c r="E257" s="1" t="n">
        <v>46254</v>
      </c>
      <c r="F257" t="inlineStr">
        <is>
          <t>SÖDERMANLANDS LÄN</t>
        </is>
      </c>
      <c r="G257" t="inlineStr">
        <is>
          <t>FLEN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46254</v>
      </c>
      <c r="F258" t="inlineStr">
        <is>
          <t>SÖDERMANLANDS LÄN</t>
        </is>
      </c>
      <c r="G258" t="inlineStr">
        <is>
          <t>FLEN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46254</v>
      </c>
      <c r="F259" t="inlineStr">
        <is>
          <t>SÖDERMANLANDS LÄN</t>
        </is>
      </c>
      <c r="G259" t="inlineStr">
        <is>
          <t>FLEN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46254</v>
      </c>
      <c r="F260" t="inlineStr">
        <is>
          <t>SÖDERMANLANDS LÄN</t>
        </is>
      </c>
      <c r="G260" t="inlineStr">
        <is>
          <t>FLEN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45566</v>
      </c>
      <c r="E261" s="1" t="n">
        <v>46254</v>
      </c>
      <c r="F261" t="inlineStr">
        <is>
          <t>SÖDERMANLANDS LÄN</t>
        </is>
      </c>
      <c r="G261" t="inlineStr">
        <is>
          <t>FLEN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44761</v>
      </c>
      <c r="E262" s="1" t="n">
        <v>46254</v>
      </c>
      <c r="F262" t="inlineStr">
        <is>
          <t>SÖDERMANLANDS LÄN</t>
        </is>
      </c>
      <c r="G262" t="inlineStr">
        <is>
          <t>FLEN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46254</v>
      </c>
      <c r="F263" t="inlineStr">
        <is>
          <t>SÖDERMANLANDS LÄN</t>
        </is>
      </c>
      <c r="G263" t="inlineStr">
        <is>
          <t>FLEN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44838</v>
      </c>
      <c r="E264" s="1" t="n">
        <v>46254</v>
      </c>
      <c r="F264" t="inlineStr">
        <is>
          <t>SÖDERMANLANDS LÄN</t>
        </is>
      </c>
      <c r="G264" t="inlineStr">
        <is>
          <t>FLEN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45581</v>
      </c>
      <c r="E265" s="1" t="n">
        <v>46254</v>
      </c>
      <c r="F265" t="inlineStr">
        <is>
          <t>SÖDERMANLANDS LÄN</t>
        </is>
      </c>
      <c r="G265" t="inlineStr">
        <is>
          <t>FLEN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9147-2024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46254</v>
      </c>
      <c r="F266" t="inlineStr">
        <is>
          <t>SÖDERMANLANDS LÄN</t>
        </is>
      </c>
      <c r="G266" t="inlineStr">
        <is>
          <t>FLEN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43394-2021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44432</v>
      </c>
      <c r="E267" s="1" t="n">
        <v>46254</v>
      </c>
      <c r="F267" t="inlineStr">
        <is>
          <t>SÖDERMANLANDS LÄN</t>
        </is>
      </c>
      <c r="G267" t="inlineStr">
        <is>
          <t>FLEN</t>
        </is>
      </c>
      <c r="I267" t="n">
        <v>14.4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33103-2022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44785</v>
      </c>
      <c r="E268" s="1" t="n">
        <v>46254</v>
      </c>
      <c r="F268" t="inlineStr">
        <is>
          <t>SÖDERMANLANDS LÄN</t>
        </is>
      </c>
      <c r="G268" t="inlineStr">
        <is>
          <t>FLEN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9431-2022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46254</v>
      </c>
      <c r="F269" t="inlineStr">
        <is>
          <t>SÖDERMANLANDS LÄN</t>
        </is>
      </c>
      <c r="G269" t="inlineStr">
        <is>
          <t>FLEN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23835-2022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44722</v>
      </c>
      <c r="E270" s="1" t="n">
        <v>46254</v>
      </c>
      <c r="F270" t="inlineStr">
        <is>
          <t>SÖDERMANLANDS LÄN</t>
        </is>
      </c>
      <c r="G270" t="inlineStr">
        <is>
          <t>FLEN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44722</v>
      </c>
      <c r="E271" s="1" t="n">
        <v>46254</v>
      </c>
      <c r="F271" t="inlineStr">
        <is>
          <t>SÖDERMANLANDS LÄN</t>
        </is>
      </c>
      <c r="G271" t="inlineStr">
        <is>
          <t>FLEN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44466</v>
      </c>
      <c r="E272" s="1" t="n">
        <v>46254</v>
      </c>
      <c r="F272" t="inlineStr">
        <is>
          <t>SÖDERMANLANDS LÄN</t>
        </is>
      </c>
      <c r="G272" t="inlineStr">
        <is>
          <t>FLEN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46254</v>
      </c>
      <c r="F273" t="inlineStr">
        <is>
          <t>SÖDERMANLANDS LÄN</t>
        </is>
      </c>
      <c r="G273" t="inlineStr">
        <is>
          <t>FLEN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45103</v>
      </c>
      <c r="E274" s="1" t="n">
        <v>46254</v>
      </c>
      <c r="F274" t="inlineStr">
        <is>
          <t>SÖDERMANLANDS LÄN</t>
        </is>
      </c>
      <c r="G274" t="inlineStr">
        <is>
          <t>FLEN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45213</v>
      </c>
      <c r="E275" s="1" t="n">
        <v>46254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46254</v>
      </c>
      <c r="F276" t="inlineStr">
        <is>
          <t>SÖDERMANLANDS LÄN</t>
        </is>
      </c>
      <c r="G276" t="inlineStr">
        <is>
          <t>FLEN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45869</v>
      </c>
      <c r="E277" s="1" t="n">
        <v>46254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37256-2022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44807</v>
      </c>
      <c r="E278" s="1" t="n">
        <v>46254</v>
      </c>
      <c r="F278" t="inlineStr">
        <is>
          <t>SÖDERMANLANDS LÄN</t>
        </is>
      </c>
      <c r="G278" t="inlineStr">
        <is>
          <t>FLEN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46254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45322</v>
      </c>
      <c r="E280" s="1" t="n">
        <v>46254</v>
      </c>
      <c r="F280" t="inlineStr">
        <is>
          <t>SÖDERMANLANDS LÄN</t>
        </is>
      </c>
      <c r="G280" t="inlineStr">
        <is>
          <t>FLEN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64480-2023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45280</v>
      </c>
      <c r="E281" s="1" t="n">
        <v>46254</v>
      </c>
      <c r="F281" t="inlineStr">
        <is>
          <t>SÖDERMANLANDS LÄN</t>
        </is>
      </c>
      <c r="G281" t="inlineStr">
        <is>
          <t>FLEN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49828-2022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44862</v>
      </c>
      <c r="E282" s="1" t="n">
        <v>46254</v>
      </c>
      <c r="F282" t="inlineStr">
        <is>
          <t>SÖDERMANLANDS LÄN</t>
        </is>
      </c>
      <c r="G282" t="inlineStr">
        <is>
          <t>FLEN</t>
        </is>
      </c>
      <c r="H282" t="inlineStr">
        <is>
          <t>Kyrkan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45791</v>
      </c>
      <c r="E283" s="1" t="n">
        <v>46254</v>
      </c>
      <c r="F283" t="inlineStr">
        <is>
          <t>SÖDERMANLANDS LÄN</t>
        </is>
      </c>
      <c r="G283" t="inlineStr">
        <is>
          <t>FLEN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67464-2021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46254</v>
      </c>
      <c r="F284" t="inlineStr">
        <is>
          <t>SÖDERMANLANDS LÄN</t>
        </is>
      </c>
      <c r="G284" t="inlineStr">
        <is>
          <t>FLEN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46254</v>
      </c>
      <c r="F285" t="inlineStr">
        <is>
          <t>SÖDERMANLANDS LÄN</t>
        </is>
      </c>
      <c r="G285" t="inlineStr">
        <is>
          <t>FLEN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66979-2021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44522</v>
      </c>
      <c r="E286" s="1" t="n">
        <v>46254</v>
      </c>
      <c r="F286" t="inlineStr">
        <is>
          <t>SÖDERMANLANDS LÄN</t>
        </is>
      </c>
      <c r="G286" t="inlineStr">
        <is>
          <t>FLEN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16908-2024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45411</v>
      </c>
      <c r="E287" s="1" t="n">
        <v>46254</v>
      </c>
      <c r="F287" t="inlineStr">
        <is>
          <t>SÖDERMANLANDS LÄN</t>
        </is>
      </c>
      <c r="G287" t="inlineStr">
        <is>
          <t>FLEN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44979</v>
      </c>
      <c r="E288" s="1" t="n">
        <v>46254</v>
      </c>
      <c r="F288" t="inlineStr">
        <is>
          <t>SÖDERMANLANDS LÄN</t>
        </is>
      </c>
      <c r="G288" t="inlineStr">
        <is>
          <t>FLEN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45555</v>
      </c>
      <c r="E289" s="1" t="n">
        <v>46254</v>
      </c>
      <c r="F289" t="inlineStr">
        <is>
          <t>SÖDERMANLANDS LÄN</t>
        </is>
      </c>
      <c r="G289" t="inlineStr">
        <is>
          <t>FLEN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45081</v>
      </c>
      <c r="E290" s="1" t="n">
        <v>46254</v>
      </c>
      <c r="F290" t="inlineStr">
        <is>
          <t>SÖDERMANLANDS LÄN</t>
        </is>
      </c>
      <c r="G290" t="inlineStr">
        <is>
          <t>FLEN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45081</v>
      </c>
      <c r="E291" s="1" t="n">
        <v>46254</v>
      </c>
      <c r="F291" t="inlineStr">
        <is>
          <t>SÖDERMANLANDS LÄN</t>
        </is>
      </c>
      <c r="G291" t="inlineStr">
        <is>
          <t>FLEN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44988</v>
      </c>
      <c r="E292" s="1" t="n">
        <v>46254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45228</v>
      </c>
      <c r="E293" s="1" t="n">
        <v>46254</v>
      </c>
      <c r="F293" t="inlineStr">
        <is>
          <t>SÖDERMANLANDS LÄN</t>
        </is>
      </c>
      <c r="G293" t="inlineStr">
        <is>
          <t>FLEN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45022</v>
      </c>
      <c r="E294" s="1" t="n">
        <v>46254</v>
      </c>
      <c r="F294" t="inlineStr">
        <is>
          <t>SÖDERMANLANDS LÄN</t>
        </is>
      </c>
      <c r="G294" t="inlineStr">
        <is>
          <t>FLEN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45632</v>
      </c>
      <c r="E295" s="1" t="n">
        <v>46254</v>
      </c>
      <c r="F295" t="inlineStr">
        <is>
          <t>SÖDERMANLANDS LÄN</t>
        </is>
      </c>
      <c r="G295" t="inlineStr">
        <is>
          <t>FLEN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46254</v>
      </c>
      <c r="F296" t="inlineStr">
        <is>
          <t>SÖDERMANLANDS LÄN</t>
        </is>
      </c>
      <c r="G296" t="inlineStr">
        <is>
          <t>FLEN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46254</v>
      </c>
      <c r="F297" t="inlineStr">
        <is>
          <t>SÖDERMANLANDS LÄN</t>
        </is>
      </c>
      <c r="G297" t="inlineStr">
        <is>
          <t>FLEN</t>
        </is>
      </c>
      <c r="H297" t="inlineStr">
        <is>
          <t>Övriga statliga verk och myndigheter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44778</v>
      </c>
      <c r="E298" s="1" t="n">
        <v>46254</v>
      </c>
      <c r="F298" t="inlineStr">
        <is>
          <t>SÖDERMANLANDS LÄN</t>
        </is>
      </c>
      <c r="G298" t="inlineStr">
        <is>
          <t>FLEN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52541-2021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44463</v>
      </c>
      <c r="E299" s="1" t="n">
        <v>46254</v>
      </c>
      <c r="F299" t="inlineStr">
        <is>
          <t>SÖDERMANLANDS LÄN</t>
        </is>
      </c>
      <c r="G299" t="inlineStr">
        <is>
          <t>FLEN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45331</v>
      </c>
      <c r="E300" s="1" t="n">
        <v>46254</v>
      </c>
      <c r="F300" t="inlineStr">
        <is>
          <t>SÖDERMANLANDS LÄN</t>
        </is>
      </c>
      <c r="G300" t="inlineStr">
        <is>
          <t>FLEN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45066</v>
      </c>
      <c r="E301" s="1" t="n">
        <v>46254</v>
      </c>
      <c r="F301" t="inlineStr">
        <is>
          <t>SÖDERMANLANDS LÄN</t>
        </is>
      </c>
      <c r="G301" t="inlineStr">
        <is>
          <t>FLEN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46254</v>
      </c>
      <c r="F302" t="inlineStr">
        <is>
          <t>SÖDERMANLANDS LÄN</t>
        </is>
      </c>
      <c r="G302" t="inlineStr">
        <is>
          <t>FLEN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45330</v>
      </c>
      <c r="E303" s="1" t="n">
        <v>46254</v>
      </c>
      <c r="F303" t="inlineStr">
        <is>
          <t>SÖDERMANLANDS LÄN</t>
        </is>
      </c>
      <c r="G303" t="inlineStr">
        <is>
          <t>FLEN</t>
        </is>
      </c>
      <c r="H303" t="inlineStr">
        <is>
          <t>Övriga statliga verk och myndigheter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46254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50898-2022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44864</v>
      </c>
      <c r="E305" s="1" t="n">
        <v>46254</v>
      </c>
      <c r="F305" t="inlineStr">
        <is>
          <t>SÖDERMANLANDS LÄN</t>
        </is>
      </c>
      <c r="G305" t="inlineStr">
        <is>
          <t>FLEN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44855</v>
      </c>
      <c r="E306" s="1" t="n">
        <v>46254</v>
      </c>
      <c r="F306" t="inlineStr">
        <is>
          <t>SÖDERMANLANDS LÄN</t>
        </is>
      </c>
      <c r="G306" t="inlineStr">
        <is>
          <t>FLEN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46254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45250</v>
      </c>
      <c r="E308" s="1" t="n">
        <v>46254</v>
      </c>
      <c r="F308" t="inlineStr">
        <is>
          <t>SÖDERMANLANDS LÄN</t>
        </is>
      </c>
      <c r="G308" t="inlineStr">
        <is>
          <t>FLEN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44855</v>
      </c>
      <c r="E309" s="1" t="n">
        <v>46254</v>
      </c>
      <c r="F309" t="inlineStr">
        <is>
          <t>SÖDERMANLANDS LÄN</t>
        </is>
      </c>
      <c r="G309" t="inlineStr">
        <is>
          <t>FLEN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46254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45528</v>
      </c>
      <c r="E311" s="1" t="n">
        <v>46254</v>
      </c>
      <c r="F311" t="inlineStr">
        <is>
          <t>SÖDERMANLANDS LÄN</t>
        </is>
      </c>
      <c r="G311" t="inlineStr">
        <is>
          <t>FLEN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45306</v>
      </c>
      <c r="E312" s="1" t="n">
        <v>46254</v>
      </c>
      <c r="F312" t="inlineStr">
        <is>
          <t>SÖDERMANLANDS LÄN</t>
        </is>
      </c>
      <c r="G312" t="inlineStr">
        <is>
          <t>FLEN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46254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46254</v>
      </c>
      <c r="F314" t="inlineStr">
        <is>
          <t>SÖDERMANLANDS LÄN</t>
        </is>
      </c>
      <c r="G314" t="inlineStr">
        <is>
          <t>FLEN</t>
        </is>
      </c>
      <c r="H314" t="inlineStr">
        <is>
          <t>Övriga statliga verk och myndigheter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46254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46254</v>
      </c>
      <c r="F316" t="inlineStr">
        <is>
          <t>SÖDERMANLANDS LÄN</t>
        </is>
      </c>
      <c r="G316" t="inlineStr">
        <is>
          <t>FLEN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48497-2021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44449</v>
      </c>
      <c r="E317" s="1" t="n">
        <v>46254</v>
      </c>
      <c r="F317" t="inlineStr">
        <is>
          <t>SÖDERMANLANDS LÄN</t>
        </is>
      </c>
      <c r="G317" t="inlineStr">
        <is>
          <t>FLEN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46254</v>
      </c>
      <c r="F318" t="inlineStr">
        <is>
          <t>SÖDERMANLANDS LÄN</t>
        </is>
      </c>
      <c r="G318" t="inlineStr">
        <is>
          <t>FLEN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46254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46254</v>
      </c>
      <c r="F320" t="inlineStr">
        <is>
          <t>SÖDERMANLANDS LÄN</t>
        </is>
      </c>
      <c r="G320" t="inlineStr">
        <is>
          <t>FLEN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46254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46254</v>
      </c>
      <c r="F322" t="inlineStr">
        <is>
          <t>SÖDERMANLANDS LÄN</t>
        </is>
      </c>
      <c r="G322" t="inlineStr">
        <is>
          <t>FLEN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46254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  <c r="Z323">
        <f>HYPERLINK("https://klasma.github.io/Logging_0482/knärot/A 24450-2026 karta knärot.png", "A 24450-2026")</f>
        <v/>
      </c>
      <c r="AA323">
        <f>HYPERLINK("https://klasma.github.io/Logging_0482/klagomål/A 24450-2026 FSC-klagomål.docx", "A 24450-2026")</f>
        <v/>
      </c>
      <c r="AB323">
        <f>HYPERLINK("https://klasma.github.io/Logging_0482/klagomålsmail/A 24450-2026 FSC-klagomål mail.docx", "A 24450-2026")</f>
        <v/>
      </c>
      <c r="AC323">
        <f>HYPERLINK("https://klasma.github.io/Logging_0482/tillsyn/A 24450-2026 tillsynsbegäran.docx", "A 24450-2026")</f>
        <v/>
      </c>
      <c r="AD323">
        <f>HYPERLINK("https://klasma.github.io/Logging_0482/tillsynsmail/A 24450-2026 tillsynsbegäran mail.docx", "A 24450-2026")</f>
        <v/>
      </c>
    </row>
    <row r="324" ht="15" customHeight="1">
      <c r="A324" t="inlineStr">
        <is>
          <t>A 34783-2023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45140</v>
      </c>
      <c r="E324" s="1" t="n">
        <v>46254</v>
      </c>
      <c r="F324" t="inlineStr">
        <is>
          <t>SÖDERMANLANDS LÄN</t>
        </is>
      </c>
      <c r="G324" t="inlineStr">
        <is>
          <t>FLEN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46254</v>
      </c>
      <c r="F325" t="inlineStr">
        <is>
          <t>SÖDERMANLANDS LÄN</t>
        </is>
      </c>
      <c r="G325" t="inlineStr">
        <is>
          <t>FLEN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46254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54781-2024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45618</v>
      </c>
      <c r="E327" s="1" t="n">
        <v>46254</v>
      </c>
      <c r="F327" t="inlineStr">
        <is>
          <t>SÖDERMANLANDS LÄN</t>
        </is>
      </c>
      <c r="G327" t="inlineStr">
        <is>
          <t>FLEN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45713</v>
      </c>
      <c r="E328" s="1" t="n">
        <v>46254</v>
      </c>
      <c r="F328" t="inlineStr">
        <is>
          <t>SÖDERMANLANDS LÄN</t>
        </is>
      </c>
      <c r="G328" t="inlineStr">
        <is>
          <t>FLEN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44957</v>
      </c>
      <c r="E329" s="1" t="n">
        <v>46254</v>
      </c>
      <c r="F329" t="inlineStr">
        <is>
          <t>SÖDERMANLANDS LÄN</t>
        </is>
      </c>
      <c r="G329" t="inlineStr">
        <is>
          <t>FLEN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46254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46254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11.5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47872-2025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45932</v>
      </c>
      <c r="E332" s="1" t="n">
        <v>46254</v>
      </c>
      <c r="F332" t="inlineStr">
        <is>
          <t>SÖDERMANLANDS LÄN</t>
        </is>
      </c>
      <c r="G332" t="inlineStr">
        <is>
          <t>FLEN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45244</v>
      </c>
      <c r="E333" s="1" t="n">
        <v>46254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10886-2023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44991</v>
      </c>
      <c r="E334" s="1" t="n">
        <v>46254</v>
      </c>
      <c r="F334" t="inlineStr">
        <is>
          <t>SÖDERMANLANDS LÄN</t>
        </is>
      </c>
      <c r="G334" t="inlineStr">
        <is>
          <t>FLEN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46254</v>
      </c>
      <c r="F335" t="inlineStr">
        <is>
          <t>SÖDERMANLANDS LÄN</t>
        </is>
      </c>
      <c r="G335" t="inlineStr">
        <is>
          <t>FLEN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25147-2026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46254</v>
      </c>
      <c r="F336" t="inlineStr">
        <is>
          <t>SÖDERMANLANDS LÄN</t>
        </is>
      </c>
      <c r="G336" t="inlineStr">
        <is>
          <t>FLEN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46254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46254</v>
      </c>
      <c r="F338" t="inlineStr">
        <is>
          <t>SÖDERMANLANDS LÄN</t>
        </is>
      </c>
      <c r="G338" t="inlineStr">
        <is>
          <t>FLEN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46254</v>
      </c>
      <c r="F339" t="inlineStr">
        <is>
          <t>SÖDERMANLANDS LÄN</t>
        </is>
      </c>
      <c r="G339" t="inlineStr">
        <is>
          <t>FLEN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46254</v>
      </c>
      <c r="F340" t="inlineStr">
        <is>
          <t>SÖDERMANLANDS LÄN</t>
        </is>
      </c>
      <c r="G340" t="inlineStr">
        <is>
          <t>FLEN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45056</v>
      </c>
      <c r="E341" s="1" t="n">
        <v>46254</v>
      </c>
      <c r="F341" t="inlineStr">
        <is>
          <t>SÖDERMANLANDS LÄN</t>
        </is>
      </c>
      <c r="G341" t="inlineStr">
        <is>
          <t>FLEN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46254</v>
      </c>
      <c r="F342" t="inlineStr">
        <is>
          <t>SÖDERMANLANDS LÄN</t>
        </is>
      </c>
      <c r="G342" t="inlineStr">
        <is>
          <t>FLEN</t>
        </is>
      </c>
      <c r="H342" t="inlineStr">
        <is>
          <t>Övriga statliga verk och myndigheter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46254</v>
      </c>
      <c r="F343" t="inlineStr">
        <is>
          <t>SÖDERMANLANDS LÄN</t>
        </is>
      </c>
      <c r="G343" t="inlineStr">
        <is>
          <t>FLEN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45119</v>
      </c>
      <c r="E344" s="1" t="n">
        <v>46254</v>
      </c>
      <c r="F344" t="inlineStr">
        <is>
          <t>SÖDERMANLANDS LÄN</t>
        </is>
      </c>
      <c r="G344" t="inlineStr">
        <is>
          <t>FLEN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48169-2025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46254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46254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44566</v>
      </c>
      <c r="E347" s="1" t="n">
        <v>46254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46254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10828-2022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44624</v>
      </c>
      <c r="E349" s="1" t="n">
        <v>46254</v>
      </c>
      <c r="F349" t="inlineStr">
        <is>
          <t>SÖDERMANLANDS LÄN</t>
        </is>
      </c>
      <c r="G349" t="inlineStr">
        <is>
          <t>FLEN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46254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46254</v>
      </c>
      <c r="F351" t="inlineStr">
        <is>
          <t>SÖDERMANLANDS LÄN</t>
        </is>
      </c>
      <c r="G351" t="inlineStr">
        <is>
          <t>FLEN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26444-2026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46183</v>
      </c>
      <c r="E352" s="1" t="n">
        <v>46254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46185</v>
      </c>
      <c r="E353" s="1" t="n">
        <v>46254</v>
      </c>
      <c r="F353" t="inlineStr">
        <is>
          <t>SÖDERMANLANDS LÄN</t>
        </is>
      </c>
      <c r="G353" t="inlineStr">
        <is>
          <t>FLEN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46229</v>
      </c>
      <c r="E354" s="1" t="n">
        <v>46254</v>
      </c>
      <c r="F354" t="inlineStr">
        <is>
          <t>SÖDERMANLANDS LÄN</t>
        </is>
      </c>
      <c r="G354" t="inlineStr">
        <is>
          <t>FLEN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46254</v>
      </c>
      <c r="F355" t="inlineStr">
        <is>
          <t>SÖDERMANLANDS LÄN</t>
        </is>
      </c>
      <c r="G355" t="inlineStr">
        <is>
          <t>FLEN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45041</v>
      </c>
      <c r="E356" s="1" t="n">
        <v>46254</v>
      </c>
      <c r="F356" t="inlineStr">
        <is>
          <t>SÖDERMANLANDS LÄN</t>
        </is>
      </c>
      <c r="G356" t="inlineStr">
        <is>
          <t>FLEN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51768-2023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46254</v>
      </c>
      <c r="F357" t="inlineStr">
        <is>
          <t>SÖDERMANLANDS LÄN</t>
        </is>
      </c>
      <c r="G357" t="inlineStr">
        <is>
          <t>FLEN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46254</v>
      </c>
      <c r="F358" t="inlineStr">
        <is>
          <t>SÖDERMANLANDS LÄN</t>
        </is>
      </c>
      <c r="G358" t="inlineStr">
        <is>
          <t>FLEN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44701</v>
      </c>
      <c r="E359" s="1" t="n">
        <v>46254</v>
      </c>
      <c r="F359" t="inlineStr">
        <is>
          <t>SÖDERMANLANDS LÄN</t>
        </is>
      </c>
      <c r="G359" t="inlineStr">
        <is>
          <t>FLEN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45740</v>
      </c>
      <c r="E360" s="1" t="n">
        <v>46254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46254</v>
      </c>
      <c r="F361" t="inlineStr">
        <is>
          <t>SÖDERMANLANDS LÄN</t>
        </is>
      </c>
      <c r="G361" t="inlineStr">
        <is>
          <t>FLEN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46254</v>
      </c>
      <c r="F362" t="inlineStr">
        <is>
          <t>SÖDERMANLANDS LÄN</t>
        </is>
      </c>
      <c r="G362" t="inlineStr">
        <is>
          <t>FLEN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46254</v>
      </c>
      <c r="F363" t="inlineStr">
        <is>
          <t>SÖDERMANLANDS LÄN</t>
        </is>
      </c>
      <c r="G363" t="inlineStr">
        <is>
          <t>FLEN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44909</v>
      </c>
      <c r="E364" s="1" t="n">
        <v>46254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33228-2024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45518</v>
      </c>
      <c r="E365" s="1" t="n">
        <v>46254</v>
      </c>
      <c r="F365" t="inlineStr">
        <is>
          <t>SÖDERMANLANDS LÄN</t>
        </is>
      </c>
      <c r="G365" t="inlineStr">
        <is>
          <t>FLEN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46254</v>
      </c>
      <c r="F366" t="inlineStr">
        <is>
          <t>SÖDERMANLANDS LÄN</t>
        </is>
      </c>
      <c r="G366" t="inlineStr">
        <is>
          <t>FLEN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46254</v>
      </c>
      <c r="F367" t="inlineStr">
        <is>
          <t>SÖDERMANLANDS LÄN</t>
        </is>
      </c>
      <c r="G367" t="inlineStr">
        <is>
          <t>FLEN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45257</v>
      </c>
      <c r="E368" s="1" t="n">
        <v>46254</v>
      </c>
      <c r="F368" t="inlineStr">
        <is>
          <t>SÖDERMANLANDS LÄN</t>
        </is>
      </c>
      <c r="G368" t="inlineStr">
        <is>
          <t>FLEN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45632</v>
      </c>
      <c r="E369" s="1" t="n">
        <v>46254</v>
      </c>
      <c r="F369" t="inlineStr">
        <is>
          <t>SÖDERMANLANDS LÄN</t>
        </is>
      </c>
      <c r="G369" t="inlineStr">
        <is>
          <t>FLEN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46254</v>
      </c>
      <c r="F370" t="inlineStr">
        <is>
          <t>SÖDERMANLANDS LÄN</t>
        </is>
      </c>
      <c r="G370" t="inlineStr">
        <is>
          <t>FLEN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46254</v>
      </c>
      <c r="F371" t="inlineStr">
        <is>
          <t>SÖDERMANLANDS LÄN</t>
        </is>
      </c>
      <c r="G371" t="inlineStr">
        <is>
          <t>FLEN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44676</v>
      </c>
      <c r="E372" s="1" t="n">
        <v>46254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46254</v>
      </c>
      <c r="F373" t="inlineStr">
        <is>
          <t>SÖDERMANLANDS LÄN</t>
        </is>
      </c>
      <c r="G373" t="inlineStr">
        <is>
          <t>FLEN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14599-2023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45013</v>
      </c>
      <c r="E374" s="1" t="n">
        <v>46254</v>
      </c>
      <c r="F374" t="inlineStr">
        <is>
          <t>SÖDERMANLANDS LÄN</t>
        </is>
      </c>
      <c r="G374" t="inlineStr">
        <is>
          <t>FLEN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51955-2025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45952</v>
      </c>
      <c r="E375" s="1" t="n">
        <v>46254</v>
      </c>
      <c r="F375" t="inlineStr">
        <is>
          <t>SÖDERMANLANDS LÄN</t>
        </is>
      </c>
      <c r="G375" t="inlineStr">
        <is>
          <t>FLEN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53507-2023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45230</v>
      </c>
      <c r="E376" s="1" t="n">
        <v>46254</v>
      </c>
      <c r="F376" t="inlineStr">
        <is>
          <t>SÖDERMANLANDS LÄN</t>
        </is>
      </c>
      <c r="G376" t="inlineStr">
        <is>
          <t>FLEN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45230</v>
      </c>
      <c r="E377" s="1" t="n">
        <v>46254</v>
      </c>
      <c r="F377" t="inlineStr">
        <is>
          <t>SÖDERMANLANDS LÄN</t>
        </is>
      </c>
      <c r="G377" t="inlineStr">
        <is>
          <t>FLEN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32693-2026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46240</v>
      </c>
      <c r="E378" s="1" t="n">
        <v>46254</v>
      </c>
      <c r="F378" t="inlineStr">
        <is>
          <t>SÖDERMANLANDS LÄN</t>
        </is>
      </c>
      <c r="G378" t="inlineStr">
        <is>
          <t>FLEN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54283-2025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45964</v>
      </c>
      <c r="E379" s="1" t="n">
        <v>46254</v>
      </c>
      <c r="F379" t="inlineStr">
        <is>
          <t>SÖDERMANLANDS LÄN</t>
        </is>
      </c>
      <c r="G379" t="inlineStr">
        <is>
          <t>FLEN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54282-2025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45964</v>
      </c>
      <c r="E380" s="1" t="n">
        <v>46254</v>
      </c>
      <c r="F380" t="inlineStr">
        <is>
          <t>SÖDERMANLANDS LÄN</t>
        </is>
      </c>
      <c r="G380" t="inlineStr">
        <is>
          <t>FLEN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46254</v>
      </c>
      <c r="F381" t="inlineStr">
        <is>
          <t>SÖDERMANLANDS LÄN</t>
        </is>
      </c>
      <c r="G381" t="inlineStr">
        <is>
          <t>FLEN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50796-2021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44459</v>
      </c>
      <c r="E382" s="1" t="n">
        <v>46254</v>
      </c>
      <c r="F382" t="inlineStr">
        <is>
          <t>SÖDERMANLANDS LÄN</t>
        </is>
      </c>
      <c r="G382" t="inlineStr">
        <is>
          <t>FLEN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33000-2026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46244</v>
      </c>
      <c r="E383" s="1" t="n">
        <v>46254</v>
      </c>
      <c r="F383" t="inlineStr">
        <is>
          <t>SÖDERMANLANDS LÄN</t>
        </is>
      </c>
      <c r="G383" t="inlineStr">
        <is>
          <t>FLEN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39053-2023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45163</v>
      </c>
      <c r="E384" s="1" t="n">
        <v>46254</v>
      </c>
      <c r="F384" t="inlineStr">
        <is>
          <t>SÖDERMANLANDS LÄN</t>
        </is>
      </c>
      <c r="G384" t="inlineStr">
        <is>
          <t>FLEN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44741</v>
      </c>
      <c r="E385" s="1" t="n">
        <v>46254</v>
      </c>
      <c r="F385" t="inlineStr">
        <is>
          <t>SÖDERMANLANDS LÄN</t>
        </is>
      </c>
      <c r="G385" t="inlineStr">
        <is>
          <t>FLEN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44636</v>
      </c>
      <c r="E386" s="1" t="n">
        <v>46254</v>
      </c>
      <c r="F386" t="inlineStr">
        <is>
          <t>SÖDERMANLANDS LÄN</t>
        </is>
      </c>
      <c r="G386" t="inlineStr">
        <is>
          <t>FLEN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56573-2025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45974</v>
      </c>
      <c r="E387" s="1" t="n">
        <v>46254</v>
      </c>
      <c r="F387" t="inlineStr">
        <is>
          <t>SÖDERMANLANDS LÄN</t>
        </is>
      </c>
      <c r="G387" t="inlineStr">
        <is>
          <t>FLEN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56393-2022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44887</v>
      </c>
      <c r="E388" s="1" t="n">
        <v>46254</v>
      </c>
      <c r="F388" t="inlineStr">
        <is>
          <t>SÖDERMANLANDS LÄN</t>
        </is>
      </c>
      <c r="G388" t="inlineStr">
        <is>
          <t>FLEN</t>
        </is>
      </c>
      <c r="I388" t="n">
        <v>11.3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46251</v>
      </c>
      <c r="E389" s="1" t="n">
        <v>46254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46254</v>
      </c>
      <c r="F390" t="inlineStr">
        <is>
          <t>SÖDERMANLANDS LÄN</t>
        </is>
      </c>
      <c r="G390" t="inlineStr">
        <is>
          <t>FLEN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46249</v>
      </c>
      <c r="E391" s="1" t="n">
        <v>46254</v>
      </c>
      <c r="F391" t="inlineStr">
        <is>
          <t>SÖDERMANLANDS LÄN</t>
        </is>
      </c>
      <c r="G391" t="inlineStr">
        <is>
          <t>FLEN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60609-2022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44911</v>
      </c>
      <c r="E392" s="1" t="n">
        <v>46254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46251</v>
      </c>
      <c r="E393" s="1" t="n">
        <v>46254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46251</v>
      </c>
      <c r="E394" s="1" t="n">
        <v>46254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46254</v>
      </c>
      <c r="F395" t="inlineStr">
        <is>
          <t>SÖDERMANLANDS LÄN</t>
        </is>
      </c>
      <c r="G395" t="inlineStr">
        <is>
          <t>FLEN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45114</v>
      </c>
      <c r="E396" s="1" t="n">
        <v>46254</v>
      </c>
      <c r="F396" t="inlineStr">
        <is>
          <t>SÖDERMANLANDS LÄN</t>
        </is>
      </c>
      <c r="G396" t="inlineStr">
        <is>
          <t>FLEN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33936-2026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46250</v>
      </c>
      <c r="E397" s="1" t="n">
        <v>46254</v>
      </c>
      <c r="F397" t="inlineStr">
        <is>
          <t>SÖDERMANLANDS LÄN</t>
        </is>
      </c>
      <c r="G397" t="inlineStr">
        <is>
          <t>FLEN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38217-2023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45161</v>
      </c>
      <c r="E398" s="1" t="n">
        <v>46254</v>
      </c>
      <c r="F398" t="inlineStr">
        <is>
          <t>SÖDERMANLANDS LÄN</t>
        </is>
      </c>
      <c r="G398" t="inlineStr">
        <is>
          <t>FLEN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14412-2023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46254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44887</v>
      </c>
      <c r="E400" s="1" t="n">
        <v>46254</v>
      </c>
      <c r="F400" t="inlineStr">
        <is>
          <t>SÖDERMANLANDS LÄN</t>
        </is>
      </c>
      <c r="G400" t="inlineStr">
        <is>
          <t>FLEN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44958</v>
      </c>
      <c r="E401" s="1" t="n">
        <v>46254</v>
      </c>
      <c r="F401" t="inlineStr">
        <is>
          <t>SÖDERMANLANDS LÄN</t>
        </is>
      </c>
      <c r="G401" t="inlineStr">
        <is>
          <t>FLEN</t>
        </is>
      </c>
      <c r="I401" t="n">
        <v>7.5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46254</v>
      </c>
      <c r="F402" t="inlineStr">
        <is>
          <t>SÖDERMANLANDS LÄN</t>
        </is>
      </c>
      <c r="G402" t="inlineStr">
        <is>
          <t>FLEN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59599-2022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44907</v>
      </c>
      <c r="E403" s="1" t="n">
        <v>46254</v>
      </c>
      <c r="F403" t="inlineStr">
        <is>
          <t>SÖDERMANLANDS LÄN</t>
        </is>
      </c>
      <c r="G403" t="inlineStr">
        <is>
          <t>FLEN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46254</v>
      </c>
      <c r="F404" t="inlineStr">
        <is>
          <t>SÖDERMANLANDS LÄN</t>
        </is>
      </c>
      <c r="G404" t="inlineStr">
        <is>
          <t>FLEN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46254</v>
      </c>
      <c r="F405" t="inlineStr">
        <is>
          <t>SÖDERMANLANDS LÄN</t>
        </is>
      </c>
      <c r="G405" t="inlineStr">
        <is>
          <t>FLEN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46254</v>
      </c>
      <c r="F406" t="inlineStr">
        <is>
          <t>SÖDERMANLANDS LÄN</t>
        </is>
      </c>
      <c r="G406" t="inlineStr">
        <is>
          <t>FLEN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45072</v>
      </c>
      <c r="E407" s="1" t="n">
        <v>46254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45217</v>
      </c>
      <c r="E408" s="1" t="n">
        <v>46254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46254</v>
      </c>
      <c r="F409" t="inlineStr">
        <is>
          <t>SÖDERMANLANDS LÄN</t>
        </is>
      </c>
      <c r="G409" t="inlineStr">
        <is>
          <t>FLEN</t>
        </is>
      </c>
      <c r="H409" t="inlineStr">
        <is>
          <t>Kyrkan</t>
        </is>
      </c>
      <c r="I409" t="n">
        <v>9.699999999999999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60401-2025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46254</v>
      </c>
      <c r="F410" t="inlineStr">
        <is>
          <t>SÖDERMANLANDS LÄN</t>
        </is>
      </c>
      <c r="G410" t="inlineStr">
        <is>
          <t>FLEN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46254</v>
      </c>
      <c r="F411" t="inlineStr">
        <is>
          <t>SÖDERMANLANDS LÄN</t>
        </is>
      </c>
      <c r="G411" t="inlineStr">
        <is>
          <t>FLEN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46254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46254</v>
      </c>
      <c r="F413" t="inlineStr">
        <is>
          <t>SÖDERMANLANDS LÄN</t>
        </is>
      </c>
      <c r="G413" t="inlineStr">
        <is>
          <t>FLEN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46254</v>
      </c>
      <c r="F414" t="inlineStr">
        <is>
          <t>SÖDERMANLANDS LÄN</t>
        </is>
      </c>
      <c r="G414" t="inlineStr">
        <is>
          <t>FLEN</t>
        </is>
      </c>
      <c r="H414" t="inlineStr">
        <is>
          <t>Kyrkan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45189</v>
      </c>
      <c r="E415" s="1" t="n">
        <v>46254</v>
      </c>
      <c r="F415" t="inlineStr">
        <is>
          <t>SÖDERMANLANDS LÄN</t>
        </is>
      </c>
      <c r="G415" t="inlineStr">
        <is>
          <t>FLEN</t>
        </is>
      </c>
      <c r="H415" t="inlineStr">
        <is>
          <t>Övriga statliga verk och myndigheter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45082</v>
      </c>
      <c r="E416" s="1" t="n">
        <v>46254</v>
      </c>
      <c r="F416" t="inlineStr">
        <is>
          <t>SÖDERMANLANDS LÄN</t>
        </is>
      </c>
      <c r="G416" t="inlineStr">
        <is>
          <t>FLEN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46254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45030</v>
      </c>
      <c r="E418" s="1" t="n">
        <v>46254</v>
      </c>
      <c r="F418" t="inlineStr">
        <is>
          <t>SÖDERMANLANDS LÄN</t>
        </is>
      </c>
      <c r="G418" t="inlineStr">
        <is>
          <t>FLEN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55445-2022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44887</v>
      </c>
      <c r="E419" s="1" t="n">
        <v>46254</v>
      </c>
      <c r="F419" t="inlineStr">
        <is>
          <t>SÖDERMANLANDS LÄN</t>
        </is>
      </c>
      <c r="G419" t="inlineStr">
        <is>
          <t>FLEN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40286-2023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46254</v>
      </c>
      <c r="F420" t="inlineStr">
        <is>
          <t>SÖDERMANLANDS LÄN</t>
        </is>
      </c>
      <c r="G420" t="inlineStr">
        <is>
          <t>FLEN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42936-2021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44431</v>
      </c>
      <c r="E421" s="1" t="n">
        <v>46254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46254</v>
      </c>
      <c r="F422" t="inlineStr">
        <is>
          <t>SÖDERMANLANDS LÄN</t>
        </is>
      </c>
      <c r="G422" t="inlineStr">
        <is>
          <t>FLEN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45501</v>
      </c>
      <c r="E423" s="1" t="n">
        <v>46254</v>
      </c>
      <c r="F423" t="inlineStr">
        <is>
          <t>SÖDERMANLANDS LÄN</t>
        </is>
      </c>
      <c r="G423" t="inlineStr">
        <is>
          <t>FLEN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40420-2024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45555</v>
      </c>
      <c r="E424" s="1" t="n">
        <v>46254</v>
      </c>
      <c r="F424" t="inlineStr">
        <is>
          <t>SÖDERMANLANDS LÄN</t>
        </is>
      </c>
      <c r="G424" t="inlineStr">
        <is>
          <t>FLEN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44846</v>
      </c>
      <c r="E425" s="1" t="n">
        <v>46254</v>
      </c>
      <c r="F425" t="inlineStr">
        <is>
          <t>SÖDERMANLANDS LÄN</t>
        </is>
      </c>
      <c r="G425" t="inlineStr">
        <is>
          <t>FLEN</t>
        </is>
      </c>
      <c r="H425" t="inlineStr">
        <is>
          <t>Kyrkan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38209-2023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45161</v>
      </c>
      <c r="E426" s="1" t="n">
        <v>46254</v>
      </c>
      <c r="F426" t="inlineStr">
        <is>
          <t>SÖDERMANLANDS LÄN</t>
        </is>
      </c>
      <c r="G426" t="inlineStr">
        <is>
          <t>FLEN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45250</v>
      </c>
      <c r="E427" s="1" t="n">
        <v>46254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46254</v>
      </c>
      <c r="F428" t="inlineStr">
        <is>
          <t>SÖDERMANLANDS LÄN</t>
        </is>
      </c>
      <c r="G428" t="inlineStr">
        <is>
          <t>FLEN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45225</v>
      </c>
      <c r="E429" s="1" t="n">
        <v>46254</v>
      </c>
      <c r="F429" t="inlineStr">
        <is>
          <t>SÖDERMANLANDS LÄN</t>
        </is>
      </c>
      <c r="G429" t="inlineStr">
        <is>
          <t>FLEN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47187-2022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44848</v>
      </c>
      <c r="E430" s="1" t="n">
        <v>46254</v>
      </c>
      <c r="F430" t="inlineStr">
        <is>
          <t>SÖDERMANLANDS LÄN</t>
        </is>
      </c>
      <c r="G430" t="inlineStr">
        <is>
          <t>FLEN</t>
        </is>
      </c>
      <c r="H430" t="inlineStr">
        <is>
          <t>Övriga statliga verk och myndigheter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46254</v>
      </c>
      <c r="F431" t="inlineStr">
        <is>
          <t>SÖDERMANLANDS LÄN</t>
        </is>
      </c>
      <c r="G431" t="inlineStr">
        <is>
          <t>FLEN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8903-2022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44614</v>
      </c>
      <c r="E432" s="1" t="n">
        <v>46254</v>
      </c>
      <c r="F432" t="inlineStr">
        <is>
          <t>SÖDERMANLANDS LÄN</t>
        </is>
      </c>
      <c r="G432" t="inlineStr">
        <is>
          <t>FLEN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46254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46254</v>
      </c>
      <c r="F434" t="inlineStr">
        <is>
          <t>SÖDERMANLANDS LÄN</t>
        </is>
      </c>
      <c r="G434" t="inlineStr">
        <is>
          <t>FLEN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46254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46254</v>
      </c>
      <c r="F436" t="inlineStr">
        <is>
          <t>SÖDERMANLANDS LÄN</t>
        </is>
      </c>
      <c r="G436" t="inlineStr">
        <is>
          <t>FLEN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45540</v>
      </c>
      <c r="E437" s="1" t="n">
        <v>46254</v>
      </c>
      <c r="F437" t="inlineStr">
        <is>
          <t>SÖDERMANLANDS LÄN</t>
        </is>
      </c>
      <c r="G437" t="inlineStr">
        <is>
          <t>FLEN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44614</v>
      </c>
      <c r="E438" s="1" t="n">
        <v>46254</v>
      </c>
      <c r="F438" t="inlineStr">
        <is>
          <t>SÖDERMANLANDS LÄN</t>
        </is>
      </c>
      <c r="G438" t="inlineStr">
        <is>
          <t>FLEN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46044</v>
      </c>
      <c r="E439" s="1" t="n">
        <v>46254</v>
      </c>
      <c r="F439" t="inlineStr">
        <is>
          <t>SÖDERMANLANDS LÄN</t>
        </is>
      </c>
      <c r="G439" t="inlineStr">
        <is>
          <t>FLEN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44909</v>
      </c>
      <c r="E440" s="1" t="n">
        <v>46254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45327</v>
      </c>
      <c r="E441" s="1" t="n">
        <v>46254</v>
      </c>
      <c r="F441" t="inlineStr">
        <is>
          <t>SÖDERMANLANDS LÄN</t>
        </is>
      </c>
      <c r="G441" t="inlineStr">
        <is>
          <t>FLEN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45001</v>
      </c>
      <c r="E442" s="1" t="n">
        <v>46254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46254</v>
      </c>
      <c r="F443" t="inlineStr">
        <is>
          <t>SÖDERMANLANDS LÄN</t>
        </is>
      </c>
      <c r="G443" t="inlineStr">
        <is>
          <t>FLEN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46254</v>
      </c>
      <c r="F444" t="inlineStr">
        <is>
          <t>SÖDERMANLANDS LÄN</t>
        </is>
      </c>
      <c r="G444" t="inlineStr">
        <is>
          <t>FLEN</t>
        </is>
      </c>
      <c r="H444" t="inlineStr">
        <is>
          <t>Övriga statliga verk och myndigheter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73923-2021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44553</v>
      </c>
      <c r="E445" s="1" t="n">
        <v>46254</v>
      </c>
      <c r="F445" t="inlineStr">
        <is>
          <t>SÖDERMANLANDS LÄN</t>
        </is>
      </c>
      <c r="G445" t="inlineStr">
        <is>
          <t>FLEN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45345</v>
      </c>
      <c r="E446" s="1" t="n">
        <v>46254</v>
      </c>
      <c r="F446" t="inlineStr">
        <is>
          <t>SÖDERMANLANDS LÄN</t>
        </is>
      </c>
      <c r="G446" t="inlineStr">
        <is>
          <t>FLEN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46071</v>
      </c>
      <c r="E447" s="1" t="n">
        <v>46254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13587-2022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44648</v>
      </c>
      <c r="E448" s="1" t="n">
        <v>46254</v>
      </c>
      <c r="F448" t="inlineStr">
        <is>
          <t>SÖDERMANLANDS LÄN</t>
        </is>
      </c>
      <c r="G448" t="inlineStr">
        <is>
          <t>FLEN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46254</v>
      </c>
      <c r="F449" t="inlineStr">
        <is>
          <t>SÖDERMANLANDS LÄN</t>
        </is>
      </c>
      <c r="G449" t="inlineStr">
        <is>
          <t>FLEN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26663-2022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46254</v>
      </c>
      <c r="F450" t="inlineStr">
        <is>
          <t>SÖDERMANLANDS LÄN</t>
        </is>
      </c>
      <c r="G450" t="inlineStr">
        <is>
          <t>FLEN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23716-2024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45454</v>
      </c>
      <c r="E451" s="1" t="n">
        <v>46254</v>
      </c>
      <c r="F451" t="inlineStr">
        <is>
          <t>SÖDERMANLANDS LÄN</t>
        </is>
      </c>
      <c r="G451" t="inlineStr">
        <is>
          <t>FLEN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45478</v>
      </c>
      <c r="E452" s="1" t="n">
        <v>46254</v>
      </c>
      <c r="F452" t="inlineStr">
        <is>
          <t>SÖDERMANLANDS LÄN</t>
        </is>
      </c>
      <c r="G452" t="inlineStr">
        <is>
          <t>FLEN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46077</v>
      </c>
      <c r="E453" s="1" t="n">
        <v>46254</v>
      </c>
      <c r="F453" t="inlineStr">
        <is>
          <t>SÖDERMANLANDS LÄN</t>
        </is>
      </c>
      <c r="G453" t="inlineStr">
        <is>
          <t>FLEN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46254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46254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11004-2026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46079</v>
      </c>
      <c r="E456" s="1" t="n">
        <v>46254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46079</v>
      </c>
      <c r="E457" s="1" t="n">
        <v>46254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46254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46254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9074-2025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45713</v>
      </c>
      <c r="E460" s="1" t="n">
        <v>46254</v>
      </c>
      <c r="F460" t="inlineStr">
        <is>
          <t>SÖDERMANLANDS LÄN</t>
        </is>
      </c>
      <c r="G460" t="inlineStr">
        <is>
          <t>FLEN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44580</v>
      </c>
      <c r="E461" s="1" t="n">
        <v>46254</v>
      </c>
      <c r="F461" t="inlineStr">
        <is>
          <t>SÖDERMANLANDS LÄN</t>
        </is>
      </c>
      <c r="G461" t="inlineStr">
        <is>
          <t>FLEN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11339-2026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46082</v>
      </c>
      <c r="E462" s="1" t="n">
        <v>46254</v>
      </c>
      <c r="F462" t="inlineStr">
        <is>
          <t>SÖDERMANLANDS LÄN</t>
        </is>
      </c>
      <c r="G462" t="inlineStr">
        <is>
          <t>FLEN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46083</v>
      </c>
      <c r="E463" s="1" t="n">
        <v>46254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45140</v>
      </c>
      <c r="E464" s="1" t="n">
        <v>46254</v>
      </c>
      <c r="F464" t="inlineStr">
        <is>
          <t>SÖDERMANLANDS LÄN</t>
        </is>
      </c>
      <c r="G464" t="inlineStr">
        <is>
          <t>FLEN</t>
        </is>
      </c>
      <c r="H464" t="inlineStr">
        <is>
          <t>Kyrkan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39891-2022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44819</v>
      </c>
      <c r="E465" s="1" t="n">
        <v>46254</v>
      </c>
      <c r="F465" t="inlineStr">
        <is>
          <t>SÖDERMANLANDS LÄN</t>
        </is>
      </c>
      <c r="G465" t="inlineStr">
        <is>
          <t>FLEN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44769</v>
      </c>
      <c r="E466" s="1" t="n">
        <v>46254</v>
      </c>
      <c r="F466" t="inlineStr">
        <is>
          <t>SÖDERMANLANDS LÄN</t>
        </is>
      </c>
      <c r="G466" t="inlineStr">
        <is>
          <t>FLEN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45110</v>
      </c>
      <c r="E467" s="1" t="n">
        <v>46254</v>
      </c>
      <c r="F467" t="inlineStr">
        <is>
          <t>SÖDERMANLANDS LÄN</t>
        </is>
      </c>
      <c r="G467" t="inlineStr">
        <is>
          <t>FLEN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58926-2023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45250</v>
      </c>
      <c r="E468" s="1" t="n">
        <v>46254</v>
      </c>
      <c r="F468" t="inlineStr">
        <is>
          <t>SÖDERMANLANDS LÄN</t>
        </is>
      </c>
      <c r="G468" t="inlineStr">
        <is>
          <t>FLEN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46254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46254</v>
      </c>
      <c r="F470" t="inlineStr">
        <is>
          <t>SÖDERMANLANDS LÄN</t>
        </is>
      </c>
      <c r="G470" t="inlineStr">
        <is>
          <t>FLEN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44960</v>
      </c>
      <c r="E471" s="1" t="n">
        <v>46254</v>
      </c>
      <c r="F471" t="inlineStr">
        <is>
          <t>SÖDERMANLANDS LÄN</t>
        </is>
      </c>
      <c r="G471" t="inlineStr">
        <is>
          <t>FLEN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57046-2023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45244</v>
      </c>
      <c r="E472" s="1" t="n">
        <v>46254</v>
      </c>
      <c r="F472" t="inlineStr">
        <is>
          <t>SÖDERMANLANDS LÄN</t>
        </is>
      </c>
      <c r="G472" t="inlineStr">
        <is>
          <t>FLEN</t>
        </is>
      </c>
      <c r="H472" t="inlineStr">
        <is>
          <t>Övriga statliga verk och myndigheter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46254</v>
      </c>
      <c r="F473" t="inlineStr">
        <is>
          <t>SÖDERMANLANDS LÄN</t>
        </is>
      </c>
      <c r="G473" t="inlineStr">
        <is>
          <t>FLEN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41630-2023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46254</v>
      </c>
      <c r="F474" t="inlineStr">
        <is>
          <t>SÖDERMANLANDS LÄN</t>
        </is>
      </c>
      <c r="G474" t="inlineStr">
        <is>
          <t>FLEN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45036</v>
      </c>
      <c r="E475" s="1" t="n">
        <v>46254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59439-2022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44907</v>
      </c>
      <c r="E476" s="1" t="n">
        <v>46254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45365</v>
      </c>
      <c r="E477" s="1" t="n">
        <v>46254</v>
      </c>
      <c r="F477" t="inlineStr">
        <is>
          <t>SÖDERMANLANDS LÄN</t>
        </is>
      </c>
      <c r="G477" t="inlineStr">
        <is>
          <t>FLEN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45244</v>
      </c>
      <c r="E478" s="1" t="n">
        <v>46254</v>
      </c>
      <c r="F478" t="inlineStr">
        <is>
          <t>SÖDERMANLANDS LÄN</t>
        </is>
      </c>
      <c r="G478" t="inlineStr">
        <is>
          <t>FLEN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11747-2022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44634</v>
      </c>
      <c r="E479" s="1" t="n">
        <v>46254</v>
      </c>
      <c r="F479" t="inlineStr">
        <is>
          <t>SÖDERMANLANDS LÄN</t>
        </is>
      </c>
      <c r="G479" t="inlineStr">
        <is>
          <t>FLEN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46254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41806-2023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45176</v>
      </c>
      <c r="E481" s="1" t="n">
        <v>46254</v>
      </c>
      <c r="F481" t="inlineStr">
        <is>
          <t>SÖDERMANLANDS LÄN</t>
        </is>
      </c>
      <c r="G481" t="inlineStr">
        <is>
          <t>FLEN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46254</v>
      </c>
      <c r="F482" t="inlineStr">
        <is>
          <t>SÖDERMANLANDS LÄN</t>
        </is>
      </c>
      <c r="G482" t="inlineStr">
        <is>
          <t>FLEN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46254</v>
      </c>
      <c r="F483" t="inlineStr">
        <is>
          <t>SÖDERMANLANDS LÄN</t>
        </is>
      </c>
      <c r="G483" t="inlineStr">
        <is>
          <t>FLEN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45216</v>
      </c>
      <c r="E484" s="1" t="n">
        <v>46254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42388-2023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45180</v>
      </c>
      <c r="E485" s="1" t="n">
        <v>46254</v>
      </c>
      <c r="F485" t="inlineStr">
        <is>
          <t>SÖDERMANLANDS LÄN</t>
        </is>
      </c>
      <c r="G485" t="inlineStr">
        <is>
          <t>FLEN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45256</v>
      </c>
      <c r="E486" s="1" t="n">
        <v>46254</v>
      </c>
      <c r="F486" t="inlineStr">
        <is>
          <t>SÖDERMANLANDS LÄN</t>
        </is>
      </c>
      <c r="G486" t="inlineStr">
        <is>
          <t>FLEN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45007</v>
      </c>
      <c r="E487" s="1" t="n">
        <v>46254</v>
      </c>
      <c r="F487" t="inlineStr">
        <is>
          <t>SÖDERMANLANDS LÄN</t>
        </is>
      </c>
      <c r="G487" t="inlineStr">
        <is>
          <t>FLEN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18508-2026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46126</v>
      </c>
      <c r="E488" s="1" t="n">
        <v>46254</v>
      </c>
      <c r="F488" t="inlineStr">
        <is>
          <t>SÖDERMANLANDS LÄN</t>
        </is>
      </c>
      <c r="G488" t="inlineStr">
        <is>
          <t>FLEN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46254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46125</v>
      </c>
      <c r="E490" s="1" t="n">
        <v>46254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45448</v>
      </c>
      <c r="E491" s="1" t="n">
        <v>46254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46126</v>
      </c>
      <c r="E492" s="1" t="n">
        <v>46254</v>
      </c>
      <c r="F492" t="inlineStr">
        <is>
          <t>SÖDERMANLANDS LÄN</t>
        </is>
      </c>
      <c r="G492" t="inlineStr">
        <is>
          <t>FLEN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46254</v>
      </c>
      <c r="F493" t="inlineStr">
        <is>
          <t>SÖDERMANLANDS LÄN</t>
        </is>
      </c>
      <c r="G493" t="inlineStr">
        <is>
          <t>FLEN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46254</v>
      </c>
      <c r="F494" t="inlineStr">
        <is>
          <t>SÖDERMANLANDS LÄN</t>
        </is>
      </c>
      <c r="G494" t="inlineStr">
        <is>
          <t>FLEN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13233-2024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45386</v>
      </c>
      <c r="E495" s="1" t="n">
        <v>46254</v>
      </c>
      <c r="F495" t="inlineStr">
        <is>
          <t>SÖDERMANLANDS LÄN</t>
        </is>
      </c>
      <c r="G495" t="inlineStr">
        <is>
          <t>FLEN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8293-2022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44610</v>
      </c>
      <c r="E496" s="1" t="n">
        <v>46254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46129</v>
      </c>
      <c r="E497" s="1" t="n">
        <v>46254</v>
      </c>
      <c r="F497" t="inlineStr">
        <is>
          <t>SÖDERMANLANDS LÄN</t>
        </is>
      </c>
      <c r="G497" t="inlineStr">
        <is>
          <t>FLEN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14755-2023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46254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46254</v>
      </c>
      <c r="F499" t="inlineStr">
        <is>
          <t>SÖDERMANLANDS LÄN</t>
        </is>
      </c>
      <c r="G499" t="inlineStr">
        <is>
          <t>FLEN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45671</v>
      </c>
      <c r="E500" s="1" t="n">
        <v>46254</v>
      </c>
      <c r="F500" t="inlineStr">
        <is>
          <t>SÖDERMANLANDS LÄN</t>
        </is>
      </c>
      <c r="G500" t="inlineStr">
        <is>
          <t>FLEN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38753-2023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45163</v>
      </c>
      <c r="E501" s="1" t="n">
        <v>46254</v>
      </c>
      <c r="F501" t="inlineStr">
        <is>
          <t>SÖDERMANLANDS LÄN</t>
        </is>
      </c>
      <c r="G501" t="inlineStr">
        <is>
          <t>FLEN</t>
        </is>
      </c>
      <c r="I501" t="n">
        <v>7.9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19072-2026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46254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4899-2023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44958</v>
      </c>
      <c r="E503" s="1" t="n">
        <v>46254</v>
      </c>
      <c r="F503" t="inlineStr">
        <is>
          <t>SÖDERMANLANDS LÄN</t>
        </is>
      </c>
      <c r="G503" t="inlineStr">
        <is>
          <t>FLEN</t>
        </is>
      </c>
      <c r="H503" t="inlineStr">
        <is>
          <t>Kyrkan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46254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20952-2025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45777</v>
      </c>
      <c r="E505" s="1" t="n">
        <v>46254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19618-2026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46254</v>
      </c>
      <c r="F506" t="inlineStr">
        <is>
          <t>SÖDERMANLANDS LÄN</t>
        </is>
      </c>
      <c r="G506" t="inlineStr">
        <is>
          <t>FLEN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45888</v>
      </c>
      <c r="E507" s="1" t="n">
        <v>46254</v>
      </c>
      <c r="F507" t="inlineStr">
        <is>
          <t>SÖDERMANLANDS LÄN</t>
        </is>
      </c>
      <c r="G507" t="inlineStr">
        <is>
          <t>FLEN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46254</v>
      </c>
      <c r="F508" t="inlineStr">
        <is>
          <t>SÖDERMANLANDS LÄN</t>
        </is>
      </c>
      <c r="G508" t="inlineStr">
        <is>
          <t>FLEN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45718</v>
      </c>
      <c r="E509" s="1" t="n">
        <v>46254</v>
      </c>
      <c r="F509" t="inlineStr">
        <is>
          <t>SÖDERMANLANDS LÄN</t>
        </is>
      </c>
      <c r="G509" t="inlineStr">
        <is>
          <t>FLEN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17290-2024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45414</v>
      </c>
      <c r="E510" s="1" t="n">
        <v>46254</v>
      </c>
      <c r="F510" t="inlineStr">
        <is>
          <t>SÖDERMANLANDS LÄN</t>
        </is>
      </c>
      <c r="G510" t="inlineStr">
        <is>
          <t>FLEN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45252</v>
      </c>
      <c r="E511" s="1" t="n">
        <v>46254</v>
      </c>
      <c r="F511" t="inlineStr">
        <is>
          <t>SÖDERMANLANDS LÄN</t>
        </is>
      </c>
      <c r="G511" t="inlineStr">
        <is>
          <t>FLEN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45350</v>
      </c>
      <c r="E512" s="1" t="n">
        <v>46254</v>
      </c>
      <c r="F512" t="inlineStr">
        <is>
          <t>SÖDERMANLANDS LÄN</t>
        </is>
      </c>
      <c r="G512" t="inlineStr">
        <is>
          <t>FLEN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54736-2022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44883</v>
      </c>
      <c r="E513" s="1" t="n">
        <v>46254</v>
      </c>
      <c r="F513" t="inlineStr">
        <is>
          <t>SÖDERMANLANDS LÄN</t>
        </is>
      </c>
      <c r="G513" t="inlineStr">
        <is>
          <t>FLEN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47055-2022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44852</v>
      </c>
      <c r="E514" s="1" t="n">
        <v>46254</v>
      </c>
      <c r="F514" t="inlineStr">
        <is>
          <t>SÖDERMANLANDS LÄN</t>
        </is>
      </c>
      <c r="G514" t="inlineStr">
        <is>
          <t>FLEN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45008</v>
      </c>
      <c r="E515" s="1" t="n">
        <v>46254</v>
      </c>
      <c r="F515" t="inlineStr">
        <is>
          <t>SÖDERMANLANDS LÄN</t>
        </is>
      </c>
      <c r="G515" t="inlineStr">
        <is>
          <t>FLEN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45789</v>
      </c>
      <c r="E516" s="1" t="n">
        <v>46254</v>
      </c>
      <c r="F516" t="inlineStr">
        <is>
          <t>SÖDERMANLANDS LÄN</t>
        </is>
      </c>
      <c r="G516" t="inlineStr">
        <is>
          <t>FLEN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22989-2025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45790</v>
      </c>
      <c r="E517" s="1" t="n">
        <v>46254</v>
      </c>
      <c r="F517" t="inlineStr">
        <is>
          <t>SÖDERMANLANDS LÄN</t>
        </is>
      </c>
      <c r="G517" t="inlineStr">
        <is>
          <t>FLEN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56229-2025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45974</v>
      </c>
      <c r="E518" s="1" t="n">
        <v>46254</v>
      </c>
      <c r="F518" t="inlineStr">
        <is>
          <t>SÖDERMANLANDS LÄN</t>
        </is>
      </c>
      <c r="G518" t="inlineStr">
        <is>
          <t>FLEN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46254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45790</v>
      </c>
      <c r="E520" s="1" t="n">
        <v>46254</v>
      </c>
      <c r="F520" t="inlineStr">
        <is>
          <t>SÖDERMANLANDS LÄN</t>
        </is>
      </c>
      <c r="G520" t="inlineStr">
        <is>
          <t>FLEN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46254</v>
      </c>
      <c r="F521" t="inlineStr">
        <is>
          <t>SÖDERMANLANDS LÄN</t>
        </is>
      </c>
      <c r="G521" t="inlineStr">
        <is>
          <t>FLEN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40412-2024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45555</v>
      </c>
      <c r="E522" s="1" t="n">
        <v>46254</v>
      </c>
      <c r="F522" t="inlineStr">
        <is>
          <t>SÖDERMANLANDS LÄN</t>
        </is>
      </c>
      <c r="G522" t="inlineStr">
        <is>
          <t>FLEN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24414-2025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46254</v>
      </c>
      <c r="F523" t="inlineStr">
        <is>
          <t>SÖDERMANLANDS LÄN</t>
        </is>
      </c>
      <c r="G523" t="inlineStr">
        <is>
          <t>FLEN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45798</v>
      </c>
      <c r="E524" s="1" t="n">
        <v>46254</v>
      </c>
      <c r="F524" t="inlineStr">
        <is>
          <t>SÖDERMANLANDS LÄN</t>
        </is>
      </c>
      <c r="G524" t="inlineStr">
        <is>
          <t>FLEN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45798</v>
      </c>
      <c r="E525" s="1" t="n">
        <v>46254</v>
      </c>
      <c r="F525" t="inlineStr">
        <is>
          <t>SÖDERMANLANDS LÄN</t>
        </is>
      </c>
      <c r="G525" t="inlineStr">
        <is>
          <t>FLEN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45702</v>
      </c>
      <c r="E526" s="1" t="n">
        <v>46254</v>
      </c>
      <c r="F526" t="inlineStr">
        <is>
          <t>SÖDERMANLANDS LÄN</t>
        </is>
      </c>
      <c r="G526" t="inlineStr">
        <is>
          <t>FLEN</t>
        </is>
      </c>
      <c r="I526" t="n">
        <v>7.4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24526-2025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46254</v>
      </c>
      <c r="F527" t="inlineStr">
        <is>
          <t>SÖDERMANLANDS LÄN</t>
        </is>
      </c>
      <c r="G527" t="inlineStr">
        <is>
          <t>FLEN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45798</v>
      </c>
      <c r="E528" s="1" t="n">
        <v>46254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3944-2025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45684</v>
      </c>
      <c r="E529" s="1" t="n">
        <v>46254</v>
      </c>
      <c r="F529" t="inlineStr">
        <is>
          <t>SÖDERMANLANDS LÄN</t>
        </is>
      </c>
      <c r="G529" t="inlineStr">
        <is>
          <t>FLEN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27827-2025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45817</v>
      </c>
      <c r="E530" s="1" t="n">
        <v>46254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45830</v>
      </c>
      <c r="E531" s="1" t="n">
        <v>46254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45830</v>
      </c>
      <c r="E532" s="1" t="n">
        <v>46254</v>
      </c>
      <c r="F532" t="inlineStr">
        <is>
          <t>SÖDERMANLANDS LÄN</t>
        </is>
      </c>
      <c r="G532" t="inlineStr">
        <is>
          <t>FLEN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46254</v>
      </c>
      <c r="F533" t="inlineStr">
        <is>
          <t>SÖDERMANLANDS LÄN</t>
        </is>
      </c>
      <c r="G533" t="inlineStr">
        <is>
          <t>FLEN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45729</v>
      </c>
      <c r="E534" s="1" t="n">
        <v>46254</v>
      </c>
      <c r="F534" t="inlineStr">
        <is>
          <t>SÖDERMANLANDS LÄN</t>
        </is>
      </c>
      <c r="G534" t="inlineStr">
        <is>
          <t>FLEN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57863-2022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44899</v>
      </c>
      <c r="E535" s="1" t="n">
        <v>46254</v>
      </c>
      <c r="F535" t="inlineStr">
        <is>
          <t>SÖDERMANLANDS LÄN</t>
        </is>
      </c>
      <c r="G535" t="inlineStr">
        <is>
          <t>FLEN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46254</v>
      </c>
      <c r="F536" t="inlineStr">
        <is>
          <t>SÖDERMANLANDS LÄN</t>
        </is>
      </c>
      <c r="G536" t="inlineStr">
        <is>
          <t>FLEN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38464-2025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45883</v>
      </c>
      <c r="E537" s="1" t="n">
        <v>46254</v>
      </c>
      <c r="F537" t="inlineStr">
        <is>
          <t>SÖDERMANLANDS LÄN</t>
        </is>
      </c>
      <c r="G537" t="inlineStr">
        <is>
          <t>FLEN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458-2023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44964</v>
      </c>
      <c r="E538" s="1" t="n">
        <v>46254</v>
      </c>
      <c r="F538" t="inlineStr">
        <is>
          <t>SÖDERMANLANDS LÄN</t>
        </is>
      </c>
      <c r="G538" t="inlineStr">
        <is>
          <t>FLEN</t>
        </is>
      </c>
      <c r="H538" t="inlineStr">
        <is>
          <t>Kyrkan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292-2025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45686</v>
      </c>
      <c r="E539" s="1" t="n">
        <v>46254</v>
      </c>
      <c r="F539" t="inlineStr">
        <is>
          <t>SÖDERMANLANDS LÄN</t>
        </is>
      </c>
      <c r="G539" t="inlineStr">
        <is>
          <t>FLEN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3723-2022</t>
        </is>
      </c>
      <c r="B540" t="inlineStr">
        <is>
          <t>samrådsanmälan</t>
        </is>
      </c>
      <c r="C540" t="inlineStr">
        <is>
          <t>Åtgärd i nyckelbiotop</t>
        </is>
      </c>
      <c r="D540" s="1" t="n">
        <v>44742</v>
      </c>
      <c r="E540" s="1" t="n">
        <v>46254</v>
      </c>
      <c r="F540" t="inlineStr">
        <is>
          <t>SÖDERMANLANDS LÄN</t>
        </is>
      </c>
      <c r="G540" t="inlineStr">
        <is>
          <t>FLEN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46254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46254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1976-2024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45446</v>
      </c>
      <c r="E543" s="1" t="n">
        <v>46254</v>
      </c>
      <c r="F543" t="inlineStr">
        <is>
          <t>SÖDERMANLANDS LÄN</t>
        </is>
      </c>
      <c r="G543" t="inlineStr">
        <is>
          <t>FLEN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1287-2024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45403</v>
      </c>
      <c r="E544" s="1" t="n">
        <v>46254</v>
      </c>
      <c r="F544" t="inlineStr">
        <is>
          <t>SÖDERMANLANDS LÄN</t>
        </is>
      </c>
      <c r="G544" t="inlineStr">
        <is>
          <t>FLEN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1528-2026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46164</v>
      </c>
      <c r="E545" s="1" t="n">
        <v>46254</v>
      </c>
      <c r="F545" t="inlineStr">
        <is>
          <t>SÖDERMANLANDS LÄN</t>
        </is>
      </c>
      <c r="G545" t="inlineStr">
        <is>
          <t>FLEN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2026-08-20T01:45:57Z</dcterms:created>
  <dcterms:modified xmlns:dcterms="http://purl.org/dc/terms/" xmlns:xsi="http://www.w3.org/2001/XMLSchema-instance" xsi:type="dcterms:W3CDTF">2026-08-20T01:45:57Z</dcterms:modified>
</cp:coreProperties>
</file>