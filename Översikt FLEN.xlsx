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45844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45844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45844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45844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45844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45844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45844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45844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45844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45844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45844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45844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45844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45844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45844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45844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45844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45844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45844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45844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45844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45844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45844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45844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45844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45844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45844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45844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45844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45844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45844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45844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45844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45844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45844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45844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45844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45844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45844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45844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45844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45844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45844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45844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45844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45844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45844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45844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45844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45844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45844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45844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45844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45844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45844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45844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45844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45844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45844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45844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45844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45844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45844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45844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45844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45844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45844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45844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45844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45844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45844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45844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45844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45844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39446-2019</t>
        </is>
      </c>
      <c r="B76" s="1" t="n">
        <v>43691</v>
      </c>
      <c r="C76" s="1" t="n">
        <v>45844</v>
      </c>
      <c r="D76" t="inlineStr">
        <is>
          <t>SÖDERMANLANDS LÄN</t>
        </is>
      </c>
      <c r="E76" t="inlineStr">
        <is>
          <t>FLEN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dunört</t>
        </is>
      </c>
      <c r="S76">
        <f>HYPERLINK("https://klasma.github.io/Logging_0482/artfynd/A 39446-2019 artfynd.xlsx", "A 39446-2019")</f>
        <v/>
      </c>
      <c r="T76">
        <f>HYPERLINK("https://klasma.github.io/Logging_0482/kartor/A 39446-2019 karta.png", "A 39446-2019")</f>
        <v/>
      </c>
      <c r="V76">
        <f>HYPERLINK("https://klasma.github.io/Logging_0482/klagomål/A 39446-2019 FSC-klagomål.docx", "A 39446-2019")</f>
        <v/>
      </c>
      <c r="W76">
        <f>HYPERLINK("https://klasma.github.io/Logging_0482/klagomålsmail/A 39446-2019 FSC-klagomål mail.docx", "A 39446-2019")</f>
        <v/>
      </c>
      <c r="X76">
        <f>HYPERLINK("https://klasma.github.io/Logging_0482/tillsyn/A 39446-2019 tillsynsbegäran.docx", "A 39446-2019")</f>
        <v/>
      </c>
      <c r="Y76">
        <f>HYPERLINK("https://klasma.github.io/Logging_0482/tillsynsmail/A 39446-2019 tillsynsbegäran mail.docx", "A 39446-2019")</f>
        <v/>
      </c>
    </row>
    <row r="77" ht="15" customHeight="1">
      <c r="A77" t="inlineStr">
        <is>
          <t>A 43329-2019</t>
        </is>
      </c>
      <c r="B77" s="1" t="n">
        <v>43703</v>
      </c>
      <c r="C77" s="1" t="n">
        <v>45844</v>
      </c>
      <c r="D77" t="inlineStr">
        <is>
          <t>SÖDERMANLANDS LÄN</t>
        </is>
      </c>
      <c r="E77" t="inlineStr">
        <is>
          <t>FLEN</t>
        </is>
      </c>
      <c r="G77" t="n">
        <v>8.5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HYPERLINK("https://klasma.github.io/Logging_0482/artfynd/A 43329-2019 artfynd.xlsx", "A 43329-2019")</f>
        <v/>
      </c>
      <c r="T77">
        <f>HYPERLINK("https://klasma.github.io/Logging_0482/kartor/A 43329-2019 karta.png", "A 43329-2019")</f>
        <v/>
      </c>
      <c r="U77">
        <f>HYPERLINK("https://klasma.github.io/Logging_0482/knärot/A 43329-2019 karta knärot.png", "A 43329-2019")</f>
        <v/>
      </c>
      <c r="V77">
        <f>HYPERLINK("https://klasma.github.io/Logging_0482/klagomål/A 43329-2019 FSC-klagomål.docx", "A 43329-2019")</f>
        <v/>
      </c>
      <c r="W77">
        <f>HYPERLINK("https://klasma.github.io/Logging_0482/klagomålsmail/A 43329-2019 FSC-klagomål mail.docx", "A 43329-2019")</f>
        <v/>
      </c>
      <c r="X77">
        <f>HYPERLINK("https://klasma.github.io/Logging_0482/tillsyn/A 43329-2019 tillsynsbegäran.docx", "A 43329-2019")</f>
        <v/>
      </c>
      <c r="Y77">
        <f>HYPERLINK("https://klasma.github.io/Logging_0482/tillsynsmail/A 43329-2019 tillsynsbegäran mail.docx", "A 43329-2019")</f>
        <v/>
      </c>
    </row>
    <row r="78" ht="15" customHeight="1">
      <c r="A78" t="inlineStr">
        <is>
          <t>A 43369-2019</t>
        </is>
      </c>
      <c r="B78" s="1" t="n">
        <v>43703</v>
      </c>
      <c r="C78" s="1" t="n">
        <v>45844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HYPERLINK("https://klasma.github.io/Logging_0482/artfynd/A 43369-2019 artfynd.xlsx", "A 43369-2019")</f>
        <v/>
      </c>
      <c r="T78">
        <f>HYPERLINK("https://klasma.github.io/Logging_0482/kartor/A 43369-2019 karta.png", "A 43369-2019")</f>
        <v/>
      </c>
      <c r="V78">
        <f>HYPERLINK("https://klasma.github.io/Logging_0482/klagomål/A 43369-2019 FSC-klagomål.docx", "A 43369-2019")</f>
        <v/>
      </c>
      <c r="W78">
        <f>HYPERLINK("https://klasma.github.io/Logging_0482/klagomålsmail/A 43369-2019 FSC-klagomål mail.docx", "A 43369-2019")</f>
        <v/>
      </c>
      <c r="X78">
        <f>HYPERLINK("https://klasma.github.io/Logging_0482/tillsyn/A 43369-2019 tillsynsbegäran.docx", "A 43369-2019")</f>
        <v/>
      </c>
      <c r="Y78">
        <f>HYPERLINK("https://klasma.github.io/Logging_0482/tillsynsmail/A 43369-2019 tillsynsbegäran mail.docx", "A 43369-2019")</f>
        <v/>
      </c>
    </row>
    <row r="79" ht="15" customHeight="1">
      <c r="A79" t="inlineStr">
        <is>
          <t>A 54418-2019</t>
        </is>
      </c>
      <c r="B79" s="1" t="n">
        <v>43747</v>
      </c>
      <c r="C79" s="1" t="n">
        <v>45844</v>
      </c>
      <c r="D79" t="inlineStr">
        <is>
          <t>SÖDERMANLANDS LÄN</t>
        </is>
      </c>
      <c r="E79" t="inlineStr">
        <is>
          <t>FLEN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Svedjenäva</t>
        </is>
      </c>
      <c r="S79">
        <f>HYPERLINK("https://klasma.github.io/Logging_0482/artfynd/A 54418-2019 artfynd.xlsx", "A 54418-2019")</f>
        <v/>
      </c>
      <c r="T79">
        <f>HYPERLINK("https://klasma.github.io/Logging_0482/kartor/A 54418-2019 karta.png", "A 54418-2019")</f>
        <v/>
      </c>
      <c r="V79">
        <f>HYPERLINK("https://klasma.github.io/Logging_0482/klagomål/A 54418-2019 FSC-klagomål.docx", "A 54418-2019")</f>
        <v/>
      </c>
      <c r="W79">
        <f>HYPERLINK("https://klasma.github.io/Logging_0482/klagomålsmail/A 54418-2019 FSC-klagomål mail.docx", "A 54418-2019")</f>
        <v/>
      </c>
      <c r="X79">
        <f>HYPERLINK("https://klasma.github.io/Logging_0482/tillsyn/A 54418-2019 tillsynsbegäran.docx", "A 54418-2019")</f>
        <v/>
      </c>
      <c r="Y79">
        <f>HYPERLINK("https://klasma.github.io/Logging_0482/tillsynsmail/A 54418-2019 tillsynsbegäran mail.docx", "A 54418-2019")</f>
        <v/>
      </c>
    </row>
    <row r="80" ht="15" customHeight="1">
      <c r="A80" t="inlineStr">
        <is>
          <t>A 55376-2019</t>
        </is>
      </c>
      <c r="B80" s="1" t="n">
        <v>43754</v>
      </c>
      <c r="C80" s="1" t="n">
        <v>45844</v>
      </c>
      <c r="D80" t="inlineStr">
        <is>
          <t>SÖDERMANLANDS LÄN</t>
        </is>
      </c>
      <c r="E80" t="inlineStr">
        <is>
          <t>FLEN</t>
        </is>
      </c>
      <c r="G80" t="n">
        <v>6.5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HYPERLINK("https://klasma.github.io/Logging_0482/artfynd/A 55376-2019 artfynd.xlsx", "A 55376-2019")</f>
        <v/>
      </c>
      <c r="T80">
        <f>HYPERLINK("https://klasma.github.io/Logging_0482/kartor/A 55376-2019 karta.png", "A 55376-2019")</f>
        <v/>
      </c>
      <c r="V80">
        <f>HYPERLINK("https://klasma.github.io/Logging_0482/klagomål/A 55376-2019 FSC-klagomål.docx", "A 55376-2019")</f>
        <v/>
      </c>
      <c r="W80">
        <f>HYPERLINK("https://klasma.github.io/Logging_0482/klagomålsmail/A 55376-2019 FSC-klagomål mail.docx", "A 55376-2019")</f>
        <v/>
      </c>
      <c r="X80">
        <f>HYPERLINK("https://klasma.github.io/Logging_0482/tillsyn/A 55376-2019 tillsynsbegäran.docx", "A 55376-2019")</f>
        <v/>
      </c>
      <c r="Y80">
        <f>HYPERLINK("https://klasma.github.io/Logging_0482/tillsynsmail/A 55376-2019 tillsynsbegäran mail.docx", "A 55376-2019")</f>
        <v/>
      </c>
    </row>
    <row r="81" ht="15" customHeight="1">
      <c r="A81" t="inlineStr">
        <is>
          <t>A 4372-2020</t>
        </is>
      </c>
      <c r="B81" s="1" t="n">
        <v>43858</v>
      </c>
      <c r="C81" s="1" t="n">
        <v>45844</v>
      </c>
      <c r="D81" t="inlineStr">
        <is>
          <t>SÖDERMANLANDS LÄN</t>
        </is>
      </c>
      <c r="E81" t="inlineStr">
        <is>
          <t>FLEN</t>
        </is>
      </c>
      <c r="G81" t="n">
        <v>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4372-2020 artfynd.xlsx", "A 4372-2020")</f>
        <v/>
      </c>
      <c r="T81">
        <f>HYPERLINK("https://klasma.github.io/Logging_0482/kartor/A 4372-2020 karta.png", "A 4372-2020")</f>
        <v/>
      </c>
      <c r="V81">
        <f>HYPERLINK("https://klasma.github.io/Logging_0482/klagomål/A 4372-2020 FSC-klagomål.docx", "A 4372-2020")</f>
        <v/>
      </c>
      <c r="W81">
        <f>HYPERLINK("https://klasma.github.io/Logging_0482/klagomålsmail/A 4372-2020 FSC-klagomål mail.docx", "A 4372-2020")</f>
        <v/>
      </c>
      <c r="X81">
        <f>HYPERLINK("https://klasma.github.io/Logging_0482/tillsyn/A 4372-2020 tillsynsbegäran.docx", "A 4372-2020")</f>
        <v/>
      </c>
      <c r="Y81">
        <f>HYPERLINK("https://klasma.github.io/Logging_0482/tillsynsmail/A 4372-2020 tillsynsbegäran mail.docx", "A 4372-2020")</f>
        <v/>
      </c>
    </row>
    <row r="82" ht="15" customHeight="1">
      <c r="A82" t="inlineStr">
        <is>
          <t>A 5210-2020</t>
        </is>
      </c>
      <c r="B82" s="1" t="n">
        <v>43860</v>
      </c>
      <c r="C82" s="1" t="n">
        <v>45844</v>
      </c>
      <c r="D82" t="inlineStr">
        <is>
          <t>SÖDERMANLANDS LÄN</t>
        </is>
      </c>
      <c r="E82" t="inlineStr">
        <is>
          <t>FLEN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5210-2020 artfynd.xlsx", "A 5210-2020")</f>
        <v/>
      </c>
      <c r="T82">
        <f>HYPERLINK("https://klasma.github.io/Logging_0482/kartor/A 5210-2020 karta.png", "A 5210-2020")</f>
        <v/>
      </c>
      <c r="V82">
        <f>HYPERLINK("https://klasma.github.io/Logging_0482/klagomål/A 5210-2020 FSC-klagomål.docx", "A 5210-2020")</f>
        <v/>
      </c>
      <c r="W82">
        <f>HYPERLINK("https://klasma.github.io/Logging_0482/klagomålsmail/A 5210-2020 FSC-klagomål mail.docx", "A 5210-2020")</f>
        <v/>
      </c>
      <c r="X82">
        <f>HYPERLINK("https://klasma.github.io/Logging_0482/tillsyn/A 5210-2020 tillsynsbegäran.docx", "A 5210-2020")</f>
        <v/>
      </c>
      <c r="Y82">
        <f>HYPERLINK("https://klasma.github.io/Logging_0482/tillsynsmail/A 5210-2020 tillsynsbegäran mail.docx", "A 5210-2020")</f>
        <v/>
      </c>
    </row>
    <row r="83" ht="15" customHeight="1">
      <c r="A83" t="inlineStr">
        <is>
          <t>A 14229-2020</t>
        </is>
      </c>
      <c r="B83" s="1" t="n">
        <v>43907</v>
      </c>
      <c r="C83" s="1" t="n">
        <v>45844</v>
      </c>
      <c r="D83" t="inlineStr">
        <is>
          <t>SÖDERMANLANDS LÄN</t>
        </is>
      </c>
      <c r="E83" t="inlineStr">
        <is>
          <t>FLEN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14229-2020 artfynd.xlsx", "A 14229-2020")</f>
        <v/>
      </c>
      <c r="T83">
        <f>HYPERLINK("https://klasma.github.io/Logging_0482/kartor/A 14229-2020 karta.png", "A 14229-2020")</f>
        <v/>
      </c>
      <c r="V83">
        <f>HYPERLINK("https://klasma.github.io/Logging_0482/klagomål/A 14229-2020 FSC-klagomål.docx", "A 14229-2020")</f>
        <v/>
      </c>
      <c r="W83">
        <f>HYPERLINK("https://klasma.github.io/Logging_0482/klagomålsmail/A 14229-2020 FSC-klagomål mail.docx", "A 14229-2020")</f>
        <v/>
      </c>
      <c r="X83">
        <f>HYPERLINK("https://klasma.github.io/Logging_0482/tillsyn/A 14229-2020 tillsynsbegäran.docx", "A 14229-2020")</f>
        <v/>
      </c>
      <c r="Y83">
        <f>HYPERLINK("https://klasma.github.io/Logging_0482/tillsynsmail/A 14229-2020 tillsynsbegäran mail.docx", "A 14229-2020")</f>
        <v/>
      </c>
    </row>
    <row r="84" ht="15" customHeight="1">
      <c r="A84" t="inlineStr">
        <is>
          <t>A 20001-2020</t>
        </is>
      </c>
      <c r="B84" s="1" t="n">
        <v>43943</v>
      </c>
      <c r="C84" s="1" t="n">
        <v>45844</v>
      </c>
      <c r="D84" t="inlineStr">
        <is>
          <t>SÖDERMANLANDS LÄN</t>
        </is>
      </c>
      <c r="E84" t="inlineStr">
        <is>
          <t>FLEN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HYPERLINK("https://klasma.github.io/Logging_0482/artfynd/A 20001-2020 artfynd.xlsx", "A 20001-2020")</f>
        <v/>
      </c>
      <c r="T84">
        <f>HYPERLINK("https://klasma.github.io/Logging_0482/kartor/A 20001-2020 karta.png", "A 20001-2020")</f>
        <v/>
      </c>
      <c r="V84">
        <f>HYPERLINK("https://klasma.github.io/Logging_0482/klagomål/A 20001-2020 FSC-klagomål.docx", "A 20001-2020")</f>
        <v/>
      </c>
      <c r="W84">
        <f>HYPERLINK("https://klasma.github.io/Logging_0482/klagomålsmail/A 20001-2020 FSC-klagomål mail.docx", "A 20001-2020")</f>
        <v/>
      </c>
      <c r="X84">
        <f>HYPERLINK("https://klasma.github.io/Logging_0482/tillsyn/A 20001-2020 tillsynsbegäran.docx", "A 20001-2020")</f>
        <v/>
      </c>
      <c r="Y84">
        <f>HYPERLINK("https://klasma.github.io/Logging_0482/tillsynsmail/A 20001-2020 tillsynsbegäran mail.docx", "A 20001-2020")</f>
        <v/>
      </c>
    </row>
    <row r="85" ht="15" customHeight="1">
      <c r="A85" t="inlineStr">
        <is>
          <t>A 21704-2020</t>
        </is>
      </c>
      <c r="B85" s="1" t="n">
        <v>43957</v>
      </c>
      <c r="C85" s="1" t="n">
        <v>45844</v>
      </c>
      <c r="D85" t="inlineStr">
        <is>
          <t>SÖDERMANLANDS LÄN</t>
        </is>
      </c>
      <c r="E85" t="inlineStr">
        <is>
          <t>FLEN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21704-2020 artfynd.xlsx", "A 21704-2020")</f>
        <v/>
      </c>
      <c r="T85">
        <f>HYPERLINK("https://klasma.github.io/Logging_0482/kartor/A 21704-2020 karta.png", "A 21704-2020")</f>
        <v/>
      </c>
      <c r="V85">
        <f>HYPERLINK("https://klasma.github.io/Logging_0482/klagomål/A 21704-2020 FSC-klagomål.docx", "A 21704-2020")</f>
        <v/>
      </c>
      <c r="W85">
        <f>HYPERLINK("https://klasma.github.io/Logging_0482/klagomålsmail/A 21704-2020 FSC-klagomål mail.docx", "A 21704-2020")</f>
        <v/>
      </c>
      <c r="X85">
        <f>HYPERLINK("https://klasma.github.io/Logging_0482/tillsyn/A 21704-2020 tillsynsbegäran.docx", "A 21704-2020")</f>
        <v/>
      </c>
      <c r="Y85">
        <f>HYPERLINK("https://klasma.github.io/Logging_0482/tillsynsmail/A 21704-2020 tillsynsbegäran mail.docx", "A 21704-2020")</f>
        <v/>
      </c>
      <c r="Z85">
        <f>HYPERLINK("https://klasma.github.io/Logging_0482/fåglar/A 21704-2020 prioriterade fågelarter.docx", "A 21704-2020")</f>
        <v/>
      </c>
    </row>
    <row r="86" ht="15" customHeight="1">
      <c r="A86" t="inlineStr">
        <is>
          <t>A 31870-2020</t>
        </is>
      </c>
      <c r="B86" s="1" t="n">
        <v>44014</v>
      </c>
      <c r="C86" s="1" t="n">
        <v>45844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10.1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Mellanlummer</t>
        </is>
      </c>
      <c r="S86">
        <f>HYPERLINK("https://klasma.github.io/Logging_0482/artfynd/A 31870-2020 artfynd.xlsx", "A 31870-2020")</f>
        <v/>
      </c>
      <c r="T86">
        <f>HYPERLINK("https://klasma.github.io/Logging_0482/kartor/A 31870-2020 karta.png", "A 31870-2020")</f>
        <v/>
      </c>
      <c r="V86">
        <f>HYPERLINK("https://klasma.github.io/Logging_0482/klagomål/A 31870-2020 FSC-klagomål.docx", "A 31870-2020")</f>
        <v/>
      </c>
      <c r="W86">
        <f>HYPERLINK("https://klasma.github.io/Logging_0482/klagomålsmail/A 31870-2020 FSC-klagomål mail.docx", "A 31870-2020")</f>
        <v/>
      </c>
      <c r="X86">
        <f>HYPERLINK("https://klasma.github.io/Logging_0482/tillsyn/A 31870-2020 tillsynsbegäran.docx", "A 31870-2020")</f>
        <v/>
      </c>
      <c r="Y86">
        <f>HYPERLINK("https://klasma.github.io/Logging_0482/tillsynsmail/A 31870-2020 tillsynsbegäran mail.docx", "A 31870-2020")</f>
        <v/>
      </c>
    </row>
    <row r="87" ht="15" customHeight="1">
      <c r="A87" t="inlineStr">
        <is>
          <t>A 55009-2020</t>
        </is>
      </c>
      <c r="B87" s="1" t="n">
        <v>44127</v>
      </c>
      <c r="C87" s="1" t="n">
        <v>45844</v>
      </c>
      <c r="D87" t="inlineStr">
        <is>
          <t>SÖDERMANLANDS LÄN</t>
        </is>
      </c>
      <c r="E87" t="inlineStr">
        <is>
          <t>FLEN</t>
        </is>
      </c>
      <c r="G87" t="n">
        <v>26.6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HYPERLINK("https://klasma.github.io/Logging_0482/artfynd/A 55009-2020 artfynd.xlsx", "A 55009-2020")</f>
        <v/>
      </c>
      <c r="T87">
        <f>HYPERLINK("https://klasma.github.io/Logging_0482/kartor/A 55009-2020 karta.png", "A 55009-2020")</f>
        <v/>
      </c>
      <c r="V87">
        <f>HYPERLINK("https://klasma.github.io/Logging_0482/klagomål/A 55009-2020 FSC-klagomål.docx", "A 55009-2020")</f>
        <v/>
      </c>
      <c r="W87">
        <f>HYPERLINK("https://klasma.github.io/Logging_0482/klagomålsmail/A 55009-2020 FSC-klagomål mail.docx", "A 55009-2020")</f>
        <v/>
      </c>
      <c r="X87">
        <f>HYPERLINK("https://klasma.github.io/Logging_0482/tillsyn/A 55009-2020 tillsynsbegäran.docx", "A 55009-2020")</f>
        <v/>
      </c>
      <c r="Y87">
        <f>HYPERLINK("https://klasma.github.io/Logging_0482/tillsynsmail/A 55009-2020 tillsynsbegäran mail.docx", "A 55009-2020")</f>
        <v/>
      </c>
    </row>
    <row r="88" ht="15" customHeight="1">
      <c r="A88" t="inlineStr">
        <is>
          <t>A 57173-2020</t>
        </is>
      </c>
      <c r="B88" s="1" t="n">
        <v>44138</v>
      </c>
      <c r="C88" s="1" t="n">
        <v>45844</v>
      </c>
      <c r="D88" t="inlineStr">
        <is>
          <t>SÖDERMANLANDS LÄN</t>
        </is>
      </c>
      <c r="E88" t="inlineStr">
        <is>
          <t>FLEN</t>
        </is>
      </c>
      <c r="G88" t="n">
        <v>4.8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57173-2020 artfynd.xlsx", "A 57173-2020")</f>
        <v/>
      </c>
      <c r="T88">
        <f>HYPERLINK("https://klasma.github.io/Logging_0482/kartor/A 57173-2020 karta.png", "A 57173-2020")</f>
        <v/>
      </c>
      <c r="U88">
        <f>HYPERLINK("https://klasma.github.io/Logging_0482/knärot/A 57173-2020 karta knärot.png", "A 57173-2020")</f>
        <v/>
      </c>
      <c r="V88">
        <f>HYPERLINK("https://klasma.github.io/Logging_0482/klagomål/A 57173-2020 FSC-klagomål.docx", "A 57173-2020")</f>
        <v/>
      </c>
      <c r="W88">
        <f>HYPERLINK("https://klasma.github.io/Logging_0482/klagomålsmail/A 57173-2020 FSC-klagomål mail.docx", "A 57173-2020")</f>
        <v/>
      </c>
      <c r="X88">
        <f>HYPERLINK("https://klasma.github.io/Logging_0482/tillsyn/A 57173-2020 tillsynsbegäran.docx", "A 57173-2020")</f>
        <v/>
      </c>
      <c r="Y88">
        <f>HYPERLINK("https://klasma.github.io/Logging_0482/tillsynsmail/A 57173-2020 tillsynsbegäran mail.docx", "A 57173-2020")</f>
        <v/>
      </c>
    </row>
    <row r="89" ht="15" customHeight="1">
      <c r="A89" t="inlineStr">
        <is>
          <t>A 8176-2021</t>
        </is>
      </c>
      <c r="B89" s="1" t="n">
        <v>44242</v>
      </c>
      <c r="C89" s="1" t="n">
        <v>45844</v>
      </c>
      <c r="D89" t="inlineStr">
        <is>
          <t>SÖDERMANLANDS LÄN</t>
        </is>
      </c>
      <c r="E89" t="inlineStr">
        <is>
          <t>FLEN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HYPERLINK("https://klasma.github.io/Logging_0482/artfynd/A 8176-2021 artfynd.xlsx", "A 8176-2021")</f>
        <v/>
      </c>
      <c r="T89">
        <f>HYPERLINK("https://klasma.github.io/Logging_0482/kartor/A 8176-2021 karta.png", "A 8176-2021")</f>
        <v/>
      </c>
      <c r="U89">
        <f>HYPERLINK("https://klasma.github.io/Logging_0482/knärot/A 8176-2021 karta knärot.png", "A 8176-2021")</f>
        <v/>
      </c>
      <c r="V89">
        <f>HYPERLINK("https://klasma.github.io/Logging_0482/klagomål/A 8176-2021 FSC-klagomål.docx", "A 8176-2021")</f>
        <v/>
      </c>
      <c r="W89">
        <f>HYPERLINK("https://klasma.github.io/Logging_0482/klagomålsmail/A 8176-2021 FSC-klagomål mail.docx", "A 8176-2021")</f>
        <v/>
      </c>
      <c r="X89">
        <f>HYPERLINK("https://klasma.github.io/Logging_0482/tillsyn/A 8176-2021 tillsynsbegäran.docx", "A 8176-2021")</f>
        <v/>
      </c>
      <c r="Y89">
        <f>HYPERLINK("https://klasma.github.io/Logging_0482/tillsynsmail/A 8176-2021 tillsynsbegäran mail.docx", "A 8176-2021")</f>
        <v/>
      </c>
    </row>
    <row r="90" ht="15" customHeight="1">
      <c r="A90" t="inlineStr">
        <is>
          <t>A 37347-2021</t>
        </is>
      </c>
      <c r="B90" s="1" t="n">
        <v>44397</v>
      </c>
      <c r="C90" s="1" t="n">
        <v>45844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5.9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HYPERLINK("https://klasma.github.io/Logging_0482/artfynd/A 37347-2021 artfynd.xlsx", "A 37347-2021")</f>
        <v/>
      </c>
      <c r="T90">
        <f>HYPERLINK("https://klasma.github.io/Logging_0482/kartor/A 37347-2021 karta.png", "A 37347-2021")</f>
        <v/>
      </c>
      <c r="V90">
        <f>HYPERLINK("https://klasma.github.io/Logging_0482/klagomål/A 37347-2021 FSC-klagomål.docx", "A 37347-2021")</f>
        <v/>
      </c>
      <c r="W90">
        <f>HYPERLINK("https://klasma.github.io/Logging_0482/klagomålsmail/A 37347-2021 FSC-klagomål mail.docx", "A 37347-2021")</f>
        <v/>
      </c>
      <c r="X90">
        <f>HYPERLINK("https://klasma.github.io/Logging_0482/tillsyn/A 37347-2021 tillsynsbegäran.docx", "A 37347-2021")</f>
        <v/>
      </c>
      <c r="Y90">
        <f>HYPERLINK("https://klasma.github.io/Logging_0482/tillsynsmail/A 37347-2021 tillsynsbegäran mail.docx", "A 37347-2021")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45844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48520-2021</t>
        </is>
      </c>
      <c r="B92" s="1" t="n">
        <v>44449</v>
      </c>
      <c r="C92" s="1" t="n">
        <v>45844</v>
      </c>
      <c r="D92" t="inlineStr">
        <is>
          <t>SÖDERMANLANDS LÄN</t>
        </is>
      </c>
      <c r="E92" t="inlineStr">
        <is>
          <t>FLEN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HYPERLINK("https://klasma.github.io/Logging_0482/artfynd/A 48520-2021 artfynd.xlsx", "A 48520-2021")</f>
        <v/>
      </c>
      <c r="T92">
        <f>HYPERLINK("https://klasma.github.io/Logging_0482/kartor/A 48520-2021 karta.png", "A 48520-2021")</f>
        <v/>
      </c>
      <c r="V92">
        <f>HYPERLINK("https://klasma.github.io/Logging_0482/klagomål/A 48520-2021 FSC-klagomål.docx", "A 48520-2021")</f>
        <v/>
      </c>
      <c r="W92">
        <f>HYPERLINK("https://klasma.github.io/Logging_0482/klagomålsmail/A 48520-2021 FSC-klagomål mail.docx", "A 48520-2021")</f>
        <v/>
      </c>
      <c r="X92">
        <f>HYPERLINK("https://klasma.github.io/Logging_0482/tillsyn/A 48520-2021 tillsynsbegäran.docx", "A 48520-2021")</f>
        <v/>
      </c>
      <c r="Y92">
        <f>HYPERLINK("https://klasma.github.io/Logging_0482/tillsynsmail/A 48520-2021 tillsynsbegäran mail.docx", "A 48520-2021")</f>
        <v/>
      </c>
    </row>
    <row r="93" ht="15" customHeight="1">
      <c r="A93" t="inlineStr">
        <is>
          <t>A 49255-2021</t>
        </is>
      </c>
      <c r="B93" s="1" t="n">
        <v>44454</v>
      </c>
      <c r="C93" s="1" t="n">
        <v>45844</v>
      </c>
      <c r="D93" t="inlineStr">
        <is>
          <t>SÖDERMANLANDS LÄN</t>
        </is>
      </c>
      <c r="E93" t="inlineStr">
        <is>
          <t>FLEN</t>
        </is>
      </c>
      <c r="G93" t="n">
        <v>15.6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HYPERLINK("https://klasma.github.io/Logging_0482/artfynd/A 49255-2021 artfynd.xlsx", "A 49255-2021")</f>
        <v/>
      </c>
      <c r="T93">
        <f>HYPERLINK("https://klasma.github.io/Logging_0482/kartor/A 49255-2021 karta.png", "A 49255-2021")</f>
        <v/>
      </c>
      <c r="V93">
        <f>HYPERLINK("https://klasma.github.io/Logging_0482/klagomål/A 49255-2021 FSC-klagomål.docx", "A 49255-2021")</f>
        <v/>
      </c>
      <c r="W93">
        <f>HYPERLINK("https://klasma.github.io/Logging_0482/klagomålsmail/A 49255-2021 FSC-klagomål mail.docx", "A 49255-2021")</f>
        <v/>
      </c>
      <c r="X93">
        <f>HYPERLINK("https://klasma.github.io/Logging_0482/tillsyn/A 49255-2021 tillsynsbegäran.docx", "A 49255-2021")</f>
        <v/>
      </c>
      <c r="Y93">
        <f>HYPERLINK("https://klasma.github.io/Logging_0482/tillsynsmail/A 49255-2021 tillsynsbegäran mail.docx", "A 49255-2021")</f>
        <v/>
      </c>
    </row>
    <row r="94" ht="15" customHeight="1">
      <c r="A94" t="inlineStr">
        <is>
          <t>A 55092-2021</t>
        </is>
      </c>
      <c r="B94" s="1" t="n">
        <v>44474</v>
      </c>
      <c r="C94" s="1" t="n">
        <v>45844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Huggorm</t>
        </is>
      </c>
      <c r="S94">
        <f>HYPERLINK("https://klasma.github.io/Logging_0482/artfynd/A 55092-2021 artfynd.xlsx", "A 55092-2021")</f>
        <v/>
      </c>
      <c r="T94">
        <f>HYPERLINK("https://klasma.github.io/Logging_0482/kartor/A 55092-2021 karta.png", "A 55092-2021")</f>
        <v/>
      </c>
      <c r="V94">
        <f>HYPERLINK("https://klasma.github.io/Logging_0482/klagomål/A 55092-2021 FSC-klagomål.docx", "A 55092-2021")</f>
        <v/>
      </c>
      <c r="W94">
        <f>HYPERLINK("https://klasma.github.io/Logging_0482/klagomålsmail/A 55092-2021 FSC-klagomål mail.docx", "A 55092-2021")</f>
        <v/>
      </c>
      <c r="X94">
        <f>HYPERLINK("https://klasma.github.io/Logging_0482/tillsyn/A 55092-2021 tillsynsbegäran.docx", "A 55092-2021")</f>
        <v/>
      </c>
      <c r="Y94">
        <f>HYPERLINK("https://klasma.github.io/Logging_0482/tillsynsmail/A 55092-2021 tillsynsbegäran mail.docx", "A 55092-2021")</f>
        <v/>
      </c>
    </row>
    <row r="95" ht="15" customHeight="1">
      <c r="A95" t="inlineStr">
        <is>
          <t>A 57766-2021</t>
        </is>
      </c>
      <c r="B95" s="1" t="n">
        <v>44484</v>
      </c>
      <c r="C95" s="1" t="n">
        <v>45844</v>
      </c>
      <c r="D95" t="inlineStr">
        <is>
          <t>SÖDERMANLANDS LÄN</t>
        </is>
      </c>
      <c r="E95" t="inlineStr">
        <is>
          <t>FLEN</t>
        </is>
      </c>
      <c r="G95" t="n">
        <v>9.9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57766-2021 artfynd.xlsx", "A 57766-2021")</f>
        <v/>
      </c>
      <c r="T95">
        <f>HYPERLINK("https://klasma.github.io/Logging_0482/kartor/A 57766-2021 karta.png", "A 57766-2021")</f>
        <v/>
      </c>
      <c r="V95">
        <f>HYPERLINK("https://klasma.github.io/Logging_0482/klagomål/A 57766-2021 FSC-klagomål.docx", "A 57766-2021")</f>
        <v/>
      </c>
      <c r="W95">
        <f>HYPERLINK("https://klasma.github.io/Logging_0482/klagomålsmail/A 57766-2021 FSC-klagomål mail.docx", "A 57766-2021")</f>
        <v/>
      </c>
      <c r="X95">
        <f>HYPERLINK("https://klasma.github.io/Logging_0482/tillsyn/A 57766-2021 tillsynsbegäran.docx", "A 57766-2021")</f>
        <v/>
      </c>
      <c r="Y95">
        <f>HYPERLINK("https://klasma.github.io/Logging_0482/tillsynsmail/A 57766-2021 tillsynsbegäran mail.docx", "A 57766-2021")</f>
        <v/>
      </c>
    </row>
    <row r="96" ht="15" customHeight="1">
      <c r="A96" t="inlineStr">
        <is>
          <t>A 62355-2021</t>
        </is>
      </c>
      <c r="B96" s="1" t="n">
        <v>44503</v>
      </c>
      <c r="C96" s="1" t="n">
        <v>45844</v>
      </c>
      <c r="D96" t="inlineStr">
        <is>
          <t>SÖDERMANLANDS LÄN</t>
        </is>
      </c>
      <c r="E96" t="inlineStr">
        <is>
          <t>FLEN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62355-2021 artfynd.xlsx", "A 62355-2021")</f>
        <v/>
      </c>
      <c r="T96">
        <f>HYPERLINK("https://klasma.github.io/Logging_0482/kartor/A 62355-2021 karta.png", "A 62355-2021")</f>
        <v/>
      </c>
      <c r="V96">
        <f>HYPERLINK("https://klasma.github.io/Logging_0482/klagomål/A 62355-2021 FSC-klagomål.docx", "A 62355-2021")</f>
        <v/>
      </c>
      <c r="W96">
        <f>HYPERLINK("https://klasma.github.io/Logging_0482/klagomålsmail/A 62355-2021 FSC-klagomål mail.docx", "A 62355-2021")</f>
        <v/>
      </c>
      <c r="X96">
        <f>HYPERLINK("https://klasma.github.io/Logging_0482/tillsyn/A 62355-2021 tillsynsbegäran.docx", "A 62355-2021")</f>
        <v/>
      </c>
      <c r="Y96">
        <f>HYPERLINK("https://klasma.github.io/Logging_0482/tillsynsmail/A 62355-2021 tillsynsbegäran mail.docx", "A 62355-2021")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45844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70039-2021</t>
        </is>
      </c>
      <c r="B98" s="1" t="n">
        <v>44533</v>
      </c>
      <c r="C98" s="1" t="n">
        <v>45844</v>
      </c>
      <c r="D98" t="inlineStr">
        <is>
          <t>SÖDERMANLANDS LÄN</t>
        </is>
      </c>
      <c r="E98" t="inlineStr">
        <is>
          <t>FLEN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70039-2021 artfynd.xlsx", "A 70039-2021")</f>
        <v/>
      </c>
      <c r="T98">
        <f>HYPERLINK("https://klasma.github.io/Logging_0482/kartor/A 70039-2021 karta.png", "A 70039-2021")</f>
        <v/>
      </c>
      <c r="V98">
        <f>HYPERLINK("https://klasma.github.io/Logging_0482/klagomål/A 70039-2021 FSC-klagomål.docx", "A 70039-2021")</f>
        <v/>
      </c>
      <c r="W98">
        <f>HYPERLINK("https://klasma.github.io/Logging_0482/klagomålsmail/A 70039-2021 FSC-klagomål mail.docx", "A 70039-2021")</f>
        <v/>
      </c>
      <c r="X98">
        <f>HYPERLINK("https://klasma.github.io/Logging_0482/tillsyn/A 70039-2021 tillsynsbegäran.docx", "A 70039-2021")</f>
        <v/>
      </c>
      <c r="Y98">
        <f>HYPERLINK("https://klasma.github.io/Logging_0482/tillsynsmail/A 70039-2021 tillsynsbegäran mail.docx", "A 70039-2021")</f>
        <v/>
      </c>
    </row>
    <row r="99" ht="15" customHeight="1">
      <c r="A99" t="inlineStr">
        <is>
          <t>A 73923-2021</t>
        </is>
      </c>
      <c r="B99" s="1" t="n">
        <v>44553</v>
      </c>
      <c r="C99" s="1" t="n">
        <v>45844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HYPERLINK("https://klasma.github.io/Logging_0482/artfynd/A 73923-2021 artfynd.xlsx", "A 73923-2021")</f>
        <v/>
      </c>
      <c r="T99">
        <f>HYPERLINK("https://klasma.github.io/Logging_0482/kartor/A 73923-2021 karta.png", "A 73923-2021")</f>
        <v/>
      </c>
      <c r="V99">
        <f>HYPERLINK("https://klasma.github.io/Logging_0482/klagomål/A 73923-2021 FSC-klagomål.docx", "A 73923-2021")</f>
        <v/>
      </c>
      <c r="W99">
        <f>HYPERLINK("https://klasma.github.io/Logging_0482/klagomålsmail/A 73923-2021 FSC-klagomål mail.docx", "A 73923-2021")</f>
        <v/>
      </c>
      <c r="X99">
        <f>HYPERLINK("https://klasma.github.io/Logging_0482/tillsyn/A 73923-2021 tillsynsbegäran.docx", "A 73923-2021")</f>
        <v/>
      </c>
      <c r="Y99">
        <f>HYPERLINK("https://klasma.github.io/Logging_0482/tillsynsmail/A 73923-2021 tillsynsbegäran mail.docx", "A 73923-2021")</f>
        <v/>
      </c>
    </row>
    <row r="100" ht="15" customHeight="1">
      <c r="A100" t="inlineStr">
        <is>
          <t>A 7883-2022</t>
        </is>
      </c>
      <c r="B100" s="1" t="n">
        <v>44608</v>
      </c>
      <c r="C100" s="1" t="n">
        <v>45844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2.2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HYPERLINK("https://klasma.github.io/Logging_0482/artfynd/A 7883-2022 artfynd.xlsx", "A 7883-2022")</f>
        <v/>
      </c>
      <c r="T100">
        <f>HYPERLINK("https://klasma.github.io/Logging_0482/kartor/A 7883-2022 karta.png", "A 7883-2022")</f>
        <v/>
      </c>
      <c r="V100">
        <f>HYPERLINK("https://klasma.github.io/Logging_0482/klagomål/A 7883-2022 FSC-klagomål.docx", "A 7883-2022")</f>
        <v/>
      </c>
      <c r="W100">
        <f>HYPERLINK("https://klasma.github.io/Logging_0482/klagomålsmail/A 7883-2022 FSC-klagomål mail.docx", "A 7883-2022")</f>
        <v/>
      </c>
      <c r="X100">
        <f>HYPERLINK("https://klasma.github.io/Logging_0482/tillsyn/A 7883-2022 tillsynsbegäran.docx", "A 7883-2022")</f>
        <v/>
      </c>
      <c r="Y100">
        <f>HYPERLINK("https://klasma.github.io/Logging_0482/tillsynsmail/A 7883-2022 tillsynsbegäran mail.docx", "A 7883-2022")</f>
        <v/>
      </c>
    </row>
    <row r="101" ht="15" customHeight="1">
      <c r="A101" t="inlineStr">
        <is>
          <t>A 10789-2022</t>
        </is>
      </c>
      <c r="B101" s="1" t="n">
        <v>44624</v>
      </c>
      <c r="C101" s="1" t="n">
        <v>45844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HYPERLINK("https://klasma.github.io/Logging_0482/artfynd/A 10789-2022 artfynd.xlsx", "A 10789-2022")</f>
        <v/>
      </c>
      <c r="T101">
        <f>HYPERLINK("https://klasma.github.io/Logging_0482/kartor/A 10789-2022 karta.png", "A 10789-2022")</f>
        <v/>
      </c>
      <c r="V101">
        <f>HYPERLINK("https://klasma.github.io/Logging_0482/klagomål/A 10789-2022 FSC-klagomål.docx", "A 10789-2022")</f>
        <v/>
      </c>
      <c r="W101">
        <f>HYPERLINK("https://klasma.github.io/Logging_0482/klagomålsmail/A 10789-2022 FSC-klagomål mail.docx", "A 10789-2022")</f>
        <v/>
      </c>
      <c r="X101">
        <f>HYPERLINK("https://klasma.github.io/Logging_0482/tillsyn/A 10789-2022 tillsynsbegäran.docx", "A 10789-2022")</f>
        <v/>
      </c>
      <c r="Y101">
        <f>HYPERLINK("https://klasma.github.io/Logging_0482/tillsynsmail/A 10789-2022 tillsynsbegäran mail.docx", "A 10789-2022")</f>
        <v/>
      </c>
    </row>
    <row r="102" ht="15" customHeight="1">
      <c r="A102" t="inlineStr">
        <is>
          <t>A 10770-2022</t>
        </is>
      </c>
      <c r="B102" s="1" t="n">
        <v>44624</v>
      </c>
      <c r="C102" s="1" t="n">
        <v>45844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10770-2022 artfynd.xlsx", "A 10770-2022")</f>
        <v/>
      </c>
      <c r="T102">
        <f>HYPERLINK("https://klasma.github.io/Logging_0482/kartor/A 10770-2022 karta.png", "A 10770-2022")</f>
        <v/>
      </c>
      <c r="V102">
        <f>HYPERLINK("https://klasma.github.io/Logging_0482/klagomål/A 10770-2022 FSC-klagomål.docx", "A 10770-2022")</f>
        <v/>
      </c>
      <c r="W102">
        <f>HYPERLINK("https://klasma.github.io/Logging_0482/klagomålsmail/A 10770-2022 FSC-klagomål mail.docx", "A 10770-2022")</f>
        <v/>
      </c>
      <c r="X102">
        <f>HYPERLINK("https://klasma.github.io/Logging_0482/tillsyn/A 10770-2022 tillsynsbegäran.docx", "A 10770-2022")</f>
        <v/>
      </c>
      <c r="Y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12306-2022</t>
        </is>
      </c>
      <c r="B103" s="1" t="n">
        <v>44637</v>
      </c>
      <c r="C103" s="1" t="n">
        <v>45844</v>
      </c>
      <c r="D103" t="inlineStr">
        <is>
          <t>SÖDERMANLANDS LÄN</t>
        </is>
      </c>
      <c r="E103" t="inlineStr">
        <is>
          <t>FLEN</t>
        </is>
      </c>
      <c r="G103" t="n">
        <v>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Järnsparv</t>
        </is>
      </c>
      <c r="S103">
        <f>HYPERLINK("https://klasma.github.io/Logging_0482/artfynd/A 12306-2022 artfynd.xlsx", "A 12306-2022")</f>
        <v/>
      </c>
      <c r="T103">
        <f>HYPERLINK("https://klasma.github.io/Logging_0482/kartor/A 12306-2022 karta.png", "A 12306-2022")</f>
        <v/>
      </c>
      <c r="V103">
        <f>HYPERLINK("https://klasma.github.io/Logging_0482/klagomål/A 12306-2022 FSC-klagomål.docx", "A 12306-2022")</f>
        <v/>
      </c>
      <c r="W103">
        <f>HYPERLINK("https://klasma.github.io/Logging_0482/klagomålsmail/A 12306-2022 FSC-klagomål mail.docx", "A 12306-2022")</f>
        <v/>
      </c>
      <c r="X103">
        <f>HYPERLINK("https://klasma.github.io/Logging_0482/tillsyn/A 12306-2022 tillsynsbegäran.docx", "A 12306-2022")</f>
        <v/>
      </c>
      <c r="Y103">
        <f>HYPERLINK("https://klasma.github.io/Logging_0482/tillsynsmail/A 12306-2022 tillsynsbegäran mail.docx", "A 12306-2022")</f>
        <v/>
      </c>
      <c r="Z103">
        <f>HYPERLINK("https://klasma.github.io/Logging_0482/fåglar/A 12306-2022 prioriterade fågelarter.docx", "A 12306-2022")</f>
        <v/>
      </c>
    </row>
    <row r="104" ht="15" customHeight="1">
      <c r="A104" t="inlineStr">
        <is>
          <t>A 12371-2022</t>
        </is>
      </c>
      <c r="B104" s="1" t="n">
        <v>44637</v>
      </c>
      <c r="C104" s="1" t="n">
        <v>45844</v>
      </c>
      <c r="D104" t="inlineStr">
        <is>
          <t>SÖDERMANLANDS LÄN</t>
        </is>
      </c>
      <c r="E104" t="inlineStr">
        <is>
          <t>FLEN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12371-2022 artfynd.xlsx", "A 12371-2022")</f>
        <v/>
      </c>
      <c r="T104">
        <f>HYPERLINK("https://klasma.github.io/Logging_0482/kartor/A 12371-2022 karta.png", "A 12371-2022")</f>
        <v/>
      </c>
      <c r="V104">
        <f>HYPERLINK("https://klasma.github.io/Logging_0482/klagomål/A 12371-2022 FSC-klagomål.docx", "A 12371-2022")</f>
        <v/>
      </c>
      <c r="W104">
        <f>HYPERLINK("https://klasma.github.io/Logging_0482/klagomålsmail/A 12371-2022 FSC-klagomål mail.docx", "A 12371-2022")</f>
        <v/>
      </c>
      <c r="X104">
        <f>HYPERLINK("https://klasma.github.io/Logging_0482/tillsyn/A 12371-2022 tillsynsbegäran.docx", "A 12371-2022")</f>
        <v/>
      </c>
      <c r="Y104">
        <f>HYPERLINK("https://klasma.github.io/Logging_0482/tillsynsmail/A 12371-2022 tillsynsbegäran mail.docx", "A 12371-2022")</f>
        <v/>
      </c>
    </row>
    <row r="105" ht="15" customHeight="1">
      <c r="A105" t="inlineStr">
        <is>
          <t>A 26245-2022</t>
        </is>
      </c>
      <c r="B105" s="1" t="n">
        <v>44735</v>
      </c>
      <c r="C105" s="1" t="n">
        <v>45844</v>
      </c>
      <c r="D105" t="inlineStr">
        <is>
          <t>SÖDERMANLANDS LÄN</t>
        </is>
      </c>
      <c r="E105" t="inlineStr">
        <is>
          <t>FLEN</t>
        </is>
      </c>
      <c r="G105" t="n">
        <v>2.9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Blanksvart trämyra</t>
        </is>
      </c>
      <c r="S105">
        <f>HYPERLINK("https://klasma.github.io/Logging_0482/artfynd/A 26245-2022 artfynd.xlsx", "A 26245-2022")</f>
        <v/>
      </c>
      <c r="T105">
        <f>HYPERLINK("https://klasma.github.io/Logging_0482/kartor/A 26245-2022 karta.png", "A 26245-2022")</f>
        <v/>
      </c>
      <c r="V105">
        <f>HYPERLINK("https://klasma.github.io/Logging_0482/klagomål/A 26245-2022 FSC-klagomål.docx", "A 26245-2022")</f>
        <v/>
      </c>
      <c r="W105">
        <f>HYPERLINK("https://klasma.github.io/Logging_0482/klagomålsmail/A 26245-2022 FSC-klagomål mail.docx", "A 26245-2022")</f>
        <v/>
      </c>
      <c r="X105">
        <f>HYPERLINK("https://klasma.github.io/Logging_0482/tillsyn/A 26245-2022 tillsynsbegäran.docx", "A 26245-2022")</f>
        <v/>
      </c>
      <c r="Y105">
        <f>HYPERLINK("https://klasma.github.io/Logging_0482/tillsynsmail/A 26245-2022 tillsynsbegäran mail.docx", "A 26245-2022")</f>
        <v/>
      </c>
    </row>
    <row r="106" ht="15" customHeight="1">
      <c r="A106" t="inlineStr">
        <is>
          <t>A 34498-2022</t>
        </is>
      </c>
      <c r="B106" s="1" t="n">
        <v>44792</v>
      </c>
      <c r="C106" s="1" t="n">
        <v>45844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34498-2022 artfynd.xlsx", "A 34498-2022")</f>
        <v/>
      </c>
      <c r="T106">
        <f>HYPERLINK("https://klasma.github.io/Logging_0482/kartor/A 34498-2022 karta.png", "A 34498-2022")</f>
        <v/>
      </c>
      <c r="V106">
        <f>HYPERLINK("https://klasma.github.io/Logging_0482/klagomål/A 34498-2022 FSC-klagomål.docx", "A 34498-2022")</f>
        <v/>
      </c>
      <c r="W106">
        <f>HYPERLINK("https://klasma.github.io/Logging_0482/klagomålsmail/A 34498-2022 FSC-klagomål mail.docx", "A 34498-2022")</f>
        <v/>
      </c>
      <c r="X106">
        <f>HYPERLINK("https://klasma.github.io/Logging_0482/tillsyn/A 34498-2022 tillsynsbegäran.docx", "A 34498-2022")</f>
        <v/>
      </c>
      <c r="Y106">
        <f>HYPERLINK("https://klasma.github.io/Logging_0482/tillsynsmail/A 34498-2022 tillsynsbegäran mail.docx", "A 34498-2022")</f>
        <v/>
      </c>
    </row>
    <row r="107" ht="15" customHeight="1">
      <c r="A107" t="inlineStr">
        <is>
          <t>A 35278-2022</t>
        </is>
      </c>
      <c r="B107" s="1" t="n">
        <v>44798</v>
      </c>
      <c r="C107" s="1" t="n">
        <v>45844</v>
      </c>
      <c r="D107" t="inlineStr">
        <is>
          <t>SÖDERMANLANDS LÄN</t>
        </is>
      </c>
      <c r="E107" t="inlineStr">
        <is>
          <t>FLEN</t>
        </is>
      </c>
      <c r="G107" t="n">
        <v>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HYPERLINK("https://klasma.github.io/Logging_0482/artfynd/A 35278-2022 artfynd.xlsx", "A 35278-2022")</f>
        <v/>
      </c>
      <c r="T107">
        <f>HYPERLINK("https://klasma.github.io/Logging_0482/kartor/A 35278-2022 karta.png", "A 35278-2022")</f>
        <v/>
      </c>
      <c r="V107">
        <f>HYPERLINK("https://klasma.github.io/Logging_0482/klagomål/A 35278-2022 FSC-klagomål.docx", "A 35278-2022")</f>
        <v/>
      </c>
      <c r="W107">
        <f>HYPERLINK("https://klasma.github.io/Logging_0482/klagomålsmail/A 35278-2022 FSC-klagomål mail.docx", "A 35278-2022")</f>
        <v/>
      </c>
      <c r="X107">
        <f>HYPERLINK("https://klasma.github.io/Logging_0482/tillsyn/A 35278-2022 tillsynsbegäran.docx", "A 35278-2022")</f>
        <v/>
      </c>
      <c r="Y107">
        <f>HYPERLINK("https://klasma.github.io/Logging_0482/tillsynsmail/A 35278-2022 tillsynsbegäran mail.docx", "A 35278-2022")</f>
        <v/>
      </c>
    </row>
    <row r="108" ht="15" customHeight="1">
      <c r="A108" t="inlineStr">
        <is>
          <t>A 44563-2022</t>
        </is>
      </c>
      <c r="B108" s="1" t="n">
        <v>44838</v>
      </c>
      <c r="C108" s="1" t="n">
        <v>45844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44563-2022 artfynd.xlsx", "A 44563-2022")</f>
        <v/>
      </c>
      <c r="T108">
        <f>HYPERLINK("https://klasma.github.io/Logging_0482/kartor/A 44563-2022 karta.png", "A 44563-2022")</f>
        <v/>
      </c>
      <c r="V108">
        <f>HYPERLINK("https://klasma.github.io/Logging_0482/klagomål/A 44563-2022 FSC-klagomål.docx", "A 44563-2022")</f>
        <v/>
      </c>
      <c r="W108">
        <f>HYPERLINK("https://klasma.github.io/Logging_0482/klagomålsmail/A 44563-2022 FSC-klagomål mail.docx", "A 44563-2022")</f>
        <v/>
      </c>
      <c r="X108">
        <f>HYPERLINK("https://klasma.github.io/Logging_0482/tillsyn/A 44563-2022 tillsynsbegäran.docx", "A 44563-2022")</f>
        <v/>
      </c>
      <c r="Y108">
        <f>HYPERLINK("https://klasma.github.io/Logging_0482/tillsynsmail/A 44563-2022 tillsynsbegäran mail.docx", "A 44563-2022")</f>
        <v/>
      </c>
    </row>
    <row r="109" ht="15" customHeight="1">
      <c r="A109" t="inlineStr">
        <is>
          <t>A 47756-2022</t>
        </is>
      </c>
      <c r="B109" s="1" t="n">
        <v>44854</v>
      </c>
      <c r="C109" s="1" t="n">
        <v>45844</v>
      </c>
      <c r="D109" t="inlineStr">
        <is>
          <t>SÖDERMANLANDS LÄN</t>
        </is>
      </c>
      <c r="E109" t="inlineStr">
        <is>
          <t>FLEN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47756-2022 artfynd.xlsx", "A 47756-2022")</f>
        <v/>
      </c>
      <c r="T109">
        <f>HYPERLINK("https://klasma.github.io/Logging_0482/kartor/A 47756-2022 karta.png", "A 47756-2022")</f>
        <v/>
      </c>
      <c r="V109">
        <f>HYPERLINK("https://klasma.github.io/Logging_0482/klagomål/A 47756-2022 FSC-klagomål.docx", "A 47756-2022")</f>
        <v/>
      </c>
      <c r="W109">
        <f>HYPERLINK("https://klasma.github.io/Logging_0482/klagomålsmail/A 47756-2022 FSC-klagomål mail.docx", "A 47756-2022")</f>
        <v/>
      </c>
      <c r="X109">
        <f>HYPERLINK("https://klasma.github.io/Logging_0482/tillsyn/A 47756-2022 tillsynsbegäran.docx", "A 47756-2022")</f>
        <v/>
      </c>
      <c r="Y109">
        <f>HYPERLINK("https://klasma.github.io/Logging_0482/tillsynsmail/A 47756-2022 tillsynsbegäran mail.docx", "A 47756-2022")</f>
        <v/>
      </c>
    </row>
    <row r="110" ht="15" customHeight="1">
      <c r="A110" t="inlineStr">
        <is>
          <t>A 50202-2022</t>
        </is>
      </c>
      <c r="B110" s="1" t="n">
        <v>44865</v>
      </c>
      <c r="C110" s="1" t="n">
        <v>45844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HYPERLINK("https://klasma.github.io/Logging_0482/artfynd/A 50202-2022 artfynd.xlsx", "A 50202-2022")</f>
        <v/>
      </c>
      <c r="T110">
        <f>HYPERLINK("https://klasma.github.io/Logging_0482/kartor/A 50202-2022 karta.png", "A 50202-2022")</f>
        <v/>
      </c>
      <c r="V110">
        <f>HYPERLINK("https://klasma.github.io/Logging_0482/klagomål/A 50202-2022 FSC-klagomål.docx", "A 50202-2022")</f>
        <v/>
      </c>
      <c r="W110">
        <f>HYPERLINK("https://klasma.github.io/Logging_0482/klagomålsmail/A 50202-2022 FSC-klagomål mail.docx", "A 50202-2022")</f>
        <v/>
      </c>
      <c r="X110">
        <f>HYPERLINK("https://klasma.github.io/Logging_0482/tillsyn/A 50202-2022 tillsynsbegäran.docx", "A 50202-2022")</f>
        <v/>
      </c>
      <c r="Y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59607-2022</t>
        </is>
      </c>
      <c r="B111" s="1" t="n">
        <v>44907</v>
      </c>
      <c r="C111" s="1" t="n">
        <v>45844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59607-2022 artfynd.xlsx", "A 59607-2022")</f>
        <v/>
      </c>
      <c r="T111">
        <f>HYPERLINK("https://klasma.github.io/Logging_0482/kartor/A 59607-2022 karta.png", "A 59607-2022")</f>
        <v/>
      </c>
      <c r="V111">
        <f>HYPERLINK("https://klasma.github.io/Logging_0482/klagomål/A 59607-2022 FSC-klagomål.docx", "A 59607-2022")</f>
        <v/>
      </c>
      <c r="W111">
        <f>HYPERLINK("https://klasma.github.io/Logging_0482/klagomålsmail/A 59607-2022 FSC-klagomål mail.docx", "A 59607-2022")</f>
        <v/>
      </c>
      <c r="X111">
        <f>HYPERLINK("https://klasma.github.io/Logging_0482/tillsyn/A 59607-2022 tillsynsbegäran.docx", "A 59607-2022")</f>
        <v/>
      </c>
      <c r="Y111">
        <f>HYPERLINK("https://klasma.github.io/Logging_0482/tillsynsmail/A 59607-2022 tillsynsbegäran mail.docx", "A 59607-2022")</f>
        <v/>
      </c>
    </row>
    <row r="112" ht="15" customHeight="1">
      <c r="A112" t="inlineStr">
        <is>
          <t>A 60591-2022</t>
        </is>
      </c>
      <c r="B112" s="1" t="n">
        <v>44911</v>
      </c>
      <c r="C112" s="1" t="n">
        <v>45844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HYPERLINK("https://klasma.github.io/Logging_0482/artfynd/A 60591-2022 artfynd.xlsx", "A 60591-2022")</f>
        <v/>
      </c>
      <c r="T112">
        <f>HYPERLINK("https://klasma.github.io/Logging_0482/kartor/A 60591-2022 karta.png", "A 60591-2022")</f>
        <v/>
      </c>
      <c r="V112">
        <f>HYPERLINK("https://klasma.github.io/Logging_0482/klagomål/A 60591-2022 FSC-klagomål.docx", "A 60591-2022")</f>
        <v/>
      </c>
      <c r="W112">
        <f>HYPERLINK("https://klasma.github.io/Logging_0482/klagomålsmail/A 60591-2022 FSC-klagomål mail.docx", "A 60591-2022")</f>
        <v/>
      </c>
      <c r="X112">
        <f>HYPERLINK("https://klasma.github.io/Logging_0482/tillsyn/A 60591-2022 tillsynsbegäran.docx", "A 60591-2022")</f>
        <v/>
      </c>
      <c r="Y112">
        <f>HYPERLINK("https://klasma.github.io/Logging_0482/tillsynsmail/A 60591-2022 tillsynsbegäran mail.docx", "A 60591-2022")</f>
        <v/>
      </c>
    </row>
    <row r="113" ht="15" customHeight="1">
      <c r="A113" t="inlineStr">
        <is>
          <t>A 61870-2022</t>
        </is>
      </c>
      <c r="B113" s="1" t="n">
        <v>44917</v>
      </c>
      <c r="C113" s="1" t="n">
        <v>45844</v>
      </c>
      <c r="D113" t="inlineStr">
        <is>
          <t>SÖDERMANLANDS LÄN</t>
        </is>
      </c>
      <c r="E113" t="inlineStr">
        <is>
          <t>FLEN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61870-2022 artfynd.xlsx", "A 61870-2022")</f>
        <v/>
      </c>
      <c r="T113">
        <f>HYPERLINK("https://klasma.github.io/Logging_0482/kartor/A 61870-2022 karta.png", "A 61870-2022")</f>
        <v/>
      </c>
      <c r="V113">
        <f>HYPERLINK("https://klasma.github.io/Logging_0482/klagomål/A 61870-2022 FSC-klagomål.docx", "A 61870-2022")</f>
        <v/>
      </c>
      <c r="W113">
        <f>HYPERLINK("https://klasma.github.io/Logging_0482/klagomålsmail/A 61870-2022 FSC-klagomål mail.docx", "A 61870-2022")</f>
        <v/>
      </c>
      <c r="X113">
        <f>HYPERLINK("https://klasma.github.io/Logging_0482/tillsyn/A 61870-2022 tillsynsbegäran.docx", "A 61870-2022")</f>
        <v/>
      </c>
      <c r="Y113">
        <f>HYPERLINK("https://klasma.github.io/Logging_0482/tillsynsmail/A 61870-2022 tillsynsbegäran mail.docx", "A 61870-2022")</f>
        <v/>
      </c>
    </row>
    <row r="114" ht="15" customHeight="1">
      <c r="A114" t="inlineStr">
        <is>
          <t>A 882-2023</t>
        </is>
      </c>
      <c r="B114" s="1" t="n">
        <v>44931</v>
      </c>
      <c r="C114" s="1" t="n">
        <v>45844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Aspvedgnagare</t>
        </is>
      </c>
      <c r="S114">
        <f>HYPERLINK("https://klasma.github.io/Logging_0482/artfynd/A 882-2023 artfynd.xlsx", "A 882-2023")</f>
        <v/>
      </c>
      <c r="T114">
        <f>HYPERLINK("https://klasma.github.io/Logging_0482/kartor/A 882-2023 karta.png", "A 882-2023")</f>
        <v/>
      </c>
      <c r="V114">
        <f>HYPERLINK("https://klasma.github.io/Logging_0482/klagomål/A 882-2023 FSC-klagomål.docx", "A 882-2023")</f>
        <v/>
      </c>
      <c r="W114">
        <f>HYPERLINK("https://klasma.github.io/Logging_0482/klagomålsmail/A 882-2023 FSC-klagomål mail.docx", "A 882-2023")</f>
        <v/>
      </c>
      <c r="X114">
        <f>HYPERLINK("https://klasma.github.io/Logging_0482/tillsyn/A 882-2023 tillsynsbegäran.docx", "A 882-2023")</f>
        <v/>
      </c>
      <c r="Y114">
        <f>HYPERLINK("https://klasma.github.io/Logging_0482/tillsynsmail/A 882-2023 tillsynsbegäran mail.docx", "A 882-2023")</f>
        <v/>
      </c>
    </row>
    <row r="115" ht="15" customHeight="1">
      <c r="A115" t="inlineStr">
        <is>
          <t>A 4699-2023</t>
        </is>
      </c>
      <c r="B115" s="1" t="n">
        <v>44957</v>
      </c>
      <c r="C115" s="1" t="n">
        <v>45844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Gullviva</t>
        </is>
      </c>
      <c r="S115">
        <f>HYPERLINK("https://klasma.github.io/Logging_0482/artfynd/A 4699-2023 artfynd.xlsx", "A 4699-2023")</f>
        <v/>
      </c>
      <c r="T115">
        <f>HYPERLINK("https://klasma.github.io/Logging_0482/kartor/A 4699-2023 karta.png", "A 4699-2023")</f>
        <v/>
      </c>
      <c r="V115">
        <f>HYPERLINK("https://klasma.github.io/Logging_0482/klagomål/A 4699-2023 FSC-klagomål.docx", "A 4699-2023")</f>
        <v/>
      </c>
      <c r="W115">
        <f>HYPERLINK("https://klasma.github.io/Logging_0482/klagomålsmail/A 4699-2023 FSC-klagomål mail.docx", "A 4699-2023")</f>
        <v/>
      </c>
      <c r="X115">
        <f>HYPERLINK("https://klasma.github.io/Logging_0482/tillsyn/A 4699-2023 tillsynsbegäran.docx", "A 4699-2023")</f>
        <v/>
      </c>
      <c r="Y115">
        <f>HYPERLINK("https://klasma.github.io/Logging_0482/tillsynsmail/A 4699-2023 tillsynsbegäran mail.docx", "A 4699-2023")</f>
        <v/>
      </c>
    </row>
    <row r="116" ht="15" customHeight="1">
      <c r="A116" t="inlineStr">
        <is>
          <t>A 7506-2023</t>
        </is>
      </c>
      <c r="B116" s="1" t="n">
        <v>44971</v>
      </c>
      <c r="C116" s="1" t="n">
        <v>45844</v>
      </c>
      <c r="D116" t="inlineStr">
        <is>
          <t>SÖDERMANLANDS LÄN</t>
        </is>
      </c>
      <c r="E116" t="inlineStr">
        <is>
          <t>FLEN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7506-2023 artfynd.xlsx", "A 7506-2023")</f>
        <v/>
      </c>
      <c r="T116">
        <f>HYPERLINK("https://klasma.github.io/Logging_0482/kartor/A 7506-2023 karta.png", "A 7506-2023")</f>
        <v/>
      </c>
      <c r="V116">
        <f>HYPERLINK("https://klasma.github.io/Logging_0482/klagomål/A 7506-2023 FSC-klagomål.docx", "A 7506-2023")</f>
        <v/>
      </c>
      <c r="W116">
        <f>HYPERLINK("https://klasma.github.io/Logging_0482/klagomålsmail/A 7506-2023 FSC-klagomål mail.docx", "A 7506-2023")</f>
        <v/>
      </c>
      <c r="X116">
        <f>HYPERLINK("https://klasma.github.io/Logging_0482/tillsyn/A 7506-2023 tillsynsbegäran.docx", "A 7506-2023")</f>
        <v/>
      </c>
      <c r="Y116">
        <f>HYPERLINK("https://klasma.github.io/Logging_0482/tillsynsmail/A 7506-2023 tillsynsbegäran mail.docx", "A 7506-2023")</f>
        <v/>
      </c>
    </row>
    <row r="117" ht="15" customHeight="1">
      <c r="A117" t="inlineStr">
        <is>
          <t>A 13858-2023</t>
        </is>
      </c>
      <c r="B117" s="1" t="n">
        <v>45007</v>
      </c>
      <c r="C117" s="1" t="n">
        <v>45844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HYPERLINK("https://klasma.github.io/Logging_0482/artfynd/A 13858-2023 artfynd.xlsx", "A 13858-2023")</f>
        <v/>
      </c>
      <c r="T117">
        <f>HYPERLINK("https://klasma.github.io/Logging_0482/kartor/A 13858-2023 karta.png", "A 13858-2023")</f>
        <v/>
      </c>
      <c r="V117">
        <f>HYPERLINK("https://klasma.github.io/Logging_0482/klagomål/A 13858-2023 FSC-klagomål.docx", "A 13858-2023")</f>
        <v/>
      </c>
      <c r="W117">
        <f>HYPERLINK("https://klasma.github.io/Logging_0482/klagomålsmail/A 13858-2023 FSC-klagomål mail.docx", "A 13858-2023")</f>
        <v/>
      </c>
      <c r="X117">
        <f>HYPERLINK("https://klasma.github.io/Logging_0482/tillsyn/A 13858-2023 tillsynsbegäran.docx", "A 13858-2023")</f>
        <v/>
      </c>
      <c r="Y117">
        <f>HYPERLINK("https://klasma.github.io/Logging_0482/tillsynsmail/A 13858-2023 tillsynsbegäran mail.docx", "A 13858-2023")</f>
        <v/>
      </c>
    </row>
    <row r="118" ht="15" customHeight="1">
      <c r="A118" t="inlineStr">
        <is>
          <t>A 30584-2023</t>
        </is>
      </c>
      <c r="B118" s="1" t="n">
        <v>45112</v>
      </c>
      <c r="C118" s="1" t="n">
        <v>45844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HYPERLINK("https://klasma.github.io/Logging_0482/artfynd/A 30584-2023 artfynd.xlsx", "A 30584-2023")</f>
        <v/>
      </c>
      <c r="T118">
        <f>HYPERLINK("https://klasma.github.io/Logging_0482/kartor/A 30584-2023 karta.png", "A 30584-2023")</f>
        <v/>
      </c>
      <c r="V118">
        <f>HYPERLINK("https://klasma.github.io/Logging_0482/klagomål/A 30584-2023 FSC-klagomål.docx", "A 30584-2023")</f>
        <v/>
      </c>
      <c r="W118">
        <f>HYPERLINK("https://klasma.github.io/Logging_0482/klagomålsmail/A 30584-2023 FSC-klagomål mail.docx", "A 30584-2023")</f>
        <v/>
      </c>
      <c r="X118">
        <f>HYPERLINK("https://klasma.github.io/Logging_0482/tillsyn/A 30584-2023 tillsynsbegäran.docx", "A 30584-2023")</f>
        <v/>
      </c>
      <c r="Y118">
        <f>HYPERLINK("https://klasma.github.io/Logging_0482/tillsynsmail/A 30584-2023 tillsynsbegäran mail.docx", "A 30584-2023")</f>
        <v/>
      </c>
      <c r="Z118">
        <f>HYPERLINK("https://klasma.github.io/Logging_0482/fåglar/A 30584-2023 prioriterade fågelarter.docx", "A 30584-2023")</f>
        <v/>
      </c>
    </row>
    <row r="119" ht="15" customHeight="1">
      <c r="A119" t="inlineStr">
        <is>
          <t>A 37025-2023</t>
        </is>
      </c>
      <c r="B119" s="1" t="n">
        <v>45155</v>
      </c>
      <c r="C119" s="1" t="n">
        <v>45844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24.1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HYPERLINK("https://klasma.github.io/Logging_0482/artfynd/A 37025-2023 artfynd.xlsx", "A 37025-2023")</f>
        <v/>
      </c>
      <c r="T119">
        <f>HYPERLINK("https://klasma.github.io/Logging_0482/kartor/A 37025-2023 karta.png", "A 37025-2023")</f>
        <v/>
      </c>
      <c r="V119">
        <f>HYPERLINK("https://klasma.github.io/Logging_0482/klagomål/A 37025-2023 FSC-klagomål.docx", "A 37025-2023")</f>
        <v/>
      </c>
      <c r="W119">
        <f>HYPERLINK("https://klasma.github.io/Logging_0482/klagomålsmail/A 37025-2023 FSC-klagomål mail.docx", "A 37025-2023")</f>
        <v/>
      </c>
      <c r="X119">
        <f>HYPERLINK("https://klasma.github.io/Logging_0482/tillsyn/A 37025-2023 tillsynsbegäran.docx", "A 37025-2023")</f>
        <v/>
      </c>
      <c r="Y119">
        <f>HYPERLINK("https://klasma.github.io/Logging_0482/tillsynsmail/A 37025-2023 tillsynsbegäran mail.docx", "A 37025-2023")</f>
        <v/>
      </c>
      <c r="Z119">
        <f>HYPERLINK("https://klasma.github.io/Logging_0482/fåglar/A 37025-2023 prioriterade fågelarter.docx", "A 37025-2023")</f>
        <v/>
      </c>
    </row>
    <row r="120" ht="15" customHeight="1">
      <c r="A120" t="inlineStr">
        <is>
          <t>A 37317-2023</t>
        </is>
      </c>
      <c r="B120" s="1" t="n">
        <v>45156</v>
      </c>
      <c r="C120" s="1" t="n">
        <v>45844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HYPERLINK("https://klasma.github.io/Logging_0482/artfynd/A 37317-2023 artfynd.xlsx", "A 37317-2023")</f>
        <v/>
      </c>
      <c r="T120">
        <f>HYPERLINK("https://klasma.github.io/Logging_0482/kartor/A 37317-2023 karta.png", "A 37317-2023")</f>
        <v/>
      </c>
      <c r="V120">
        <f>HYPERLINK("https://klasma.github.io/Logging_0482/klagomål/A 37317-2023 FSC-klagomål.docx", "A 37317-2023")</f>
        <v/>
      </c>
      <c r="W120">
        <f>HYPERLINK("https://klasma.github.io/Logging_0482/klagomålsmail/A 37317-2023 FSC-klagomål mail.docx", "A 37317-2023")</f>
        <v/>
      </c>
      <c r="X120">
        <f>HYPERLINK("https://klasma.github.io/Logging_0482/tillsyn/A 37317-2023 tillsynsbegäran.docx", "A 37317-2023")</f>
        <v/>
      </c>
      <c r="Y120">
        <f>HYPERLINK("https://klasma.github.io/Logging_0482/tillsynsmail/A 37317-2023 tillsynsbegäran mail.docx", "A 37317-2023")</f>
        <v/>
      </c>
    </row>
    <row r="121" ht="15" customHeight="1">
      <c r="A121" t="inlineStr">
        <is>
          <t>A 39590-2023</t>
        </is>
      </c>
      <c r="B121" s="1" t="n">
        <v>45163</v>
      </c>
      <c r="C121" s="1" t="n">
        <v>45844</v>
      </c>
      <c r="D121" t="inlineStr">
        <is>
          <t>SÖDERMANLANDS LÄN</t>
        </is>
      </c>
      <c r="E121" t="inlineStr">
        <is>
          <t>FLEN</t>
        </is>
      </c>
      <c r="G121" t="n">
        <v>9.4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39590-2023 artfynd.xlsx", "A 39590-2023")</f>
        <v/>
      </c>
      <c r="T121">
        <f>HYPERLINK("https://klasma.github.io/Logging_0482/kartor/A 39590-2023 karta.png", "A 39590-2023")</f>
        <v/>
      </c>
      <c r="V121">
        <f>HYPERLINK("https://klasma.github.io/Logging_0482/klagomål/A 39590-2023 FSC-klagomål.docx", "A 39590-2023")</f>
        <v/>
      </c>
      <c r="W121">
        <f>HYPERLINK("https://klasma.github.io/Logging_0482/klagomålsmail/A 39590-2023 FSC-klagomål mail.docx", "A 39590-2023")</f>
        <v/>
      </c>
      <c r="X121">
        <f>HYPERLINK("https://klasma.github.io/Logging_0482/tillsyn/A 39590-2023 tillsynsbegäran.docx", "A 39590-2023")</f>
        <v/>
      </c>
      <c r="Y121">
        <f>HYPERLINK("https://klasma.github.io/Logging_0482/tillsynsmail/A 39590-2023 tillsynsbegäran mail.docx", "A 39590-2023")</f>
        <v/>
      </c>
    </row>
    <row r="122" ht="15" customHeight="1">
      <c r="A122" t="inlineStr">
        <is>
          <t>A 39240-2023</t>
        </is>
      </c>
      <c r="B122" s="1" t="n">
        <v>45166</v>
      </c>
      <c r="C122" s="1" t="n">
        <v>45844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4.6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Blodticka</t>
        </is>
      </c>
      <c r="S122">
        <f>HYPERLINK("https://klasma.github.io/Logging_0482/artfynd/A 39240-2023 artfynd.xlsx", "A 39240-2023")</f>
        <v/>
      </c>
      <c r="T122">
        <f>HYPERLINK("https://klasma.github.io/Logging_0482/kartor/A 39240-2023 karta.png", "A 39240-2023")</f>
        <v/>
      </c>
      <c r="V122">
        <f>HYPERLINK("https://klasma.github.io/Logging_0482/klagomål/A 39240-2023 FSC-klagomål.docx", "A 39240-2023")</f>
        <v/>
      </c>
      <c r="W122">
        <f>HYPERLINK("https://klasma.github.io/Logging_0482/klagomålsmail/A 39240-2023 FSC-klagomål mail.docx", "A 39240-2023")</f>
        <v/>
      </c>
      <c r="X122">
        <f>HYPERLINK("https://klasma.github.io/Logging_0482/tillsyn/A 39240-2023 tillsynsbegäran.docx", "A 39240-2023")</f>
        <v/>
      </c>
      <c r="Y122">
        <f>HYPERLINK("https://klasma.github.io/Logging_0482/tillsynsmail/A 39240-2023 tillsynsbegäran mail.docx", "A 39240-2023")</f>
        <v/>
      </c>
    </row>
    <row r="123" ht="15" customHeight="1">
      <c r="A123" t="inlineStr">
        <is>
          <t>A 44476-2023</t>
        </is>
      </c>
      <c r="B123" s="1" t="n">
        <v>45189</v>
      </c>
      <c r="C123" s="1" t="n">
        <v>45844</v>
      </c>
      <c r="D123" t="inlineStr">
        <is>
          <t>SÖDERMANLANDS LÄN</t>
        </is>
      </c>
      <c r="E123" t="inlineStr">
        <is>
          <t>FLEN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Svedjenäva</t>
        </is>
      </c>
      <c r="S123">
        <f>HYPERLINK("https://klasma.github.io/Logging_0482/artfynd/A 44476-2023 artfynd.xlsx", "A 44476-2023")</f>
        <v/>
      </c>
      <c r="T123">
        <f>HYPERLINK("https://klasma.github.io/Logging_0482/kartor/A 44476-2023 karta.png", "A 44476-2023")</f>
        <v/>
      </c>
      <c r="V123">
        <f>HYPERLINK("https://klasma.github.io/Logging_0482/klagomål/A 44476-2023 FSC-klagomål.docx", "A 44476-2023")</f>
        <v/>
      </c>
      <c r="W123">
        <f>HYPERLINK("https://klasma.github.io/Logging_0482/klagomålsmail/A 44476-2023 FSC-klagomål mail.docx", "A 44476-2023")</f>
        <v/>
      </c>
      <c r="X123">
        <f>HYPERLINK("https://klasma.github.io/Logging_0482/tillsyn/A 44476-2023 tillsynsbegäran.docx", "A 44476-2023")</f>
        <v/>
      </c>
      <c r="Y123">
        <f>HYPERLINK("https://klasma.github.io/Logging_0482/tillsynsmail/A 44476-2023 tillsynsbegäran mail.docx", "A 44476-2023")</f>
        <v/>
      </c>
    </row>
    <row r="124" ht="15" customHeight="1">
      <c r="A124" t="inlineStr">
        <is>
          <t>A 48896-2023</t>
        </is>
      </c>
      <c r="B124" s="1" t="n">
        <v>45209</v>
      </c>
      <c r="C124" s="1" t="n">
        <v>45844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48896-2023 artfynd.xlsx", "A 48896-2023")</f>
        <v/>
      </c>
      <c r="T124">
        <f>HYPERLINK("https://klasma.github.io/Logging_0482/kartor/A 48896-2023 karta.png", "A 48896-2023")</f>
        <v/>
      </c>
      <c r="V124">
        <f>HYPERLINK("https://klasma.github.io/Logging_0482/klagomål/A 48896-2023 FSC-klagomål.docx", "A 48896-2023")</f>
        <v/>
      </c>
      <c r="W124">
        <f>HYPERLINK("https://klasma.github.io/Logging_0482/klagomålsmail/A 48896-2023 FSC-klagomål mail.docx", "A 48896-2023")</f>
        <v/>
      </c>
      <c r="X124">
        <f>HYPERLINK("https://klasma.github.io/Logging_0482/tillsyn/A 48896-2023 tillsynsbegäran.docx", "A 48896-2023")</f>
        <v/>
      </c>
      <c r="Y124">
        <f>HYPERLINK("https://klasma.github.io/Logging_0482/tillsynsmail/A 48896-2023 tillsynsbegäran mail.docx", "A 48896-2023")</f>
        <v/>
      </c>
    </row>
    <row r="125" ht="15" customHeight="1">
      <c r="A125" t="inlineStr">
        <is>
          <t>A 49808-2023</t>
        </is>
      </c>
      <c r="B125" s="1" t="n">
        <v>45212</v>
      </c>
      <c r="C125" s="1" t="n">
        <v>45844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49808-2023 artfynd.xlsx", "A 49808-2023")</f>
        <v/>
      </c>
      <c r="T125">
        <f>HYPERLINK("https://klasma.github.io/Logging_0482/kartor/A 49808-2023 karta.png", "A 49808-2023")</f>
        <v/>
      </c>
      <c r="V125">
        <f>HYPERLINK("https://klasma.github.io/Logging_0482/klagomål/A 49808-2023 FSC-klagomål.docx", "A 49808-2023")</f>
        <v/>
      </c>
      <c r="W125">
        <f>HYPERLINK("https://klasma.github.io/Logging_0482/klagomålsmail/A 49808-2023 FSC-klagomål mail.docx", "A 49808-2023")</f>
        <v/>
      </c>
      <c r="X125">
        <f>HYPERLINK("https://klasma.github.io/Logging_0482/tillsyn/A 49808-2023 tillsynsbegäran.docx", "A 49808-2023")</f>
        <v/>
      </c>
      <c r="Y125">
        <f>HYPERLINK("https://klasma.github.io/Logging_0482/tillsynsmail/A 49808-2023 tillsynsbegäran mail.docx", "A 49808-2023")</f>
        <v/>
      </c>
    </row>
    <row r="126" ht="15" customHeight="1">
      <c r="A126" t="inlineStr">
        <is>
          <t>A 53339-2023</t>
        </is>
      </c>
      <c r="B126" s="1" t="n">
        <v>45222</v>
      </c>
      <c r="C126" s="1" t="n">
        <v>45844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53339-2023 artfynd.xlsx", "A 53339-2023")</f>
        <v/>
      </c>
      <c r="T126">
        <f>HYPERLINK("https://klasma.github.io/Logging_0482/kartor/A 53339-2023 karta.png", "A 53339-2023")</f>
        <v/>
      </c>
      <c r="V126">
        <f>HYPERLINK("https://klasma.github.io/Logging_0482/klagomål/A 53339-2023 FSC-klagomål.docx", "A 53339-2023")</f>
        <v/>
      </c>
      <c r="W126">
        <f>HYPERLINK("https://klasma.github.io/Logging_0482/klagomålsmail/A 53339-2023 FSC-klagomål mail.docx", "A 53339-2023")</f>
        <v/>
      </c>
      <c r="X126">
        <f>HYPERLINK("https://klasma.github.io/Logging_0482/tillsyn/A 53339-2023 tillsynsbegäran.docx", "A 53339-2023")</f>
        <v/>
      </c>
      <c r="Y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4154-2024</t>
        </is>
      </c>
      <c r="B127" s="1" t="n">
        <v>45323</v>
      </c>
      <c r="C127" s="1" t="n">
        <v>45844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4154-2024 artfynd.xlsx", "A 4154-2024")</f>
        <v/>
      </c>
      <c r="T127">
        <f>HYPERLINK("https://klasma.github.io/Logging_0482/kartor/A 4154-2024 karta.png", "A 4154-2024")</f>
        <v/>
      </c>
      <c r="V127">
        <f>HYPERLINK("https://klasma.github.io/Logging_0482/klagomål/A 4154-2024 FSC-klagomål.docx", "A 4154-2024")</f>
        <v/>
      </c>
      <c r="W127">
        <f>HYPERLINK("https://klasma.github.io/Logging_0482/klagomålsmail/A 4154-2024 FSC-klagomål mail.docx", "A 4154-2024")</f>
        <v/>
      </c>
      <c r="X127">
        <f>HYPERLINK("https://klasma.github.io/Logging_0482/tillsyn/A 4154-2024 tillsynsbegäran.docx", "A 4154-2024")</f>
        <v/>
      </c>
      <c r="Y127">
        <f>HYPERLINK("https://klasma.github.io/Logging_0482/tillsynsmail/A 4154-2024 tillsynsbegäran mail.docx", "A 4154-2024")</f>
        <v/>
      </c>
    </row>
    <row r="128" ht="15" customHeight="1">
      <c r="A128" t="inlineStr">
        <is>
          <t>A 7525-2024</t>
        </is>
      </c>
      <c r="B128" s="1" t="n">
        <v>45348</v>
      </c>
      <c r="C128" s="1" t="n">
        <v>45844</v>
      </c>
      <c r="D128" t="inlineStr">
        <is>
          <t>SÖDERMANLANDS LÄN</t>
        </is>
      </c>
      <c r="E128" t="inlineStr">
        <is>
          <t>FLEN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Vanlig backsmörblomma</t>
        </is>
      </c>
      <c r="S128">
        <f>HYPERLINK("https://klasma.github.io/Logging_0482/artfynd/A 7525-2024 artfynd.xlsx", "A 7525-2024")</f>
        <v/>
      </c>
      <c r="T128">
        <f>HYPERLINK("https://klasma.github.io/Logging_0482/kartor/A 7525-2024 karta.png", "A 7525-2024")</f>
        <v/>
      </c>
      <c r="V128">
        <f>HYPERLINK("https://klasma.github.io/Logging_0482/klagomål/A 7525-2024 FSC-klagomål.docx", "A 7525-2024")</f>
        <v/>
      </c>
      <c r="W128">
        <f>HYPERLINK("https://klasma.github.io/Logging_0482/klagomålsmail/A 7525-2024 FSC-klagomål mail.docx", "A 7525-2024")</f>
        <v/>
      </c>
      <c r="X128">
        <f>HYPERLINK("https://klasma.github.io/Logging_0482/tillsyn/A 7525-2024 tillsynsbegäran.docx", "A 7525-2024")</f>
        <v/>
      </c>
      <c r="Y128">
        <f>HYPERLINK("https://klasma.github.io/Logging_0482/tillsynsmail/A 7525-2024 tillsynsbegäran mail.docx", "A 7525-2024")</f>
        <v/>
      </c>
    </row>
    <row r="129" ht="15" customHeight="1">
      <c r="A129" t="inlineStr">
        <is>
          <t>A 7973-2024</t>
        </is>
      </c>
      <c r="B129" s="1" t="n">
        <v>45350</v>
      </c>
      <c r="C129" s="1" t="n">
        <v>45844</v>
      </c>
      <c r="D129" t="inlineStr">
        <is>
          <t>SÖDERMANLANDS LÄN</t>
        </is>
      </c>
      <c r="E129" t="inlineStr">
        <is>
          <t>FLEN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Vippärt</t>
        </is>
      </c>
      <c r="S129">
        <f>HYPERLINK("https://klasma.github.io/Logging_0482/artfynd/A 7973-2024 artfynd.xlsx", "A 7973-2024")</f>
        <v/>
      </c>
      <c r="T129">
        <f>HYPERLINK("https://klasma.github.io/Logging_0482/kartor/A 7973-2024 karta.png", "A 7973-2024")</f>
        <v/>
      </c>
      <c r="V129">
        <f>HYPERLINK("https://klasma.github.io/Logging_0482/klagomål/A 7973-2024 FSC-klagomål.docx", "A 7973-2024")</f>
        <v/>
      </c>
      <c r="W129">
        <f>HYPERLINK("https://klasma.github.io/Logging_0482/klagomålsmail/A 7973-2024 FSC-klagomål mail.docx", "A 7973-2024")</f>
        <v/>
      </c>
      <c r="X129">
        <f>HYPERLINK("https://klasma.github.io/Logging_0482/tillsyn/A 7973-2024 tillsynsbegäran.docx", "A 7973-2024")</f>
        <v/>
      </c>
      <c r="Y129">
        <f>HYPERLINK("https://klasma.github.io/Logging_0482/tillsynsmail/A 7973-2024 tillsynsbegäran mail.docx", "A 7973-2024")</f>
        <v/>
      </c>
    </row>
    <row r="130" ht="15" customHeight="1">
      <c r="A130" t="inlineStr">
        <is>
          <t>A 12056-2024</t>
        </is>
      </c>
      <c r="B130" s="1" t="n">
        <v>45377</v>
      </c>
      <c r="C130" s="1" t="n">
        <v>45844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HYPERLINK("https://klasma.github.io/Logging_0482/artfynd/A 12056-2024 artfynd.xlsx", "A 12056-2024")</f>
        <v/>
      </c>
      <c r="T130">
        <f>HYPERLINK("https://klasma.github.io/Logging_0482/kartor/A 12056-2024 karta.png", "A 12056-2024")</f>
        <v/>
      </c>
      <c r="V130">
        <f>HYPERLINK("https://klasma.github.io/Logging_0482/klagomål/A 12056-2024 FSC-klagomål.docx", "A 12056-2024")</f>
        <v/>
      </c>
      <c r="W130">
        <f>HYPERLINK("https://klasma.github.io/Logging_0482/klagomålsmail/A 12056-2024 FSC-klagomål mail.docx", "A 12056-2024")</f>
        <v/>
      </c>
      <c r="X130">
        <f>HYPERLINK("https://klasma.github.io/Logging_0482/tillsyn/A 12056-2024 tillsynsbegäran.docx", "A 12056-2024")</f>
        <v/>
      </c>
      <c r="Y130">
        <f>HYPERLINK("https://klasma.github.io/Logging_0482/tillsynsmail/A 12056-2024 tillsynsbegäran mail.docx", "A 12056-2024")</f>
        <v/>
      </c>
    </row>
    <row r="131" ht="15" customHeight="1">
      <c r="A131" t="inlineStr">
        <is>
          <t>A 14854-2024</t>
        </is>
      </c>
      <c r="B131" s="1" t="n">
        <v>45398</v>
      </c>
      <c r="C131" s="1" t="n">
        <v>45844</v>
      </c>
      <c r="D131" t="inlineStr">
        <is>
          <t>SÖDERMANLANDS LÄN</t>
        </is>
      </c>
      <c r="E131" t="inlineStr">
        <is>
          <t>FLEN</t>
        </is>
      </c>
      <c r="G131" t="n">
        <v>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14854-2024 artfynd.xlsx", "A 14854-2024")</f>
        <v/>
      </c>
      <c r="T131">
        <f>HYPERLINK("https://klasma.github.io/Logging_0482/kartor/A 14854-2024 karta.png", "A 14854-2024")</f>
        <v/>
      </c>
      <c r="V131">
        <f>HYPERLINK("https://klasma.github.io/Logging_0482/klagomål/A 14854-2024 FSC-klagomål.docx", "A 14854-2024")</f>
        <v/>
      </c>
      <c r="W131">
        <f>HYPERLINK("https://klasma.github.io/Logging_0482/klagomålsmail/A 14854-2024 FSC-klagomål mail.docx", "A 14854-2024")</f>
        <v/>
      </c>
      <c r="X131">
        <f>HYPERLINK("https://klasma.github.io/Logging_0482/tillsyn/A 14854-2024 tillsynsbegäran.docx", "A 14854-2024")</f>
        <v/>
      </c>
      <c r="Y131">
        <f>HYPERLINK("https://klasma.github.io/Logging_0482/tillsynsmail/A 14854-2024 tillsynsbegäran mail.docx", "A 14854-2024")</f>
        <v/>
      </c>
    </row>
    <row r="132" ht="15" customHeight="1">
      <c r="A132" t="inlineStr">
        <is>
          <t>A 28779-2024</t>
        </is>
      </c>
      <c r="B132" s="1" t="n">
        <v>45478</v>
      </c>
      <c r="C132" s="1" t="n">
        <v>45844</v>
      </c>
      <c r="D132" t="inlineStr">
        <is>
          <t>SÖDERMANLANDS LÄN</t>
        </is>
      </c>
      <c r="E132" t="inlineStr">
        <is>
          <t>FLEN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28779-2024 artfynd.xlsx", "A 28779-2024")</f>
        <v/>
      </c>
      <c r="T132">
        <f>HYPERLINK("https://klasma.github.io/Logging_0482/kartor/A 28779-2024 karta.png", "A 28779-2024")</f>
        <v/>
      </c>
      <c r="V132">
        <f>HYPERLINK("https://klasma.github.io/Logging_0482/klagomål/A 28779-2024 FSC-klagomål.docx", "A 28779-2024")</f>
        <v/>
      </c>
      <c r="W132">
        <f>HYPERLINK("https://klasma.github.io/Logging_0482/klagomålsmail/A 28779-2024 FSC-klagomål mail.docx", "A 28779-2024")</f>
        <v/>
      </c>
      <c r="X132">
        <f>HYPERLINK("https://klasma.github.io/Logging_0482/tillsyn/A 28779-2024 tillsynsbegäran.docx", "A 28779-2024")</f>
        <v/>
      </c>
      <c r="Y132">
        <f>HYPERLINK("https://klasma.github.io/Logging_0482/tillsynsmail/A 28779-2024 tillsynsbegäran mail.docx", "A 28779-2024")</f>
        <v/>
      </c>
    </row>
    <row r="133" ht="15" customHeight="1">
      <c r="A133" t="inlineStr">
        <is>
          <t>A 33216-2024</t>
        </is>
      </c>
      <c r="B133" s="1" t="n">
        <v>45518</v>
      </c>
      <c r="C133" s="1" t="n">
        <v>45844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HYPERLINK("https://klasma.github.io/Logging_0482/artfynd/A 33216-2024 artfynd.xlsx", "A 33216-2024")</f>
        <v/>
      </c>
      <c r="T133">
        <f>HYPERLINK("https://klasma.github.io/Logging_0482/kartor/A 33216-2024 karta.png", "A 33216-2024")</f>
        <v/>
      </c>
      <c r="V133">
        <f>HYPERLINK("https://klasma.github.io/Logging_0482/klagomål/A 33216-2024 FSC-klagomål.docx", "A 33216-2024")</f>
        <v/>
      </c>
      <c r="W133">
        <f>HYPERLINK("https://klasma.github.io/Logging_0482/klagomålsmail/A 33216-2024 FSC-klagomål mail.docx", "A 33216-2024")</f>
        <v/>
      </c>
      <c r="X133">
        <f>HYPERLINK("https://klasma.github.io/Logging_0482/tillsyn/A 33216-2024 tillsynsbegäran.docx", "A 33216-2024")</f>
        <v/>
      </c>
      <c r="Y133">
        <f>HYPERLINK("https://klasma.github.io/Logging_0482/tillsynsmail/A 33216-2024 tillsynsbegäran mail.docx", "A 33216-2024")</f>
        <v/>
      </c>
    </row>
    <row r="134" ht="15" customHeight="1">
      <c r="A134" t="inlineStr">
        <is>
          <t>A 37282-2024</t>
        </is>
      </c>
      <c r="B134" s="1" t="n">
        <v>45540</v>
      </c>
      <c r="C134" s="1" t="n">
        <v>45844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HYPERLINK("https://klasma.github.io/Logging_0482/artfynd/A 37282-2024 artfynd.xlsx", "A 37282-2024")</f>
        <v/>
      </c>
      <c r="T134">
        <f>HYPERLINK("https://klasma.github.io/Logging_0482/kartor/A 37282-2024 karta.png", "A 37282-2024")</f>
        <v/>
      </c>
      <c r="V134">
        <f>HYPERLINK("https://klasma.github.io/Logging_0482/klagomål/A 37282-2024 FSC-klagomål.docx", "A 37282-2024")</f>
        <v/>
      </c>
      <c r="W134">
        <f>HYPERLINK("https://klasma.github.io/Logging_0482/klagomålsmail/A 37282-2024 FSC-klagomål mail.docx", "A 37282-2024")</f>
        <v/>
      </c>
      <c r="X134">
        <f>HYPERLINK("https://klasma.github.io/Logging_0482/tillsyn/A 37282-2024 tillsynsbegäran.docx", "A 37282-2024")</f>
        <v/>
      </c>
      <c r="Y134">
        <f>HYPERLINK("https://klasma.github.io/Logging_0482/tillsynsmail/A 37282-2024 tillsynsbegäran mail.docx", "A 37282-2024")</f>
        <v/>
      </c>
    </row>
    <row r="135" ht="15" customHeight="1">
      <c r="A135" t="inlineStr">
        <is>
          <t>A 37284-2024</t>
        </is>
      </c>
      <c r="B135" s="1" t="n">
        <v>45540</v>
      </c>
      <c r="C135" s="1" t="n">
        <v>45844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HYPERLINK("https://klasma.github.io/Logging_0482/artfynd/A 37284-2024 artfynd.xlsx", "A 37284-2024")</f>
        <v/>
      </c>
      <c r="T135">
        <f>HYPERLINK("https://klasma.github.io/Logging_0482/kartor/A 37284-2024 karta.png", "A 37284-2024")</f>
        <v/>
      </c>
      <c r="V135">
        <f>HYPERLINK("https://klasma.github.io/Logging_0482/klagomål/A 37284-2024 FSC-klagomål.docx", "A 37284-2024")</f>
        <v/>
      </c>
      <c r="W135">
        <f>HYPERLINK("https://klasma.github.io/Logging_0482/klagomålsmail/A 37284-2024 FSC-klagomål mail.docx", "A 37284-2024")</f>
        <v/>
      </c>
      <c r="X135">
        <f>HYPERLINK("https://klasma.github.io/Logging_0482/tillsyn/A 37284-2024 tillsynsbegäran.docx", "A 37284-2024")</f>
        <v/>
      </c>
      <c r="Y135">
        <f>HYPERLINK("https://klasma.github.io/Logging_0482/tillsynsmail/A 37284-2024 tillsynsbegäran mail.docx", "A 37284-2024")</f>
        <v/>
      </c>
    </row>
    <row r="136" ht="15" customHeight="1">
      <c r="A136" t="inlineStr">
        <is>
          <t>A 40820-2024</t>
        </is>
      </c>
      <c r="B136" s="1" t="n">
        <v>45558</v>
      </c>
      <c r="C136" s="1" t="n">
        <v>45844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40820-2024 artfynd.xlsx", "A 40820-2024")</f>
        <v/>
      </c>
      <c r="T136">
        <f>HYPERLINK("https://klasma.github.io/Logging_0482/kartor/A 40820-2024 karta.png", "A 40820-2024")</f>
        <v/>
      </c>
      <c r="U136">
        <f>HYPERLINK("https://klasma.github.io/Logging_0482/knärot/A 40820-2024 karta knärot.png", "A 40820-2024")</f>
        <v/>
      </c>
      <c r="V136">
        <f>HYPERLINK("https://klasma.github.io/Logging_0482/klagomål/A 40820-2024 FSC-klagomål.docx", "A 40820-2024")</f>
        <v/>
      </c>
      <c r="W136">
        <f>HYPERLINK("https://klasma.github.io/Logging_0482/klagomålsmail/A 40820-2024 FSC-klagomål mail.docx", "A 40820-2024")</f>
        <v/>
      </c>
      <c r="X136">
        <f>HYPERLINK("https://klasma.github.io/Logging_0482/tillsyn/A 40820-2024 tillsynsbegäran.docx", "A 40820-2024")</f>
        <v/>
      </c>
      <c r="Y136">
        <f>HYPERLINK("https://klasma.github.io/Logging_0482/tillsynsmail/A 40820-2024 tillsynsbegäran mail.docx", "A 40820-2024")</f>
        <v/>
      </c>
    </row>
    <row r="137" ht="15" customHeight="1">
      <c r="A137" t="inlineStr">
        <is>
          <t>A 45718-2024</t>
        </is>
      </c>
      <c r="B137" s="1" t="n">
        <v>45579</v>
      </c>
      <c r="C137" s="1" t="n">
        <v>45844</v>
      </c>
      <c r="D137" t="inlineStr">
        <is>
          <t>SÖDERMANLANDS LÄN</t>
        </is>
      </c>
      <c r="E137" t="inlineStr">
        <is>
          <t>FLEN</t>
        </is>
      </c>
      <c r="G137" t="n">
        <v>0.9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45718-2024 artfynd.xlsx", "A 45718-2024")</f>
        <v/>
      </c>
      <c r="T137">
        <f>HYPERLINK("https://klasma.github.io/Logging_0482/kartor/A 45718-2024 karta.png", "A 45718-2024")</f>
        <v/>
      </c>
      <c r="U137">
        <f>HYPERLINK("https://klasma.github.io/Logging_0482/knärot/A 45718-2024 karta knärot.png", "A 45718-2024")</f>
        <v/>
      </c>
      <c r="V137">
        <f>HYPERLINK("https://klasma.github.io/Logging_0482/klagomål/A 45718-2024 FSC-klagomål.docx", "A 45718-2024")</f>
        <v/>
      </c>
      <c r="W137">
        <f>HYPERLINK("https://klasma.github.io/Logging_0482/klagomålsmail/A 45718-2024 FSC-klagomål mail.docx", "A 45718-2024")</f>
        <v/>
      </c>
      <c r="X137">
        <f>HYPERLINK("https://klasma.github.io/Logging_0482/tillsyn/A 45718-2024 tillsynsbegäran.docx", "A 45718-2024")</f>
        <v/>
      </c>
      <c r="Y137">
        <f>HYPERLINK("https://klasma.github.io/Logging_0482/tillsynsmail/A 45718-2024 tillsynsbegäran mail.docx", "A 45718-2024")</f>
        <v/>
      </c>
    </row>
    <row r="138" ht="15" customHeight="1">
      <c r="A138" t="inlineStr">
        <is>
          <t>A 46987-2024</t>
        </is>
      </c>
      <c r="B138" s="1" t="n">
        <v>45586</v>
      </c>
      <c r="C138" s="1" t="n">
        <v>45844</v>
      </c>
      <c r="D138" t="inlineStr">
        <is>
          <t>SÖDERMANLANDS LÄN</t>
        </is>
      </c>
      <c r="E138" t="inlineStr">
        <is>
          <t>FLEN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HYPERLINK("https://klasma.github.io/Logging_0482/artfynd/A 46987-2024 artfynd.xlsx", "A 46987-2024")</f>
        <v/>
      </c>
      <c r="T138">
        <f>HYPERLINK("https://klasma.github.io/Logging_0482/kartor/A 46987-2024 karta.png", "A 46987-2024")</f>
        <v/>
      </c>
      <c r="V138">
        <f>HYPERLINK("https://klasma.github.io/Logging_0482/klagomål/A 46987-2024 FSC-klagomål.docx", "A 46987-2024")</f>
        <v/>
      </c>
      <c r="W138">
        <f>HYPERLINK("https://klasma.github.io/Logging_0482/klagomålsmail/A 46987-2024 FSC-klagomål mail.docx", "A 46987-2024")</f>
        <v/>
      </c>
      <c r="X138">
        <f>HYPERLINK("https://klasma.github.io/Logging_0482/tillsyn/A 46987-2024 tillsynsbegäran.docx", "A 46987-2024")</f>
        <v/>
      </c>
      <c r="Y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49594-2024</t>
        </is>
      </c>
      <c r="B139" s="1" t="n">
        <v>45596</v>
      </c>
      <c r="C139" s="1" t="n">
        <v>45844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2.9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HYPERLINK("https://klasma.github.io/Logging_0482/artfynd/A 49594-2024 artfynd.xlsx", "A 49594-2024")</f>
        <v/>
      </c>
      <c r="T139">
        <f>HYPERLINK("https://klasma.github.io/Logging_0482/kartor/A 49594-2024 karta.png", "A 49594-2024")</f>
        <v/>
      </c>
      <c r="V139">
        <f>HYPERLINK("https://klasma.github.io/Logging_0482/klagomål/A 49594-2024 FSC-klagomål.docx", "A 49594-2024")</f>
        <v/>
      </c>
      <c r="W139">
        <f>HYPERLINK("https://klasma.github.io/Logging_0482/klagomålsmail/A 49594-2024 FSC-klagomål mail.docx", "A 49594-2024")</f>
        <v/>
      </c>
      <c r="X139">
        <f>HYPERLINK("https://klasma.github.io/Logging_0482/tillsyn/A 49594-2024 tillsynsbegäran.docx", "A 49594-2024")</f>
        <v/>
      </c>
      <c r="Y139">
        <f>HYPERLINK("https://klasma.github.io/Logging_0482/tillsynsmail/A 49594-2024 tillsynsbegäran mail.docx", "A 49594-2024")</f>
        <v/>
      </c>
      <c r="Z139">
        <f>HYPERLINK("https://klasma.github.io/Logging_0482/fåglar/A 49594-2024 prioriterade fågelarter.docx", "A 49594-2024")</f>
        <v/>
      </c>
    </row>
    <row r="140" ht="15" customHeight="1">
      <c r="A140" t="inlineStr">
        <is>
          <t>A 57251-2024</t>
        </is>
      </c>
      <c r="B140" s="1" t="n">
        <v>45629</v>
      </c>
      <c r="C140" s="1" t="n">
        <v>45844</v>
      </c>
      <c r="D140" t="inlineStr">
        <is>
          <t>SÖDERMANLANDS LÄN</t>
        </is>
      </c>
      <c r="E140" t="inlineStr">
        <is>
          <t>FLEN</t>
        </is>
      </c>
      <c r="G140" t="n">
        <v>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HYPERLINK("https://klasma.github.io/Logging_0482/artfynd/A 57251-2024 artfynd.xlsx", "A 57251-2024")</f>
        <v/>
      </c>
      <c r="T140">
        <f>HYPERLINK("https://klasma.github.io/Logging_0482/kartor/A 57251-2024 karta.png", "A 57251-2024")</f>
        <v/>
      </c>
      <c r="V140">
        <f>HYPERLINK("https://klasma.github.io/Logging_0482/klagomål/A 57251-2024 FSC-klagomål.docx", "A 57251-2024")</f>
        <v/>
      </c>
      <c r="W140">
        <f>HYPERLINK("https://klasma.github.io/Logging_0482/klagomålsmail/A 57251-2024 FSC-klagomål mail.docx", "A 57251-2024")</f>
        <v/>
      </c>
      <c r="X140">
        <f>HYPERLINK("https://klasma.github.io/Logging_0482/tillsyn/A 57251-2024 tillsynsbegäran.docx", "A 57251-2024")</f>
        <v/>
      </c>
      <c r="Y140">
        <f>HYPERLINK("https://klasma.github.io/Logging_0482/tillsynsmail/A 57251-2024 tillsynsbegäran mail.docx", "A 57251-2024")</f>
        <v/>
      </c>
    </row>
    <row r="141" ht="15" customHeight="1">
      <c r="A141" t="inlineStr">
        <is>
          <t>A 60529-2024</t>
        </is>
      </c>
      <c r="B141" s="1" t="n">
        <v>45643</v>
      </c>
      <c r="C141" s="1" t="n">
        <v>45844</v>
      </c>
      <c r="D141" t="inlineStr">
        <is>
          <t>SÖDERMANLANDS LÄN</t>
        </is>
      </c>
      <c r="E141" t="inlineStr">
        <is>
          <t>FLEN</t>
        </is>
      </c>
      <c r="G141" t="n">
        <v>2.5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HYPERLINK("https://klasma.github.io/Logging_0482/artfynd/A 60529-2024 artfynd.xlsx", "A 60529-2024")</f>
        <v/>
      </c>
      <c r="T141">
        <f>HYPERLINK("https://klasma.github.io/Logging_0482/kartor/A 60529-2024 karta.png", "A 60529-2024")</f>
        <v/>
      </c>
      <c r="V141">
        <f>HYPERLINK("https://klasma.github.io/Logging_0482/klagomål/A 60529-2024 FSC-klagomål.docx", "A 60529-2024")</f>
        <v/>
      </c>
      <c r="W141">
        <f>HYPERLINK("https://klasma.github.io/Logging_0482/klagomålsmail/A 60529-2024 FSC-klagomål mail.docx", "A 60529-2024")</f>
        <v/>
      </c>
      <c r="X141">
        <f>HYPERLINK("https://klasma.github.io/Logging_0482/tillsyn/A 60529-2024 tillsynsbegäran.docx", "A 60529-2024")</f>
        <v/>
      </c>
      <c r="Y141">
        <f>HYPERLINK("https://klasma.github.io/Logging_0482/tillsynsmail/A 60529-2024 tillsynsbegäran mail.docx", "A 60529-2024")</f>
        <v/>
      </c>
    </row>
    <row r="142" ht="15" customHeight="1">
      <c r="A142" t="inlineStr">
        <is>
          <t>A 1861-2025</t>
        </is>
      </c>
      <c r="B142" s="1" t="n">
        <v>45671</v>
      </c>
      <c r="C142" s="1" t="n">
        <v>45844</v>
      </c>
      <c r="D142" t="inlineStr">
        <is>
          <t>SÖDERMANLANDS LÄN</t>
        </is>
      </c>
      <c r="E142" t="inlineStr">
        <is>
          <t>FLEN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Skogsalm</t>
        </is>
      </c>
      <c r="S142">
        <f>HYPERLINK("https://klasma.github.io/Logging_0482/artfynd/A 1861-2025 artfynd.xlsx", "A 1861-2025")</f>
        <v/>
      </c>
      <c r="T142">
        <f>HYPERLINK("https://klasma.github.io/Logging_0482/kartor/A 1861-2025 karta.png", "A 1861-2025")</f>
        <v/>
      </c>
      <c r="V142">
        <f>HYPERLINK("https://klasma.github.io/Logging_0482/klagomål/A 1861-2025 FSC-klagomål.docx", "A 1861-2025")</f>
        <v/>
      </c>
      <c r="W142">
        <f>HYPERLINK("https://klasma.github.io/Logging_0482/klagomålsmail/A 1861-2025 FSC-klagomål mail.docx", "A 1861-2025")</f>
        <v/>
      </c>
      <c r="X142">
        <f>HYPERLINK("https://klasma.github.io/Logging_0482/tillsyn/A 1861-2025 tillsynsbegäran.docx", "A 1861-2025")</f>
        <v/>
      </c>
      <c r="Y142">
        <f>HYPERLINK("https://klasma.github.io/Logging_0482/tillsynsmail/A 1861-2025 tillsynsbegäran mail.docx", "A 1861-2025")</f>
        <v/>
      </c>
    </row>
    <row r="143" ht="15" customHeight="1">
      <c r="A143" t="inlineStr">
        <is>
          <t>A 9066-2025</t>
        </is>
      </c>
      <c r="B143" s="1" t="n">
        <v>45713</v>
      </c>
      <c r="C143" s="1" t="n">
        <v>45844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Gullklöver</t>
        </is>
      </c>
      <c r="S143">
        <f>HYPERLINK("https://klasma.github.io/Logging_0482/artfynd/A 9066-2025 artfynd.xlsx", "A 9066-2025")</f>
        <v/>
      </c>
      <c r="T143">
        <f>HYPERLINK("https://klasma.github.io/Logging_0482/kartor/A 9066-2025 karta.png", "A 9066-2025")</f>
        <v/>
      </c>
      <c r="V143">
        <f>HYPERLINK("https://klasma.github.io/Logging_0482/klagomål/A 9066-2025 FSC-klagomål.docx", "A 9066-2025")</f>
        <v/>
      </c>
      <c r="W143">
        <f>HYPERLINK("https://klasma.github.io/Logging_0482/klagomålsmail/A 9066-2025 FSC-klagomål mail.docx", "A 9066-2025")</f>
        <v/>
      </c>
      <c r="X143">
        <f>HYPERLINK("https://klasma.github.io/Logging_0482/tillsyn/A 9066-2025 tillsynsbegäran.docx", "A 9066-2025")</f>
        <v/>
      </c>
      <c r="Y143">
        <f>HYPERLINK("https://klasma.github.io/Logging_0482/tillsynsmail/A 9066-2025 tillsynsbegäran mail.docx", "A 9066-2025")</f>
        <v/>
      </c>
    </row>
    <row r="144" ht="15" customHeight="1">
      <c r="A144" t="inlineStr">
        <is>
          <t>A 10828-2025</t>
        </is>
      </c>
      <c r="B144" s="1" t="n">
        <v>45722</v>
      </c>
      <c r="C144" s="1" t="n">
        <v>45844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HYPERLINK("https://klasma.github.io/Logging_040482/artfynd/A 10828-2025 artfynd.xlsx", "A 10828-2025")</f>
        <v/>
      </c>
      <c r="T144">
        <f>HYPERLINK("https://klasma.github.io/Logging_040482/kartor/A 10828-2025 karta.png", "A 10828-2025")</f>
        <v/>
      </c>
      <c r="V144">
        <f>HYPERLINK("https://klasma.github.io/Logging_040482/klagomål/A 10828-2025 FSC-klagomål.docx", "A 10828-2025")</f>
        <v/>
      </c>
      <c r="W144">
        <f>HYPERLINK("https://klasma.github.io/Logging_040482/klagomålsmail/A 10828-2025 FSC-klagomål mail.docx", "A 10828-2025")</f>
        <v/>
      </c>
      <c r="X144">
        <f>HYPERLINK("https://klasma.github.io/Logging_040482/tillsyn/A 10828-2025 tillsynsbegäran.docx", "A 10828-2025")</f>
        <v/>
      </c>
      <c r="Y144">
        <f>HYPERLINK("https://klasma.github.io/Logging_040482/tillsynsmail/A 10828-2025 tillsynsbegäran mail.docx", "A 10828-2025")</f>
        <v/>
      </c>
    </row>
    <row r="145" ht="15" customHeight="1">
      <c r="A145" t="inlineStr">
        <is>
          <t>A 14101-2025</t>
        </is>
      </c>
      <c r="B145" s="1" t="n">
        <v>45740</v>
      </c>
      <c r="C145" s="1" t="n">
        <v>45844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HYPERLINK("https://klasma.github.io/Logging_040482/artfynd/A 14101-2025 artfynd.xlsx", "A 14101-2025")</f>
        <v/>
      </c>
      <c r="T145">
        <f>HYPERLINK("https://klasma.github.io/Logging_040482/kartor/A 14101-2025 karta.png", "A 14101-2025")</f>
        <v/>
      </c>
      <c r="V145">
        <f>HYPERLINK("https://klasma.github.io/Logging_040482/klagomål/A 14101-2025 FSC-klagomål.docx", "A 14101-2025")</f>
        <v/>
      </c>
      <c r="W145">
        <f>HYPERLINK("https://klasma.github.io/Logging_040482/klagomålsmail/A 14101-2025 FSC-klagomål mail.docx", "A 14101-2025")</f>
        <v/>
      </c>
      <c r="X145">
        <f>HYPERLINK("https://klasma.github.io/Logging_040482/tillsyn/A 14101-2025 tillsynsbegäran.docx", "A 14101-2025")</f>
        <v/>
      </c>
      <c r="Y145">
        <f>HYPERLINK("https://klasma.github.io/Logging_040482/tillsynsmail/A 14101-2025 tillsynsbegäran mail.docx", "A 14101-2025")</f>
        <v/>
      </c>
    </row>
    <row r="146" ht="15" customHeight="1">
      <c r="A146" t="inlineStr">
        <is>
          <t>A 14273-2025</t>
        </is>
      </c>
      <c r="B146" s="1" t="n">
        <v>45740</v>
      </c>
      <c r="C146" s="1" t="n">
        <v>45844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HYPERLINK("https://klasma.github.io/Logging_040482/artfynd/A 14273-2025 artfynd.xlsx", "A 14273-2025")</f>
        <v/>
      </c>
      <c r="T146">
        <f>HYPERLINK("https://klasma.github.io/Logging_040482/kartor/A 14273-2025 karta.png", "A 14273-2025")</f>
        <v/>
      </c>
      <c r="V146">
        <f>HYPERLINK("https://klasma.github.io/Logging_040482/klagomål/A 14273-2025 FSC-klagomål.docx", "A 14273-2025")</f>
        <v/>
      </c>
      <c r="W146">
        <f>HYPERLINK("https://klasma.github.io/Logging_040482/klagomålsmail/A 14273-2025 FSC-klagomål mail.docx", "A 14273-2025")</f>
        <v/>
      </c>
      <c r="X146">
        <f>HYPERLINK("https://klasma.github.io/Logging_040482/tillsyn/A 14273-2025 tillsynsbegäran.docx", "A 14273-2025")</f>
        <v/>
      </c>
      <c r="Y146">
        <f>HYPERLINK("https://klasma.github.io/Logging_040482/tillsynsmail/A 14273-2025 tillsynsbegäran mail.docx", "A 14273-2025")</f>
        <v/>
      </c>
    </row>
    <row r="147" ht="15" customHeight="1">
      <c r="A147" t="inlineStr">
        <is>
          <t>A 14113-2025</t>
        </is>
      </c>
      <c r="B147" s="1" t="n">
        <v>45740</v>
      </c>
      <c r="C147" s="1" t="n">
        <v>45844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3.6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HYPERLINK("https://klasma.github.io/Logging_040482/artfynd/A 14113-2025 artfynd.xlsx", "A 14113-2025")</f>
        <v/>
      </c>
      <c r="T147">
        <f>HYPERLINK("https://klasma.github.io/Logging_040482/kartor/A 14113-2025 karta.png", "A 14113-2025")</f>
        <v/>
      </c>
      <c r="V147">
        <f>HYPERLINK("https://klasma.github.io/Logging_040482/klagomål/A 14113-2025 FSC-klagomål.docx", "A 14113-2025")</f>
        <v/>
      </c>
      <c r="W147">
        <f>HYPERLINK("https://klasma.github.io/Logging_040482/klagomålsmail/A 14113-2025 FSC-klagomål mail.docx", "A 14113-2025")</f>
        <v/>
      </c>
      <c r="X147">
        <f>HYPERLINK("https://klasma.github.io/Logging_040482/tillsyn/A 14113-2025 tillsynsbegäran.docx", "A 14113-2025")</f>
        <v/>
      </c>
      <c r="Y147">
        <f>HYPERLINK("https://klasma.github.io/Logging_040482/tillsynsmail/A 14113-2025 tillsynsbegäran mail.docx", "A 14113-2025")</f>
        <v/>
      </c>
    </row>
    <row r="148" ht="15" customHeight="1">
      <c r="A148" t="inlineStr">
        <is>
          <t>A 15011-2025</t>
        </is>
      </c>
      <c r="B148" s="1" t="n">
        <v>45743</v>
      </c>
      <c r="C148" s="1" t="n">
        <v>45844</v>
      </c>
      <c r="D148" t="inlineStr">
        <is>
          <t>SÖDERMANLANDS LÄN</t>
        </is>
      </c>
      <c r="E148" t="inlineStr">
        <is>
          <t>FLEN</t>
        </is>
      </c>
      <c r="G148" t="n">
        <v>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HYPERLINK("https://klasma.github.io/Logging_040482/artfynd/A 15011-2025 artfynd.xlsx", "A 15011-2025")</f>
        <v/>
      </c>
      <c r="T148">
        <f>HYPERLINK("https://klasma.github.io/Logging_040482/kartor/A 15011-2025 karta.png", "A 15011-2025")</f>
        <v/>
      </c>
      <c r="V148">
        <f>HYPERLINK("https://klasma.github.io/Logging_040482/klagomål/A 15011-2025 FSC-klagomål.docx", "A 15011-2025")</f>
        <v/>
      </c>
      <c r="W148">
        <f>HYPERLINK("https://klasma.github.io/Logging_040482/klagomålsmail/A 15011-2025 FSC-klagomål mail.docx", "A 15011-2025")</f>
        <v/>
      </c>
      <c r="X148">
        <f>HYPERLINK("https://klasma.github.io/Logging_040482/tillsyn/A 15011-2025 tillsynsbegäran.docx", "A 15011-2025")</f>
        <v/>
      </c>
      <c r="Y148">
        <f>HYPERLINK("https://klasma.github.io/Logging_040482/tillsynsmail/A 15011-2025 tillsynsbegäran mail.docx", "A 15011-2025")</f>
        <v/>
      </c>
    </row>
    <row r="149" ht="15" customHeight="1">
      <c r="A149" t="inlineStr">
        <is>
          <t>A 16831-2025</t>
        </is>
      </c>
      <c r="B149" s="1" t="n">
        <v>45754</v>
      </c>
      <c r="C149" s="1" t="n">
        <v>45844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6.6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16831-2025 artfynd.xlsx", "A 16831-2025")</f>
        <v/>
      </c>
      <c r="T149">
        <f>HYPERLINK("https://klasma.github.io/Logging_040482/kartor/A 16831-2025 karta.png", "A 16831-2025")</f>
        <v/>
      </c>
      <c r="V149">
        <f>HYPERLINK("https://klasma.github.io/Logging_040482/klagomål/A 16831-2025 FSC-klagomål.docx", "A 16831-2025")</f>
        <v/>
      </c>
      <c r="W149">
        <f>HYPERLINK("https://klasma.github.io/Logging_040482/klagomålsmail/A 16831-2025 FSC-klagomål mail.docx", "A 16831-2025")</f>
        <v/>
      </c>
      <c r="X149">
        <f>HYPERLINK("https://klasma.github.io/Logging_040482/tillsyn/A 16831-2025 tillsynsbegäran.docx", "A 16831-2025")</f>
        <v/>
      </c>
      <c r="Y149">
        <f>HYPERLINK("https://klasma.github.io/Logging_040482/tillsynsmail/A 16831-2025 tillsynsbegäran mail.docx", "A 16831-2025")</f>
        <v/>
      </c>
    </row>
    <row r="150" ht="15" customHeight="1">
      <c r="A150" t="inlineStr">
        <is>
          <t>A 24464-2025</t>
        </is>
      </c>
      <c r="B150" s="1" t="n">
        <v>45798</v>
      </c>
      <c r="C150" s="1" t="n">
        <v>45844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HYPERLINK("https://klasma.github.io/Logging_040482/artfynd/A 24464-2025 artfynd.xlsx", "A 24464-2025")</f>
        <v/>
      </c>
      <c r="T150">
        <f>HYPERLINK("https://klasma.github.io/Logging_040482/kartor/A 24464-2025 karta.png", "A 24464-2025")</f>
        <v/>
      </c>
      <c r="V150">
        <f>HYPERLINK("https://klasma.github.io/Logging_040482/klagomål/A 24464-2025 FSC-klagomål.docx", "A 24464-2025")</f>
        <v/>
      </c>
      <c r="W150">
        <f>HYPERLINK("https://klasma.github.io/Logging_040482/klagomålsmail/A 24464-2025 FSC-klagomål mail.docx", "A 24464-2025")</f>
        <v/>
      </c>
      <c r="X150">
        <f>HYPERLINK("https://klasma.github.io/Logging_040482/tillsyn/A 24464-2025 tillsynsbegäran.docx", "A 24464-2025")</f>
        <v/>
      </c>
      <c r="Y150">
        <f>HYPERLINK("https://klasma.github.io/Logging_040482/tillsynsmail/A 24464-2025 tillsynsbegäran mail.docx", "A 24464-2025")</f>
        <v/>
      </c>
    </row>
    <row r="151" ht="15" customHeight="1">
      <c r="A151" t="inlineStr">
        <is>
          <t>A 32901-2025</t>
        </is>
      </c>
      <c r="B151" s="1" t="n">
        <v>45839</v>
      </c>
      <c r="C151" s="1" t="n">
        <v>45844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HYPERLINK("https://klasma.github.io/Logging_040482/artfynd/A 32901-2025 artfynd.xlsx", "A 32901-2025")</f>
        <v/>
      </c>
      <c r="T151">
        <f>HYPERLINK("https://klasma.github.io/Logging_040482/kartor/A 32901-2025 karta.png", "A 32901-2025")</f>
        <v/>
      </c>
      <c r="V151">
        <f>HYPERLINK("https://klasma.github.io/Logging_040482/klagomål/A 32901-2025 FSC-klagomål.docx", "A 32901-2025")</f>
        <v/>
      </c>
      <c r="W151">
        <f>HYPERLINK("https://klasma.github.io/Logging_040482/klagomålsmail/A 32901-2025 FSC-klagomål mail.docx", "A 32901-2025")</f>
        <v/>
      </c>
      <c r="X151">
        <f>HYPERLINK("https://klasma.github.io/Logging_040482/tillsyn/A 32901-2025 tillsynsbegäran.docx", "A 32901-2025")</f>
        <v/>
      </c>
      <c r="Y151">
        <f>HYPERLINK("https://klasma.github.io/Logging_040482/tillsynsmail/A 32901-2025 tillsynsbegäran mail.docx", "A 32901-2025")</f>
        <v/>
      </c>
    </row>
    <row r="152" ht="15" customHeight="1">
      <c r="A152" t="inlineStr">
        <is>
          <t>A 18391-2019</t>
        </is>
      </c>
      <c r="B152" s="1" t="n">
        <v>43558</v>
      </c>
      <c r="C152" s="1" t="n">
        <v>45844</v>
      </c>
      <c r="D152" t="inlineStr">
        <is>
          <t>SÖDERMANLANDS LÄN</t>
        </is>
      </c>
      <c r="E152" t="inlineStr">
        <is>
          <t>FLEN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18543-2019</t>
        </is>
      </c>
      <c r="B153" s="1" t="n">
        <v>43558</v>
      </c>
      <c r="C153" s="1" t="n">
        <v>45844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18700-2019</t>
        </is>
      </c>
      <c r="B154" s="1" t="n">
        <v>43559</v>
      </c>
      <c r="C154" s="1" t="n">
        <v>45844</v>
      </c>
      <c r="D154" t="inlineStr">
        <is>
          <t>SÖDERMANLANDS LÄN</t>
        </is>
      </c>
      <c r="E154" t="inlineStr">
        <is>
          <t>FLEN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18688-2019</t>
        </is>
      </c>
      <c r="B155" s="1" t="n">
        <v>43559</v>
      </c>
      <c r="C155" s="1" t="n">
        <v>45844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18645-2019</t>
        </is>
      </c>
      <c r="B156" s="1" t="n">
        <v>43560</v>
      </c>
      <c r="C156" s="1" t="n">
        <v>45844</v>
      </c>
      <c r="D156" t="inlineStr">
        <is>
          <t>SÖDERMANLANDS LÄN</t>
        </is>
      </c>
      <c r="E156" t="inlineStr">
        <is>
          <t>FLEN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18824-2019</t>
        </is>
      </c>
      <c r="B157" s="1" t="n">
        <v>43560</v>
      </c>
      <c r="C157" s="1" t="n">
        <v>45844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19395-2019</t>
        </is>
      </c>
      <c r="B158" s="1" t="n">
        <v>43565</v>
      </c>
      <c r="C158" s="1" t="n">
        <v>45844</v>
      </c>
      <c r="D158" t="inlineStr">
        <is>
          <t>SÖDERMANLANDS LÄN</t>
        </is>
      </c>
      <c r="E158" t="inlineStr">
        <is>
          <t>FLEN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19834-2019</t>
        </is>
      </c>
      <c r="B159" s="1" t="n">
        <v>43567</v>
      </c>
      <c r="C159" s="1" t="n">
        <v>45844</v>
      </c>
      <c r="D159" t="inlineStr">
        <is>
          <t>SÖDERMANLANDS LÄN</t>
        </is>
      </c>
      <c r="E159" t="inlineStr">
        <is>
          <t>FLEN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20284-2019</t>
        </is>
      </c>
      <c r="B160" s="1" t="n">
        <v>43570</v>
      </c>
      <c r="C160" s="1" t="n">
        <v>45844</v>
      </c>
      <c r="D160" t="inlineStr">
        <is>
          <t>SÖDERMANLANDS LÄN</t>
        </is>
      </c>
      <c r="E160" t="inlineStr">
        <is>
          <t>FLEN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21920-2019</t>
        </is>
      </c>
      <c r="B161" s="1" t="n">
        <v>43584</v>
      </c>
      <c r="C161" s="1" t="n">
        <v>45844</v>
      </c>
      <c r="D161" t="inlineStr">
        <is>
          <t>SÖDERMANLANDS LÄN</t>
        </is>
      </c>
      <c r="E161" t="inlineStr">
        <is>
          <t>FLEN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28911-2019</t>
        </is>
      </c>
      <c r="B162" s="1" t="n">
        <v>43616</v>
      </c>
      <c r="C162" s="1" t="n">
        <v>45844</v>
      </c>
      <c r="D162" t="inlineStr">
        <is>
          <t>SÖDERMANLANDS LÄN</t>
        </is>
      </c>
      <c r="E162" t="inlineStr">
        <is>
          <t>FLEN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28058-2019</t>
        </is>
      </c>
      <c r="B163" s="1" t="n">
        <v>43621</v>
      </c>
      <c r="C163" s="1" t="n">
        <v>45844</v>
      </c>
      <c r="D163" t="inlineStr">
        <is>
          <t>SÖDERMANLANDS LÄN</t>
        </is>
      </c>
      <c r="E163" t="inlineStr">
        <is>
          <t>FLEN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29977-2019</t>
        </is>
      </c>
      <c r="B164" s="1" t="n">
        <v>43630</v>
      </c>
      <c r="C164" s="1" t="n">
        <v>45844</v>
      </c>
      <c r="D164" t="inlineStr">
        <is>
          <t>SÖDERMANLANDS LÄN</t>
        </is>
      </c>
      <c r="E164" t="inlineStr">
        <is>
          <t>FLEN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30492-2019</t>
        </is>
      </c>
      <c r="B165" s="1" t="n">
        <v>43635</v>
      </c>
      <c r="C165" s="1" t="n">
        <v>45844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30872-2019</t>
        </is>
      </c>
      <c r="B166" s="1" t="n">
        <v>43636</v>
      </c>
      <c r="C166" s="1" t="n">
        <v>45844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32070-2019</t>
        </is>
      </c>
      <c r="B167" s="1" t="n">
        <v>43643</v>
      </c>
      <c r="C167" s="1" t="n">
        <v>45844</v>
      </c>
      <c r="D167" t="inlineStr">
        <is>
          <t>SÖDERMANLANDS LÄN</t>
        </is>
      </c>
      <c r="E167" t="inlineStr">
        <is>
          <t>FLEN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35583-2019</t>
        </is>
      </c>
      <c r="B168" s="1" t="n">
        <v>43655</v>
      </c>
      <c r="C168" s="1" t="n">
        <v>45844</v>
      </c>
      <c r="D168" t="inlineStr">
        <is>
          <t>SÖDERMANLANDS LÄN</t>
        </is>
      </c>
      <c r="E168" t="inlineStr">
        <is>
          <t>FLEN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34988-2019</t>
        </is>
      </c>
      <c r="B169" s="1" t="n">
        <v>43659</v>
      </c>
      <c r="C169" s="1" t="n">
        <v>45844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35023-2019</t>
        </is>
      </c>
      <c r="B170" s="1" t="n">
        <v>43661</v>
      </c>
      <c r="C170" s="1" t="n">
        <v>45844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45844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45844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45844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45844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45844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45844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45844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45844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45844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45844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45844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45844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45844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45844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45844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45844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45844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45844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45844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45844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45844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45844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45844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45844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45844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45844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45844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45844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45844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45844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45844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45844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45844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45844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45844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45844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45844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45844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45844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45844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45844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45844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45844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45844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45844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45844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45844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45844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45844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45844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45844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45844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45844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45844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45844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45844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45844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45844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45844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45844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45844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45844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45844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45844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45844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45844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45844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45844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45844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45844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45844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45844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45844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45844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45844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45844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45844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45844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45844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45844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45844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45844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45844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45844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45844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45844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45844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45844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45844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45844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45844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45844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45844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45844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45844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45844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45844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45844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45844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45844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45844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45844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45844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45844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45844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45844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45844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45844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45844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45844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45844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45844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45844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45844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45844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45844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45844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45844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45844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45844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45844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45844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45844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45844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45844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45844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45844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45844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45844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45844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45844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45844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45844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45844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45844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45844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45844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45844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45844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45844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45844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45844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45844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45844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45844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45844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45844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45844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45844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45844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45844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45844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45844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45844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45844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45844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45844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45844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45844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45844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45844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45844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45844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45844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45844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45844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45844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45844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45844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45844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45844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45844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45844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45844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45844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45844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45844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45844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45844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45844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45844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45844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45844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45844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45844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45844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45844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45844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45844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45844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45844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45844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45844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45844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45844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45844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45844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45844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45844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45844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45844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45844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45844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45844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45844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45844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45844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45844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45844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45844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45844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45844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45844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45844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45844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45844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45844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45844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45844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45844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45844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45844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45844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45844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45844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45844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45844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45844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45844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45844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45844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45844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45844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45844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45844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45844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45844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45844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45844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45844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45844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45844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45844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45844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45844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45844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45844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45844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45844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45844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45844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45844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45844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45844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45844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45844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45844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45844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45844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45844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45844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45844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45844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45844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45844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45844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45844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45844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45844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45844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45844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45844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45844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45844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45844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45844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45844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45844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45844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45844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45844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45844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45844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45844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45844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45844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45844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45844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45844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45844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45844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45844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45844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45844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45844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45844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45844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45844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45844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45844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45844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45844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45844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45844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45844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45844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45844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45844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45844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45844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45844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45844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45844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45844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45844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45844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45844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45844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45844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45844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45844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45844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45844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45844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45844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45844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45844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45844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45844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45844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45844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45844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45844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45844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45844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45844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45844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45844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45844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45844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45844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45844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45844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45844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45844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45844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45844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45844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45844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45844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45844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45844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45844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45844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45844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45844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45844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45844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45844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45844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45844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45844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45844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45844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45844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45844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45844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45844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45844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45844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45844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45844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45844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45844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45844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45844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45844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45844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45844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45844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45844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45844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45844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45844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45844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45844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45844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45844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45844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45844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45844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45844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45844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45844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45844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45844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45844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45844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45844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45844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45844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45844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45844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45844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45844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45844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45844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45844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45844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45844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45844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45844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45844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45844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45844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45844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45844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45844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45844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45844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45844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45844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45844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45844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45844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45844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45844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45844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45844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45844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45844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45844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45844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45844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45844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45844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45844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45844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45844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45844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45844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45844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45844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45844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45844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45844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45844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45844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45844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45844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45844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45844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45844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45844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45844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45844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45844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45844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45844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45844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45844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45844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45844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45844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45844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45844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45844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45844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45844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45844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45844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45844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45844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45844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45844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45844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45844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45844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45844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45844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45844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45844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45844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45844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45844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45844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45844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45844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45844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45844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45844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45844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45844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45844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45844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45844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45844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45844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45844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45844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45844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45844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45844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45844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45844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45844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45844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45844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45844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45844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45844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45844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45844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45844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45844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45844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45844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45844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45844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45844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45844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45844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45844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45844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45844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45844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45844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45844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45844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45844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45844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45844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45844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45844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45844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45844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45844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45844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45844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45844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45844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45844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45844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45844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45844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45844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45844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45844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45844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45844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45844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45844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45844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45844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45844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45844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45844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45844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45844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45844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45844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45844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45844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45844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45844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45844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45844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45844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45844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45844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45844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45844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45844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45844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45844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45844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45844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45844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45844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45844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45844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45844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45844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45844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45844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45844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45844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45844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45844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45844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45844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45844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45844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45844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45844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45844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45844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45844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45844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45844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45844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45844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45844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45844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45844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45844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45844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45844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45844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45844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45844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45844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45844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45844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45844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45844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45844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45844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45844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45844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45844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45844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45844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45844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45844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45844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45844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45844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45844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45844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45844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45844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45844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45844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45844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45844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45844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45844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45844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45844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45844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45844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45844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45844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45844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45844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45844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45844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45844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45844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45844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45844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45844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45844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45844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45844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45844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45844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45844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45844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45844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45844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45844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45844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45844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45844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45844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45844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45844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45844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45844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45844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45844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45844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45844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45844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45844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45844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45844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45844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45844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45844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45844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45844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45844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45844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45844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45844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45844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45844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45844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45844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45844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45844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45844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45844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45844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45844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45844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45844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45844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45844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45844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45844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45844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45844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45844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45844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45844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45844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45844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45844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45844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45844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45844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45844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45844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45844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45844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45844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45844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45844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45844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45844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45844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45844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45844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45844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45844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45844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45844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45844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45844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45844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45844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45844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45844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45844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45844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45844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45844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45844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45844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45844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45844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45844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45844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45844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45844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45844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45844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45844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45844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45844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45844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45844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45844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45844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45844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45844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45844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45844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45844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45844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45844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45844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45844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45844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45844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45844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45844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45844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45844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45844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45844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45844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45844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45844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45844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45844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45844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45844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45844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45844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45844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45844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45844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45844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45844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45844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45844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45844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45844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45844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45844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45844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45844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45844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45844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45844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45844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45844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45844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45844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45844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45844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45844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45844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45844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45844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45844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45844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45844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45844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45844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45844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45844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45844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45844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45844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45844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45844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45844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45844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45844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45844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45844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45844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45844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45844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45844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45844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45844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45844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45844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45844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45844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45844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45844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45844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45844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45844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45844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45844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45844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45844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45844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45844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45844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45844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45844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45844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45844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45844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45844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45844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45844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45844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45844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45844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45844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45844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45844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45844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45844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45844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45844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45844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45844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45844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45844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45844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45844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45844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45844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45844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45844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45844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45844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45844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45844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45844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45844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45844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45844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45844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45844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45844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45844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45844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45844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45844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45844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45844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45844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45844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45844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45844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45844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45844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45844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45844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45844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45844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45844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45844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45844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45844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45844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45844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45844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45844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45844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45844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45844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45844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45844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45844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45844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45844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45844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45844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45844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45844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45844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45844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45844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45844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45844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45844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45844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45844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45844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45844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45844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45844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45844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45844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45844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45844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45844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45844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45844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45844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45844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45844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45844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45844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45844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45844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45844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45844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45844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45844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45844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45844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45844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45844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45844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45844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45844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45844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45844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45844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45844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45844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45844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45844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45844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45844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45844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45844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45844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45844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45844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45844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45844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45844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45844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45844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45844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45844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45844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45844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45844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45844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45844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45844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45844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45844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45844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45844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45844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45844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45844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45844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45844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45844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45844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45844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45844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45844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45844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45844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45844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45844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45844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45844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45844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45844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45844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45844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45844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45844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45844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45844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45844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45844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45844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45844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30494-2025</t>
        </is>
      </c>
      <c r="B1191" s="1" t="n">
        <v>45830</v>
      </c>
      <c r="C1191" s="1" t="n">
        <v>45844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2025-07-06T19:23:54Z</dcterms:created>
  <dcterms:modified xmlns:dcterms="http://purl.org/dc/terms/" xmlns:xsi="http://www.w3.org/2001/XMLSchema-instance" xsi:type="dcterms:W3CDTF">2025-07-06T19:23:55Z</dcterms:modified>
</cp:coreProperties>
</file>