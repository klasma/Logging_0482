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46276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46276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46276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46276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46276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46276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46276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46276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46276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46276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46276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46276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46276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46276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46276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46276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46276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46276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46276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70039-2021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46276</v>
      </c>
      <c r="F31" t="inlineStr">
        <is>
          <t>SÖDERMANLANDS LÄN</t>
        </is>
      </c>
      <c r="G31" t="inlineStr">
        <is>
          <t>FLEN</t>
        </is>
      </c>
      <c r="I31" t="n">
        <v>6.7</v>
      </c>
      <c r="J31" t="n">
        <v>1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3</v>
      </c>
      <c r="V31" s="2" t="inlineStr">
        <is>
          <t>Gullklöver
Slåtterfibbla
Svedjenäva
Svinrot
Blåsippa</t>
        </is>
      </c>
      <c r="W31">
        <f>HYPERLINK("https://klasma.github.io/Logging_0482/artfynd/A 70039-2021 artfynd.xlsx", "A 70039-2021")</f>
        <v/>
      </c>
      <c r="X31">
        <f>HYPERLINK("https://klasma.github.io/Logging_0482/kartor/A 70039-2021 karta.png", "A 70039-2021")</f>
        <v/>
      </c>
      <c r="Y31">
        <f>HYPERLINK("https://klasma.github.io/Logging_0482/kartor_geotiff/A 70039-2021 georefererad karta.tif", "A 70039-2021")</f>
        <v/>
      </c>
      <c r="AA31">
        <f>HYPERLINK("https://klasma.github.io/Logging_0482/klagomål/A 70039-2021 FSC-klagomål.docx", "A 70039-2021")</f>
        <v/>
      </c>
      <c r="AB31">
        <f>HYPERLINK("https://klasma.github.io/Logging_0482/klagomålsmail/A 70039-2021 FSC-klagomål mail.docx", "A 70039-2021")</f>
        <v/>
      </c>
      <c r="AC31">
        <f>HYPERLINK("https://klasma.github.io/Logging_0482/tillsyn/A 70039-2021 tillsynsbegäran.docx", "A 70039-2021")</f>
        <v/>
      </c>
      <c r="AD31">
        <f>HYPERLINK("https://klasma.github.io/Logging_0482/tillsynsmail/A 70039-2021 tillsynsbegäran mail.docx", "A 70039-2021")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46276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46276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13755-2026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46276</v>
      </c>
      <c r="F34" t="inlineStr">
        <is>
          <t>SÖDERMANLANDS LÄN</t>
        </is>
      </c>
      <c r="G34" t="inlineStr">
        <is>
          <t>FLEN</t>
        </is>
      </c>
      <c r="I34" t="n">
        <v>2.9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Åkerrättika
Jungfrulin
Svart trolldruva
Blåsippa
Grönvit nattviol</t>
        </is>
      </c>
      <c r="W34">
        <f>HYPERLINK("https://klasma.github.io/Logging_0482/artfynd/A 13755-2026 artfynd.xlsx", "A 13755-2026")</f>
        <v/>
      </c>
      <c r="X34">
        <f>HYPERLINK("https://klasma.github.io/Logging_0482/kartor/A 13755-2026 karta.png", "A 13755-2026")</f>
        <v/>
      </c>
      <c r="Y34">
        <f>HYPERLINK("https://klasma.github.io/Logging_0482/kartor_geotiff/A 13755-2026 georefererad karta.tif", "A 13755-2026")</f>
        <v/>
      </c>
      <c r="AA34">
        <f>HYPERLINK("https://klasma.github.io/Logging_0482/klagomål/A 13755-2026 FSC-klagomål.docx", "A 13755-2026")</f>
        <v/>
      </c>
      <c r="AB34">
        <f>HYPERLINK("https://klasma.github.io/Logging_0482/klagomålsmail/A 13755-2026 FSC-klagomål mail.docx", "A 13755-2026")</f>
        <v/>
      </c>
      <c r="AC34">
        <f>HYPERLINK("https://klasma.github.io/Logging_0482/tillsyn/A 13755-2026 tillsynsbegäran.docx", "A 13755-2026")</f>
        <v/>
      </c>
      <c r="AD34">
        <f>HYPERLINK("https://klasma.github.io/Logging_0482/tillsynsmail/A 13755-2026 tillsynsbegäran mail.docx", "A 13755-2026")</f>
        <v/>
      </c>
    </row>
    <row r="35" ht="15" customHeight="1">
      <c r="A35" t="inlineStr">
        <is>
          <t>A 17508-2026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46119</v>
      </c>
      <c r="E35" s="1" t="n">
        <v>46276</v>
      </c>
      <c r="F35" t="inlineStr">
        <is>
          <t>SÖDERMANLANDS LÄN</t>
        </is>
      </c>
      <c r="G35" t="inlineStr">
        <is>
          <t>FLEN</t>
        </is>
      </c>
      <c r="I35" t="n">
        <v>2.2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5</v>
      </c>
      <c r="U35" t="n">
        <v>2</v>
      </c>
      <c r="V35" s="2" t="inlineStr">
        <is>
          <t>Gulvaxing
Ekbräken
Spillkråka
Sälg
Gröngöling</t>
        </is>
      </c>
      <c r="W35">
        <f>HYPERLINK("https://klasma.github.io/Logging_0482/artfynd/A 17508-2026 artfynd.xlsx", "A 17508-2026")</f>
        <v/>
      </c>
      <c r="X35">
        <f>HYPERLINK("https://klasma.github.io/Logging_0482/kartor/A 17508-2026 karta.png", "A 17508-2026")</f>
        <v/>
      </c>
      <c r="Y35">
        <f>HYPERLINK("https://klasma.github.io/Logging_0482/kartor_geotiff/A 17508-2026 georefererad karta.tif", "A 17508-2026")</f>
        <v/>
      </c>
      <c r="AA35">
        <f>HYPERLINK("https://klasma.github.io/Logging_0482/klagomål/A 17508-2026 FSC-klagomål.docx", "A 17508-2026")</f>
        <v/>
      </c>
      <c r="AB35">
        <f>HYPERLINK("https://klasma.github.io/Logging_0482/klagomålsmail/A 17508-2026 FSC-klagomål mail.docx", "A 17508-2026")</f>
        <v/>
      </c>
      <c r="AC35">
        <f>HYPERLINK("https://klasma.github.io/Logging_0482/tillsyn/A 17508-2026 tillsynsbegäran.docx", "A 17508-2026")</f>
        <v/>
      </c>
      <c r="AD35">
        <f>HYPERLINK("https://klasma.github.io/Logging_0482/tillsynsmail/A 17508-2026 tillsynsbegäran mail.docx", "A 17508-2026")</f>
        <v/>
      </c>
      <c r="AE35">
        <f>HYPERLINK("https://klasma.github.io/Logging_0482/fåglar/A 17508-2026 prioriterade fågelarter.docx", "A 17508-2026")</f>
        <v/>
      </c>
    </row>
    <row r="36" ht="15" customHeight="1">
      <c r="A36" t="inlineStr">
        <is>
          <t>A 38832-2022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44814</v>
      </c>
      <c r="E36" s="1" t="n">
        <v>46276</v>
      </c>
      <c r="F36" t="inlineStr">
        <is>
          <t>SÖDERMANLANDS LÄN</t>
        </is>
      </c>
      <c r="G36" t="inlineStr">
        <is>
          <t>FLEN</t>
        </is>
      </c>
      <c r="I36" t="n">
        <v>1.8</v>
      </c>
      <c r="J36" t="n">
        <v>2</v>
      </c>
      <c r="K36" t="n">
        <v>0</v>
      </c>
      <c r="L36" t="n">
        <v>2</v>
      </c>
      <c r="M36" t="n">
        <v>1</v>
      </c>
      <c r="N36" t="n">
        <v>1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5</v>
      </c>
      <c r="U36" t="n">
        <v>1</v>
      </c>
      <c r="V36" s="2" t="inlineStr">
        <is>
          <t>Ask
Gulvit blekspik
Gulsparv
Tallticka
Skogsödla</t>
        </is>
      </c>
      <c r="W36">
        <f>HYPERLINK("https://klasma.github.io/Logging_0482/artfynd/A 38832-2022 artfynd.xlsx", "A 38832-2022")</f>
        <v/>
      </c>
      <c r="X36">
        <f>HYPERLINK("https://klasma.github.io/Logging_0482/kartor/A 38832-2022 karta.png", "A 38832-2022")</f>
        <v/>
      </c>
      <c r="Y36">
        <f>HYPERLINK("https://klasma.github.io/Logging_0482/kartor_geotiff/A 38832-2022 georefererad karta.tif", "A 38832-2022")</f>
        <v/>
      </c>
      <c r="AA36">
        <f>HYPERLINK("https://klasma.github.io/Logging_0482/klagomål/A 38832-2022 FSC-klagomål.docx", "A 38832-2022")</f>
        <v/>
      </c>
      <c r="AB36">
        <f>HYPERLINK("https://klasma.github.io/Logging_0482/klagomålsmail/A 38832-2022 FSC-klagomål mail.docx", "A 38832-2022")</f>
        <v/>
      </c>
      <c r="AC36">
        <f>HYPERLINK("https://klasma.github.io/Logging_0482/tillsyn/A 38832-2022 tillsynsbegäran.docx", "A 38832-2022")</f>
        <v/>
      </c>
      <c r="AD36">
        <f>HYPERLINK("https://klasma.github.io/Logging_0482/tillsynsmail/A 38832-2022 tillsynsbegäran mail.docx", "A 38832-2022")</f>
        <v/>
      </c>
      <c r="AE36">
        <f>HYPERLINK("https://klasma.github.io/Logging_0482/fåglar/A 38832-2022 prioriterade fågelarter.docx", "A 38832-2022")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46276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46276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46276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46276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46276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16503-2026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46276</v>
      </c>
      <c r="F42" t="inlineStr">
        <is>
          <t>SÖDERMANLANDS LÄN</t>
        </is>
      </c>
      <c r="G42" t="inlineStr">
        <is>
          <t>FLEN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1</v>
      </c>
      <c r="V42" s="2" t="inlineStr">
        <is>
          <t>Sexfläckig bastardsvärmare
Gullklöver
Jungfrulin
Svinrot</t>
        </is>
      </c>
      <c r="W42">
        <f>HYPERLINK("https://klasma.github.io/Logging_0482/artfynd/A 16503-2026 artfynd.xlsx", "A 16503-2026")</f>
        <v/>
      </c>
      <c r="X42">
        <f>HYPERLINK("https://klasma.github.io/Logging_0482/kartor/A 16503-2026 karta.png", "A 16503-2026")</f>
        <v/>
      </c>
      <c r="Y42">
        <f>HYPERLINK("https://klasma.github.io/Logging_0482/kartor_geotiff/A 16503-2026 georefererad karta.tif", "A 16503-2026")</f>
        <v/>
      </c>
      <c r="AA42">
        <f>HYPERLINK("https://klasma.github.io/Logging_0482/klagomål/A 16503-2026 FSC-klagomål.docx", "A 16503-2026")</f>
        <v/>
      </c>
      <c r="AB42">
        <f>HYPERLINK("https://klasma.github.io/Logging_0482/klagomålsmail/A 16503-2026 FSC-klagomål mail.docx", "A 16503-2026")</f>
        <v/>
      </c>
      <c r="AC42">
        <f>HYPERLINK("https://klasma.github.io/Logging_0482/tillsyn/A 16503-2026 tillsynsbegäran.docx", "A 16503-2026")</f>
        <v/>
      </c>
      <c r="AD42">
        <f>HYPERLINK("https://klasma.github.io/Logging_0482/tillsynsmail/A 16503-2026 tillsynsbegäran mail.docx", "A 16503-2026")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46276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46276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11115-2026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46276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7.8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6</v>
      </c>
      <c r="U45" t="n">
        <v>6</v>
      </c>
      <c r="V45" s="2" t="inlineStr">
        <is>
          <t>Dropptaggsvamp
Fönsterlav
Grå renlav
Gulvit renlav</t>
        </is>
      </c>
      <c r="W45">
        <f>HYPERLINK("https://klasma.github.io/Logging_0482/artfynd/A 11115-2026 artfynd.xlsx", "A 11115-2026")</f>
        <v/>
      </c>
      <c r="X45">
        <f>HYPERLINK("https://klasma.github.io/Logging_0482/kartor/A 11115-2026 karta.png", "A 11115-2026")</f>
        <v/>
      </c>
      <c r="Y45">
        <f>HYPERLINK("https://klasma.github.io/Logging_0482/kartor_geotiff/A 11115-2026 georefererad karta.tif", "A 11115-2026")</f>
        <v/>
      </c>
      <c r="AA45">
        <f>HYPERLINK("https://klasma.github.io/Logging_0482/klagomål/A 11115-2026 FSC-klagomål.docx", "A 11115-2026")</f>
        <v/>
      </c>
      <c r="AB45">
        <f>HYPERLINK("https://klasma.github.io/Logging_0482/klagomålsmail/A 11115-2026 FSC-klagomål mail.docx", "A 11115-2026")</f>
        <v/>
      </c>
      <c r="AC45">
        <f>HYPERLINK("https://klasma.github.io/Logging_0482/tillsyn/A 11115-2026 tillsynsbegäran.docx", "A 11115-2026")</f>
        <v/>
      </c>
      <c r="AD45">
        <f>HYPERLINK("https://klasma.github.io/Logging_0482/tillsynsmail/A 11115-2026 tillsynsbegäran mail.docx", "A 11115-2026")</f>
        <v/>
      </c>
    </row>
    <row r="46" ht="15" customHeight="1">
      <c r="A46" t="inlineStr">
        <is>
          <t>A 21004-2025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46276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1.8</v>
      </c>
      <c r="J46" t="n">
        <v>0</v>
      </c>
      <c r="K46" t="n">
        <v>1</v>
      </c>
      <c r="L46" t="n">
        <v>2</v>
      </c>
      <c r="M46" t="n">
        <v>0</v>
      </c>
      <c r="N46" t="n">
        <v>1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0</v>
      </c>
      <c r="V46" s="2" t="inlineStr">
        <is>
          <t>Ask
Parknål
Tallticka
Brun nållav</t>
        </is>
      </c>
      <c r="W46">
        <f>HYPERLINK("https://klasma.github.io/Logging_0482/artfynd/A 21004-2025 artfynd.xlsx", "A 21004-2025")</f>
        <v/>
      </c>
      <c r="X46">
        <f>HYPERLINK("https://klasma.github.io/Logging_0482/kartor/A 21004-2025 karta.png", "A 21004-2025")</f>
        <v/>
      </c>
      <c r="Y46">
        <f>HYPERLINK("https://klasma.github.io/Logging_0482/kartor_geotiff/A 21004-2025 georefererad karta.tif", "A 21004-2025")</f>
        <v/>
      </c>
      <c r="AA46">
        <f>HYPERLINK("https://klasma.github.io/Logging_0482/klagomål/A 21004-2025 FSC-klagomål.docx", "A 21004-2025")</f>
        <v/>
      </c>
      <c r="AB46">
        <f>HYPERLINK("https://klasma.github.io/Logging_0482/klagomålsmail/A 21004-2025 FSC-klagomål mail.docx", "A 21004-2025")</f>
        <v/>
      </c>
      <c r="AC46">
        <f>HYPERLINK("https://klasma.github.io/Logging_0482/tillsyn/A 21004-2025 tillsynsbegäran.docx", "A 21004-2025")</f>
        <v/>
      </c>
      <c r="AD46">
        <f>HYPERLINK("https://klasma.github.io/Logging_0482/tillsynsmail/A 21004-2025 tillsynsbegäran mail.docx", "A 21004-2025")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46276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46276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46276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9539-2026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46276</v>
      </c>
      <c r="F50" t="inlineStr">
        <is>
          <t>SÖDERMANLANDS LÄN</t>
        </is>
      </c>
      <c r="G50" t="inlineStr">
        <is>
          <t>FLEN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Ask
Slåtterfibbla
Blåsippa</t>
        </is>
      </c>
      <c r="W50">
        <f>HYPERLINK("https://klasma.github.io/Logging_0482/artfynd/A 9539-2026 artfynd.xlsx", "A 9539-2026")</f>
        <v/>
      </c>
      <c r="X50">
        <f>HYPERLINK("https://klasma.github.io/Logging_0482/kartor/A 9539-2026 karta.png", "A 9539-2026")</f>
        <v/>
      </c>
      <c r="Y50">
        <f>HYPERLINK("https://klasma.github.io/Logging_0482/kartor_geotiff/A 9539-2026 georefererad karta.tif", "A 9539-2026")</f>
        <v/>
      </c>
      <c r="AA50">
        <f>HYPERLINK("https://klasma.github.io/Logging_0482/klagomål/A 9539-2026 FSC-klagomål.docx", "A 9539-2026")</f>
        <v/>
      </c>
      <c r="AB50">
        <f>HYPERLINK("https://klasma.github.io/Logging_0482/klagomålsmail/A 9539-2026 FSC-klagomål mail.docx", "A 9539-2026")</f>
        <v/>
      </c>
      <c r="AC50">
        <f>HYPERLINK("https://klasma.github.io/Logging_0482/tillsyn/A 9539-2026 tillsynsbegäran.docx", "A 9539-2026")</f>
        <v/>
      </c>
      <c r="AD50">
        <f>HYPERLINK("https://klasma.github.io/Logging_0482/tillsynsmail/A 9539-2026 tillsynsbegäran mail.docx", "A 9539-2026")</f>
        <v/>
      </c>
    </row>
    <row r="51" ht="15" customHeight="1">
      <c r="A51" t="inlineStr">
        <is>
          <t>A 9512-2026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46276</v>
      </c>
      <c r="F51" t="inlineStr">
        <is>
          <t>SÖDERMANLANDS LÄN</t>
        </is>
      </c>
      <c r="G51" t="inlineStr">
        <is>
          <t>FLEN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Gullpudra
Bäckbräsma
Hultbräken</t>
        </is>
      </c>
      <c r="W51">
        <f>HYPERLINK("https://klasma.github.io/Logging_0482/artfynd/A 9512-2026 artfynd.xlsx", "A 9512-2026")</f>
        <v/>
      </c>
      <c r="X51">
        <f>HYPERLINK("https://klasma.github.io/Logging_0482/kartor/A 9512-2026 karta.png", "A 9512-2026")</f>
        <v/>
      </c>
      <c r="Y51">
        <f>HYPERLINK("https://klasma.github.io/Logging_0482/kartor_geotiff/A 9512-2026 georefererad karta.tif", "A 9512-2026")</f>
        <v/>
      </c>
      <c r="AA51">
        <f>HYPERLINK("https://klasma.github.io/Logging_0482/klagomål/A 9512-2026 FSC-klagomål.docx", "A 9512-2026")</f>
        <v/>
      </c>
      <c r="AB51">
        <f>HYPERLINK("https://klasma.github.io/Logging_0482/klagomålsmail/A 9512-2026 FSC-klagomål mail.docx", "A 9512-2026")</f>
        <v/>
      </c>
      <c r="AC51">
        <f>HYPERLINK("https://klasma.github.io/Logging_0482/tillsyn/A 9512-2026 tillsynsbegäran.docx", "A 9512-2026")</f>
        <v/>
      </c>
      <c r="AD51">
        <f>HYPERLINK("https://klasma.github.io/Logging_0482/tillsynsmail/A 9512-2026 tillsynsbegäran mail.docx", "A 9512-2026")</f>
        <v/>
      </c>
    </row>
    <row r="52" ht="15" customHeight="1">
      <c r="A52" t="inlineStr">
        <is>
          <t>A 9530-2026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46276</v>
      </c>
      <c r="F52" t="inlineStr">
        <is>
          <t>SÖDERMANLANDS LÄN</t>
        </is>
      </c>
      <c r="G52" t="inlineStr">
        <is>
          <t>FLEN</t>
        </is>
      </c>
      <c r="I52" t="n">
        <v>7.4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Blåmossa
Flagellkvastmossa
Tjäder</t>
        </is>
      </c>
      <c r="W52">
        <f>HYPERLINK("https://klasma.github.io/Logging_0482/artfynd/A 9530-2026 artfynd.xlsx", "A 9530-2026")</f>
        <v/>
      </c>
      <c r="X52">
        <f>HYPERLINK("https://klasma.github.io/Logging_0482/kartor/A 9530-2026 karta.png", "A 9530-2026")</f>
        <v/>
      </c>
      <c r="Y52">
        <f>HYPERLINK("https://klasma.github.io/Logging_0482/kartor_geotiff/A 9530-2026 georefererad karta.tif", "A 9530-2026")</f>
        <v/>
      </c>
      <c r="AA52">
        <f>HYPERLINK("https://klasma.github.io/Logging_0482/klagomål/A 9530-2026 FSC-klagomål.docx", "A 9530-2026")</f>
        <v/>
      </c>
      <c r="AB52">
        <f>HYPERLINK("https://klasma.github.io/Logging_0482/klagomålsmail/A 9530-2026 FSC-klagomål mail.docx", "A 9530-2026")</f>
        <v/>
      </c>
      <c r="AC52">
        <f>HYPERLINK("https://klasma.github.io/Logging_0482/tillsyn/A 9530-2026 tillsynsbegäran.docx", "A 9530-2026")</f>
        <v/>
      </c>
      <c r="AD52">
        <f>HYPERLINK("https://klasma.github.io/Logging_0482/tillsynsmail/A 9530-2026 tillsynsbegäran mail.docx", "A 9530-2026")</f>
        <v/>
      </c>
      <c r="AE52">
        <f>HYPERLINK("https://klasma.github.io/Logging_0482/fåglar/A 9530-2026 prioriterade fågelarter.docx", "A 9530-2026")</f>
        <v/>
      </c>
    </row>
    <row r="53" ht="15" customHeight="1">
      <c r="A53" t="inlineStr">
        <is>
          <t>A 50739-2025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46276</v>
      </c>
      <c r="F53" t="inlineStr">
        <is>
          <t>SÖDERMANLANDS LÄN</t>
        </is>
      </c>
      <c r="G53" t="inlineStr">
        <is>
          <t>FLEN</t>
        </is>
      </c>
      <c r="H53" t="inlineStr">
        <is>
          <t>Holmen skog AB</t>
        </is>
      </c>
      <c r="I53" t="n">
        <v>4.4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Skogsalm
Skogsbräsma
Svart trolldruva</t>
        </is>
      </c>
      <c r="W53">
        <f>HYPERLINK("https://klasma.github.io/Logging_0482/artfynd/A 50739-2025 artfynd.xlsx", "A 50739-2025")</f>
        <v/>
      </c>
      <c r="X53">
        <f>HYPERLINK("https://klasma.github.io/Logging_0482/kartor/A 50739-2025 karta.png", "A 50739-2025")</f>
        <v/>
      </c>
      <c r="Y53">
        <f>HYPERLINK("https://klasma.github.io/Logging_0482/kartor_geotiff/A 50739-2025 georefererad karta.tif", "A 50739-2025")</f>
        <v/>
      </c>
      <c r="AA53">
        <f>HYPERLINK("https://klasma.github.io/Logging_0482/klagomål/A 50739-2025 FSC-klagomål.docx", "A 50739-2025")</f>
        <v/>
      </c>
      <c r="AB53">
        <f>HYPERLINK("https://klasma.github.io/Logging_0482/klagomålsmail/A 50739-2025 FSC-klagomål mail.docx", "A 50739-2025")</f>
        <v/>
      </c>
      <c r="AC53">
        <f>HYPERLINK("https://klasma.github.io/Logging_0482/tillsyn/A 50739-2025 tillsynsbegäran.docx", "A 50739-2025")</f>
        <v/>
      </c>
      <c r="AD53">
        <f>HYPERLINK("https://klasma.github.io/Logging_0482/tillsynsmail/A 50739-2025 tillsynsbegäran mail.docx", "A 50739-2025")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46276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Majbräken
Sälg</t>
        </is>
      </c>
      <c r="W54">
        <f>HYPERLINK("https://klasma.github.io/Logging_0482/artfynd/A 17512-2026 artfynd.xlsx", "A 17512-2026")</f>
        <v/>
      </c>
      <c r="X54">
        <f>HYPERLINK("https://klasma.github.io/Logging_0482/kartor/A 17512-2026 karta.png", "A 17512-2026")</f>
        <v/>
      </c>
      <c r="Y54">
        <f>HYPERLINK("https://klasma.github.io/Logging_0482/kartor_geotiff/A 17512-2026 georefererad karta.tif", "A 17512-2026")</f>
        <v/>
      </c>
      <c r="AA54">
        <f>HYPERLINK("https://klasma.github.io/Logging_0482/klagomål/A 17512-2026 FSC-klagomål.docx", "A 17512-2026")</f>
        <v/>
      </c>
      <c r="AB54">
        <f>HYPERLINK("https://klasma.github.io/Logging_0482/klagomålsmail/A 17512-2026 FSC-klagomål mail.docx", "A 17512-2026")</f>
        <v/>
      </c>
      <c r="AC54">
        <f>HYPERLINK("https://klasma.github.io/Logging_0482/tillsyn/A 17512-2026 tillsynsbegäran.docx", "A 17512-2026")</f>
        <v/>
      </c>
      <c r="AD54">
        <f>HYPERLINK("https://klasma.github.io/Logging_0482/tillsynsmail/A 17512-2026 tillsynsbegäran mail.docx", "A 17512-2026")</f>
        <v/>
      </c>
    </row>
    <row r="55" ht="15" customHeight="1">
      <c r="A55" t="inlineStr">
        <is>
          <t>A 22839-2025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45789</v>
      </c>
      <c r="E55" s="1" t="n">
        <v>46276</v>
      </c>
      <c r="F55" t="inlineStr">
        <is>
          <t>SÖDERMANLANDS LÄN</t>
        </is>
      </c>
      <c r="G55" t="inlineStr">
        <is>
          <t>FLEN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Blåsippa
Ekbräken
Missne</t>
        </is>
      </c>
      <c r="W55">
        <f>HYPERLINK("https://klasma.github.io/Logging_0482/artfynd/A 22839-2025 artfynd.xlsx", "A 22839-2025")</f>
        <v/>
      </c>
      <c r="X55">
        <f>HYPERLINK("https://klasma.github.io/Logging_0482/kartor/A 22839-2025 karta.png", "A 22839-2025")</f>
        <v/>
      </c>
      <c r="Y55">
        <f>HYPERLINK("https://klasma.github.io/Logging_0482/kartor_geotiff/A 22839-2025 georefererad karta.tif", "A 22839-2025")</f>
        <v/>
      </c>
      <c r="AA55">
        <f>HYPERLINK("https://klasma.github.io/Logging_0482/klagomål/A 22839-2025 FSC-klagomål.docx", "A 22839-2025")</f>
        <v/>
      </c>
      <c r="AB55">
        <f>HYPERLINK("https://klasma.github.io/Logging_0482/klagomålsmail/A 22839-2025 FSC-klagomål mail.docx", "A 22839-2025")</f>
        <v/>
      </c>
      <c r="AC55">
        <f>HYPERLINK("https://klasma.github.io/Logging_0482/tillsyn/A 22839-2025 tillsynsbegäran.docx", "A 22839-2025")</f>
        <v/>
      </c>
      <c r="AD55">
        <f>HYPERLINK("https://klasma.github.io/Logging_0482/tillsynsmail/A 22839-2025 tillsynsbegäran mail.docx", "A 22839-2025")</f>
        <v/>
      </c>
    </row>
    <row r="56" ht="15" customHeight="1">
      <c r="A56" t="inlineStr">
        <is>
          <t>A 54302-2025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45965</v>
      </c>
      <c r="E56" s="1" t="n">
        <v>46276</v>
      </c>
      <c r="F56" t="inlineStr">
        <is>
          <t>SÖDERMANLANDS LÄN</t>
        </is>
      </c>
      <c r="G56" t="inlineStr">
        <is>
          <t>FLEN</t>
        </is>
      </c>
      <c r="I56" t="n">
        <v>12.6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Dofttaggsvamp
Svinrot
Mattlummer</t>
        </is>
      </c>
      <c r="W56">
        <f>HYPERLINK("https://klasma.github.io/Logging_0482/artfynd/A 54302-2025 artfynd.xlsx", "A 54302-2025")</f>
        <v/>
      </c>
      <c r="X56">
        <f>HYPERLINK("https://klasma.github.io/Logging_0482/kartor/A 54302-2025 karta.png", "A 54302-2025")</f>
        <v/>
      </c>
      <c r="Y56">
        <f>HYPERLINK("https://klasma.github.io/Logging_0482/kartor_geotiff/A 54302-2025 georefererad karta.tif", "A 54302-2025")</f>
        <v/>
      </c>
      <c r="AA56">
        <f>HYPERLINK("https://klasma.github.io/Logging_0482/klagomål/A 54302-2025 FSC-klagomål.docx", "A 54302-2025")</f>
        <v/>
      </c>
      <c r="AB56">
        <f>HYPERLINK("https://klasma.github.io/Logging_0482/klagomålsmail/A 54302-2025 FSC-klagomål mail.docx", "A 54302-2025")</f>
        <v/>
      </c>
      <c r="AC56">
        <f>HYPERLINK("https://klasma.github.io/Logging_0482/tillsyn/A 54302-2025 tillsynsbegäran.docx", "A 54302-2025")</f>
        <v/>
      </c>
      <c r="AD56">
        <f>HYPERLINK("https://klasma.github.io/Logging_0482/tillsynsmail/A 54302-2025 tillsynsbegäran mail.docx", "A 54302-2025")</f>
        <v/>
      </c>
    </row>
    <row r="57" ht="15" customHeight="1">
      <c r="A57" t="inlineStr">
        <is>
          <t>A 2203-2022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44578</v>
      </c>
      <c r="E57" s="1" t="n">
        <v>46276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2.9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Knärot
Grönpyrola
Revlummer</t>
        </is>
      </c>
      <c r="W57">
        <f>HYPERLINK("https://klasma.github.io/Logging_0482/artfynd/A 2203-2022 artfynd.xlsx", "A 2203-2022")</f>
        <v/>
      </c>
      <c r="X57">
        <f>HYPERLINK("https://klasma.github.io/Logging_0482/kartor/A 2203-2022 karta.png", "A 2203-2022")</f>
        <v/>
      </c>
      <c r="Y57">
        <f>HYPERLINK("https://klasma.github.io/Logging_0482/kartor_geotiff/A 2203-2022 georefererad karta.tif", "A 2203-2022")</f>
        <v/>
      </c>
      <c r="Z57">
        <f>HYPERLINK("https://klasma.github.io/Logging_0482/knärot/A 2203-2022 karta knärot.png", "A 2203-2022")</f>
        <v/>
      </c>
      <c r="AA57">
        <f>HYPERLINK("https://klasma.github.io/Logging_0482/klagomål/A 2203-2022 FSC-klagomål.docx", "A 2203-2022")</f>
        <v/>
      </c>
      <c r="AB57">
        <f>HYPERLINK("https://klasma.github.io/Logging_0482/klagomålsmail/A 2203-2022 FSC-klagomål mail.docx", "A 2203-2022")</f>
        <v/>
      </c>
      <c r="AC57">
        <f>HYPERLINK("https://klasma.github.io/Logging_0482/tillsyn/A 2203-2022 tillsynsbegäran.docx", "A 2203-2022")</f>
        <v/>
      </c>
      <c r="AD57">
        <f>HYPERLINK("https://klasma.github.io/Logging_0482/tillsynsmail/A 2203-2022 tillsynsbegäran mail.docx", "A 2203-2022")</f>
        <v/>
      </c>
    </row>
    <row r="58" ht="15" customHeight="1">
      <c r="A58" t="inlineStr">
        <is>
          <t>A 63185-2023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45272</v>
      </c>
      <c r="E58" s="1" t="n">
        <v>46276</v>
      </c>
      <c r="F58" t="inlineStr">
        <is>
          <t>SÖDERMANLANDS LÄN</t>
        </is>
      </c>
      <c r="G58" t="inlineStr">
        <is>
          <t>FLEN</t>
        </is>
      </c>
      <c r="I58" t="n">
        <v>2.8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Gullklöver
Majbräken
Sälg</t>
        </is>
      </c>
      <c r="W58">
        <f>HYPERLINK("https://klasma.github.io/Logging_0482/artfynd/A 63185-2023 artfynd.xlsx", "A 63185-2023")</f>
        <v/>
      </c>
      <c r="X58">
        <f>HYPERLINK("https://klasma.github.io/Logging_0482/kartor/A 63185-2023 karta.png", "A 63185-2023")</f>
        <v/>
      </c>
      <c r="Y58">
        <f>HYPERLINK("https://klasma.github.io/Logging_0482/kartor_geotiff/A 63185-2023 georefererad karta.tif", "A 63185-2023")</f>
        <v/>
      </c>
      <c r="AA58">
        <f>HYPERLINK("https://klasma.github.io/Logging_0482/klagomål/A 63185-2023 FSC-klagomål.docx", "A 63185-2023")</f>
        <v/>
      </c>
      <c r="AB58">
        <f>HYPERLINK("https://klasma.github.io/Logging_0482/klagomålsmail/A 63185-2023 FSC-klagomål mail.docx", "A 63185-2023")</f>
        <v/>
      </c>
      <c r="AC58">
        <f>HYPERLINK("https://klasma.github.io/Logging_0482/tillsyn/A 63185-2023 tillsynsbegäran.docx", "A 63185-2023")</f>
        <v/>
      </c>
      <c r="AD58">
        <f>HYPERLINK("https://klasma.github.io/Logging_0482/tillsynsmail/A 63185-2023 tillsynsbegäran mail.docx", "A 63185-2023")</f>
        <v/>
      </c>
    </row>
    <row r="59" ht="15" customHeight="1">
      <c r="A59" t="inlineStr">
        <is>
          <t>A 1149-2025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46276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Tallkötticka
Grönpyrola
Kamjordstjärna</t>
        </is>
      </c>
      <c r="W59">
        <f>HYPERLINK("https://klasma.github.io/Logging_0482/artfynd/A 1149-2025 artfynd.xlsx", "A 1149-2025")</f>
        <v/>
      </c>
      <c r="X59">
        <f>HYPERLINK("https://klasma.github.io/Logging_0482/kartor/A 1149-2025 karta.png", "A 1149-2025")</f>
        <v/>
      </c>
      <c r="Y59">
        <f>HYPERLINK("https://klasma.github.io/Logging_0482/kartor_geotiff/A 1149-2025 georefererad karta.tif", "A 1149-2025")</f>
        <v/>
      </c>
      <c r="AA59">
        <f>HYPERLINK("https://klasma.github.io/Logging_0482/klagomål/A 1149-2025 FSC-klagomål.docx", "A 1149-2025")</f>
        <v/>
      </c>
      <c r="AB59">
        <f>HYPERLINK("https://klasma.github.io/Logging_0482/klagomålsmail/A 1149-2025 FSC-klagomål mail.docx", "A 1149-2025")</f>
        <v/>
      </c>
      <c r="AC59">
        <f>HYPERLINK("https://klasma.github.io/Logging_0482/tillsyn/A 1149-2025 tillsynsbegäran.docx", "A 1149-2025")</f>
        <v/>
      </c>
      <c r="AD59">
        <f>HYPERLINK("https://klasma.github.io/Logging_0482/tillsynsmail/A 1149-2025 tillsynsbegäran mail.docx", "A 1149-2025")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46276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46276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46276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46276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46276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46276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46276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46276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46276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46276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46276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46276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46276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8887-2026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46068</v>
      </c>
      <c r="E73" s="1" t="n">
        <v>46276</v>
      </c>
      <c r="F73" t="inlineStr">
        <is>
          <t>SÖDERMANLANDS LÄN</t>
        </is>
      </c>
      <c r="G73" t="inlineStr">
        <is>
          <t>FLEN</t>
        </is>
      </c>
      <c r="I73" t="n">
        <v>2.1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Större vattensalamander
Mindre vattensalamander</t>
        </is>
      </c>
      <c r="W73">
        <f>HYPERLINK("https://klasma.github.io/Logging_0482/artfynd/A 8887-2026 artfynd.xlsx", "A 8887-2026")</f>
        <v/>
      </c>
      <c r="X73">
        <f>HYPERLINK("https://klasma.github.io/Logging_0482/kartor/A 8887-2026 karta.png", "A 8887-2026")</f>
        <v/>
      </c>
      <c r="Y73">
        <f>HYPERLINK("https://klasma.github.io/Logging_0482/kartor_geotiff/A 8887-2026 georefererad karta.tif", "A 8887-2026")</f>
        <v/>
      </c>
      <c r="AA73">
        <f>HYPERLINK("https://klasma.github.io/Logging_0482/klagomål/A 8887-2026 FSC-klagomål.docx", "A 8887-2026")</f>
        <v/>
      </c>
      <c r="AB73">
        <f>HYPERLINK("https://klasma.github.io/Logging_0482/klagomålsmail/A 8887-2026 FSC-klagomål mail.docx", "A 8887-2026")</f>
        <v/>
      </c>
      <c r="AC73">
        <f>HYPERLINK("https://klasma.github.io/Logging_0482/tillsyn/A 8887-2026 tillsynsbegäran.docx", "A 8887-2026")</f>
        <v/>
      </c>
      <c r="AD73">
        <f>HYPERLINK("https://klasma.github.io/Logging_0482/tillsynsmail/A 8887-2026 tillsynsbegäran mail.docx", "A 8887-2026")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46276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32744-2025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45838</v>
      </c>
      <c r="E75" s="1" t="n">
        <v>46276</v>
      </c>
      <c r="F75" t="inlineStr">
        <is>
          <t>SÖDERMANLANDS LÄN</t>
        </is>
      </c>
      <c r="G75" t="inlineStr">
        <is>
          <t>FLEN</t>
        </is>
      </c>
      <c r="I75" t="n">
        <v>1.8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Ekticka
Klasefibbla</t>
        </is>
      </c>
      <c r="W75">
        <f>HYPERLINK("https://klasma.github.io/Logging_0482/artfynd/A 32744-2025 artfynd.xlsx", "A 32744-2025")</f>
        <v/>
      </c>
      <c r="X75">
        <f>HYPERLINK("https://klasma.github.io/Logging_0482/kartor/A 32744-2025 karta.png", "A 32744-2025")</f>
        <v/>
      </c>
      <c r="Y75">
        <f>HYPERLINK("https://klasma.github.io/Logging_0482/kartor_geotiff/A 32744-2025 georefererad karta.tif", "A 32744-2025")</f>
        <v/>
      </c>
      <c r="AA75">
        <f>HYPERLINK("https://klasma.github.io/Logging_0482/klagomål/A 32744-2025 FSC-klagomål.docx", "A 32744-2025")</f>
        <v/>
      </c>
      <c r="AB75">
        <f>HYPERLINK("https://klasma.github.io/Logging_0482/klagomålsmail/A 32744-2025 FSC-klagomål mail.docx", "A 32744-2025")</f>
        <v/>
      </c>
      <c r="AC75">
        <f>HYPERLINK("https://klasma.github.io/Logging_0482/tillsyn/A 32744-2025 tillsynsbegäran.docx", "A 32744-2025")</f>
        <v/>
      </c>
      <c r="AD75">
        <f>HYPERLINK("https://klasma.github.io/Logging_0482/tillsynsmail/A 32744-2025 tillsynsbegäran mail.docx", "A 32744-2025")</f>
        <v/>
      </c>
    </row>
    <row r="76" ht="15" customHeight="1">
      <c r="A76" t="inlineStr">
        <is>
          <t>A 15452-2024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46276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Svinrot
Älg</t>
        </is>
      </c>
      <c r="W76">
        <f>HYPERLINK("https://klasma.github.io/Logging_0482/artfynd/A 15452-2024 artfynd.xlsx", "A 15452-2024")</f>
        <v/>
      </c>
      <c r="X76">
        <f>HYPERLINK("https://klasma.github.io/Logging_0482/kartor/A 15452-2024 karta.png", "A 15452-2024")</f>
        <v/>
      </c>
      <c r="Y76">
        <f>HYPERLINK("https://klasma.github.io/Logging_0482/kartor_geotiff/A 15452-2024 georefererad karta.tif", "A 15452-2024")</f>
        <v/>
      </c>
      <c r="AA76">
        <f>HYPERLINK("https://klasma.github.io/Logging_0482/klagomål/A 15452-2024 FSC-klagomål.docx", "A 15452-2024")</f>
        <v/>
      </c>
      <c r="AB76">
        <f>HYPERLINK("https://klasma.github.io/Logging_0482/klagomålsmail/A 15452-2024 FSC-klagomål mail.docx", "A 15452-2024")</f>
        <v/>
      </c>
      <c r="AC76">
        <f>HYPERLINK("https://klasma.github.io/Logging_0482/tillsyn/A 15452-2024 tillsynsbegäran.docx", "A 15452-2024")</f>
        <v/>
      </c>
      <c r="AD76">
        <f>HYPERLINK("https://klasma.github.io/Logging_0482/tillsynsmail/A 15452-2024 tillsynsbegäran mail.docx", "A 15452-2024")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46276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44474</v>
      </c>
      <c r="E78" s="1" t="n">
        <v>46276</v>
      </c>
      <c r="F78" t="inlineStr">
        <is>
          <t>SÖDERMANLANDS LÄN</t>
        </is>
      </c>
      <c r="G78" t="inlineStr">
        <is>
          <t>FLEN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Sälg
Huggorm</t>
        </is>
      </c>
      <c r="W78">
        <f>HYPERLINK("https://klasma.github.io/Logging_0482/artfynd/A 55092-2021 artfynd.xlsx", "A 55092-2021")</f>
        <v/>
      </c>
      <c r="X78">
        <f>HYPERLINK("https://klasma.github.io/Logging_0482/kartor/A 55092-2021 karta.png", "A 55092-2021")</f>
        <v/>
      </c>
      <c r="Y78">
        <f>HYPERLINK("https://klasma.github.io/Logging_0482/kartor_geotiff/A 55092-2021 georefererad karta.tif", "A 55092-2021")</f>
        <v/>
      </c>
      <c r="AA78">
        <f>HYPERLINK("https://klasma.github.io/Logging_0482/klagomål/A 55092-2021 FSC-klagomål.docx", "A 55092-2021")</f>
        <v/>
      </c>
      <c r="AB78">
        <f>HYPERLINK("https://klasma.github.io/Logging_0482/klagomålsmail/A 55092-2021 FSC-klagomål mail.docx", "A 55092-2021")</f>
        <v/>
      </c>
      <c r="AC78">
        <f>HYPERLINK("https://klasma.github.io/Logging_0482/tillsyn/A 55092-2021 tillsynsbegäran.docx", "A 55092-2021")</f>
        <v/>
      </c>
      <c r="AD78">
        <f>HYPERLINK("https://klasma.github.io/Logging_0482/tillsynsmail/A 55092-2021 tillsynsbegäran mail.docx", "A 55092-2021")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46276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46276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46276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22511-2026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46155</v>
      </c>
      <c r="E82" s="1" t="n">
        <v>46276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Ormbär
Skriftlav</t>
        </is>
      </c>
      <c r="W82">
        <f>HYPERLINK("https://klasma.github.io/Logging_0482/artfynd/A 22511-2026 artfynd.xlsx", "A 22511-2026")</f>
        <v/>
      </c>
      <c r="X82">
        <f>HYPERLINK("https://klasma.github.io/Logging_0482/kartor/A 22511-2026 karta.png", "A 22511-2026")</f>
        <v/>
      </c>
      <c r="Y82">
        <f>HYPERLINK("https://klasma.github.io/Logging_0482/kartor_geotiff/A 22511-2026 georefererad karta.tif", "A 22511-2026")</f>
        <v/>
      </c>
      <c r="AA82">
        <f>HYPERLINK("https://klasma.github.io/Logging_0482/klagomål/A 22511-2026 FSC-klagomål.docx", "A 22511-2026")</f>
        <v/>
      </c>
      <c r="AB82">
        <f>HYPERLINK("https://klasma.github.io/Logging_0482/klagomålsmail/A 22511-2026 FSC-klagomål mail.docx", "A 22511-2026")</f>
        <v/>
      </c>
      <c r="AC82">
        <f>HYPERLINK("https://klasma.github.io/Logging_0482/tillsyn/A 22511-2026 tillsynsbegäran.docx", "A 22511-2026")</f>
        <v/>
      </c>
      <c r="AD82">
        <f>HYPERLINK("https://klasma.github.io/Logging_0482/tillsynsmail/A 22511-2026 tillsynsbegäran mail.docx", "A 22511-2026")</f>
        <v/>
      </c>
    </row>
    <row r="83" ht="15" customHeight="1">
      <c r="A83" t="inlineStr">
        <is>
          <t>A 22101-2023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46276</v>
      </c>
      <c r="F83" t="inlineStr">
        <is>
          <t>SÖDERMANLANDS LÄN</t>
        </is>
      </c>
      <c r="G83" t="inlineStr">
        <is>
          <t>FLEN</t>
        </is>
      </c>
      <c r="I83" t="n">
        <v>2.7</v>
      </c>
      <c r="J83" t="n">
        <v>2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Bombmurkla
Blåsippa</t>
        </is>
      </c>
      <c r="W83">
        <f>HYPERLINK("https://klasma.github.io/Logging_0482/artfynd/A 22101-2023 artfynd.xlsx", "A 22101-2023")</f>
        <v/>
      </c>
      <c r="X83">
        <f>HYPERLINK("https://klasma.github.io/Logging_0482/kartor/A 22101-2023 karta.png", "A 22101-2023")</f>
        <v/>
      </c>
      <c r="Y83">
        <f>HYPERLINK("https://klasma.github.io/Logging_0482/kartor_geotiff/A 22101-2023 georefererad karta.tif", "A 22101-2023")</f>
        <v/>
      </c>
      <c r="AA83">
        <f>HYPERLINK("https://klasma.github.io/Logging_0482/klagomål/A 22101-2023 FSC-klagomål.docx", "A 22101-2023")</f>
        <v/>
      </c>
      <c r="AB83">
        <f>HYPERLINK("https://klasma.github.io/Logging_0482/klagomålsmail/A 22101-2023 FSC-klagomål mail.docx", "A 22101-2023")</f>
        <v/>
      </c>
      <c r="AC83">
        <f>HYPERLINK("https://klasma.github.io/Logging_0482/tillsyn/A 22101-2023 tillsynsbegäran.docx", "A 22101-2023")</f>
        <v/>
      </c>
      <c r="AD83">
        <f>HYPERLINK("https://klasma.github.io/Logging_0482/tillsynsmail/A 22101-2023 tillsynsbegäran mail.docx", "A 22101-2023")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46276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15557-2026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46276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4</v>
      </c>
      <c r="U85" t="n">
        <v>0</v>
      </c>
      <c r="V85" s="2" t="inlineStr">
        <is>
          <t>Gullklöver
Svinrot</t>
        </is>
      </c>
      <c r="W85">
        <f>HYPERLINK("https://klasma.github.io/Logging_0482/artfynd/A 15557-2026 artfynd.xlsx", "A 15557-2026")</f>
        <v/>
      </c>
      <c r="X85">
        <f>HYPERLINK("https://klasma.github.io/Logging_0482/kartor/A 15557-2026 karta.png", "A 15557-2026")</f>
        <v/>
      </c>
      <c r="Y85">
        <f>HYPERLINK("https://klasma.github.io/Logging_0482/kartor_geotiff/A 15557-2026 georefererad karta.tif", "A 15557-2026")</f>
        <v/>
      </c>
      <c r="AA85">
        <f>HYPERLINK("https://klasma.github.io/Logging_0482/klagomål/A 15557-2026 FSC-klagomål.docx", "A 15557-2026")</f>
        <v/>
      </c>
      <c r="AB85">
        <f>HYPERLINK("https://klasma.github.io/Logging_0482/klagomålsmail/A 15557-2026 FSC-klagomål mail.docx", "A 15557-2026")</f>
        <v/>
      </c>
      <c r="AC85">
        <f>HYPERLINK("https://klasma.github.io/Logging_0482/tillsyn/A 15557-2026 tillsynsbegäran.docx", "A 15557-2026")</f>
        <v/>
      </c>
      <c r="AD85">
        <f>HYPERLINK("https://klasma.github.io/Logging_0482/tillsynsmail/A 15557-2026 tillsynsbegäran mail.docx", "A 15557-2026")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46276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39240-2023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46276</v>
      </c>
      <c r="F87" t="inlineStr">
        <is>
          <t>SÖDERMANLANDS LÄN</t>
        </is>
      </c>
      <c r="G87" t="inlineStr">
        <is>
          <t>FLEN</t>
        </is>
      </c>
      <c r="H87" t="inlineStr">
        <is>
          <t>Holmen skog AB</t>
        </is>
      </c>
      <c r="I87" t="n">
        <v>4.6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Motaggsvamp
Blodticka</t>
        </is>
      </c>
      <c r="W87">
        <f>HYPERLINK("https://klasma.github.io/Logging_0482/artfynd/A 39240-2023 artfynd.xlsx", "A 39240-2023")</f>
        <v/>
      </c>
      <c r="X87">
        <f>HYPERLINK("https://klasma.github.io/Logging_0482/kartor/A 39240-2023 karta.png", "A 39240-2023")</f>
        <v/>
      </c>
      <c r="Y87">
        <f>HYPERLINK("https://klasma.github.io/Logging_0482/kartor_geotiff/A 39240-2023 georefererad karta.tif", "A 39240-2023")</f>
        <v/>
      </c>
      <c r="AA87">
        <f>HYPERLINK("https://klasma.github.io/Logging_0482/klagomål/A 39240-2023 FSC-klagomål.docx", "A 39240-2023")</f>
        <v/>
      </c>
      <c r="AB87">
        <f>HYPERLINK("https://klasma.github.io/Logging_0482/klagomålsmail/A 39240-2023 FSC-klagomål mail.docx", "A 39240-2023")</f>
        <v/>
      </c>
      <c r="AC87">
        <f>HYPERLINK("https://klasma.github.io/Logging_0482/tillsyn/A 39240-2023 tillsynsbegäran.docx", "A 39240-2023")</f>
        <v/>
      </c>
      <c r="AD87">
        <f>HYPERLINK("https://klasma.github.io/Logging_0482/tillsynsmail/A 39240-2023 tillsynsbegäran mail.docx", "A 39240-2023")</f>
        <v/>
      </c>
    </row>
    <row r="88" ht="15" customHeight="1">
      <c r="A88" t="inlineStr">
        <is>
          <t>A 47194-2022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46276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Gullklöver
Svinrot</t>
        </is>
      </c>
      <c r="W88">
        <f>HYPERLINK("https://klasma.github.io/Logging_0482/artfynd/A 47194-2022 artfynd.xlsx", "A 47194-2022")</f>
        <v/>
      </c>
      <c r="X88">
        <f>HYPERLINK("https://klasma.github.io/Logging_0482/kartor/A 47194-2022 karta.png", "A 47194-2022")</f>
        <v/>
      </c>
      <c r="Y88">
        <f>HYPERLINK("https://klasma.github.io/Logging_0482/kartor_geotiff/A 47194-2022 georefererad karta.tif", "A 47194-2022")</f>
        <v/>
      </c>
      <c r="AA88">
        <f>HYPERLINK("https://klasma.github.io/Logging_0482/klagomål/A 47194-2022 FSC-klagomål.docx", "A 47194-2022")</f>
        <v/>
      </c>
      <c r="AB88">
        <f>HYPERLINK("https://klasma.github.io/Logging_0482/klagomålsmail/A 47194-2022 FSC-klagomål mail.docx", "A 47194-2022")</f>
        <v/>
      </c>
      <c r="AC88">
        <f>HYPERLINK("https://klasma.github.io/Logging_0482/tillsyn/A 47194-2022 tillsynsbegäran.docx", "A 47194-2022")</f>
        <v/>
      </c>
      <c r="AD88">
        <f>HYPERLINK("https://klasma.github.io/Logging_0482/tillsynsmail/A 47194-2022 tillsynsbegäran mail.docx", "A 47194-2022")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46276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46276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34849-2026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46258</v>
      </c>
      <c r="E91" s="1" t="n">
        <v>46276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5</v>
      </c>
      <c r="U91" t="n">
        <v>0</v>
      </c>
      <c r="V91" s="2" t="inlineStr">
        <is>
          <t>Motaggsvamp
Vedskivlav</t>
        </is>
      </c>
      <c r="W91">
        <f>HYPERLINK("https://klasma.github.io/Logging_0482/artfynd/A 34849-2026 artfynd.xlsx", "A 34849-2026")</f>
        <v/>
      </c>
      <c r="X91">
        <f>HYPERLINK("https://klasma.github.io/Logging_0482/kartor/A 34849-2026 karta.png", "A 34849-2026")</f>
        <v/>
      </c>
      <c r="Y91">
        <f>HYPERLINK("https://klasma.github.io/Logging_0482/kartor_geotiff/A 34849-2026 georefererad karta.tif", "A 34849-2026")</f>
        <v/>
      </c>
      <c r="AA91">
        <f>HYPERLINK("https://klasma.github.io/Logging_0482/klagomål/A 34849-2026 FSC-klagomål.docx", "A 34849-2026")</f>
        <v/>
      </c>
      <c r="AB91">
        <f>HYPERLINK("https://klasma.github.io/Logging_0482/klagomålsmail/A 34849-2026 FSC-klagomål mail.docx", "A 34849-2026")</f>
        <v/>
      </c>
      <c r="AC91">
        <f>HYPERLINK("https://klasma.github.io/Logging_0482/tillsyn/A 34849-2026 tillsynsbegäran.docx", "A 34849-2026")</f>
        <v/>
      </c>
      <c r="AD91">
        <f>HYPERLINK("https://klasma.github.io/Logging_0482/tillsynsmail/A 34849-2026 tillsynsbegäran mail.docx", "A 34849-2026")</f>
        <v/>
      </c>
    </row>
    <row r="92" ht="15" customHeight="1">
      <c r="A92" t="inlineStr">
        <is>
          <t>A 11103-2023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46276</v>
      </c>
      <c r="F92" t="inlineStr">
        <is>
          <t>SÖDERMANLANDS LÄN</t>
        </is>
      </c>
      <c r="G92" t="inlineStr">
        <is>
          <t>FLEN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Blåmossa</t>
        </is>
      </c>
      <c r="W92">
        <f>HYPERLINK("https://klasma.github.io/Logging_0482/artfynd/A 11103-2023 artfynd.xlsx", "A 11103-2023")</f>
        <v/>
      </c>
      <c r="X92">
        <f>HYPERLINK("https://klasma.github.io/Logging_0482/kartor/A 11103-2023 karta.png", "A 11103-2023")</f>
        <v/>
      </c>
      <c r="Y92">
        <f>HYPERLINK("https://klasma.github.io/Logging_0482/kartor_geotiff/A 11103-2023 georefererad karta.tif", "A 11103-2023")</f>
        <v/>
      </c>
      <c r="AA92">
        <f>HYPERLINK("https://klasma.github.io/Logging_0482/klagomål/A 11103-2023 FSC-klagomål.docx", "A 11103-2023")</f>
        <v/>
      </c>
      <c r="AB92">
        <f>HYPERLINK("https://klasma.github.io/Logging_0482/klagomålsmail/A 11103-2023 FSC-klagomål mail.docx", "A 11103-2023")</f>
        <v/>
      </c>
      <c r="AC92">
        <f>HYPERLINK("https://klasma.github.io/Logging_0482/tillsyn/A 11103-2023 tillsynsbegäran.docx", "A 11103-2023")</f>
        <v/>
      </c>
      <c r="AD92">
        <f>HYPERLINK("https://klasma.github.io/Logging_0482/tillsynsmail/A 11103-2023 tillsynsbegäran mail.docx", "A 11103-2023")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46276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46276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46276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46276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46276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46276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46276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46276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46276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46276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46276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46276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37283-2024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46276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37283-2024 artfynd.xlsx", "A 37283-2024")</f>
        <v/>
      </c>
      <c r="X105">
        <f>HYPERLINK("https://klasma.github.io/Logging_0482/kartor/A 37283-2024 karta.png", "A 37283-2024")</f>
        <v/>
      </c>
      <c r="Y105">
        <f>HYPERLINK("https://klasma.github.io/Logging_0482/kartor_geotiff/A 37283-2024 georefererad karta.tif", "A 37283-2024")</f>
        <v/>
      </c>
      <c r="AA105">
        <f>HYPERLINK("https://klasma.github.io/Logging_0482/klagomål/A 37283-2024 FSC-klagomål.docx", "A 37283-2024")</f>
        <v/>
      </c>
      <c r="AB105">
        <f>HYPERLINK("https://klasma.github.io/Logging_0482/klagomålsmail/A 37283-2024 FSC-klagomål mail.docx", "A 37283-2024")</f>
        <v/>
      </c>
      <c r="AC105">
        <f>HYPERLINK("https://klasma.github.io/Logging_0482/tillsyn/A 37283-2024 tillsynsbegäran.docx", "A 37283-2024")</f>
        <v/>
      </c>
      <c r="AD105">
        <f>HYPERLINK("https://klasma.github.io/Logging_0482/tillsynsmail/A 37283-2024 tillsynsbegäran mail.docx", "A 37283-2024")</f>
        <v/>
      </c>
    </row>
    <row r="106" ht="15" customHeight="1">
      <c r="A106" t="inlineStr">
        <is>
          <t>A 7525-2024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45348</v>
      </c>
      <c r="E106" s="1" t="n">
        <v>46276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backsmörblomma</t>
        </is>
      </c>
      <c r="W106">
        <f>HYPERLINK("https://klasma.github.io/Logging_0482/artfynd/A 7525-2024 artfynd.xlsx", "A 7525-2024")</f>
        <v/>
      </c>
      <c r="X106">
        <f>HYPERLINK("https://klasma.github.io/Logging_0482/kartor/A 7525-2024 karta.png", "A 7525-2024")</f>
        <v/>
      </c>
      <c r="Y106">
        <f>HYPERLINK("https://klasma.github.io/Logging_0482/kartor_geotiff/A 7525-2024 georefererad karta.tif", "A 7525-2024")</f>
        <v/>
      </c>
      <c r="AA106">
        <f>HYPERLINK("https://klasma.github.io/Logging_0482/klagomål/A 7525-2024 FSC-klagomål.docx", "A 7525-2024")</f>
        <v/>
      </c>
      <c r="AB106">
        <f>HYPERLINK("https://klasma.github.io/Logging_0482/klagomålsmail/A 7525-2024 FSC-klagomål mail.docx", "A 7525-2024")</f>
        <v/>
      </c>
      <c r="AC106">
        <f>HYPERLINK("https://klasma.github.io/Logging_0482/tillsyn/A 7525-2024 tillsynsbegäran.docx", "A 7525-2024")</f>
        <v/>
      </c>
      <c r="AD106">
        <f>HYPERLINK("https://klasma.github.io/Logging_0482/tillsynsmail/A 7525-2024 tillsynsbegäran mail.docx", "A 7525-2024")</f>
        <v/>
      </c>
    </row>
    <row r="107" ht="15" customHeight="1">
      <c r="A107" t="inlineStr">
        <is>
          <t>A 2043-2026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46276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2.1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Scharlakansvaxing</t>
        </is>
      </c>
      <c r="W107">
        <f>HYPERLINK("https://klasma.github.io/Logging_0482/artfynd/A 2043-2026 artfynd.xlsx", "A 2043-2026")</f>
        <v/>
      </c>
      <c r="X107">
        <f>HYPERLINK("https://klasma.github.io/Logging_0482/kartor/A 2043-2026 karta.png", "A 2043-2026")</f>
        <v/>
      </c>
      <c r="Y107">
        <f>HYPERLINK("https://klasma.github.io/Logging_0482/kartor_geotiff/A 2043-2026 georefererad karta.tif", "A 2043-2026")</f>
        <v/>
      </c>
      <c r="AA107">
        <f>HYPERLINK("https://klasma.github.io/Logging_0482/klagomål/A 2043-2026 FSC-klagomål.docx", "A 2043-2026")</f>
        <v/>
      </c>
      <c r="AB107">
        <f>HYPERLINK("https://klasma.github.io/Logging_0482/klagomålsmail/A 2043-2026 FSC-klagomål mail.docx", "A 2043-2026")</f>
        <v/>
      </c>
      <c r="AC107">
        <f>HYPERLINK("https://klasma.github.io/Logging_0482/tillsyn/A 2043-2026 tillsynsbegäran.docx", "A 2043-2026")</f>
        <v/>
      </c>
      <c r="AD107">
        <f>HYPERLINK("https://klasma.github.io/Logging_0482/tillsynsmail/A 2043-2026 tillsynsbegäran mail.docx", "A 2043-2026")</f>
        <v/>
      </c>
    </row>
    <row r="108" ht="15" customHeight="1">
      <c r="A108" t="inlineStr">
        <is>
          <t>A 31427-2022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46276</v>
      </c>
      <c r="F108" t="inlineStr">
        <is>
          <t>SÖDERMANLANDS LÄN</t>
        </is>
      </c>
      <c r="G108" t="inlineStr">
        <is>
          <t>FLEN</t>
        </is>
      </c>
      <c r="I108" t="n">
        <v>3.7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HYPERLINK("https://klasma.github.io/Logging_0482/artfynd/A 31427-2022 artfynd.xlsx", "A 31427-2022")</f>
        <v/>
      </c>
      <c r="X108">
        <f>HYPERLINK("https://klasma.github.io/Logging_0482/kartor/A 31427-2022 karta.png", "A 31427-2022")</f>
        <v/>
      </c>
      <c r="Y108">
        <f>HYPERLINK("https://klasma.github.io/Logging_0482/kartor_geotiff/A 31427-2022 georefererad karta.tif", "A 31427-2022")</f>
        <v/>
      </c>
      <c r="AA108">
        <f>HYPERLINK("https://klasma.github.io/Logging_0482/klagomål/A 31427-2022 FSC-klagomål.docx", "A 31427-2022")</f>
        <v/>
      </c>
      <c r="AB108">
        <f>HYPERLINK("https://klasma.github.io/Logging_0482/klagomålsmail/A 31427-2022 FSC-klagomål mail.docx", "A 31427-2022")</f>
        <v/>
      </c>
      <c r="AC108">
        <f>HYPERLINK("https://klasma.github.io/Logging_0482/tillsyn/A 31427-2022 tillsynsbegäran.docx", "A 31427-2022")</f>
        <v/>
      </c>
      <c r="AD108">
        <f>HYPERLINK("https://klasma.github.io/Logging_0482/tillsynsmail/A 31427-2022 tillsynsbegäran mail.docx", "A 31427-2022")</f>
        <v/>
      </c>
    </row>
    <row r="109" ht="15" customHeight="1">
      <c r="A109" t="inlineStr">
        <is>
          <t>A 2036-2026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46276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HYPERLINK("https://klasma.github.io/Logging_0482/artfynd/A 2036-2026 artfynd.xlsx", "A 2036-2026")</f>
        <v/>
      </c>
      <c r="X109">
        <f>HYPERLINK("https://klasma.github.io/Logging_0482/kartor/A 2036-2026 karta.png", "A 2036-2026")</f>
        <v/>
      </c>
      <c r="Y109">
        <f>HYPERLINK("https://klasma.github.io/Logging_0482/kartor_geotiff/A 2036-2026 georefererad karta.tif", "A 2036-2026")</f>
        <v/>
      </c>
      <c r="Z109">
        <f>HYPERLINK("https://klasma.github.io/Logging_0482/knärot/A 2036-2026 karta knärot.png", "A 2036-2026")</f>
        <v/>
      </c>
      <c r="AA109">
        <f>HYPERLINK("https://klasma.github.io/Logging_0482/klagomål/A 2036-2026 FSC-klagomål.docx", "A 2036-2026")</f>
        <v/>
      </c>
      <c r="AB109">
        <f>HYPERLINK("https://klasma.github.io/Logging_0482/klagomålsmail/A 2036-2026 FSC-klagomål mail.docx", "A 2036-2026")</f>
        <v/>
      </c>
      <c r="AC109">
        <f>HYPERLINK("https://klasma.github.io/Logging_0482/tillsyn/A 2036-2026 tillsynsbegäran.docx", "A 2036-2026")</f>
        <v/>
      </c>
      <c r="AD109">
        <f>HYPERLINK("https://klasma.github.io/Logging_0482/tillsynsmail/A 2036-2026 tillsynsbegäran mail.docx", "A 2036-2026")</f>
        <v/>
      </c>
    </row>
    <row r="110" ht="15" customHeight="1">
      <c r="A110" t="inlineStr">
        <is>
          <t>A 14113-2025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46276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14113-2025 artfynd.xlsx", "A 14113-2025")</f>
        <v/>
      </c>
      <c r="X110">
        <f>HYPERLINK("https://klasma.github.io/Logging_0482/kartor/A 14113-2025 karta.png", "A 14113-2025")</f>
        <v/>
      </c>
      <c r="Y110">
        <f>HYPERLINK("https://klasma.github.io/Logging_0482/kartor_geotiff/A 14113-2025 georefererad karta.tif", "A 14113-2025")</f>
        <v/>
      </c>
      <c r="AA110">
        <f>HYPERLINK("https://klasma.github.io/Logging_0482/klagomål/A 14113-2025 FSC-klagomål.docx", "A 14113-2025")</f>
        <v/>
      </c>
      <c r="AB110">
        <f>HYPERLINK("https://klasma.github.io/Logging_0482/klagomålsmail/A 14113-2025 FSC-klagomål mail.docx", "A 14113-2025")</f>
        <v/>
      </c>
      <c r="AC110">
        <f>HYPERLINK("https://klasma.github.io/Logging_0482/tillsyn/A 14113-2025 tillsynsbegäran.docx", "A 14113-2025")</f>
        <v/>
      </c>
      <c r="AD110">
        <f>HYPERLINK("https://klasma.github.io/Logging_0482/tillsynsmail/A 14113-2025 tillsynsbegäran mail.docx", "A 14113-2025")</f>
        <v/>
      </c>
    </row>
    <row r="111" ht="15" customHeight="1">
      <c r="A111" t="inlineStr">
        <is>
          <t>A 6714-2026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46276</v>
      </c>
      <c r="F111" t="inlineStr">
        <is>
          <t>SÖDERMANLANDS LÄN</t>
        </is>
      </c>
      <c r="G111" t="inlineStr">
        <is>
          <t>FLEN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6714-2026 artfynd.xlsx", "A 6714-2026")</f>
        <v/>
      </c>
      <c r="X111">
        <f>HYPERLINK("https://klasma.github.io/Logging_0482/kartor/A 6714-2026 karta.png", "A 6714-2026")</f>
        <v/>
      </c>
      <c r="Y111">
        <f>HYPERLINK("https://klasma.github.io/Logging_0482/kartor_geotiff/A 6714-2026 georefererad karta.tif", "A 6714-2026")</f>
        <v/>
      </c>
      <c r="AA111">
        <f>HYPERLINK("https://klasma.github.io/Logging_0482/klagomål/A 6714-2026 FSC-klagomål.docx", "A 6714-2026")</f>
        <v/>
      </c>
      <c r="AB111">
        <f>HYPERLINK("https://klasma.github.io/Logging_0482/klagomålsmail/A 6714-2026 FSC-klagomål mail.docx", "A 6714-2026")</f>
        <v/>
      </c>
      <c r="AC111">
        <f>HYPERLINK("https://klasma.github.io/Logging_0482/tillsyn/A 6714-2026 tillsynsbegäran.docx", "A 6714-2026")</f>
        <v/>
      </c>
      <c r="AD111">
        <f>HYPERLINK("https://klasma.github.io/Logging_0482/tillsynsmail/A 6714-2026 tillsynsbegäran mail.docx", "A 6714-2026")</f>
        <v/>
      </c>
    </row>
    <row r="112" ht="15" customHeight="1">
      <c r="A112" t="inlineStr">
        <is>
          <t>A 47581-2025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46276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47581-2025 artfynd.xlsx", "A 47581-2025")</f>
        <v/>
      </c>
      <c r="X112">
        <f>HYPERLINK("https://klasma.github.io/Logging_0482/kartor/A 47581-2025 karta.png", "A 47581-2025")</f>
        <v/>
      </c>
      <c r="Y112">
        <f>HYPERLINK("https://klasma.github.io/Logging_0482/kartor_geotiff/A 47581-2025 georefererad karta.tif", "A 47581-2025")</f>
        <v/>
      </c>
      <c r="AA112">
        <f>HYPERLINK("https://klasma.github.io/Logging_0482/klagomål/A 47581-2025 FSC-klagomål.docx", "A 47581-2025")</f>
        <v/>
      </c>
      <c r="AB112">
        <f>HYPERLINK("https://klasma.github.io/Logging_0482/klagomålsmail/A 47581-2025 FSC-klagomål mail.docx", "A 47581-2025")</f>
        <v/>
      </c>
      <c r="AC112">
        <f>HYPERLINK("https://klasma.github.io/Logging_0482/tillsyn/A 47581-2025 tillsynsbegäran.docx", "A 47581-2025")</f>
        <v/>
      </c>
      <c r="AD112">
        <f>HYPERLINK("https://klasma.github.io/Logging_0482/tillsynsmail/A 47581-2025 tillsynsbegäran mail.docx", "A 47581-2025")</f>
        <v/>
      </c>
    </row>
    <row r="113" ht="15" customHeight="1">
      <c r="A113" t="inlineStr">
        <is>
          <t>A 9446-2026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46276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0.8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9446-2026 artfynd.xlsx", "A 9446-2026")</f>
        <v/>
      </c>
      <c r="X113">
        <f>HYPERLINK("https://klasma.github.io/Logging_0482/kartor/A 9446-2026 karta.png", "A 9446-2026")</f>
        <v/>
      </c>
      <c r="Y113">
        <f>HYPERLINK("https://klasma.github.io/Logging_0482/kartor_geotiff/A 9446-2026 georefererad karta.tif", "A 9446-2026")</f>
        <v/>
      </c>
      <c r="AA113">
        <f>HYPERLINK("https://klasma.github.io/Logging_0482/klagomål/A 9446-2026 FSC-klagomål.docx", "A 9446-2026")</f>
        <v/>
      </c>
      <c r="AB113">
        <f>HYPERLINK("https://klasma.github.io/Logging_0482/klagomålsmail/A 9446-2026 FSC-klagomål mail.docx", "A 9446-2026")</f>
        <v/>
      </c>
      <c r="AC113">
        <f>HYPERLINK("https://klasma.github.io/Logging_0482/tillsyn/A 9446-2026 tillsynsbegäran.docx", "A 9446-2026")</f>
        <v/>
      </c>
      <c r="AD113">
        <f>HYPERLINK("https://klasma.github.io/Logging_0482/tillsynsmail/A 9446-2026 tillsynsbegäran mail.docx", "A 9446-2026")</f>
        <v/>
      </c>
    </row>
    <row r="114" ht="15" customHeight="1">
      <c r="A114" t="inlineStr">
        <is>
          <t>A 10999-2026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46079</v>
      </c>
      <c r="E114" s="1" t="n">
        <v>46276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3.6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HYPERLINK("https://klasma.github.io/Logging_0482/artfynd/A 10999-2026 artfynd.xlsx", "A 10999-2026")</f>
        <v/>
      </c>
      <c r="X114">
        <f>HYPERLINK("https://klasma.github.io/Logging_0482/kartor/A 10999-2026 karta.png", "A 10999-2026")</f>
        <v/>
      </c>
      <c r="Y114">
        <f>HYPERLINK("https://klasma.github.io/Logging_0482/kartor_geotiff/A 10999-2026 georefererad karta.tif", "A 10999-2026")</f>
        <v/>
      </c>
      <c r="AA114">
        <f>HYPERLINK("https://klasma.github.io/Logging_0482/klagomål/A 10999-2026 FSC-klagomål.docx", "A 10999-2026")</f>
        <v/>
      </c>
      <c r="AB114">
        <f>HYPERLINK("https://klasma.github.io/Logging_0482/klagomålsmail/A 10999-2026 FSC-klagomål mail.docx", "A 10999-2026")</f>
        <v/>
      </c>
      <c r="AC114">
        <f>HYPERLINK("https://klasma.github.io/Logging_0482/tillsyn/A 10999-2026 tillsynsbegäran.docx", "A 10999-2026")</f>
        <v/>
      </c>
      <c r="AD114">
        <f>HYPERLINK("https://klasma.github.io/Logging_0482/tillsynsmail/A 10999-2026 tillsynsbegäran mail.docx", "A 10999-2026")</f>
        <v/>
      </c>
    </row>
    <row r="115" ht="15" customHeight="1">
      <c r="A115" t="inlineStr">
        <is>
          <t>A 52579-2025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46276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4.5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Slåtterfibbla</t>
        </is>
      </c>
      <c r="W115">
        <f>HYPERLINK("https://klasma.github.io/Logging_0482/artfynd/A 52579-2025 artfynd.xlsx", "A 52579-2025")</f>
        <v/>
      </c>
      <c r="X115">
        <f>HYPERLINK("https://klasma.github.io/Logging_0482/kartor/A 52579-2025 karta.png", "A 52579-2025")</f>
        <v/>
      </c>
      <c r="Y115">
        <f>HYPERLINK("https://klasma.github.io/Logging_0482/kartor_geotiff/A 52579-2025 georefererad karta.tif", "A 52579-2025")</f>
        <v/>
      </c>
      <c r="AA115">
        <f>HYPERLINK("https://klasma.github.io/Logging_0482/klagomål/A 52579-2025 FSC-klagomål.docx", "A 52579-2025")</f>
        <v/>
      </c>
      <c r="AB115">
        <f>HYPERLINK("https://klasma.github.io/Logging_0482/klagomålsmail/A 52579-2025 FSC-klagomål mail.docx", "A 52579-2025")</f>
        <v/>
      </c>
      <c r="AC115">
        <f>HYPERLINK("https://klasma.github.io/Logging_0482/tillsyn/A 52579-2025 tillsynsbegäran.docx", "A 52579-2025")</f>
        <v/>
      </c>
      <c r="AD115">
        <f>HYPERLINK("https://klasma.github.io/Logging_0482/tillsynsmail/A 52579-2025 tillsynsbegäran mail.docx", "A 52579-2025")</f>
        <v/>
      </c>
    </row>
    <row r="116" ht="15" customHeight="1">
      <c r="A116" t="inlineStr">
        <is>
          <t>A 6982-2024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46276</v>
      </c>
      <c r="F116" t="inlineStr">
        <is>
          <t>SÖDERMANLANDS LÄN</t>
        </is>
      </c>
      <c r="G116" t="inlineStr">
        <is>
          <t>FLEN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Fläcknycklar</t>
        </is>
      </c>
      <c r="W116">
        <f>HYPERLINK("https://klasma.github.io/Logging_0482/artfynd/A 6982-2024 artfynd.xlsx", "A 6982-2024")</f>
        <v/>
      </c>
      <c r="X116">
        <f>HYPERLINK("https://klasma.github.io/Logging_0482/kartor/A 6982-2024 karta.png", "A 6982-2024")</f>
        <v/>
      </c>
      <c r="Y116">
        <f>HYPERLINK("https://klasma.github.io/Logging_0482/kartor_geotiff/A 6982-2024 georefererad karta.tif", "A 6982-2024")</f>
        <v/>
      </c>
      <c r="AA116">
        <f>HYPERLINK("https://klasma.github.io/Logging_0482/klagomål/A 6982-2024 FSC-klagomål.docx", "A 6982-2024")</f>
        <v/>
      </c>
      <c r="AB116">
        <f>HYPERLINK("https://klasma.github.io/Logging_0482/klagomålsmail/A 6982-2024 FSC-klagomål mail.docx", "A 6982-2024")</f>
        <v/>
      </c>
      <c r="AC116">
        <f>HYPERLINK("https://klasma.github.io/Logging_0482/tillsyn/A 6982-2024 tillsynsbegäran.docx", "A 6982-2024")</f>
        <v/>
      </c>
      <c r="AD116">
        <f>HYPERLINK("https://klasma.github.io/Logging_0482/tillsynsmail/A 6982-2024 tillsynsbegäran mail.docx", "A 6982-2024")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46276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46276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46276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46276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46276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46276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Svavelriska</t>
        </is>
      </c>
      <c r="W122">
        <f>HYPERLINK("https://klasma.github.io/Logging_0482/artfynd/A 37317-2023 artfynd.xlsx", "A 37317-2023")</f>
        <v/>
      </c>
      <c r="X122">
        <f>HYPERLINK("https://klasma.github.io/Logging_0482/kartor/A 37317-2023 karta.png", "A 37317-2023")</f>
        <v/>
      </c>
      <c r="Y122">
        <f>HYPERLINK("https://klasma.github.io/Logging_0482/kartor_geotiff/A 37317-2023 georefererad karta.tif", "A 37317-2023")</f>
        <v/>
      </c>
      <c r="AA122">
        <f>HYPERLINK("https://klasma.github.io/Logging_0482/klagomål/A 37317-2023 FSC-klagomål.docx", "A 37317-2023")</f>
        <v/>
      </c>
      <c r="AB122">
        <f>HYPERLINK("https://klasma.github.io/Logging_0482/klagomålsmail/A 37317-2023 FSC-klagomål mail.docx", "A 37317-2023")</f>
        <v/>
      </c>
      <c r="AC122">
        <f>HYPERLINK("https://klasma.github.io/Logging_0482/tillsyn/A 37317-2023 tillsynsbegäran.docx", "A 37317-2023")</f>
        <v/>
      </c>
      <c r="AD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46276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Skarp dropptaggsvamp</t>
        </is>
      </c>
      <c r="W123">
        <f>HYPERLINK("https://klasma.github.io/Logging_0482/artfynd/A 60529-2024 artfynd.xlsx", "A 60529-2024")</f>
        <v/>
      </c>
      <c r="X123">
        <f>HYPERLINK("https://klasma.github.io/Logging_0482/kartor/A 60529-2024 karta.png", "A 60529-2024")</f>
        <v/>
      </c>
      <c r="Y123">
        <f>HYPERLINK("https://klasma.github.io/Logging_0482/kartor_geotiff/A 60529-2024 georefererad karta.tif", "A 60529-2024")</f>
        <v/>
      </c>
      <c r="AA123">
        <f>HYPERLINK("https://klasma.github.io/Logging_0482/klagomål/A 60529-2024 FSC-klagomål.docx", "A 60529-2024")</f>
        <v/>
      </c>
      <c r="AB123">
        <f>HYPERLINK("https://klasma.github.io/Logging_0482/klagomålsmail/A 60529-2024 FSC-klagomål mail.docx", "A 60529-2024")</f>
        <v/>
      </c>
      <c r="AC123">
        <f>HYPERLINK("https://klasma.github.io/Logging_0482/tillsyn/A 60529-2024 tillsynsbegäran.docx", "A 60529-2024")</f>
        <v/>
      </c>
      <c r="AD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46276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52546-2021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46276</v>
      </c>
      <c r="F125" t="inlineStr">
        <is>
          <t>SÖDERMANLANDS LÄN</t>
        </is>
      </c>
      <c r="G125" t="inlineStr">
        <is>
          <t>FLEN</t>
        </is>
      </c>
      <c r="I125" t="n">
        <v>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Mindre bastardsvärmare</t>
        </is>
      </c>
      <c r="W125">
        <f>HYPERLINK("https://klasma.github.io/Logging_0482/artfynd/A 52546-2021 artfynd.xlsx", "A 52546-2021")</f>
        <v/>
      </c>
      <c r="X125">
        <f>HYPERLINK("https://klasma.github.io/Logging_0482/kartor/A 52546-2021 karta.png", "A 52546-2021")</f>
        <v/>
      </c>
      <c r="Y125">
        <f>HYPERLINK("https://klasma.github.io/Logging_0482/kartor_geotiff/A 52546-2021 georefererad karta.tif", "A 52546-2021")</f>
        <v/>
      </c>
      <c r="AA125">
        <f>HYPERLINK("https://klasma.github.io/Logging_0482/klagomål/A 52546-2021 FSC-klagomål.docx", "A 52546-2021")</f>
        <v/>
      </c>
      <c r="AB125">
        <f>HYPERLINK("https://klasma.github.io/Logging_0482/klagomålsmail/A 52546-2021 FSC-klagomål mail.docx", "A 52546-2021")</f>
        <v/>
      </c>
      <c r="AC125">
        <f>HYPERLINK("https://klasma.github.io/Logging_0482/tillsyn/A 52546-2021 tillsynsbegäran.docx", "A 52546-2021")</f>
        <v/>
      </c>
      <c r="AD125">
        <f>HYPERLINK("https://klasma.github.io/Logging_0482/tillsynsmail/A 52546-2021 tillsynsbegäran mail.docx", "A 52546-2021")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46276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10770-2022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46276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10770-2022 artfynd.xlsx", "A 10770-2022")</f>
        <v/>
      </c>
      <c r="X127">
        <f>HYPERLINK("https://klasma.github.io/Logging_0482/kartor/A 10770-2022 karta.png", "A 10770-2022")</f>
        <v/>
      </c>
      <c r="Y127">
        <f>HYPERLINK("https://klasma.github.io/Logging_0482/kartor_geotiff/A 10770-2022 georefererad karta.tif", "A 10770-2022")</f>
        <v/>
      </c>
      <c r="AA127">
        <f>HYPERLINK("https://klasma.github.io/Logging_0482/klagomål/A 10770-2022 FSC-klagomål.docx", "A 10770-2022")</f>
        <v/>
      </c>
      <c r="AB127">
        <f>HYPERLINK("https://klasma.github.io/Logging_0482/klagomålsmail/A 10770-2022 FSC-klagomål mail.docx", "A 10770-2022")</f>
        <v/>
      </c>
      <c r="AC127">
        <f>HYPERLINK("https://klasma.github.io/Logging_0482/tillsyn/A 10770-2022 tillsynsbegäran.docx", "A 10770-2022")</f>
        <v/>
      </c>
      <c r="AD127">
        <f>HYPERLINK("https://klasma.github.io/Logging_0482/tillsynsmail/A 10770-2022 tillsynsbegäran mail.docx", "A 10770-2022")</f>
        <v/>
      </c>
    </row>
    <row r="128" ht="15" customHeight="1">
      <c r="A128" t="inlineStr">
        <is>
          <t>A 21704-2026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46276</v>
      </c>
      <c r="F128" t="inlineStr">
        <is>
          <t>SÖDERMANLANDS LÄN</t>
        </is>
      </c>
      <c r="G128" t="inlineStr">
        <is>
          <t>FLEN</t>
        </is>
      </c>
      <c r="I128" t="n">
        <v>10.2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Kandelabersvamp</t>
        </is>
      </c>
      <c r="W128">
        <f>HYPERLINK("https://klasma.github.io/Logging_0482/artfynd/A 21704-2026 artfynd.xlsx", "A 21704-2026")</f>
        <v/>
      </c>
      <c r="X128">
        <f>HYPERLINK("https://klasma.github.io/Logging_0482/kartor/A 21704-2026 karta.png", "A 21704-2026")</f>
        <v/>
      </c>
      <c r="Y128">
        <f>HYPERLINK("https://klasma.github.io/Logging_0482/kartor_geotiff/A 21704-2026 georefererad karta.tif", "A 21704-2026")</f>
        <v/>
      </c>
      <c r="AA128">
        <f>HYPERLINK("https://klasma.github.io/Logging_0482/klagomål/A 21704-2026 FSC-klagomål.docx", "A 21704-2026")</f>
        <v/>
      </c>
      <c r="AB128">
        <f>HYPERLINK("https://klasma.github.io/Logging_0482/klagomålsmail/A 21704-2026 FSC-klagomål mail.docx", "A 21704-2026")</f>
        <v/>
      </c>
      <c r="AC128">
        <f>HYPERLINK("https://klasma.github.io/Logging_0482/tillsyn/A 21704-2026 tillsynsbegäran.docx", "A 21704-2026")</f>
        <v/>
      </c>
      <c r="AD128">
        <f>HYPERLINK("https://klasma.github.io/Logging_0482/tillsynsmail/A 21704-2026 tillsynsbegäran mail.docx", "A 21704-2026")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46276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12371-2022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46276</v>
      </c>
      <c r="F130" t="inlineStr">
        <is>
          <t>SÖDERMANLANDS LÄN</t>
        </is>
      </c>
      <c r="G130" t="inlineStr">
        <is>
          <t>FLEN</t>
        </is>
      </c>
      <c r="H130" t="inlineStr">
        <is>
          <t>Kommuner</t>
        </is>
      </c>
      <c r="I130" t="n">
        <v>2.1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12371-2022 artfynd.xlsx", "A 12371-2022")</f>
        <v/>
      </c>
      <c r="X130">
        <f>HYPERLINK("https://klasma.github.io/Logging_0482/kartor/A 12371-2022 karta.png", "A 12371-2022")</f>
        <v/>
      </c>
      <c r="Y130">
        <f>HYPERLINK("https://klasma.github.io/Logging_0482/kartor_geotiff/A 12371-2022 georefererad karta.tif", "A 12371-2022")</f>
        <v/>
      </c>
      <c r="AA130">
        <f>HYPERLINK("https://klasma.github.io/Logging_0482/klagomål/A 12371-2022 FSC-klagomål.docx", "A 12371-2022")</f>
        <v/>
      </c>
      <c r="AB130">
        <f>HYPERLINK("https://klasma.github.io/Logging_0482/klagomålsmail/A 12371-2022 FSC-klagomål mail.docx", "A 12371-2022")</f>
        <v/>
      </c>
      <c r="AC130">
        <f>HYPERLINK("https://klasma.github.io/Logging_0482/tillsyn/A 12371-2022 tillsynsbegäran.docx", "A 12371-2022")</f>
        <v/>
      </c>
      <c r="AD130">
        <f>HYPERLINK("https://klasma.github.io/Logging_0482/tillsynsmail/A 12371-2022 tillsynsbegäran mail.docx", "A 12371-2022")</f>
        <v/>
      </c>
    </row>
    <row r="131" ht="15" customHeight="1">
      <c r="A131" t="inlineStr">
        <is>
          <t>A 60591-2022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46276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HYPERLINK("https://klasma.github.io/Logging_0482/artfynd/A 60591-2022 artfynd.xlsx", "A 60591-2022")</f>
        <v/>
      </c>
      <c r="X131">
        <f>HYPERLINK("https://klasma.github.io/Logging_0482/kartor/A 60591-2022 karta.png", "A 60591-2022")</f>
        <v/>
      </c>
      <c r="Y131">
        <f>HYPERLINK("https://klasma.github.io/Logging_0482/kartor_geotiff/A 60591-2022 georefererad karta.tif", "A 60591-2022")</f>
        <v/>
      </c>
      <c r="AA131">
        <f>HYPERLINK("https://klasma.github.io/Logging_0482/klagomål/A 60591-2022 FSC-klagomål.docx", "A 60591-2022")</f>
        <v/>
      </c>
      <c r="AB131">
        <f>HYPERLINK("https://klasma.github.io/Logging_0482/klagomålsmail/A 60591-2022 FSC-klagomål mail.docx", "A 60591-2022")</f>
        <v/>
      </c>
      <c r="AC131">
        <f>HYPERLINK("https://klasma.github.io/Logging_0482/tillsyn/A 60591-2022 tillsynsbegäran.docx", "A 60591-2022")</f>
        <v/>
      </c>
      <c r="AD131">
        <f>HYPERLINK("https://klasma.github.io/Logging_0482/tillsynsmail/A 60591-2022 tillsynsbegäran mail.docx", "A 60591-2022")</f>
        <v/>
      </c>
    </row>
    <row r="132" ht="15" customHeight="1">
      <c r="A132" t="inlineStr">
        <is>
          <t>A 4259-2023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46276</v>
      </c>
      <c r="F132" t="inlineStr">
        <is>
          <t>SÖDERMANLANDS LÄN</t>
        </is>
      </c>
      <c r="G132" t="inlineStr">
        <is>
          <t>FLEN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4259-2023 artfynd.xlsx", "A 4259-2023")</f>
        <v/>
      </c>
      <c r="X132">
        <f>HYPERLINK("https://klasma.github.io/Logging_0482/kartor/A 4259-2023 karta.png", "A 4259-2023")</f>
        <v/>
      </c>
      <c r="Y132">
        <f>HYPERLINK("https://klasma.github.io/Logging_0482/kartor_geotiff/A 4259-2023 georefererad karta.tif", "A 4259-2023")</f>
        <v/>
      </c>
      <c r="AA132">
        <f>HYPERLINK("https://klasma.github.io/Logging_0482/klagomål/A 4259-2023 FSC-klagomål.docx", "A 4259-2023")</f>
        <v/>
      </c>
      <c r="AB132">
        <f>HYPERLINK("https://klasma.github.io/Logging_0482/klagomålsmail/A 4259-2023 FSC-klagomål mail.docx", "A 4259-2023")</f>
        <v/>
      </c>
      <c r="AC132">
        <f>HYPERLINK("https://klasma.github.io/Logging_0482/tillsyn/A 4259-2023 tillsynsbegäran.docx", "A 4259-2023")</f>
        <v/>
      </c>
      <c r="AD132">
        <f>HYPERLINK("https://klasma.github.io/Logging_0482/tillsynsmail/A 4259-2023 tillsynsbegäran mail.docx", "A 4259-2023")</f>
        <v/>
      </c>
    </row>
    <row r="133" ht="15" customHeight="1">
      <c r="A133" t="inlineStr">
        <is>
          <t>A 12306-2022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46276</v>
      </c>
      <c r="F133" t="inlineStr">
        <is>
          <t>SÖDERMANLANDS LÄN</t>
        </is>
      </c>
      <c r="G133" t="inlineStr">
        <is>
          <t>FLEN</t>
        </is>
      </c>
      <c r="I133" t="n">
        <v>3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Järnsparv</t>
        </is>
      </c>
      <c r="W133">
        <f>HYPERLINK("https://klasma.github.io/Logging_0482/artfynd/A 12306-2022 artfynd.xlsx", "A 12306-2022")</f>
        <v/>
      </c>
      <c r="X133">
        <f>HYPERLINK("https://klasma.github.io/Logging_0482/kartor/A 12306-2022 karta.png", "A 12306-2022")</f>
        <v/>
      </c>
      <c r="Y133">
        <f>HYPERLINK("https://klasma.github.io/Logging_0482/kartor_geotiff/A 12306-2022 georefererad karta.tif", "A 12306-2022")</f>
        <v/>
      </c>
      <c r="AA133">
        <f>HYPERLINK("https://klasma.github.io/Logging_0482/klagomål/A 12306-2022 FSC-klagomål.docx", "A 12306-2022")</f>
        <v/>
      </c>
      <c r="AB133">
        <f>HYPERLINK("https://klasma.github.io/Logging_0482/klagomålsmail/A 12306-2022 FSC-klagomål mail.docx", "A 12306-2022")</f>
        <v/>
      </c>
      <c r="AC133">
        <f>HYPERLINK("https://klasma.github.io/Logging_0482/tillsyn/A 12306-2022 tillsynsbegäran.docx", "A 12306-2022")</f>
        <v/>
      </c>
      <c r="AD133">
        <f>HYPERLINK("https://klasma.github.io/Logging_0482/tillsynsmail/A 12306-2022 tillsynsbegäran mail.docx", "A 12306-2022")</f>
        <v/>
      </c>
      <c r="AE133">
        <f>HYPERLINK("https://klasma.github.io/Logging_0482/fåglar/A 12306-2022 prioriterade fågelarter.docx", "A 12306-2022")</f>
        <v/>
      </c>
    </row>
    <row r="134" ht="15" customHeight="1">
      <c r="A134" t="inlineStr">
        <is>
          <t>A 29195-2023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46276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3.9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HYPERLINK("https://klasma.github.io/Logging_0482/artfynd/A 29195-2023 artfynd.xlsx", "A 29195-2023")</f>
        <v/>
      </c>
      <c r="X134">
        <f>HYPERLINK("https://klasma.github.io/Logging_0482/kartor/A 29195-2023 karta.png", "A 29195-2023")</f>
        <v/>
      </c>
      <c r="Y134">
        <f>HYPERLINK("https://klasma.github.io/Logging_0482/kartor_geotiff/A 29195-2023 georefererad karta.tif", "A 29195-2023")</f>
        <v/>
      </c>
      <c r="AA134">
        <f>HYPERLINK("https://klasma.github.io/Logging_0482/klagomål/A 29195-2023 FSC-klagomål.docx", "A 29195-2023")</f>
        <v/>
      </c>
      <c r="AB134">
        <f>HYPERLINK("https://klasma.github.io/Logging_0482/klagomålsmail/A 29195-2023 FSC-klagomål mail.docx", "A 29195-2023")</f>
        <v/>
      </c>
      <c r="AC134">
        <f>HYPERLINK("https://klasma.github.io/Logging_0482/tillsyn/A 29195-2023 tillsynsbegäran.docx", "A 29195-2023")</f>
        <v/>
      </c>
      <c r="AD134">
        <f>HYPERLINK("https://klasma.github.io/Logging_0482/tillsynsmail/A 29195-2023 tillsynsbegäran mail.docx", "A 29195-2023")</f>
        <v/>
      </c>
    </row>
    <row r="135" ht="15" customHeight="1">
      <c r="A135" t="inlineStr">
        <is>
          <t>A 24179-2026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46276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24179-2026 artfynd.xlsx", "A 24179-2026")</f>
        <v/>
      </c>
      <c r="X135">
        <f>HYPERLINK("https://klasma.github.io/Logging_0482/kartor/A 24179-2026 karta.png", "A 24179-2026")</f>
        <v/>
      </c>
      <c r="Y135">
        <f>HYPERLINK("https://klasma.github.io/Logging_0482/kartor_geotiff/A 24179-2026 georefererad karta.tif", "A 24179-2026")</f>
        <v/>
      </c>
      <c r="AA135">
        <f>HYPERLINK("https://klasma.github.io/Logging_0482/klagomål/A 24179-2026 FSC-klagomål.docx", "A 24179-2026")</f>
        <v/>
      </c>
      <c r="AB135">
        <f>HYPERLINK("https://klasma.github.io/Logging_0482/klagomålsmail/A 24179-2026 FSC-klagomål mail.docx", "A 24179-2026")</f>
        <v/>
      </c>
      <c r="AC135">
        <f>HYPERLINK("https://klasma.github.io/Logging_0482/tillsyn/A 24179-2026 tillsynsbegäran.docx", "A 24179-2026")</f>
        <v/>
      </c>
      <c r="AD135">
        <f>HYPERLINK("https://klasma.github.io/Logging_0482/tillsynsmail/A 24179-2026 tillsynsbegäran mail.docx", "A 24179-2026")</f>
        <v/>
      </c>
    </row>
    <row r="136" ht="15" customHeight="1">
      <c r="A136" t="inlineStr">
        <is>
          <t>A 26310-2026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46276</v>
      </c>
      <c r="F136" t="inlineStr">
        <is>
          <t>SÖDERMANLANDS LÄN</t>
        </is>
      </c>
      <c r="G136" t="inlineStr">
        <is>
          <t>FLEN</t>
        </is>
      </c>
      <c r="I136" t="n">
        <v>1.2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Spillkråka</t>
        </is>
      </c>
      <c r="W136">
        <f>HYPERLINK("https://klasma.github.io/Logging_0482/artfynd/A 26310-2026 artfynd.xlsx", "A 26310-2026")</f>
        <v/>
      </c>
      <c r="X136">
        <f>HYPERLINK("https://klasma.github.io/Logging_0482/kartor/A 26310-2026 karta.png", "A 26310-2026")</f>
        <v/>
      </c>
      <c r="Y136">
        <f>HYPERLINK("https://klasma.github.io/Logging_0482/kartor_geotiff/A 26310-2026 georefererad karta.tif", "A 26310-2026")</f>
        <v/>
      </c>
      <c r="AA136">
        <f>HYPERLINK("https://klasma.github.io/Logging_0482/klagomål/A 26310-2026 FSC-klagomål.docx", "A 26310-2026")</f>
        <v/>
      </c>
      <c r="AB136">
        <f>HYPERLINK("https://klasma.github.io/Logging_0482/klagomålsmail/A 26310-2026 FSC-klagomål mail.docx", "A 26310-2026")</f>
        <v/>
      </c>
      <c r="AC136">
        <f>HYPERLINK("https://klasma.github.io/Logging_0482/tillsyn/A 26310-2026 tillsynsbegäran.docx", "A 26310-2026")</f>
        <v/>
      </c>
      <c r="AD136">
        <f>HYPERLINK("https://klasma.github.io/Logging_0482/tillsynsmail/A 26310-2026 tillsynsbegäran mail.docx", "A 26310-2026")</f>
        <v/>
      </c>
      <c r="AE136">
        <f>HYPERLINK("https://klasma.github.io/Logging_0482/fåglar/A 26310-2026 prioriterade fågelarter.docx", "A 26310-2026")</f>
        <v/>
      </c>
    </row>
    <row r="137" ht="15" customHeight="1">
      <c r="A137" t="inlineStr">
        <is>
          <t>A 26052-2026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46276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HYPERLINK("https://klasma.github.io/Logging_0482/artfynd/A 26052-2026 artfynd.xlsx", "A 26052-2026")</f>
        <v/>
      </c>
      <c r="X137">
        <f>HYPERLINK("https://klasma.github.io/Logging_0482/kartor/A 26052-2026 karta.png", "A 26052-2026")</f>
        <v/>
      </c>
      <c r="Y137">
        <f>HYPERLINK("https://klasma.github.io/Logging_0482/kartor_geotiff/A 26052-2026 georefererad karta.tif", "A 26052-2026")</f>
        <v/>
      </c>
      <c r="AA137">
        <f>HYPERLINK("https://klasma.github.io/Logging_0482/klagomål/A 26052-2026 FSC-klagomål.docx", "A 26052-2026")</f>
        <v/>
      </c>
      <c r="AB137">
        <f>HYPERLINK("https://klasma.github.io/Logging_0482/klagomålsmail/A 26052-2026 FSC-klagomål mail.docx", "A 26052-2026")</f>
        <v/>
      </c>
      <c r="AC137">
        <f>HYPERLINK("https://klasma.github.io/Logging_0482/tillsyn/A 26052-2026 tillsynsbegäran.docx", "A 26052-2026")</f>
        <v/>
      </c>
      <c r="AD137">
        <f>HYPERLINK("https://klasma.github.io/Logging_0482/tillsynsmail/A 26052-2026 tillsynsbegäran mail.docx", "A 26052-2026")</f>
        <v/>
      </c>
    </row>
    <row r="138" ht="15" customHeight="1">
      <c r="A138" t="inlineStr">
        <is>
          <t>A 60562-2021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44495</v>
      </c>
      <c r="E138" s="1" t="n">
        <v>46276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Gullklöver</t>
        </is>
      </c>
      <c r="W138">
        <f>HYPERLINK("https://klasma.github.io/Logging_0482/artfynd/A 60562-2021 artfynd.xlsx", "A 60562-2021")</f>
        <v/>
      </c>
      <c r="X138">
        <f>HYPERLINK("https://klasma.github.io/Logging_0482/kartor/A 60562-2021 karta.png", "A 60562-2021")</f>
        <v/>
      </c>
      <c r="Y138">
        <f>HYPERLINK("https://klasma.github.io/Logging_0482/kartor_geotiff/A 60562-2021 georefererad karta.tif", "A 60562-2021")</f>
        <v/>
      </c>
      <c r="AA138">
        <f>HYPERLINK("https://klasma.github.io/Logging_0482/klagomål/A 60562-2021 FSC-klagomål.docx", "A 60562-2021")</f>
        <v/>
      </c>
      <c r="AB138">
        <f>HYPERLINK("https://klasma.github.io/Logging_0482/klagomålsmail/A 60562-2021 FSC-klagomål mail.docx", "A 60562-2021")</f>
        <v/>
      </c>
      <c r="AC138">
        <f>HYPERLINK("https://klasma.github.io/Logging_0482/tillsyn/A 60562-2021 tillsynsbegäran.docx", "A 60562-2021")</f>
        <v/>
      </c>
      <c r="AD138">
        <f>HYPERLINK("https://klasma.github.io/Logging_0482/tillsynsmail/A 60562-2021 tillsynsbegäran mail.docx", "A 60562-2021")</f>
        <v/>
      </c>
    </row>
    <row r="139" ht="15" customHeight="1">
      <c r="A139" t="inlineStr">
        <is>
          <t>A 50202-2022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46276</v>
      </c>
      <c r="F139" t="inlineStr">
        <is>
          <t>SÖDERMANLANDS LÄN</t>
        </is>
      </c>
      <c r="G139" t="inlineStr">
        <is>
          <t>FLEN</t>
        </is>
      </c>
      <c r="H139" t="inlineStr">
        <is>
          <t>Kyrkan</t>
        </is>
      </c>
      <c r="I139" t="n">
        <v>5.8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50202-2022 artfynd.xlsx", "A 50202-2022")</f>
        <v/>
      </c>
      <c r="X139">
        <f>HYPERLINK("https://klasma.github.io/Logging_0482/kartor/A 50202-2022 karta.png", "A 50202-2022")</f>
        <v/>
      </c>
      <c r="Y139">
        <f>HYPERLINK("https://klasma.github.io/Logging_0482/kartor_geotiff/A 50202-2022 georefererad karta.tif", "A 50202-2022")</f>
        <v/>
      </c>
      <c r="AA139">
        <f>HYPERLINK("https://klasma.github.io/Logging_0482/klagomål/A 50202-2022 FSC-klagomål.docx", "A 50202-2022")</f>
        <v/>
      </c>
      <c r="AB139">
        <f>HYPERLINK("https://klasma.github.io/Logging_0482/klagomålsmail/A 50202-2022 FSC-klagomål mail.docx", "A 50202-2022")</f>
        <v/>
      </c>
      <c r="AC139">
        <f>HYPERLINK("https://klasma.github.io/Logging_0482/tillsyn/A 50202-2022 tillsynsbegäran.docx", "A 50202-2022")</f>
        <v/>
      </c>
      <c r="AD139">
        <f>HYPERLINK("https://klasma.github.io/Logging_0482/tillsynsmail/A 50202-2022 tillsynsbegäran mail.docx", "A 50202-2022")</f>
        <v/>
      </c>
    </row>
    <row r="140" ht="15" customHeight="1">
      <c r="A140" t="inlineStr">
        <is>
          <t>A 7973-2024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46276</v>
      </c>
      <c r="F140" t="inlineStr">
        <is>
          <t>SÖDERMANLANDS LÄN</t>
        </is>
      </c>
      <c r="G140" t="inlineStr">
        <is>
          <t>FLEN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Vippärt</t>
        </is>
      </c>
      <c r="W140">
        <f>HYPERLINK("https://klasma.github.io/Logging_0482/artfynd/A 7973-2024 artfynd.xlsx", "A 7973-2024")</f>
        <v/>
      </c>
      <c r="X140">
        <f>HYPERLINK("https://klasma.github.io/Logging_0482/kartor/A 7973-2024 karta.png", "A 7973-2024")</f>
        <v/>
      </c>
      <c r="Y140">
        <f>HYPERLINK("https://klasma.github.io/Logging_0482/kartor_geotiff/A 7973-2024 georefererad karta.tif", "A 7973-2024")</f>
        <v/>
      </c>
      <c r="AA140">
        <f>HYPERLINK("https://klasma.github.io/Logging_0482/klagomål/A 7973-2024 FSC-klagomål.docx", "A 7973-2024")</f>
        <v/>
      </c>
      <c r="AB140">
        <f>HYPERLINK("https://klasma.github.io/Logging_0482/klagomålsmail/A 7973-2024 FSC-klagomål mail.docx", "A 7973-2024")</f>
        <v/>
      </c>
      <c r="AC140">
        <f>HYPERLINK("https://klasma.github.io/Logging_0482/tillsyn/A 7973-2024 tillsynsbegäran.docx", "A 7973-2024")</f>
        <v/>
      </c>
      <c r="AD140">
        <f>HYPERLINK("https://klasma.github.io/Logging_0482/tillsynsmail/A 7973-2024 tillsynsbegäran mail.docx", "A 7973-2024")</f>
        <v/>
      </c>
    </row>
    <row r="141" ht="15" customHeight="1">
      <c r="A141" t="inlineStr">
        <is>
          <t>A 12056-2024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46276</v>
      </c>
      <c r="F141" t="inlineStr">
        <is>
          <t>SÖDERMANLANDS LÄN</t>
        </is>
      </c>
      <c r="G141" t="inlineStr">
        <is>
          <t>FLEN</t>
        </is>
      </c>
      <c r="I141" t="n">
        <v>8.4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Fjällig taggsvamp s.str.</t>
        </is>
      </c>
      <c r="W141">
        <f>HYPERLINK("https://klasma.github.io/Logging_0482/artfynd/A 12056-2024 artfynd.xlsx", "A 12056-2024")</f>
        <v/>
      </c>
      <c r="X141">
        <f>HYPERLINK("https://klasma.github.io/Logging_0482/kartor/A 12056-2024 karta.png", "A 12056-2024")</f>
        <v/>
      </c>
      <c r="Y141">
        <f>HYPERLINK("https://klasma.github.io/Logging_0482/kartor_geotiff/A 12056-2024 georefererad karta.tif", "A 12056-2024")</f>
        <v/>
      </c>
      <c r="AA141">
        <f>HYPERLINK("https://klasma.github.io/Logging_0482/klagomål/A 12056-2024 FSC-klagomål.docx", "A 12056-2024")</f>
        <v/>
      </c>
      <c r="AB141">
        <f>HYPERLINK("https://klasma.github.io/Logging_0482/klagomålsmail/A 12056-2024 FSC-klagomål mail.docx", "A 12056-2024")</f>
        <v/>
      </c>
      <c r="AC141">
        <f>HYPERLINK("https://klasma.github.io/Logging_0482/tillsyn/A 12056-2024 tillsynsbegäran.docx", "A 12056-2024")</f>
        <v/>
      </c>
      <c r="AD141">
        <f>HYPERLINK("https://klasma.github.io/Logging_0482/tillsynsmail/A 12056-2024 tillsynsbegäran mail.docx", "A 12056-2024")</f>
        <v/>
      </c>
    </row>
    <row r="142" ht="15" customHeight="1">
      <c r="A142" t="inlineStr">
        <is>
          <t>A 47756-2022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44854</v>
      </c>
      <c r="E142" s="1" t="n">
        <v>46276</v>
      </c>
      <c r="F142" t="inlineStr">
        <is>
          <t>SÖDERMANLANDS LÄN</t>
        </is>
      </c>
      <c r="G142" t="inlineStr">
        <is>
          <t>FLEN</t>
        </is>
      </c>
      <c r="I142" t="n">
        <v>2.4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Svinrot</t>
        </is>
      </c>
      <c r="W142">
        <f>HYPERLINK("https://klasma.github.io/Logging_0482/artfynd/A 47756-2022 artfynd.xlsx", "A 47756-2022")</f>
        <v/>
      </c>
      <c r="X142">
        <f>HYPERLINK("https://klasma.github.io/Logging_0482/kartor/A 47756-2022 karta.png", "A 47756-2022")</f>
        <v/>
      </c>
      <c r="Y142">
        <f>HYPERLINK("https://klasma.github.io/Logging_0482/kartor_geotiff/A 47756-2022 georefererad karta.tif", "A 47756-2022")</f>
        <v/>
      </c>
      <c r="AA142">
        <f>HYPERLINK("https://klasma.github.io/Logging_0482/klagomål/A 47756-2022 FSC-klagomål.docx", "A 47756-2022")</f>
        <v/>
      </c>
      <c r="AB142">
        <f>HYPERLINK("https://klasma.github.io/Logging_0482/klagomålsmail/A 47756-2022 FSC-klagomål mail.docx", "A 47756-2022")</f>
        <v/>
      </c>
      <c r="AC142">
        <f>HYPERLINK("https://klasma.github.io/Logging_0482/tillsyn/A 47756-2022 tillsynsbegäran.docx", "A 47756-2022")</f>
        <v/>
      </c>
      <c r="AD142">
        <f>HYPERLINK("https://klasma.github.io/Logging_0482/tillsynsmail/A 47756-2022 tillsynsbegäran mail.docx", "A 47756-2022")</f>
        <v/>
      </c>
    </row>
    <row r="143" ht="15" customHeight="1">
      <c r="A143" t="inlineStr">
        <is>
          <t>A 62535-2021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46276</v>
      </c>
      <c r="F143" t="inlineStr">
        <is>
          <t>SÖDERMANLANDS LÄN</t>
        </is>
      </c>
      <c r="G143" t="inlineStr">
        <is>
          <t>FLEN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HYPERLINK("https://klasma.github.io/Logging_0482/artfynd/A 62535-2021 artfynd.xlsx", "A 62535-2021")</f>
        <v/>
      </c>
      <c r="X143">
        <f>HYPERLINK("https://klasma.github.io/Logging_0482/kartor/A 62535-2021 karta.png", "A 62535-2021")</f>
        <v/>
      </c>
      <c r="Y143">
        <f>HYPERLINK("https://klasma.github.io/Logging_0482/kartor_geotiff/A 62535-2021 georefererad karta.tif", "A 62535-2021")</f>
        <v/>
      </c>
      <c r="AA143">
        <f>HYPERLINK("https://klasma.github.io/Logging_0482/klagomål/A 62535-2021 FSC-klagomål.docx", "A 62535-2021")</f>
        <v/>
      </c>
      <c r="AB143">
        <f>HYPERLINK("https://klasma.github.io/Logging_0482/klagomålsmail/A 62535-2021 FSC-klagomål mail.docx", "A 62535-2021")</f>
        <v/>
      </c>
      <c r="AC143">
        <f>HYPERLINK("https://klasma.github.io/Logging_0482/tillsyn/A 62535-2021 tillsynsbegäran.docx", "A 62535-2021")</f>
        <v/>
      </c>
      <c r="AD143">
        <f>HYPERLINK("https://klasma.github.io/Logging_0482/tillsynsmail/A 62535-2021 tillsynsbegäran mail.docx", "A 62535-2021")</f>
        <v/>
      </c>
    </row>
    <row r="144" ht="15" customHeight="1">
      <c r="A144" t="inlineStr">
        <is>
          <t>A 14273-2025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46276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Vedskivlav</t>
        </is>
      </c>
      <c r="W144">
        <f>HYPERLINK("https://klasma.github.io/Logging_0482/artfynd/A 14273-2025 artfynd.xlsx", "A 14273-2025")</f>
        <v/>
      </c>
      <c r="X144">
        <f>HYPERLINK("https://klasma.github.io/Logging_0482/kartor/A 14273-2025 karta.png", "A 14273-2025")</f>
        <v/>
      </c>
      <c r="Y144">
        <f>HYPERLINK("https://klasma.github.io/Logging_0482/kartor_geotiff/A 14273-2025 georefererad karta.tif", "A 14273-2025")</f>
        <v/>
      </c>
      <c r="AA144">
        <f>HYPERLINK("https://klasma.github.io/Logging_0482/klagomål/A 14273-2025 FSC-klagomål.docx", "A 14273-2025")</f>
        <v/>
      </c>
      <c r="AB144">
        <f>HYPERLINK("https://klasma.github.io/Logging_0482/klagomålsmail/A 14273-2025 FSC-klagomål mail.docx", "A 14273-2025")</f>
        <v/>
      </c>
      <c r="AC144">
        <f>HYPERLINK("https://klasma.github.io/Logging_0482/tillsyn/A 14273-2025 tillsynsbegäran.docx", "A 14273-2025")</f>
        <v/>
      </c>
      <c r="AD144">
        <f>HYPERLINK("https://klasma.github.io/Logging_0482/tillsynsmail/A 14273-2025 tillsynsbegäran mail.docx", "A 14273-2025")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46276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45107-2023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46276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Brudborste</t>
        </is>
      </c>
      <c r="W146">
        <f>HYPERLINK("https://klasma.github.io/Logging_0482/artfynd/A 45107-2023 artfynd.xlsx", "A 45107-2023")</f>
        <v/>
      </c>
      <c r="X146">
        <f>HYPERLINK("https://klasma.github.io/Logging_0482/kartor/A 45107-2023 karta.png", "A 45107-2023")</f>
        <v/>
      </c>
      <c r="Y146">
        <f>HYPERLINK("https://klasma.github.io/Logging_0482/kartor_geotiff/A 45107-2023 georefererad karta.tif", "A 45107-2023")</f>
        <v/>
      </c>
      <c r="AA146">
        <f>HYPERLINK("https://klasma.github.io/Logging_0482/klagomål/A 45107-2023 FSC-klagomål.docx", "A 45107-2023")</f>
        <v/>
      </c>
      <c r="AB146">
        <f>HYPERLINK("https://klasma.github.io/Logging_0482/klagomålsmail/A 45107-2023 FSC-klagomål mail.docx", "A 45107-2023")</f>
        <v/>
      </c>
      <c r="AC146">
        <f>HYPERLINK("https://klasma.github.io/Logging_0482/tillsyn/A 45107-2023 tillsynsbegäran.docx", "A 45107-2023")</f>
        <v/>
      </c>
      <c r="AD146">
        <f>HYPERLINK("https://klasma.github.io/Logging_0482/tillsynsmail/A 45107-2023 tillsynsbegäran mail.docx", "A 45107-2023")</f>
        <v/>
      </c>
    </row>
    <row r="147" ht="15" customHeight="1">
      <c r="A147" t="inlineStr">
        <is>
          <t>A 30406-2026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46276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HYPERLINK("https://klasma.github.io/Logging_0482/artfynd/A 30406-2026 artfynd.xlsx", "A 30406-2026")</f>
        <v/>
      </c>
      <c r="X147">
        <f>HYPERLINK("https://klasma.github.io/Logging_0482/kartor/A 30406-2026 karta.png", "A 30406-2026")</f>
        <v/>
      </c>
      <c r="Y147">
        <f>HYPERLINK("https://klasma.github.io/Logging_0482/kartor_geotiff/A 30406-2026 georefererad karta.tif", "A 30406-2026")</f>
        <v/>
      </c>
      <c r="AA147">
        <f>HYPERLINK("https://klasma.github.io/Logging_0482/klagomål/A 30406-2026 FSC-klagomål.docx", "A 30406-2026")</f>
        <v/>
      </c>
      <c r="AB147">
        <f>HYPERLINK("https://klasma.github.io/Logging_0482/klagomålsmail/A 30406-2026 FSC-klagomål mail.docx", "A 30406-2026")</f>
        <v/>
      </c>
      <c r="AC147">
        <f>HYPERLINK("https://klasma.github.io/Logging_0482/tillsyn/A 30406-2026 tillsynsbegäran.docx", "A 30406-2026")</f>
        <v/>
      </c>
      <c r="AD147">
        <f>HYPERLINK("https://klasma.github.io/Logging_0482/tillsynsmail/A 30406-2026 tillsynsbegäran mail.docx", "A 30406-2026")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46276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46276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46276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46276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46276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46276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46276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46276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46276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46276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46276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46276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46276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46276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46276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46276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46276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46276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46276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46276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46276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46276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46276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46276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46276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46276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46276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44739</v>
      </c>
      <c r="E175" s="1" t="n">
        <v>46276</v>
      </c>
      <c r="F175" t="inlineStr">
        <is>
          <t>SÖDERMANLANDS LÄN</t>
        </is>
      </c>
      <c r="G175" t="inlineStr">
        <is>
          <t>FLEN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44770</v>
      </c>
      <c r="E176" s="1" t="n">
        <v>46276</v>
      </c>
      <c r="F176" t="inlineStr">
        <is>
          <t>SÖDERMANLANDS LÄN</t>
        </is>
      </c>
      <c r="G176" t="inlineStr">
        <is>
          <t>FLEN</t>
        </is>
      </c>
      <c r="H176" t="inlineStr">
        <is>
          <t>Övriga statliga verk och myndigheter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46276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44640</v>
      </c>
      <c r="E178" s="1" t="n">
        <v>46276</v>
      </c>
      <c r="F178" t="inlineStr">
        <is>
          <t>SÖDERMANLANDS LÄN</t>
        </is>
      </c>
      <c r="G178" t="inlineStr">
        <is>
          <t>FLEN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46276</v>
      </c>
      <c r="F179" t="inlineStr">
        <is>
          <t>SÖDERMANLANDS LÄN</t>
        </is>
      </c>
      <c r="G179" t="inlineStr">
        <is>
          <t>FLEN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44725</v>
      </c>
      <c r="E180" s="1" t="n">
        <v>46276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44643</v>
      </c>
      <c r="E181" s="1" t="n">
        <v>46276</v>
      </c>
      <c r="F181" t="inlineStr">
        <is>
          <t>SÖDERMANLANDS LÄN</t>
        </is>
      </c>
      <c r="G181" t="inlineStr">
        <is>
          <t>FLEN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54840-2021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44474</v>
      </c>
      <c r="E182" s="1" t="n">
        <v>46276</v>
      </c>
      <c r="F182" t="inlineStr">
        <is>
          <t>SÖDERMANLANDS LÄN</t>
        </is>
      </c>
      <c r="G182" t="inlineStr">
        <is>
          <t>FLEN</t>
        </is>
      </c>
      <c r="H182" t="inlineStr">
        <is>
          <t>Holmen skog AB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44778</v>
      </c>
      <c r="E183" s="1" t="n">
        <v>46276</v>
      </c>
      <c r="F183" t="inlineStr">
        <is>
          <t>SÖDERMANLANDS LÄN</t>
        </is>
      </c>
      <c r="G183" t="inlineStr">
        <is>
          <t>FLEN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46276</v>
      </c>
      <c r="F184" t="inlineStr">
        <is>
          <t>SÖDERMANLANDS LÄN</t>
        </is>
      </c>
      <c r="G184" t="inlineStr">
        <is>
          <t>FLEN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44769</v>
      </c>
      <c r="E185" s="1" t="n">
        <v>46276</v>
      </c>
      <c r="F185" t="inlineStr">
        <is>
          <t>SÖDERMANLANDS LÄN</t>
        </is>
      </c>
      <c r="G185" t="inlineStr">
        <is>
          <t>FLEN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44161-2022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46276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46276</v>
      </c>
      <c r="F187" t="inlineStr">
        <is>
          <t>SÖDERMANLANDS LÄN</t>
        </is>
      </c>
      <c r="G187" t="inlineStr">
        <is>
          <t>FLEN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44854</v>
      </c>
      <c r="E188" s="1" t="n">
        <v>46276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46276</v>
      </c>
      <c r="F189" t="inlineStr">
        <is>
          <t>SÖDERMANLANDS LÄN</t>
        </is>
      </c>
      <c r="G189" t="inlineStr">
        <is>
          <t>FLEN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48298-2021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44450</v>
      </c>
      <c r="E190" s="1" t="n">
        <v>46276</v>
      </c>
      <c r="F190" t="inlineStr">
        <is>
          <t>SÖDERMANLANDS LÄN</t>
        </is>
      </c>
      <c r="G190" t="inlineStr">
        <is>
          <t>FLEN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46276</v>
      </c>
      <c r="F191" t="inlineStr">
        <is>
          <t>SÖDERMANLANDS LÄN</t>
        </is>
      </c>
      <c r="G191" t="inlineStr">
        <is>
          <t>FLEN</t>
        </is>
      </c>
      <c r="H191" t="inlineStr">
        <is>
          <t>Övriga statliga verk och myndigheter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46276</v>
      </c>
      <c r="F192" t="inlineStr">
        <is>
          <t>SÖDERMANLANDS LÄN</t>
        </is>
      </c>
      <c r="G192" t="inlineStr">
        <is>
          <t>FLEN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46276</v>
      </c>
      <c r="F193" t="inlineStr">
        <is>
          <t>SÖDERMANLANDS LÄN</t>
        </is>
      </c>
      <c r="G193" t="inlineStr">
        <is>
          <t>FLEN</t>
        </is>
      </c>
      <c r="H193" t="inlineStr">
        <is>
          <t>Kyrkan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44636</v>
      </c>
      <c r="E194" s="1" t="n">
        <v>46276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29378-2022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44752</v>
      </c>
      <c r="E195" s="1" t="n">
        <v>46276</v>
      </c>
      <c r="F195" t="inlineStr">
        <is>
          <t>SÖDERMANLANDS LÄN</t>
        </is>
      </c>
      <c r="G195" t="inlineStr">
        <is>
          <t>FLEN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44752</v>
      </c>
      <c r="E196" s="1" t="n">
        <v>46276</v>
      </c>
      <c r="F196" t="inlineStr">
        <is>
          <t>SÖDERMANLANDS LÄN</t>
        </is>
      </c>
      <c r="G196" t="inlineStr">
        <is>
          <t>FLEN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44566</v>
      </c>
      <c r="E197" s="1" t="n">
        <v>46276</v>
      </c>
      <c r="F197" t="inlineStr">
        <is>
          <t>SÖDERMANLANDS LÄN</t>
        </is>
      </c>
      <c r="G197" t="inlineStr">
        <is>
          <t>FLEN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44610</v>
      </c>
      <c r="E198" s="1" t="n">
        <v>46276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46276</v>
      </c>
      <c r="F199" t="inlineStr">
        <is>
          <t>SÖDERMANLANDS LÄN</t>
        </is>
      </c>
      <c r="G199" t="inlineStr">
        <is>
          <t>FLEN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44643</v>
      </c>
      <c r="E200" s="1" t="n">
        <v>46276</v>
      </c>
      <c r="F200" t="inlineStr">
        <is>
          <t>SÖDERMANLANDS LÄN</t>
        </is>
      </c>
      <c r="G200" t="inlineStr">
        <is>
          <t>FLEN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44705</v>
      </c>
      <c r="E201" s="1" t="n">
        <v>46276</v>
      </c>
      <c r="F201" t="inlineStr">
        <is>
          <t>SÖDERMANLANDS LÄN</t>
        </is>
      </c>
      <c r="G201" t="inlineStr">
        <is>
          <t>FLEN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46276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46276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44980</v>
      </c>
      <c r="E204" s="1" t="n">
        <v>46276</v>
      </c>
      <c r="F204" t="inlineStr">
        <is>
          <t>SÖDERMANLANDS LÄN</t>
        </is>
      </c>
      <c r="G204" t="inlineStr">
        <is>
          <t>FLEN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44868</v>
      </c>
      <c r="E205" s="1" t="n">
        <v>46276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35507-2024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46276</v>
      </c>
      <c r="F206" t="inlineStr">
        <is>
          <t>SÖDERMANLANDS LÄN</t>
        </is>
      </c>
      <c r="G206" t="inlineStr">
        <is>
          <t>FLEN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45555</v>
      </c>
      <c r="E207" s="1" t="n">
        <v>46276</v>
      </c>
      <c r="F207" t="inlineStr">
        <is>
          <t>SÖDERMANLANDS LÄN</t>
        </is>
      </c>
      <c r="G207" t="inlineStr">
        <is>
          <t>FLEN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46276</v>
      </c>
      <c r="F208" t="inlineStr">
        <is>
          <t>SÖDERMANLANDS LÄN</t>
        </is>
      </c>
      <c r="G208" t="inlineStr">
        <is>
          <t>FLEN</t>
        </is>
      </c>
      <c r="H208" t="inlineStr">
        <is>
          <t>Holmen skog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69588-2021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46276</v>
      </c>
      <c r="F209" t="inlineStr">
        <is>
          <t>SÖDERMANLANDS LÄN</t>
        </is>
      </c>
      <c r="G209" t="inlineStr">
        <is>
          <t>FLEN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44785</v>
      </c>
      <c r="E210" s="1" t="n">
        <v>46276</v>
      </c>
      <c r="F210" t="inlineStr">
        <is>
          <t>SÖDERMANLANDS LÄN</t>
        </is>
      </c>
      <c r="G210" t="inlineStr">
        <is>
          <t>FLEN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65869-2021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46276</v>
      </c>
      <c r="F211" t="inlineStr">
        <is>
          <t>SÖDERMANLANDS LÄN</t>
        </is>
      </c>
      <c r="G211" t="inlineStr">
        <is>
          <t>FLEN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60937-2022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46276</v>
      </c>
      <c r="F212" t="inlineStr">
        <is>
          <t>SÖDERMANLANDS LÄN</t>
        </is>
      </c>
      <c r="G212" t="inlineStr">
        <is>
          <t>FLEN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46276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72314-2021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44544</v>
      </c>
      <c r="E214" s="1" t="n">
        <v>46276</v>
      </c>
      <c r="F214" t="inlineStr">
        <is>
          <t>SÖDERMANLANDS LÄN</t>
        </is>
      </c>
      <c r="G214" t="inlineStr">
        <is>
          <t>FLEN</t>
        </is>
      </c>
      <c r="I214" t="n">
        <v>13.8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45510</v>
      </c>
      <c r="E215" s="1" t="n">
        <v>46276</v>
      </c>
      <c r="F215" t="inlineStr">
        <is>
          <t>SÖDERMANLANDS LÄN</t>
        </is>
      </c>
      <c r="G215" t="inlineStr">
        <is>
          <t>FLEN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60255-2021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44495</v>
      </c>
      <c r="E216" s="1" t="n">
        <v>46276</v>
      </c>
      <c r="F216" t="inlineStr">
        <is>
          <t>SÖDERMANLANDS LÄN</t>
        </is>
      </c>
      <c r="G216" t="inlineStr">
        <is>
          <t>FLEN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54666-2021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46276</v>
      </c>
      <c r="F217" t="inlineStr">
        <is>
          <t>SÖDERMANLANDS LÄN</t>
        </is>
      </c>
      <c r="G217" t="inlineStr">
        <is>
          <t>FLEN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46276</v>
      </c>
      <c r="F218" t="inlineStr">
        <is>
          <t>SÖDERMANLANDS LÄN</t>
        </is>
      </c>
      <c r="G218" t="inlineStr">
        <is>
          <t>FLEN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46276</v>
      </c>
      <c r="F219" t="inlineStr">
        <is>
          <t>SÖDERMANLANDS LÄN</t>
        </is>
      </c>
      <c r="G219" t="inlineStr">
        <is>
          <t>FLEN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46276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45225</v>
      </c>
      <c r="E221" s="1" t="n">
        <v>46276</v>
      </c>
      <c r="F221" t="inlineStr">
        <is>
          <t>SÖDERMANLANDS LÄN</t>
        </is>
      </c>
      <c r="G221" t="inlineStr">
        <is>
          <t>FLEN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46276</v>
      </c>
      <c r="F222" t="inlineStr">
        <is>
          <t>SÖDERMANLANDS LÄN</t>
        </is>
      </c>
      <c r="G222" t="inlineStr">
        <is>
          <t>FLEN</t>
        </is>
      </c>
      <c r="H222" t="inlineStr">
        <is>
          <t>Övriga statliga verk och myndigheter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45482</v>
      </c>
      <c r="E223" s="1" t="n">
        <v>46276</v>
      </c>
      <c r="F223" t="inlineStr">
        <is>
          <t>SÖDERMANLANDS LÄN</t>
        </is>
      </c>
      <c r="G223" t="inlineStr">
        <is>
          <t>FLEN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45597</v>
      </c>
      <c r="E224" s="1" t="n">
        <v>46276</v>
      </c>
      <c r="F224" t="inlineStr">
        <is>
          <t>SÖDERMANLANDS LÄN</t>
        </is>
      </c>
      <c r="G224" t="inlineStr">
        <is>
          <t>FLEN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52980-2023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45226</v>
      </c>
      <c r="E225" s="1" t="n">
        <v>46276</v>
      </c>
      <c r="F225" t="inlineStr">
        <is>
          <t>SÖDERMANLANDS LÄN</t>
        </is>
      </c>
      <c r="G225" t="inlineStr">
        <is>
          <t>FLEN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62579-2023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45270</v>
      </c>
      <c r="E226" s="1" t="n">
        <v>46276</v>
      </c>
      <c r="F226" t="inlineStr">
        <is>
          <t>SÖDERMANLANDS LÄN</t>
        </is>
      </c>
      <c r="G226" t="inlineStr">
        <is>
          <t>FLEN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46276</v>
      </c>
      <c r="F227" t="inlineStr">
        <is>
          <t>SÖDERMANLANDS LÄN</t>
        </is>
      </c>
      <c r="G227" t="inlineStr">
        <is>
          <t>FLEN</t>
        </is>
      </c>
      <c r="H227" t="inlineStr">
        <is>
          <t>Kommuner</t>
        </is>
      </c>
      <c r="I227" t="n">
        <v>11.2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45797</v>
      </c>
      <c r="E228" s="1" t="n">
        <v>46276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46276</v>
      </c>
      <c r="F229" t="inlineStr">
        <is>
          <t>SÖDERMANLANDS LÄN</t>
        </is>
      </c>
      <c r="G229" t="inlineStr">
        <is>
          <t>FLEN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46276</v>
      </c>
      <c r="F230" t="inlineStr">
        <is>
          <t>SÖDERMANLANDS LÄN</t>
        </is>
      </c>
      <c r="G230" t="inlineStr">
        <is>
          <t>FLEN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46276</v>
      </c>
      <c r="F231" t="inlineStr">
        <is>
          <t>SÖDERMANLANDS LÄN</t>
        </is>
      </c>
      <c r="G231" t="inlineStr">
        <is>
          <t>FLEN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45702</v>
      </c>
      <c r="E232" s="1" t="n">
        <v>46276</v>
      </c>
      <c r="F232" t="inlineStr">
        <is>
          <t>SÖDERMANLANDS LÄN</t>
        </is>
      </c>
      <c r="G232" t="inlineStr">
        <is>
          <t>FLEN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46276</v>
      </c>
      <c r="F233" t="inlineStr">
        <is>
          <t>SÖDERMANLANDS LÄN</t>
        </is>
      </c>
      <c r="G233" t="inlineStr">
        <is>
          <t>FLEN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46276</v>
      </c>
      <c r="F234" t="inlineStr">
        <is>
          <t>SÖDERMANLANDS LÄN</t>
        </is>
      </c>
      <c r="G234" t="inlineStr">
        <is>
          <t>FLEN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44733</v>
      </c>
      <c r="E235" s="1" t="n">
        <v>46276</v>
      </c>
      <c r="F235" t="inlineStr">
        <is>
          <t>SÖDERMANLANDS LÄN</t>
        </is>
      </c>
      <c r="G235" t="inlineStr">
        <is>
          <t>FLEN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46276</v>
      </c>
      <c r="F236" t="inlineStr">
        <is>
          <t>SÖDERMANLANDS LÄN</t>
        </is>
      </c>
      <c r="G236" t="inlineStr">
        <is>
          <t>FLEN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46276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45209</v>
      </c>
      <c r="E238" s="1" t="n">
        <v>46276</v>
      </c>
      <c r="F238" t="inlineStr">
        <is>
          <t>SÖDERMANLANDS LÄN</t>
        </is>
      </c>
      <c r="G238" t="inlineStr">
        <is>
          <t>FLEN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66867-2021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44522</v>
      </c>
      <c r="E239" s="1" t="n">
        <v>46276</v>
      </c>
      <c r="F239" t="inlineStr">
        <is>
          <t>SÖDERMANLANDS LÄN</t>
        </is>
      </c>
      <c r="G239" t="inlineStr">
        <is>
          <t>FLEN</t>
        </is>
      </c>
      <c r="H239" t="inlineStr">
        <is>
          <t>Kyrkan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44931</v>
      </c>
      <c r="E240" s="1" t="n">
        <v>46276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46276</v>
      </c>
      <c r="F241" t="inlineStr">
        <is>
          <t>SÖDERMANLANDS LÄN</t>
        </is>
      </c>
      <c r="G241" t="inlineStr">
        <is>
          <t>FLEN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44979</v>
      </c>
      <c r="E242" s="1" t="n">
        <v>46276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46276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45147</v>
      </c>
      <c r="E244" s="1" t="n">
        <v>46276</v>
      </c>
      <c r="F244" t="inlineStr">
        <is>
          <t>SÖDERMANLANDS LÄN</t>
        </is>
      </c>
      <c r="G244" t="inlineStr">
        <is>
          <t>FLEN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45830</v>
      </c>
      <c r="E245" s="1" t="n">
        <v>46276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45830</v>
      </c>
      <c r="E246" s="1" t="n">
        <v>46276</v>
      </c>
      <c r="F246" t="inlineStr">
        <is>
          <t>SÖDERMANLANDS LÄN</t>
        </is>
      </c>
      <c r="G246" t="inlineStr">
        <is>
          <t>FLEN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44859</v>
      </c>
      <c r="E247" s="1" t="n">
        <v>46276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46276</v>
      </c>
      <c r="F248" t="inlineStr">
        <is>
          <t>SÖDERMANLANDS LÄN</t>
        </is>
      </c>
      <c r="G248" t="inlineStr">
        <is>
          <t>FLEN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44624</v>
      </c>
      <c r="E249" s="1" t="n">
        <v>46276</v>
      </c>
      <c r="F249" t="inlineStr">
        <is>
          <t>SÖDERMANLANDS LÄN</t>
        </is>
      </c>
      <c r="G249" t="inlineStr">
        <is>
          <t>FLEN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45163</v>
      </c>
      <c r="E250" s="1" t="n">
        <v>46276</v>
      </c>
      <c r="F250" t="inlineStr">
        <is>
          <t>SÖDERMANLANDS LÄN</t>
        </is>
      </c>
      <c r="G250" t="inlineStr">
        <is>
          <t>FLEN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45740</v>
      </c>
      <c r="E251" s="1" t="n">
        <v>46276</v>
      </c>
      <c r="F251" t="inlineStr">
        <is>
          <t>SÖDERMANLANDS LÄN</t>
        </is>
      </c>
      <c r="G251" t="inlineStr">
        <is>
          <t>FLEN</t>
        </is>
      </c>
      <c r="H251" t="inlineStr">
        <is>
          <t>Övriga statliga verk och myndigheter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46276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45311</v>
      </c>
      <c r="E253" s="1" t="n">
        <v>46276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44588</v>
      </c>
      <c r="E254" s="1" t="n">
        <v>46276</v>
      </c>
      <c r="F254" t="inlineStr">
        <is>
          <t>SÖDERMANLANDS LÄN</t>
        </is>
      </c>
      <c r="G254" t="inlineStr">
        <is>
          <t>FLEN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46276</v>
      </c>
      <c r="F255" t="inlineStr">
        <is>
          <t>SÖDERMANLANDS LÄN</t>
        </is>
      </c>
      <c r="G255" t="inlineStr">
        <is>
          <t>FLEN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46276</v>
      </c>
      <c r="F256" t="inlineStr">
        <is>
          <t>SÖDERMANLANDS LÄN</t>
        </is>
      </c>
      <c r="G256" t="inlineStr">
        <is>
          <t>FLEN</t>
        </is>
      </c>
      <c r="H256" t="inlineStr">
        <is>
          <t>Övriga statliga verk och myndigheter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44872</v>
      </c>
      <c r="E257" s="1" t="n">
        <v>46276</v>
      </c>
      <c r="F257" t="inlineStr">
        <is>
          <t>SÖDERMANLANDS LÄN</t>
        </is>
      </c>
      <c r="G257" t="inlineStr">
        <is>
          <t>FLEN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46276</v>
      </c>
      <c r="F258" t="inlineStr">
        <is>
          <t>SÖDERMANLANDS LÄN</t>
        </is>
      </c>
      <c r="G258" t="inlineStr">
        <is>
          <t>FLEN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46276</v>
      </c>
      <c r="F259" t="inlineStr">
        <is>
          <t>SÖDERMANLANDS LÄN</t>
        </is>
      </c>
      <c r="G259" t="inlineStr">
        <is>
          <t>FLEN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48826-2022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44859</v>
      </c>
      <c r="E260" s="1" t="n">
        <v>46276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46276</v>
      </c>
      <c r="F261" t="inlineStr">
        <is>
          <t>SÖDERMANLANDS LÄN</t>
        </is>
      </c>
      <c r="G261" t="inlineStr">
        <is>
          <t>FLEN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46276</v>
      </c>
      <c r="F262" t="inlineStr">
        <is>
          <t>SÖDERMANLANDS LÄN</t>
        </is>
      </c>
      <c r="G262" t="inlineStr">
        <is>
          <t>FLEN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45228</v>
      </c>
      <c r="E263" s="1" t="n">
        <v>46276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44899</v>
      </c>
      <c r="E264" s="1" t="n">
        <v>46276</v>
      </c>
      <c r="F264" t="inlineStr">
        <is>
          <t>SÖDERMANLANDS LÄN</t>
        </is>
      </c>
      <c r="G264" t="inlineStr">
        <is>
          <t>FLEN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46276</v>
      </c>
      <c r="F265" t="inlineStr">
        <is>
          <t>SÖDERMANLANDS LÄN</t>
        </is>
      </c>
      <c r="G265" t="inlineStr">
        <is>
          <t>FLEN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6725-2022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44602</v>
      </c>
      <c r="E266" s="1" t="n">
        <v>46276</v>
      </c>
      <c r="F266" t="inlineStr">
        <is>
          <t>SÖDERMANLANDS LÄN</t>
        </is>
      </c>
      <c r="G266" t="inlineStr">
        <is>
          <t>FLEN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46276</v>
      </c>
      <c r="F267" t="inlineStr">
        <is>
          <t>SÖDERMANLANDS LÄN</t>
        </is>
      </c>
      <c r="G267" t="inlineStr">
        <is>
          <t>FLEN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46276</v>
      </c>
      <c r="F268" t="inlineStr">
        <is>
          <t>SÖDERMANLANDS LÄN</t>
        </is>
      </c>
      <c r="G268" t="inlineStr">
        <is>
          <t>FLEN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46276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46276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46276</v>
      </c>
      <c r="F271" t="inlineStr">
        <is>
          <t>SÖDERMANLANDS LÄN</t>
        </is>
      </c>
      <c r="G271" t="inlineStr">
        <is>
          <t>FLEN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45089</v>
      </c>
      <c r="E272" s="1" t="n">
        <v>46276</v>
      </c>
      <c r="F272" t="inlineStr">
        <is>
          <t>SÖDERMANLANDS LÄN</t>
        </is>
      </c>
      <c r="G272" t="inlineStr">
        <is>
          <t>FLEN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46056</v>
      </c>
      <c r="E273" s="1" t="n">
        <v>46276</v>
      </c>
      <c r="F273" t="inlineStr">
        <is>
          <t>SÖDERMANLANDS LÄN</t>
        </is>
      </c>
      <c r="G273" t="inlineStr">
        <is>
          <t>FLEN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46276</v>
      </c>
      <c r="F274" t="inlineStr">
        <is>
          <t>SÖDERMANLANDS LÄN</t>
        </is>
      </c>
      <c r="G274" t="inlineStr">
        <is>
          <t>FLEN</t>
        </is>
      </c>
      <c r="H274" t="inlineStr">
        <is>
          <t>Övriga statliga verk och myndigheter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46276</v>
      </c>
      <c r="F275" t="inlineStr">
        <is>
          <t>SÖDERMANLANDS LÄN</t>
        </is>
      </c>
      <c r="G275" t="inlineStr">
        <is>
          <t>FLEN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46276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45932</v>
      </c>
      <c r="E277" s="1" t="n">
        <v>46276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44761</v>
      </c>
      <c r="E278" s="1" t="n">
        <v>46276</v>
      </c>
      <c r="F278" t="inlineStr">
        <is>
          <t>SÖDERMANLANDS LÄN</t>
        </is>
      </c>
      <c r="G278" t="inlineStr">
        <is>
          <t>FLEN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46276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45581</v>
      </c>
      <c r="E280" s="1" t="n">
        <v>46276</v>
      </c>
      <c r="F280" t="inlineStr">
        <is>
          <t>SÖDERMANLANDS LÄN</t>
        </is>
      </c>
      <c r="G280" t="inlineStr">
        <is>
          <t>FLEN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45260</v>
      </c>
      <c r="E281" s="1" t="n">
        <v>46276</v>
      </c>
      <c r="F281" t="inlineStr">
        <is>
          <t>SÖDERMANLANDS LÄN</t>
        </is>
      </c>
      <c r="G281" t="inlineStr">
        <is>
          <t>FLEN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44838</v>
      </c>
      <c r="E282" s="1" t="n">
        <v>46276</v>
      </c>
      <c r="F282" t="inlineStr">
        <is>
          <t>SÖDERMANLANDS LÄN</t>
        </is>
      </c>
      <c r="G282" t="inlineStr">
        <is>
          <t>FLEN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46276</v>
      </c>
      <c r="F283" t="inlineStr">
        <is>
          <t>SÖDERMANLANDS LÄN</t>
        </is>
      </c>
      <c r="G283" t="inlineStr">
        <is>
          <t>FLEN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46071</v>
      </c>
      <c r="E284" s="1" t="n">
        <v>46276</v>
      </c>
      <c r="F284" t="inlineStr">
        <is>
          <t>SÖDERMANLANDS LÄN</t>
        </is>
      </c>
      <c r="G284" t="inlineStr">
        <is>
          <t>FLEN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45358</v>
      </c>
      <c r="E285" s="1" t="n">
        <v>46276</v>
      </c>
      <c r="F285" t="inlineStr">
        <is>
          <t>SÖDERMANLANDS LÄN</t>
        </is>
      </c>
      <c r="G285" t="inlineStr">
        <is>
          <t>FLEN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46276</v>
      </c>
      <c r="F286" t="inlineStr">
        <is>
          <t>SÖDERMANLANDS LÄN</t>
        </is>
      </c>
      <c r="G286" t="inlineStr">
        <is>
          <t>FLEN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46077</v>
      </c>
      <c r="E287" s="1" t="n">
        <v>46276</v>
      </c>
      <c r="F287" t="inlineStr">
        <is>
          <t>SÖDERMANLANDS LÄN</t>
        </is>
      </c>
      <c r="G287" t="inlineStr">
        <is>
          <t>FLEN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46276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46276</v>
      </c>
      <c r="F289" t="inlineStr">
        <is>
          <t>SÖDERMANLANDS LÄN</t>
        </is>
      </c>
      <c r="G289" t="inlineStr">
        <is>
          <t>FLEN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46276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23835-2022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46276</v>
      </c>
      <c r="F291" t="inlineStr">
        <is>
          <t>SÖDERMANLANDS LÄN</t>
        </is>
      </c>
      <c r="G291" t="inlineStr">
        <is>
          <t>FLEN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23859-2022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46276</v>
      </c>
      <c r="F292" t="inlineStr">
        <is>
          <t>SÖDERMANLANDS LÄN</t>
        </is>
      </c>
      <c r="G292" t="inlineStr">
        <is>
          <t>FLEN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46276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46276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46079</v>
      </c>
      <c r="E295" s="1" t="n">
        <v>46276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46276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44785</v>
      </c>
      <c r="E297" s="1" t="n">
        <v>46276</v>
      </c>
      <c r="F297" t="inlineStr">
        <is>
          <t>SÖDERMANLANDS LÄN</t>
        </is>
      </c>
      <c r="G297" t="inlineStr">
        <is>
          <t>FLEN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46082</v>
      </c>
      <c r="E298" s="1" t="n">
        <v>46276</v>
      </c>
      <c r="F298" t="inlineStr">
        <is>
          <t>SÖDERMANLANDS LÄN</t>
        </is>
      </c>
      <c r="G298" t="inlineStr">
        <is>
          <t>FLEN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46276</v>
      </c>
      <c r="F299" t="inlineStr">
        <is>
          <t>SÖDERMANLANDS LÄN</t>
        </is>
      </c>
      <c r="G299" t="inlineStr">
        <is>
          <t>FLEN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44616</v>
      </c>
      <c r="E300" s="1" t="n">
        <v>46276</v>
      </c>
      <c r="F300" t="inlineStr">
        <is>
          <t>SÖDERMANLANDS LÄN</t>
        </is>
      </c>
      <c r="G300" t="inlineStr">
        <is>
          <t>FLEN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46276</v>
      </c>
      <c r="F301" t="inlineStr">
        <is>
          <t>SÖDERMANLANDS LÄN</t>
        </is>
      </c>
      <c r="G301" t="inlineStr">
        <is>
          <t>FLEN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52692-2021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44466</v>
      </c>
      <c r="E302" s="1" t="n">
        <v>46276</v>
      </c>
      <c r="F302" t="inlineStr">
        <is>
          <t>SÖDERMANLANDS LÄN</t>
        </is>
      </c>
      <c r="G302" t="inlineStr">
        <is>
          <t>FLEN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46276</v>
      </c>
      <c r="F303" t="inlineStr">
        <is>
          <t>SÖDERMANLANDS LÄN</t>
        </is>
      </c>
      <c r="G303" t="inlineStr">
        <is>
          <t>FLEN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46276</v>
      </c>
      <c r="F304" t="inlineStr">
        <is>
          <t>SÖDERMANLANDS LÄN</t>
        </is>
      </c>
      <c r="G304" t="inlineStr">
        <is>
          <t>FLEN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54283-2025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45964</v>
      </c>
      <c r="E305" s="1" t="n">
        <v>46276</v>
      </c>
      <c r="F305" t="inlineStr">
        <is>
          <t>SÖDERMANLANDS LÄN</t>
        </is>
      </c>
      <c r="G305" t="inlineStr">
        <is>
          <t>FLEN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54282-2025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45964</v>
      </c>
      <c r="E306" s="1" t="n">
        <v>46276</v>
      </c>
      <c r="F306" t="inlineStr">
        <is>
          <t>SÖDERMANLANDS LÄN</t>
        </is>
      </c>
      <c r="G306" t="inlineStr">
        <is>
          <t>FLEN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45213</v>
      </c>
      <c r="E307" s="1" t="n">
        <v>46276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28938-2023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45104</v>
      </c>
      <c r="E308" s="1" t="n">
        <v>46276</v>
      </c>
      <c r="F308" t="inlineStr">
        <is>
          <t>SÖDERMANLANDS LÄN</t>
        </is>
      </c>
      <c r="G308" t="inlineStr">
        <is>
          <t>FLEN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46276</v>
      </c>
      <c r="F309" t="inlineStr">
        <is>
          <t>SÖDERMANLANDS LÄN</t>
        </is>
      </c>
      <c r="G309" t="inlineStr">
        <is>
          <t>FLEN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46276</v>
      </c>
      <c r="F310" t="inlineStr">
        <is>
          <t>SÖDERMANLANDS LÄN</t>
        </is>
      </c>
      <c r="G310" t="inlineStr">
        <is>
          <t>FLEN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46276</v>
      </c>
      <c r="F311" t="inlineStr">
        <is>
          <t>SÖDERMANLANDS LÄN</t>
        </is>
      </c>
      <c r="G311" t="inlineStr">
        <is>
          <t>FLEN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44862</v>
      </c>
      <c r="E312" s="1" t="n">
        <v>46276</v>
      </c>
      <c r="F312" t="inlineStr">
        <is>
          <t>SÖDERMANLANDS LÄN</t>
        </is>
      </c>
      <c r="G312" t="inlineStr">
        <is>
          <t>FLEN</t>
        </is>
      </c>
      <c r="H312" t="inlineStr">
        <is>
          <t>Kyrkan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67464-2021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46276</v>
      </c>
      <c r="F313" t="inlineStr">
        <is>
          <t>SÖDERMANLANDS LÄN</t>
        </is>
      </c>
      <c r="G313" t="inlineStr">
        <is>
          <t>FLEN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56573-2025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46276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66979-2021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44522</v>
      </c>
      <c r="E315" s="1" t="n">
        <v>46276</v>
      </c>
      <c r="F315" t="inlineStr">
        <is>
          <t>SÖDERMANLANDS LÄN</t>
        </is>
      </c>
      <c r="G315" t="inlineStr">
        <is>
          <t>FLEN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16908-2024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45411</v>
      </c>
      <c r="E316" s="1" t="n">
        <v>46276</v>
      </c>
      <c r="F316" t="inlineStr">
        <is>
          <t>SÖDERMANLANDS LÄN</t>
        </is>
      </c>
      <c r="G316" t="inlineStr">
        <is>
          <t>FLEN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44979</v>
      </c>
      <c r="E317" s="1" t="n">
        <v>46276</v>
      </c>
      <c r="F317" t="inlineStr">
        <is>
          <t>SÖDERMANLANDS LÄN</t>
        </is>
      </c>
      <c r="G317" t="inlineStr">
        <is>
          <t>FLEN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40404-2024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46276</v>
      </c>
      <c r="F318" t="inlineStr">
        <is>
          <t>SÖDERMANLANDS LÄN</t>
        </is>
      </c>
      <c r="G318" t="inlineStr">
        <is>
          <t>FLEN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45081</v>
      </c>
      <c r="E319" s="1" t="n">
        <v>46276</v>
      </c>
      <c r="F319" t="inlineStr">
        <is>
          <t>SÖDERMANLANDS LÄN</t>
        </is>
      </c>
      <c r="G319" t="inlineStr">
        <is>
          <t>FLEN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45081</v>
      </c>
      <c r="E320" s="1" t="n">
        <v>46276</v>
      </c>
      <c r="F320" t="inlineStr">
        <is>
          <t>SÖDERMANLANDS LÄN</t>
        </is>
      </c>
      <c r="G320" t="inlineStr">
        <is>
          <t>FLEN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45993</v>
      </c>
      <c r="E321" s="1" t="n">
        <v>46276</v>
      </c>
      <c r="F321" t="inlineStr">
        <is>
          <t>SÖDERMANLANDS LÄN</t>
        </is>
      </c>
      <c r="G321" t="inlineStr">
        <is>
          <t>FLEN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10565-2023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44988</v>
      </c>
      <c r="E322" s="1" t="n">
        <v>46276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45993</v>
      </c>
      <c r="E323" s="1" t="n">
        <v>46276</v>
      </c>
      <c r="F323" t="inlineStr">
        <is>
          <t>SÖDERMANLANDS LÄN</t>
        </is>
      </c>
      <c r="G323" t="inlineStr">
        <is>
          <t>FLEN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53119-2023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45228</v>
      </c>
      <c r="E324" s="1" t="n">
        <v>46276</v>
      </c>
      <c r="F324" t="inlineStr">
        <is>
          <t>SÖDERMANLANDS LÄN</t>
        </is>
      </c>
      <c r="G324" t="inlineStr">
        <is>
          <t>FLEN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46276</v>
      </c>
      <c r="F325" t="inlineStr">
        <is>
          <t>SÖDERMANLANDS LÄN</t>
        </is>
      </c>
      <c r="G325" t="inlineStr">
        <is>
          <t>FLEN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45022</v>
      </c>
      <c r="E326" s="1" t="n">
        <v>46276</v>
      </c>
      <c r="F326" t="inlineStr">
        <is>
          <t>SÖDERMANLANDS LÄN</t>
        </is>
      </c>
      <c r="G326" t="inlineStr">
        <is>
          <t>FLEN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58631-2024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46276</v>
      </c>
      <c r="F327" t="inlineStr">
        <is>
          <t>SÖDERMANLANDS LÄN</t>
        </is>
      </c>
      <c r="G327" t="inlineStr">
        <is>
          <t>FLEN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46276</v>
      </c>
      <c r="F328" t="inlineStr">
        <is>
          <t>SÖDERMANLANDS LÄN</t>
        </is>
      </c>
      <c r="G328" t="inlineStr">
        <is>
          <t>FLEN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46276</v>
      </c>
      <c r="F329" t="inlineStr">
        <is>
          <t>SÖDERMANLANDS LÄN</t>
        </is>
      </c>
      <c r="G329" t="inlineStr">
        <is>
          <t>FLEN</t>
        </is>
      </c>
      <c r="H329" t="inlineStr">
        <is>
          <t>Kyrkan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60401-2025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46276</v>
      </c>
      <c r="F330" t="inlineStr">
        <is>
          <t>SÖDERMANLANDS LÄN</t>
        </is>
      </c>
      <c r="G330" t="inlineStr">
        <is>
          <t>FLEN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59258-2022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44897</v>
      </c>
      <c r="E331" s="1" t="n">
        <v>46276</v>
      </c>
      <c r="F331" t="inlineStr">
        <is>
          <t>SÖDERMANLANDS LÄN</t>
        </is>
      </c>
      <c r="G331" t="inlineStr">
        <is>
          <t>FLEN</t>
        </is>
      </c>
      <c r="H331" t="inlineStr">
        <is>
          <t>Övriga statliga verk och myndigheter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46276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46276</v>
      </c>
      <c r="F333" t="inlineStr">
        <is>
          <t>SÖDERMANLANDS LÄN</t>
        </is>
      </c>
      <c r="G333" t="inlineStr">
        <is>
          <t>FLEN</t>
        </is>
      </c>
      <c r="H333" t="inlineStr">
        <is>
          <t>Kyrkan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32023-2022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46276</v>
      </c>
      <c r="F334" t="inlineStr">
        <is>
          <t>SÖDERMANLANDS LÄN</t>
        </is>
      </c>
      <c r="G334" t="inlineStr">
        <is>
          <t>FLEN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46276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52541-2021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46276</v>
      </c>
      <c r="F336" t="inlineStr">
        <is>
          <t>SÖDERMANLANDS LÄN</t>
        </is>
      </c>
      <c r="G336" t="inlineStr">
        <is>
          <t>FLEN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16052-2026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46276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8.300000000000001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45331</v>
      </c>
      <c r="E338" s="1" t="n">
        <v>46276</v>
      </c>
      <c r="F338" t="inlineStr">
        <is>
          <t>SÖDERMANLANDS LÄN</t>
        </is>
      </c>
      <c r="G338" t="inlineStr">
        <is>
          <t>FLEN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22028-2023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45066</v>
      </c>
      <c r="E339" s="1" t="n">
        <v>46276</v>
      </c>
      <c r="F339" t="inlineStr">
        <is>
          <t>SÖDERMANLANDS LÄN</t>
        </is>
      </c>
      <c r="G339" t="inlineStr">
        <is>
          <t>FLEN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44979</v>
      </c>
      <c r="E340" s="1" t="n">
        <v>46276</v>
      </c>
      <c r="F340" t="inlineStr">
        <is>
          <t>SÖDERMANLANDS LÄN</t>
        </is>
      </c>
      <c r="G340" t="inlineStr">
        <is>
          <t>FLEN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45330</v>
      </c>
      <c r="E341" s="1" t="n">
        <v>46276</v>
      </c>
      <c r="F341" t="inlineStr">
        <is>
          <t>SÖDERMANLANDS LÄN</t>
        </is>
      </c>
      <c r="G341" t="inlineStr">
        <is>
          <t>FLEN</t>
        </is>
      </c>
      <c r="H341" t="inlineStr">
        <is>
          <t>Övriga statliga verk och myndigheter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44864</v>
      </c>
      <c r="E342" s="1" t="n">
        <v>46276</v>
      </c>
      <c r="F342" t="inlineStr">
        <is>
          <t>SÖDERMANLANDS LÄN</t>
        </is>
      </c>
      <c r="G342" t="inlineStr">
        <is>
          <t>FLEN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48749-2022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44855</v>
      </c>
      <c r="E343" s="1" t="n">
        <v>46276</v>
      </c>
      <c r="F343" t="inlineStr">
        <is>
          <t>SÖDERMANLANDS LÄN</t>
        </is>
      </c>
      <c r="G343" t="inlineStr">
        <is>
          <t>FLEN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45250</v>
      </c>
      <c r="E344" s="1" t="n">
        <v>46276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46276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46276</v>
      </c>
      <c r="F346" t="inlineStr">
        <is>
          <t>SÖDERMANLANDS LÄN</t>
        </is>
      </c>
      <c r="G346" t="inlineStr">
        <is>
          <t>FLEN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46276</v>
      </c>
      <c r="F347" t="inlineStr">
        <is>
          <t>SÖDERMANLANDS LÄN</t>
        </is>
      </c>
      <c r="G347" t="inlineStr">
        <is>
          <t>FLEN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45528</v>
      </c>
      <c r="E348" s="1" t="n">
        <v>46276</v>
      </c>
      <c r="F348" t="inlineStr">
        <is>
          <t>SÖDERMANLANDS LÄN</t>
        </is>
      </c>
      <c r="G348" t="inlineStr">
        <is>
          <t>FLEN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16803-2026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46113</v>
      </c>
      <c r="E349" s="1" t="n">
        <v>46276</v>
      </c>
      <c r="F349" t="inlineStr">
        <is>
          <t>SÖDERMANLANDS LÄN</t>
        </is>
      </c>
      <c r="G349" t="inlineStr">
        <is>
          <t>FLEN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45306</v>
      </c>
      <c r="E350" s="1" t="n">
        <v>46276</v>
      </c>
      <c r="F350" t="inlineStr">
        <is>
          <t>SÖDERMANLANDS LÄN</t>
        </is>
      </c>
      <c r="G350" t="inlineStr">
        <is>
          <t>FLEN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57353-2022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46276</v>
      </c>
      <c r="F351" t="inlineStr">
        <is>
          <t>SÖDERMANLANDS LÄN</t>
        </is>
      </c>
      <c r="G351" t="inlineStr">
        <is>
          <t>FLEN</t>
        </is>
      </c>
      <c r="H351" t="inlineStr">
        <is>
          <t>Övriga statliga verk och myndigheter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7194-2023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44970</v>
      </c>
      <c r="E352" s="1" t="n">
        <v>46276</v>
      </c>
      <c r="F352" t="inlineStr">
        <is>
          <t>SÖDERMANLANDS LÄN</t>
        </is>
      </c>
      <c r="G352" t="inlineStr">
        <is>
          <t>FLEN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46126</v>
      </c>
      <c r="E353" s="1" t="n">
        <v>46276</v>
      </c>
      <c r="F353" t="inlineStr">
        <is>
          <t>SÖDERMANLANDS LÄN</t>
        </is>
      </c>
      <c r="G353" t="inlineStr">
        <is>
          <t>FLEN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46126</v>
      </c>
      <c r="E354" s="1" t="n">
        <v>46276</v>
      </c>
      <c r="F354" t="inlineStr">
        <is>
          <t>SÖDERMANLANDS LÄN</t>
        </is>
      </c>
      <c r="G354" t="inlineStr">
        <is>
          <t>FLEN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46276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45140</v>
      </c>
      <c r="E356" s="1" t="n">
        <v>46276</v>
      </c>
      <c r="F356" t="inlineStr">
        <is>
          <t>SÖDERMANLANDS LÄN</t>
        </is>
      </c>
      <c r="G356" t="inlineStr">
        <is>
          <t>FLEN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46126</v>
      </c>
      <c r="E357" s="1" t="n">
        <v>46276</v>
      </c>
      <c r="F357" t="inlineStr">
        <is>
          <t>SÖDERMANLANDS LÄN</t>
        </is>
      </c>
      <c r="G357" t="inlineStr">
        <is>
          <t>FLEN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46121</v>
      </c>
      <c r="E358" s="1" t="n">
        <v>46276</v>
      </c>
      <c r="F358" t="inlineStr">
        <is>
          <t>SÖDERMANLANDS LÄN</t>
        </is>
      </c>
      <c r="G358" t="inlineStr">
        <is>
          <t>FLEN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46121</v>
      </c>
      <c r="E359" s="1" t="n">
        <v>46276</v>
      </c>
      <c r="F359" t="inlineStr">
        <is>
          <t>SÖDERMANLANDS LÄN</t>
        </is>
      </c>
      <c r="G359" t="inlineStr">
        <is>
          <t>FLEN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18918-2026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46276</v>
      </c>
      <c r="F360" t="inlineStr">
        <is>
          <t>SÖDERMANLANDS LÄN</t>
        </is>
      </c>
      <c r="G360" t="inlineStr">
        <is>
          <t>FLEN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9079-2025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46276</v>
      </c>
      <c r="F361" t="inlineStr">
        <is>
          <t>SÖDERMANLANDS LÄN</t>
        </is>
      </c>
      <c r="G361" t="inlineStr">
        <is>
          <t>FLEN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46276</v>
      </c>
      <c r="F362" t="inlineStr">
        <is>
          <t>SÖDERMANLANDS LÄN</t>
        </is>
      </c>
      <c r="G362" t="inlineStr">
        <is>
          <t>FLEN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44957</v>
      </c>
      <c r="E363" s="1" t="n">
        <v>46276</v>
      </c>
      <c r="F363" t="inlineStr">
        <is>
          <t>SÖDERMANLANDS LÄN</t>
        </is>
      </c>
      <c r="G363" t="inlineStr">
        <is>
          <t>FLEN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45209</v>
      </c>
      <c r="E364" s="1" t="n">
        <v>46276</v>
      </c>
      <c r="F364" t="inlineStr">
        <is>
          <t>SÖDERMANLANDS LÄN</t>
        </is>
      </c>
      <c r="G364" t="inlineStr">
        <is>
          <t>FLEN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46276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46276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57044-2023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45244</v>
      </c>
      <c r="E367" s="1" t="n">
        <v>46276</v>
      </c>
      <c r="F367" t="inlineStr">
        <is>
          <t>SÖDERMANLANDS LÄN</t>
        </is>
      </c>
      <c r="G367" t="inlineStr">
        <is>
          <t>FLEN</t>
        </is>
      </c>
      <c r="H367" t="inlineStr">
        <is>
          <t>Övriga statliga verk och myndigheter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44991</v>
      </c>
      <c r="E368" s="1" t="n">
        <v>46276</v>
      </c>
      <c r="F368" t="inlineStr">
        <is>
          <t>SÖDERMANLANDS LÄN</t>
        </is>
      </c>
      <c r="G368" t="inlineStr">
        <is>
          <t>FLEN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19618-2026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46134</v>
      </c>
      <c r="E369" s="1" t="n">
        <v>46276</v>
      </c>
      <c r="F369" t="inlineStr">
        <is>
          <t>SÖDERMANLANDS LÄN</t>
        </is>
      </c>
      <c r="G369" t="inlineStr">
        <is>
          <t>FLEN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39171-2025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45888</v>
      </c>
      <c r="E370" s="1" t="n">
        <v>46276</v>
      </c>
      <c r="F370" t="inlineStr">
        <is>
          <t>SÖDERMANLANDS LÄN</t>
        </is>
      </c>
      <c r="G370" t="inlineStr">
        <is>
          <t>FLEN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45805</v>
      </c>
      <c r="E371" s="1" t="n">
        <v>46276</v>
      </c>
      <c r="F371" t="inlineStr">
        <is>
          <t>SÖDERMANLANDS LÄN</t>
        </is>
      </c>
      <c r="G371" t="inlineStr">
        <is>
          <t>FLEN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19150-2023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45048</v>
      </c>
      <c r="E372" s="1" t="n">
        <v>46276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45718</v>
      </c>
      <c r="E373" s="1" t="n">
        <v>46276</v>
      </c>
      <c r="F373" t="inlineStr">
        <is>
          <t>SÖDERMANLANDS LÄN</t>
        </is>
      </c>
      <c r="G373" t="inlineStr">
        <is>
          <t>FLEN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45056</v>
      </c>
      <c r="E374" s="1" t="n">
        <v>46276</v>
      </c>
      <c r="F374" t="inlineStr">
        <is>
          <t>SÖDERMANLANDS LÄN</t>
        </is>
      </c>
      <c r="G374" t="inlineStr">
        <is>
          <t>FLEN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44561-2024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46276</v>
      </c>
      <c r="F375" t="inlineStr">
        <is>
          <t>SÖDERMANLANDS LÄN</t>
        </is>
      </c>
      <c r="G375" t="inlineStr">
        <is>
          <t>FLEN</t>
        </is>
      </c>
      <c r="H375" t="inlineStr">
        <is>
          <t>Övriga statliga verk och myndigheter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53509-2023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45230</v>
      </c>
      <c r="E376" s="1" t="n">
        <v>46276</v>
      </c>
      <c r="F376" t="inlineStr">
        <is>
          <t>SÖDERMANLANDS LÄN</t>
        </is>
      </c>
      <c r="G376" t="inlineStr">
        <is>
          <t>FLEN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46276</v>
      </c>
      <c r="F377" t="inlineStr">
        <is>
          <t>SÖDERMANLANDS LÄN</t>
        </is>
      </c>
      <c r="G377" t="inlineStr">
        <is>
          <t>FLEN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44566</v>
      </c>
      <c r="E378" s="1" t="n">
        <v>46276</v>
      </c>
      <c r="F378" t="inlineStr">
        <is>
          <t>SÖDERMANLANDS LÄN</t>
        </is>
      </c>
      <c r="G378" t="inlineStr">
        <is>
          <t>FLEN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44624</v>
      </c>
      <c r="E379" s="1" t="n">
        <v>46276</v>
      </c>
      <c r="F379" t="inlineStr">
        <is>
          <t>SÖDERMANLANDS LÄN</t>
        </is>
      </c>
      <c r="G379" t="inlineStr">
        <is>
          <t>FLEN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46276</v>
      </c>
      <c r="F380" t="inlineStr">
        <is>
          <t>SÖDERMANLANDS LÄN</t>
        </is>
      </c>
      <c r="G380" t="inlineStr">
        <is>
          <t>FLEN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45041</v>
      </c>
      <c r="E381" s="1" t="n">
        <v>46276</v>
      </c>
      <c r="F381" t="inlineStr">
        <is>
          <t>SÖDERMANLANDS LÄN</t>
        </is>
      </c>
      <c r="G381" t="inlineStr">
        <is>
          <t>FLEN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51768-2023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46276</v>
      </c>
      <c r="F382" t="inlineStr">
        <is>
          <t>SÖDERMANLANDS LÄN</t>
        </is>
      </c>
      <c r="G382" t="inlineStr">
        <is>
          <t>FLEN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46276</v>
      </c>
      <c r="F383" t="inlineStr">
        <is>
          <t>SÖDERMANLANDS LÄN</t>
        </is>
      </c>
      <c r="G383" t="inlineStr">
        <is>
          <t>FLEN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44701</v>
      </c>
      <c r="E384" s="1" t="n">
        <v>46276</v>
      </c>
      <c r="F384" t="inlineStr">
        <is>
          <t>SÖDERMANLANDS LÄN</t>
        </is>
      </c>
      <c r="G384" t="inlineStr">
        <is>
          <t>FLEN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46276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44909</v>
      </c>
      <c r="E386" s="1" t="n">
        <v>46276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33228-2024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45518</v>
      </c>
      <c r="E387" s="1" t="n">
        <v>46276</v>
      </c>
      <c r="F387" t="inlineStr">
        <is>
          <t>SÖDERMANLANDS LÄN</t>
        </is>
      </c>
      <c r="G387" t="inlineStr">
        <is>
          <t>FLEN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62763-2023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45271</v>
      </c>
      <c r="E388" s="1" t="n">
        <v>46276</v>
      </c>
      <c r="F388" t="inlineStr">
        <is>
          <t>SÖDERMANLANDS LÄN</t>
        </is>
      </c>
      <c r="G388" t="inlineStr">
        <is>
          <t>FLEN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40439-2025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46276</v>
      </c>
      <c r="F389" t="inlineStr">
        <is>
          <t>SÖDERMANLANDS LÄN</t>
        </is>
      </c>
      <c r="G389" t="inlineStr">
        <is>
          <t>FLEN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45869</v>
      </c>
      <c r="E390" s="1" t="n">
        <v>46276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37256-2022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44807</v>
      </c>
      <c r="E391" s="1" t="n">
        <v>46276</v>
      </c>
      <c r="F391" t="inlineStr">
        <is>
          <t>SÖDERMANLANDS LÄN</t>
        </is>
      </c>
      <c r="G391" t="inlineStr">
        <is>
          <t>FLEN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45257</v>
      </c>
      <c r="E392" s="1" t="n">
        <v>46276</v>
      </c>
      <c r="F392" t="inlineStr">
        <is>
          <t>SÖDERMANLANDS LÄN</t>
        </is>
      </c>
      <c r="G392" t="inlineStr">
        <is>
          <t>FLEN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45632</v>
      </c>
      <c r="E393" s="1" t="n">
        <v>46276</v>
      </c>
      <c r="F393" t="inlineStr">
        <is>
          <t>SÖDERMANLANDS LÄN</t>
        </is>
      </c>
      <c r="G393" t="inlineStr">
        <is>
          <t>FLEN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46276</v>
      </c>
      <c r="F394" t="inlineStr">
        <is>
          <t>SÖDERMANLANDS LÄN</t>
        </is>
      </c>
      <c r="G394" t="inlineStr">
        <is>
          <t>FLEN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45321</v>
      </c>
      <c r="E395" s="1" t="n">
        <v>46276</v>
      </c>
      <c r="F395" t="inlineStr">
        <is>
          <t>SÖDERMANLANDS LÄN</t>
        </is>
      </c>
      <c r="G395" t="inlineStr">
        <is>
          <t>FLEN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16937-2022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44676</v>
      </c>
      <c r="E396" s="1" t="n">
        <v>46276</v>
      </c>
      <c r="F396" t="inlineStr">
        <is>
          <t>SÖDERMANLANDS LÄN</t>
        </is>
      </c>
      <c r="G396" t="inlineStr">
        <is>
          <t>FLEN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45791</v>
      </c>
      <c r="E397" s="1" t="n">
        <v>46276</v>
      </c>
      <c r="F397" t="inlineStr">
        <is>
          <t>SÖDERMANLANDS LÄN</t>
        </is>
      </c>
      <c r="G397" t="inlineStr">
        <is>
          <t>FLEN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14599-2023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45013</v>
      </c>
      <c r="E398" s="1" t="n">
        <v>46276</v>
      </c>
      <c r="F398" t="inlineStr">
        <is>
          <t>SÖDERMANLANDS LÄN</t>
        </is>
      </c>
      <c r="G398" t="inlineStr">
        <is>
          <t>FLEN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46276</v>
      </c>
      <c r="F399" t="inlineStr">
        <is>
          <t>SÖDERMANLANDS LÄN</t>
        </is>
      </c>
      <c r="G399" t="inlineStr">
        <is>
          <t>FLEN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45230</v>
      </c>
      <c r="E400" s="1" t="n">
        <v>46276</v>
      </c>
      <c r="F400" t="inlineStr">
        <is>
          <t>SÖDERMANLANDS LÄN</t>
        </is>
      </c>
      <c r="G400" t="inlineStr">
        <is>
          <t>FLEN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45230</v>
      </c>
      <c r="E401" s="1" t="n">
        <v>46276</v>
      </c>
      <c r="F401" t="inlineStr">
        <is>
          <t>SÖDERMANLANDS LÄN</t>
        </is>
      </c>
      <c r="G401" t="inlineStr">
        <is>
          <t>FLEN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50796-2021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44459</v>
      </c>
      <c r="E402" s="1" t="n">
        <v>46276</v>
      </c>
      <c r="F402" t="inlineStr">
        <is>
          <t>SÖDERMANLANDS LÄN</t>
        </is>
      </c>
      <c r="G402" t="inlineStr">
        <is>
          <t>FLEN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39053-2023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45163</v>
      </c>
      <c r="E403" s="1" t="n">
        <v>46276</v>
      </c>
      <c r="F403" t="inlineStr">
        <is>
          <t>SÖDERMANLANDS LÄN</t>
        </is>
      </c>
      <c r="G403" t="inlineStr">
        <is>
          <t>FLEN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27146-2022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44741</v>
      </c>
      <c r="E404" s="1" t="n">
        <v>46276</v>
      </c>
      <c r="F404" t="inlineStr">
        <is>
          <t>SÖDERMANLANDS LÄN</t>
        </is>
      </c>
      <c r="G404" t="inlineStr">
        <is>
          <t>FLEN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12172-2022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44636</v>
      </c>
      <c r="E405" s="1" t="n">
        <v>46276</v>
      </c>
      <c r="F405" t="inlineStr">
        <is>
          <t>SÖDERMANLANDS LÄN</t>
        </is>
      </c>
      <c r="G405" t="inlineStr">
        <is>
          <t>FLEN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44887</v>
      </c>
      <c r="E406" s="1" t="n">
        <v>46276</v>
      </c>
      <c r="F406" t="inlineStr">
        <is>
          <t>SÖDERMANLANDS LÄN</t>
        </is>
      </c>
      <c r="G406" t="inlineStr">
        <is>
          <t>FLEN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46276</v>
      </c>
      <c r="F407" t="inlineStr">
        <is>
          <t>SÖDERMANLANDS LÄN</t>
        </is>
      </c>
      <c r="G407" t="inlineStr">
        <is>
          <t>FLEN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60609-2022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44911</v>
      </c>
      <c r="E408" s="1" t="n">
        <v>46276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45224</v>
      </c>
      <c r="E409" s="1" t="n">
        <v>46276</v>
      </c>
      <c r="F409" t="inlineStr">
        <is>
          <t>SÖDERMANLANDS LÄN</t>
        </is>
      </c>
      <c r="G409" t="inlineStr">
        <is>
          <t>FLEN</t>
        </is>
      </c>
      <c r="H409" t="inlineStr">
        <is>
          <t>Kyrkan</t>
        </is>
      </c>
      <c r="I409" t="n">
        <v>8.199999999999999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31214-2023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45114</v>
      </c>
      <c r="E410" s="1" t="n">
        <v>46276</v>
      </c>
      <c r="F410" t="inlineStr">
        <is>
          <t>SÖDERMANLANDS LÄN</t>
        </is>
      </c>
      <c r="G410" t="inlineStr">
        <is>
          <t>FLEN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45161</v>
      </c>
      <c r="E411" s="1" t="n">
        <v>46276</v>
      </c>
      <c r="F411" t="inlineStr">
        <is>
          <t>SÖDERMANLANDS LÄN</t>
        </is>
      </c>
      <c r="G411" t="inlineStr">
        <is>
          <t>FLEN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46276</v>
      </c>
      <c r="F412" t="inlineStr">
        <is>
          <t>SÖDERMANLANDS LÄN</t>
        </is>
      </c>
      <c r="G412" t="inlineStr">
        <is>
          <t>FLEN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46276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56497-2022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44887</v>
      </c>
      <c r="E414" s="1" t="n">
        <v>46276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44958</v>
      </c>
      <c r="E415" s="1" t="n">
        <v>46276</v>
      </c>
      <c r="F415" t="inlineStr">
        <is>
          <t>SÖDERMANLANDS LÄN</t>
        </is>
      </c>
      <c r="G415" t="inlineStr">
        <is>
          <t>FLEN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59599-2022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44907</v>
      </c>
      <c r="E416" s="1" t="n">
        <v>46276</v>
      </c>
      <c r="F416" t="inlineStr">
        <is>
          <t>SÖDERMANLANDS LÄN</t>
        </is>
      </c>
      <c r="G416" t="inlineStr">
        <is>
          <t>FLEN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46276</v>
      </c>
      <c r="F417" t="inlineStr">
        <is>
          <t>SÖDERMANLANDS LÄN</t>
        </is>
      </c>
      <c r="G417" t="inlineStr">
        <is>
          <t>FLEN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46276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45072</v>
      </c>
      <c r="E419" s="1" t="n">
        <v>46276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46276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45217</v>
      </c>
      <c r="E421" s="1" t="n">
        <v>46276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46276</v>
      </c>
      <c r="F422" t="inlineStr">
        <is>
          <t>SÖDERMANLANDS LÄN</t>
        </is>
      </c>
      <c r="G422" t="inlineStr">
        <is>
          <t>FLEN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46276</v>
      </c>
      <c r="F423" t="inlineStr">
        <is>
          <t>SÖDERMANLANDS LÄN</t>
        </is>
      </c>
      <c r="G423" t="inlineStr">
        <is>
          <t>FLEN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46276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24155-2026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46168</v>
      </c>
      <c r="E425" s="1" t="n">
        <v>46276</v>
      </c>
      <c r="F425" t="inlineStr">
        <is>
          <t>SÖDERMANLANDS LÄN</t>
        </is>
      </c>
      <c r="G425" t="inlineStr">
        <is>
          <t>FLEN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46276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46276</v>
      </c>
      <c r="F427" t="inlineStr">
        <is>
          <t>SÖDERMANLANDS LÄN</t>
        </is>
      </c>
      <c r="G427" t="inlineStr">
        <is>
          <t>FLEN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46121</v>
      </c>
      <c r="E428" s="1" t="n">
        <v>46276</v>
      </c>
      <c r="F428" t="inlineStr">
        <is>
          <t>SÖDERMANLANDS LÄN</t>
        </is>
      </c>
      <c r="G428" t="inlineStr">
        <is>
          <t>FLEN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46276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  <c r="Z429">
        <f>HYPERLINK("https://klasma.github.io/Logging_0482/knärot/A 24450-2026 karta knärot.png", "A 24450-2026")</f>
        <v/>
      </c>
      <c r="AA429">
        <f>HYPERLINK("https://klasma.github.io/Logging_0482/klagomål/A 24450-2026 FSC-klagomål.docx", "A 24450-2026")</f>
        <v/>
      </c>
      <c r="AB429">
        <f>HYPERLINK("https://klasma.github.io/Logging_0482/klagomålsmail/A 24450-2026 FSC-klagomål mail.docx", "A 24450-2026")</f>
        <v/>
      </c>
      <c r="AC429">
        <f>HYPERLINK("https://klasma.github.io/Logging_0482/tillsyn/A 24450-2026 tillsynsbegäran.docx", "A 24450-2026")</f>
        <v/>
      </c>
      <c r="AD429">
        <f>HYPERLINK("https://klasma.github.io/Logging_0482/tillsynsmail/A 24450-2026 tillsynsbegäran mail.docx", "A 24450-2026")</f>
        <v/>
      </c>
    </row>
    <row r="430" ht="15" customHeight="1">
      <c r="A430" t="inlineStr">
        <is>
          <t>A 24721-2026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46276</v>
      </c>
      <c r="F430" t="inlineStr">
        <is>
          <t>SÖDERMANLANDS LÄN</t>
        </is>
      </c>
      <c r="G430" t="inlineStr">
        <is>
          <t>FLEN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54781-2024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45618</v>
      </c>
      <c r="E431" s="1" t="n">
        <v>46276</v>
      </c>
      <c r="F431" t="inlineStr">
        <is>
          <t>SÖDERMANLANDS LÄN</t>
        </is>
      </c>
      <c r="G431" t="inlineStr">
        <is>
          <t>FLEN</t>
        </is>
      </c>
      <c r="I431" t="n">
        <v>10.3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45189</v>
      </c>
      <c r="E432" s="1" t="n">
        <v>46276</v>
      </c>
      <c r="F432" t="inlineStr">
        <is>
          <t>SÖDERMANLANDS LÄN</t>
        </is>
      </c>
      <c r="G432" t="inlineStr">
        <is>
          <t>FLEN</t>
        </is>
      </c>
      <c r="H432" t="inlineStr">
        <is>
          <t>Övriga statliga verk och myndigheter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46276</v>
      </c>
      <c r="F433" t="inlineStr">
        <is>
          <t>SÖDERMANLANDS LÄN</t>
        </is>
      </c>
      <c r="G433" t="inlineStr">
        <is>
          <t>FLEN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45030</v>
      </c>
      <c r="E434" s="1" t="n">
        <v>46276</v>
      </c>
      <c r="F434" t="inlineStr">
        <is>
          <t>SÖDERMANLANDS LÄN</t>
        </is>
      </c>
      <c r="G434" t="inlineStr">
        <is>
          <t>FLEN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47872-2025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45932</v>
      </c>
      <c r="E435" s="1" t="n">
        <v>46276</v>
      </c>
      <c r="F435" t="inlineStr">
        <is>
          <t>SÖDERMANLANDS LÄN</t>
        </is>
      </c>
      <c r="G435" t="inlineStr">
        <is>
          <t>FLEN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46276</v>
      </c>
      <c r="F436" t="inlineStr">
        <is>
          <t>SÖDERMANLANDS LÄN</t>
        </is>
      </c>
      <c r="G436" t="inlineStr">
        <is>
          <t>FLEN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46276</v>
      </c>
      <c r="F437" t="inlineStr">
        <is>
          <t>SÖDERMANLANDS LÄN</t>
        </is>
      </c>
      <c r="G437" t="inlineStr">
        <is>
          <t>FLEN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25303-2026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46176</v>
      </c>
      <c r="E438" s="1" t="n">
        <v>46276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44887</v>
      </c>
      <c r="E439" s="1" t="n">
        <v>46276</v>
      </c>
      <c r="F439" t="inlineStr">
        <is>
          <t>SÖDERMANLANDS LÄN</t>
        </is>
      </c>
      <c r="G439" t="inlineStr">
        <is>
          <t>FLEN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40286-2023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45169</v>
      </c>
      <c r="E440" s="1" t="n">
        <v>46276</v>
      </c>
      <c r="F440" t="inlineStr">
        <is>
          <t>SÖDERMANLANDS LÄN</t>
        </is>
      </c>
      <c r="G440" t="inlineStr">
        <is>
          <t>FLEN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54340-2023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45225</v>
      </c>
      <c r="E441" s="1" t="n">
        <v>46276</v>
      </c>
      <c r="F441" t="inlineStr">
        <is>
          <t>SÖDERMANLANDS LÄN</t>
        </is>
      </c>
      <c r="G441" t="inlineStr">
        <is>
          <t>FLEN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45501</v>
      </c>
      <c r="E442" s="1" t="n">
        <v>46276</v>
      </c>
      <c r="F442" t="inlineStr">
        <is>
          <t>SÖDERMANLANDS LÄN</t>
        </is>
      </c>
      <c r="G442" t="inlineStr">
        <is>
          <t>FLEN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46181</v>
      </c>
      <c r="E443" s="1" t="n">
        <v>46276</v>
      </c>
      <c r="F443" t="inlineStr">
        <is>
          <t>SÖDERMANLANDS LÄN</t>
        </is>
      </c>
      <c r="G443" t="inlineStr">
        <is>
          <t>FLEN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46276</v>
      </c>
      <c r="F444" t="inlineStr">
        <is>
          <t>SÖDERMANLANDS LÄN</t>
        </is>
      </c>
      <c r="G444" t="inlineStr">
        <is>
          <t>FLEN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40420-2024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46276</v>
      </c>
      <c r="F445" t="inlineStr">
        <is>
          <t>SÖDERMANLANDS LÄN</t>
        </is>
      </c>
      <c r="G445" t="inlineStr">
        <is>
          <t>FLEN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46401-2022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44846</v>
      </c>
      <c r="E446" s="1" t="n">
        <v>46276</v>
      </c>
      <c r="F446" t="inlineStr">
        <is>
          <t>SÖDERMANLANDS LÄN</t>
        </is>
      </c>
      <c r="G446" t="inlineStr">
        <is>
          <t>FLEN</t>
        </is>
      </c>
      <c r="H446" t="inlineStr">
        <is>
          <t>Kyrkan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46276</v>
      </c>
      <c r="F447" t="inlineStr">
        <is>
          <t>SÖDERMANLANDS LÄN</t>
        </is>
      </c>
      <c r="G447" t="inlineStr">
        <is>
          <t>FLEN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58267-2023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45250</v>
      </c>
      <c r="E448" s="1" t="n">
        <v>46276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14.7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26050-2026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46276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49811-2023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45211</v>
      </c>
      <c r="E450" s="1" t="n">
        <v>46276</v>
      </c>
      <c r="F450" t="inlineStr">
        <is>
          <t>SÖDERMANLANDS LÄN</t>
        </is>
      </c>
      <c r="G450" t="inlineStr">
        <is>
          <t>FLEN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46170</v>
      </c>
      <c r="E451" s="1" t="n">
        <v>46276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52481-2023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45225</v>
      </c>
      <c r="E452" s="1" t="n">
        <v>46276</v>
      </c>
      <c r="F452" t="inlineStr">
        <is>
          <t>SÖDERMANLANDS LÄN</t>
        </is>
      </c>
      <c r="G452" t="inlineStr">
        <is>
          <t>FLEN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46276</v>
      </c>
      <c r="F453" t="inlineStr">
        <is>
          <t>SÖDERMANLANDS LÄN</t>
        </is>
      </c>
      <c r="G453" t="inlineStr">
        <is>
          <t>FLEN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47187-2022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44848</v>
      </c>
      <c r="E454" s="1" t="n">
        <v>46276</v>
      </c>
      <c r="F454" t="inlineStr">
        <is>
          <t>SÖDERMANLANDS LÄN</t>
        </is>
      </c>
      <c r="G454" t="inlineStr">
        <is>
          <t>FLEN</t>
        </is>
      </c>
      <c r="H454" t="inlineStr">
        <is>
          <t>Övriga statliga verk och myndigheter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46276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26850-2026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46276</v>
      </c>
      <c r="F456" t="inlineStr">
        <is>
          <t>SÖDERMANLANDS LÄN</t>
        </is>
      </c>
      <c r="G456" t="inlineStr">
        <is>
          <t>FLEN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21476-2024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45441</v>
      </c>
      <c r="E457" s="1" t="n">
        <v>46276</v>
      </c>
      <c r="F457" t="inlineStr">
        <is>
          <t>SÖDERMANLANDS LÄN</t>
        </is>
      </c>
      <c r="G457" t="inlineStr">
        <is>
          <t>FLEN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27304-2026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46276</v>
      </c>
      <c r="F458" t="inlineStr">
        <is>
          <t>SÖDERMANLANDS LÄN</t>
        </is>
      </c>
      <c r="G458" t="inlineStr">
        <is>
          <t>FLEN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8903-2022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44614</v>
      </c>
      <c r="E459" s="1" t="n">
        <v>46276</v>
      </c>
      <c r="F459" t="inlineStr">
        <is>
          <t>SÖDERMANLANDS LÄN</t>
        </is>
      </c>
      <c r="G459" t="inlineStr">
        <is>
          <t>FLEN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27317-2026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46276</v>
      </c>
      <c r="F460" t="inlineStr">
        <is>
          <t>SÖDERMANLANDS LÄN</t>
        </is>
      </c>
      <c r="G460" t="inlineStr">
        <is>
          <t>FLEN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45720</v>
      </c>
      <c r="E461" s="1" t="n">
        <v>46276</v>
      </c>
      <c r="F461" t="inlineStr">
        <is>
          <t>SÖDERMANLANDS LÄN</t>
        </is>
      </c>
      <c r="G461" t="inlineStr">
        <is>
          <t>FLEN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46276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53517-2023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46276</v>
      </c>
      <c r="F463" t="inlineStr">
        <is>
          <t>SÖDERMANLANDS LÄN</t>
        </is>
      </c>
      <c r="G463" t="inlineStr">
        <is>
          <t>FLEN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37286-2024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45540</v>
      </c>
      <c r="E464" s="1" t="n">
        <v>46276</v>
      </c>
      <c r="F464" t="inlineStr">
        <is>
          <t>SÖDERMANLANDS LÄN</t>
        </is>
      </c>
      <c r="G464" t="inlineStr">
        <is>
          <t>FLEN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44614</v>
      </c>
      <c r="E465" s="1" t="n">
        <v>46276</v>
      </c>
      <c r="F465" t="inlineStr">
        <is>
          <t>SÖDERMANLANDS LÄN</t>
        </is>
      </c>
      <c r="G465" t="inlineStr">
        <is>
          <t>FLEN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44909</v>
      </c>
      <c r="E466" s="1" t="n">
        <v>46276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4536-2024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45327</v>
      </c>
      <c r="E467" s="1" t="n">
        <v>46276</v>
      </c>
      <c r="F467" t="inlineStr">
        <is>
          <t>SÖDERMANLANDS LÄN</t>
        </is>
      </c>
      <c r="G467" t="inlineStr">
        <is>
          <t>FLEN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45001</v>
      </c>
      <c r="E468" s="1" t="n">
        <v>46276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46276</v>
      </c>
      <c r="F469" t="inlineStr">
        <is>
          <t>SÖDERMANLANDS LÄN</t>
        </is>
      </c>
      <c r="G469" t="inlineStr">
        <is>
          <t>FLEN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46276</v>
      </c>
      <c r="F470" t="inlineStr">
        <is>
          <t>SÖDERMANLANDS LÄN</t>
        </is>
      </c>
      <c r="G470" t="inlineStr">
        <is>
          <t>FLEN</t>
        </is>
      </c>
      <c r="I470" t="n">
        <v>9.5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73923-2021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44553</v>
      </c>
      <c r="E471" s="1" t="n">
        <v>46276</v>
      </c>
      <c r="F471" t="inlineStr">
        <is>
          <t>SÖDERMANLANDS LÄN</t>
        </is>
      </c>
      <c r="G471" t="inlineStr">
        <is>
          <t>FLEN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45345</v>
      </c>
      <c r="E472" s="1" t="n">
        <v>46276</v>
      </c>
      <c r="F472" t="inlineStr">
        <is>
          <t>SÖDERMANLANDS LÄN</t>
        </is>
      </c>
      <c r="G472" t="inlineStr">
        <is>
          <t>FLEN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44648</v>
      </c>
      <c r="E473" s="1" t="n">
        <v>46276</v>
      </c>
      <c r="F473" t="inlineStr">
        <is>
          <t>SÖDERMANLANDS LÄN</t>
        </is>
      </c>
      <c r="G473" t="inlineStr">
        <is>
          <t>FLEN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46276</v>
      </c>
      <c r="F474" t="inlineStr">
        <is>
          <t>SÖDERMANLANDS LÄN</t>
        </is>
      </c>
      <c r="G474" t="inlineStr">
        <is>
          <t>FLEN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44739</v>
      </c>
      <c r="E475" s="1" t="n">
        <v>46276</v>
      </c>
      <c r="F475" t="inlineStr">
        <is>
          <t>SÖDERMANLANDS LÄN</t>
        </is>
      </c>
      <c r="G475" t="inlineStr">
        <is>
          <t>FLEN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45454</v>
      </c>
      <c r="E476" s="1" t="n">
        <v>46276</v>
      </c>
      <c r="F476" t="inlineStr">
        <is>
          <t>SÖDERMANLANDS LÄN</t>
        </is>
      </c>
      <c r="G476" t="inlineStr">
        <is>
          <t>FLEN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28768-2024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45478</v>
      </c>
      <c r="E477" s="1" t="n">
        <v>46276</v>
      </c>
      <c r="F477" t="inlineStr">
        <is>
          <t>SÖDERMANLANDS LÄN</t>
        </is>
      </c>
      <c r="G477" t="inlineStr">
        <is>
          <t>FLEN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45713</v>
      </c>
      <c r="E478" s="1" t="n">
        <v>46276</v>
      </c>
      <c r="F478" t="inlineStr">
        <is>
          <t>SÖDERMANLANDS LÄN</t>
        </is>
      </c>
      <c r="G478" t="inlineStr">
        <is>
          <t>FLEN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44580</v>
      </c>
      <c r="E479" s="1" t="n">
        <v>46276</v>
      </c>
      <c r="F479" t="inlineStr">
        <is>
          <t>SÖDERMANLANDS LÄN</t>
        </is>
      </c>
      <c r="G479" t="inlineStr">
        <is>
          <t>FLEN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34612-2023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45140</v>
      </c>
      <c r="E480" s="1" t="n">
        <v>46276</v>
      </c>
      <c r="F480" t="inlineStr">
        <is>
          <t>SÖDERMANLANDS LÄN</t>
        </is>
      </c>
      <c r="G480" t="inlineStr">
        <is>
          <t>FLEN</t>
        </is>
      </c>
      <c r="H480" t="inlineStr">
        <is>
          <t>Kyrkan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39891-2022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44819</v>
      </c>
      <c r="E481" s="1" t="n">
        <v>46276</v>
      </c>
      <c r="F481" t="inlineStr">
        <is>
          <t>SÖDERMANLANDS LÄN</t>
        </is>
      </c>
      <c r="G481" t="inlineStr">
        <is>
          <t>FLEN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31083-2022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44769</v>
      </c>
      <c r="E482" s="1" t="n">
        <v>46276</v>
      </c>
      <c r="F482" t="inlineStr">
        <is>
          <t>SÖDERMANLANDS LÄN</t>
        </is>
      </c>
      <c r="G482" t="inlineStr">
        <is>
          <t>FLEN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45110</v>
      </c>
      <c r="E483" s="1" t="n">
        <v>46276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45250</v>
      </c>
      <c r="E484" s="1" t="n">
        <v>46276</v>
      </c>
      <c r="F484" t="inlineStr">
        <is>
          <t>SÖDERMANLANDS LÄN</t>
        </is>
      </c>
      <c r="G484" t="inlineStr">
        <is>
          <t>FLEN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45161</v>
      </c>
      <c r="E485" s="1" t="n">
        <v>46276</v>
      </c>
      <c r="F485" t="inlineStr">
        <is>
          <t>SÖDERMANLANDS LÄN</t>
        </is>
      </c>
      <c r="G485" t="inlineStr">
        <is>
          <t>FLEN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5582-2023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44960</v>
      </c>
      <c r="E486" s="1" t="n">
        <v>46276</v>
      </c>
      <c r="F486" t="inlineStr">
        <is>
          <t>SÖDERMANLANDS LÄN</t>
        </is>
      </c>
      <c r="G486" t="inlineStr">
        <is>
          <t>FLEN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33717-2026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46276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57046-2023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46276</v>
      </c>
      <c r="F488" t="inlineStr">
        <is>
          <t>SÖDERMANLANDS LÄN</t>
        </is>
      </c>
      <c r="G488" t="inlineStr">
        <is>
          <t>FLEN</t>
        </is>
      </c>
      <c r="H488" t="inlineStr">
        <is>
          <t>Övriga statliga verk och myndigheter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45328</v>
      </c>
      <c r="E489" s="1" t="n">
        <v>46276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33727-2026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46251</v>
      </c>
      <c r="E490" s="1" t="n">
        <v>46276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33730-2026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46251</v>
      </c>
      <c r="E491" s="1" t="n">
        <v>46276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45175</v>
      </c>
      <c r="E492" s="1" t="n">
        <v>46276</v>
      </c>
      <c r="F492" t="inlineStr">
        <is>
          <t>SÖDERMANLANDS LÄN</t>
        </is>
      </c>
      <c r="G492" t="inlineStr">
        <is>
          <t>FLEN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17654-2023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45036</v>
      </c>
      <c r="E493" s="1" t="n">
        <v>46276</v>
      </c>
      <c r="F493" t="inlineStr">
        <is>
          <t>SÖDERMANLANDS LÄN</t>
        </is>
      </c>
      <c r="G493" t="inlineStr">
        <is>
          <t>FLEN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59439-2022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44907</v>
      </c>
      <c r="E494" s="1" t="n">
        <v>46276</v>
      </c>
      <c r="F494" t="inlineStr">
        <is>
          <t>SÖDERMANLANDS LÄN</t>
        </is>
      </c>
      <c r="G494" t="inlineStr">
        <is>
          <t>FLEN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45365</v>
      </c>
      <c r="E495" s="1" t="n">
        <v>46276</v>
      </c>
      <c r="F495" t="inlineStr">
        <is>
          <t>SÖDERMANLANDS LÄN</t>
        </is>
      </c>
      <c r="G495" t="inlineStr">
        <is>
          <t>FLEN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56991-2023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45244</v>
      </c>
      <c r="E496" s="1" t="n">
        <v>46276</v>
      </c>
      <c r="F496" t="inlineStr">
        <is>
          <t>SÖDERMANLANDS LÄN</t>
        </is>
      </c>
      <c r="G496" t="inlineStr">
        <is>
          <t>FLEN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46276</v>
      </c>
      <c r="F497" t="inlineStr">
        <is>
          <t>SÖDERMANLANDS LÄN</t>
        </is>
      </c>
      <c r="G497" t="inlineStr">
        <is>
          <t>FLEN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33936-2026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46250</v>
      </c>
      <c r="E498" s="1" t="n">
        <v>46276</v>
      </c>
      <c r="F498" t="inlineStr">
        <is>
          <t>SÖDERMANLANDS LÄN</t>
        </is>
      </c>
      <c r="G498" t="inlineStr">
        <is>
          <t>FLEN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11747-2022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44634</v>
      </c>
      <c r="E499" s="1" t="n">
        <v>46276</v>
      </c>
      <c r="F499" t="inlineStr">
        <is>
          <t>SÖDERMANLANDS LÄN</t>
        </is>
      </c>
      <c r="G499" t="inlineStr">
        <is>
          <t>FLEN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28664-2026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46276</v>
      </c>
      <c r="F500" t="inlineStr">
        <is>
          <t>SÖDERMANLANDS LÄN</t>
        </is>
      </c>
      <c r="G500" t="inlineStr">
        <is>
          <t>FLEN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41806-2023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45176</v>
      </c>
      <c r="E501" s="1" t="n">
        <v>46276</v>
      </c>
      <c r="F501" t="inlineStr">
        <is>
          <t>SÖDERMANLANDS LÄN</t>
        </is>
      </c>
      <c r="G501" t="inlineStr">
        <is>
          <t>FLEN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46253</v>
      </c>
      <c r="E502" s="1" t="n">
        <v>46276</v>
      </c>
      <c r="F502" t="inlineStr">
        <is>
          <t>SÖDERMANLANDS LÄN</t>
        </is>
      </c>
      <c r="G502" t="inlineStr">
        <is>
          <t>FLEN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46276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46276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46276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42388-2023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45180</v>
      </c>
      <c r="E506" s="1" t="n">
        <v>46276</v>
      </c>
      <c r="F506" t="inlineStr">
        <is>
          <t>SÖDERMANLANDS LÄN</t>
        </is>
      </c>
      <c r="G506" t="inlineStr">
        <is>
          <t>FLEN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45256</v>
      </c>
      <c r="E507" s="1" t="n">
        <v>46276</v>
      </c>
      <c r="F507" t="inlineStr">
        <is>
          <t>SÖDERMANLANDS LÄN</t>
        </is>
      </c>
      <c r="G507" t="inlineStr">
        <is>
          <t>FLEN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13824-2023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45007</v>
      </c>
      <c r="E508" s="1" t="n">
        <v>46276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22827-2024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45448</v>
      </c>
      <c r="E509" s="1" t="n">
        <v>46276</v>
      </c>
      <c r="F509" t="inlineStr">
        <is>
          <t>SÖDERMANLANDS LÄN</t>
        </is>
      </c>
      <c r="G509" t="inlineStr">
        <is>
          <t>FLEN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46276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8.5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46252</v>
      </c>
      <c r="E511" s="1" t="n">
        <v>46276</v>
      </c>
      <c r="F511" t="inlineStr">
        <is>
          <t>SÖDERMANLANDS LÄN</t>
        </is>
      </c>
      <c r="G511" t="inlineStr">
        <is>
          <t>FLEN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13233-2024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45386</v>
      </c>
      <c r="E512" s="1" t="n">
        <v>46276</v>
      </c>
      <c r="F512" t="inlineStr">
        <is>
          <t>SÖDERMANLANDS LÄN</t>
        </is>
      </c>
      <c r="G512" t="inlineStr">
        <is>
          <t>FLEN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8293-2022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44610</v>
      </c>
      <c r="E513" s="1" t="n">
        <v>46276</v>
      </c>
      <c r="F513" t="inlineStr">
        <is>
          <t>SÖDERMANLANDS LÄN</t>
        </is>
      </c>
      <c r="G513" t="inlineStr">
        <is>
          <t>FLEN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14755-2023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45014</v>
      </c>
      <c r="E514" s="1" t="n">
        <v>46276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45671</v>
      </c>
      <c r="E515" s="1" t="n">
        <v>46276</v>
      </c>
      <c r="F515" t="inlineStr">
        <is>
          <t>SÖDERMANLANDS LÄN</t>
        </is>
      </c>
      <c r="G515" t="inlineStr">
        <is>
          <t>FLEN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45163</v>
      </c>
      <c r="E516" s="1" t="n">
        <v>46276</v>
      </c>
      <c r="F516" t="inlineStr">
        <is>
          <t>SÖDERMANLANDS LÄN</t>
        </is>
      </c>
      <c r="G516" t="inlineStr">
        <is>
          <t>FLEN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34030-2026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46276</v>
      </c>
      <c r="F517" t="inlineStr">
        <is>
          <t>SÖDERMANLANDS LÄN</t>
        </is>
      </c>
      <c r="G517" t="inlineStr">
        <is>
          <t>FLEN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46276</v>
      </c>
      <c r="F518" t="inlineStr">
        <is>
          <t>SÖDERMANLANDS LÄN</t>
        </is>
      </c>
      <c r="G518" t="inlineStr">
        <is>
          <t>FLEN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4899-2023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44958</v>
      </c>
      <c r="E519" s="1" t="n">
        <v>46276</v>
      </c>
      <c r="F519" t="inlineStr">
        <is>
          <t>SÖDERMANLANDS LÄN</t>
        </is>
      </c>
      <c r="G519" t="inlineStr">
        <is>
          <t>FLEN</t>
        </is>
      </c>
      <c r="H519" t="inlineStr">
        <is>
          <t>Kyrkan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45777</v>
      </c>
      <c r="E520" s="1" t="n">
        <v>46276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46276</v>
      </c>
      <c r="F521" t="inlineStr">
        <is>
          <t>SÖDERMANLANDS LÄN</t>
        </is>
      </c>
      <c r="G521" t="inlineStr">
        <is>
          <t>FLEN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46266</v>
      </c>
      <c r="E522" s="1" t="n">
        <v>46276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46267</v>
      </c>
      <c r="E523" s="1" t="n">
        <v>46276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46276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46276</v>
      </c>
      <c r="F525" t="inlineStr">
        <is>
          <t>SÖDERMANLANDS LÄN</t>
        </is>
      </c>
      <c r="G525" t="inlineStr">
        <is>
          <t>FLEN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46276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45252</v>
      </c>
      <c r="E527" s="1" t="n">
        <v>46276</v>
      </c>
      <c r="F527" t="inlineStr">
        <is>
          <t>SÖDERMANLANDS LÄN</t>
        </is>
      </c>
      <c r="G527" t="inlineStr">
        <is>
          <t>FLEN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46276</v>
      </c>
      <c r="F528" t="inlineStr">
        <is>
          <t>SÖDERMANLANDS LÄN</t>
        </is>
      </c>
      <c r="G528" t="inlineStr">
        <is>
          <t>FLEN</t>
        </is>
      </c>
      <c r="I528" t="n">
        <v>10.4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54736-2022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44883</v>
      </c>
      <c r="E529" s="1" t="n">
        <v>46276</v>
      </c>
      <c r="F529" t="inlineStr">
        <is>
          <t>SÖDERMANLANDS LÄN</t>
        </is>
      </c>
      <c r="G529" t="inlineStr">
        <is>
          <t>FLEN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46276</v>
      </c>
      <c r="F530" t="inlineStr">
        <is>
          <t>SÖDERMANLANDS LÄN</t>
        </is>
      </c>
      <c r="G530" t="inlineStr">
        <is>
          <t>FLEN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46276</v>
      </c>
      <c r="F531" t="inlineStr">
        <is>
          <t>SÖDERMANLANDS LÄN</t>
        </is>
      </c>
      <c r="G531" t="inlineStr">
        <is>
          <t>FLEN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33694-2026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46249</v>
      </c>
      <c r="E532" s="1" t="n">
        <v>46276</v>
      </c>
      <c r="F532" t="inlineStr">
        <is>
          <t>SÖDERMANLANDS LÄN</t>
        </is>
      </c>
      <c r="G532" t="inlineStr">
        <is>
          <t>FLEN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22989-2025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46276</v>
      </c>
      <c r="F533" t="inlineStr">
        <is>
          <t>SÖDERMANLANDS LÄN</t>
        </is>
      </c>
      <c r="G533" t="inlineStr">
        <is>
          <t>FLEN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22998-2025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46276</v>
      </c>
      <c r="F534" t="inlineStr">
        <is>
          <t>SÖDERMANLANDS LÄN</t>
        </is>
      </c>
      <c r="G534" t="inlineStr">
        <is>
          <t>FLEN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22867-2025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46276</v>
      </c>
      <c r="F535" t="inlineStr">
        <is>
          <t>SÖDERMANLANDS LÄN</t>
        </is>
      </c>
      <c r="G535" t="inlineStr">
        <is>
          <t>FLEN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46273</v>
      </c>
      <c r="E536" s="1" t="n">
        <v>46276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46276</v>
      </c>
      <c r="F537" t="inlineStr">
        <is>
          <t>SÖDERMANLANDS LÄN</t>
        </is>
      </c>
      <c r="G537" t="inlineStr">
        <is>
          <t>FLEN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37002-2026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46273</v>
      </c>
      <c r="E538" s="1" t="n">
        <v>46276</v>
      </c>
      <c r="F538" t="inlineStr">
        <is>
          <t>SÖDERMANLANDS LÄN</t>
        </is>
      </c>
      <c r="G538" t="inlineStr">
        <is>
          <t>FLEN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40412-2024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45555</v>
      </c>
      <c r="E539" s="1" t="n">
        <v>46276</v>
      </c>
      <c r="F539" t="inlineStr">
        <is>
          <t>SÖDERMANLANDS LÄN</t>
        </is>
      </c>
      <c r="G539" t="inlineStr">
        <is>
          <t>FLEN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46229</v>
      </c>
      <c r="E540" s="1" t="n">
        <v>46276</v>
      </c>
      <c r="F540" t="inlineStr">
        <is>
          <t>SÖDERMANLANDS LÄN</t>
        </is>
      </c>
      <c r="G540" t="inlineStr">
        <is>
          <t>FLEN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36982-2026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46276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458-2023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44964</v>
      </c>
      <c r="E542" s="1" t="n">
        <v>46276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292-2025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45686</v>
      </c>
      <c r="E543" s="1" t="n">
        <v>46276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3723-2022</t>
        </is>
      </c>
      <c r="B544" t="inlineStr">
        <is>
          <t>samrådsanmälan</t>
        </is>
      </c>
      <c r="C544" t="inlineStr">
        <is>
          <t>Åtgärd i nyckelbiotop</t>
        </is>
      </c>
      <c r="D544" s="1" t="n">
        <v>44742</v>
      </c>
      <c r="E544" s="1" t="n">
        <v>46276</v>
      </c>
      <c r="F544" t="inlineStr">
        <is>
          <t>SÖDERMANLANDS LÄN</t>
        </is>
      </c>
      <c r="G544" t="inlineStr">
        <is>
          <t>FLEN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482-2022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44588</v>
      </c>
      <c r="E545" s="1" t="n">
        <v>46276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2321-2022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44685</v>
      </c>
      <c r="E546" s="1" t="n">
        <v>46276</v>
      </c>
      <c r="F546" t="inlineStr">
        <is>
          <t>SÖDERMANLANDS LÄN</t>
        </is>
      </c>
      <c r="G546" t="inlineStr">
        <is>
          <t>FLEN</t>
        </is>
      </c>
      <c r="H546" t="inlineStr">
        <is>
          <t>Kyrkan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1976-2024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45446</v>
      </c>
      <c r="E547" s="1" t="n">
        <v>46276</v>
      </c>
      <c r="F547" t="inlineStr">
        <is>
          <t>SÖDERMANLANDS LÄN</t>
        </is>
      </c>
      <c r="G547" t="inlineStr">
        <is>
          <t>FLEN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1287-2024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45403</v>
      </c>
      <c r="E548" s="1" t="n">
        <v>46276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1528-2026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46164</v>
      </c>
      <c r="E549" s="1" t="n">
        <v>46276</v>
      </c>
      <c r="F549" t="inlineStr">
        <is>
          <t>SÖDERMANLANDS LÄN</t>
        </is>
      </c>
      <c r="G549" t="inlineStr">
        <is>
          <t>FLEN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2026-09-11T02:14:03Z</dcterms:created>
  <dcterms:modified xmlns:dcterms="http://purl.org/dc/terms/" xmlns:xsi="http://www.w3.org/2001/XMLSchema-instance" xsi:type="dcterms:W3CDTF">2026-09-11T02:14:04Z</dcterms:modified>
</cp:coreProperties>
</file>