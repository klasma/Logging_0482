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45785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45785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45785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45785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45785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45785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45785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45785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45785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45785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45785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45785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45785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45785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45785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45785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45785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45785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45785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45785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45785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45785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45785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45785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45785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45785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45785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45785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45785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45785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45785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45785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45785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45785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45785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45785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45785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45785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45785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45785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45785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45785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45785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45785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45785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45785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45785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45785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45785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45785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45785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45785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45785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45785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45785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45785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45785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45785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45785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45785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45785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45785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45785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45785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45785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45785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45785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45785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45785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45785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45785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45785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45785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45785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45785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45785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45785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45785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45785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45785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45785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45785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45785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45785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45785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45785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45785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45785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45785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45785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45785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45785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45785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45785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45785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45785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45785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45785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45785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45785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45785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45785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45785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45785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45785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45785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45785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45785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45785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45785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39240-2023</t>
        </is>
      </c>
      <c r="B112" s="1" t="n">
        <v>45166</v>
      </c>
      <c r="C112" s="1" t="n">
        <v>45785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4.6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Blodticka</t>
        </is>
      </c>
      <c r="S112">
        <f>HYPERLINK("https://klasma.github.io/Logging_0482/artfynd/A 39240-2023 artfynd.xlsx", "A 39240-2023")</f>
        <v/>
      </c>
      <c r="T112">
        <f>HYPERLINK("https://klasma.github.io/Logging_0482/kartor/A 39240-2023 karta.png", "A 39240-2023")</f>
        <v/>
      </c>
      <c r="V112">
        <f>HYPERLINK("https://klasma.github.io/Logging_0482/klagomål/A 39240-2023 FSC-klagomål.docx", "A 39240-2023")</f>
        <v/>
      </c>
      <c r="W112">
        <f>HYPERLINK("https://klasma.github.io/Logging_0482/klagomålsmail/A 39240-2023 FSC-klagomål mail.docx", "A 39240-2023")</f>
        <v/>
      </c>
      <c r="X112">
        <f>HYPERLINK("https://klasma.github.io/Logging_0482/tillsyn/A 39240-2023 tillsynsbegäran.docx", "A 39240-2023")</f>
        <v/>
      </c>
      <c r="Y112">
        <f>HYPERLINK("https://klasma.github.io/Logging_0482/tillsynsmail/A 39240-2023 tillsynsbegäran mail.docx", "A 39240-2023")</f>
        <v/>
      </c>
    </row>
    <row r="113" ht="15" customHeight="1">
      <c r="A113" t="inlineStr">
        <is>
          <t>A 44476-2023</t>
        </is>
      </c>
      <c r="B113" s="1" t="n">
        <v>45189</v>
      </c>
      <c r="C113" s="1" t="n">
        <v>45785</v>
      </c>
      <c r="D113" t="inlineStr">
        <is>
          <t>SÖDERMANLANDS LÄN</t>
        </is>
      </c>
      <c r="E113" t="inlineStr">
        <is>
          <t>FLEN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44476-2023 artfynd.xlsx", "A 44476-2023")</f>
        <v/>
      </c>
      <c r="T113">
        <f>HYPERLINK("https://klasma.github.io/Logging_0482/kartor/A 44476-2023 karta.png", "A 44476-2023")</f>
        <v/>
      </c>
      <c r="V113">
        <f>HYPERLINK("https://klasma.github.io/Logging_0482/klagomål/A 44476-2023 FSC-klagomål.docx", "A 44476-2023")</f>
        <v/>
      </c>
      <c r="W113">
        <f>HYPERLINK("https://klasma.github.io/Logging_0482/klagomålsmail/A 44476-2023 FSC-klagomål mail.docx", "A 44476-2023")</f>
        <v/>
      </c>
      <c r="X113">
        <f>HYPERLINK("https://klasma.github.io/Logging_0482/tillsyn/A 44476-2023 tillsynsbegäran.docx", "A 44476-2023")</f>
        <v/>
      </c>
      <c r="Y113">
        <f>HYPERLINK("https://klasma.github.io/Logging_0482/tillsynsmail/A 44476-2023 tillsynsbegäran mail.docx", "A 44476-2023")</f>
        <v/>
      </c>
    </row>
    <row r="114" ht="15" customHeight="1">
      <c r="A114" t="inlineStr">
        <is>
          <t>A 48896-2023</t>
        </is>
      </c>
      <c r="B114" s="1" t="n">
        <v>45209</v>
      </c>
      <c r="C114" s="1" t="n">
        <v>45785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48896-2023 artfynd.xlsx", "A 48896-2023")</f>
        <v/>
      </c>
      <c r="T114">
        <f>HYPERLINK("https://klasma.github.io/Logging_0482/kartor/A 48896-2023 karta.png", "A 48896-2023")</f>
        <v/>
      </c>
      <c r="V114">
        <f>HYPERLINK("https://klasma.github.io/Logging_0482/klagomål/A 48896-2023 FSC-klagomål.docx", "A 48896-2023")</f>
        <v/>
      </c>
      <c r="W114">
        <f>HYPERLINK("https://klasma.github.io/Logging_0482/klagomålsmail/A 48896-2023 FSC-klagomål mail.docx", "A 48896-2023")</f>
        <v/>
      </c>
      <c r="X114">
        <f>HYPERLINK("https://klasma.github.io/Logging_0482/tillsyn/A 48896-2023 tillsynsbegäran.docx", "A 48896-2023")</f>
        <v/>
      </c>
      <c r="Y114">
        <f>HYPERLINK("https://klasma.github.io/Logging_0482/tillsynsmail/A 48896-2023 tillsynsbegäran mail.docx", "A 48896-2023")</f>
        <v/>
      </c>
    </row>
    <row r="115" ht="15" customHeight="1">
      <c r="A115" t="inlineStr">
        <is>
          <t>A 49808-2023</t>
        </is>
      </c>
      <c r="B115" s="1" t="n">
        <v>45212</v>
      </c>
      <c r="C115" s="1" t="n">
        <v>45785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12.3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49808-2023 artfynd.xlsx", "A 49808-2023")</f>
        <v/>
      </c>
      <c r="T115">
        <f>HYPERLINK("https://klasma.github.io/Logging_0482/kartor/A 49808-2023 karta.png", "A 49808-2023")</f>
        <v/>
      </c>
      <c r="V115">
        <f>HYPERLINK("https://klasma.github.io/Logging_0482/klagomål/A 49808-2023 FSC-klagomål.docx", "A 49808-2023")</f>
        <v/>
      </c>
      <c r="W115">
        <f>HYPERLINK("https://klasma.github.io/Logging_0482/klagomålsmail/A 49808-2023 FSC-klagomål mail.docx", "A 49808-2023")</f>
        <v/>
      </c>
      <c r="X115">
        <f>HYPERLINK("https://klasma.github.io/Logging_0482/tillsyn/A 49808-2023 tillsynsbegäran.docx", "A 49808-2023")</f>
        <v/>
      </c>
      <c r="Y115">
        <f>HYPERLINK("https://klasma.github.io/Logging_0482/tillsynsmail/A 49808-2023 tillsynsbegäran mail.docx", "A 49808-2023")</f>
        <v/>
      </c>
    </row>
    <row r="116" ht="15" customHeight="1">
      <c r="A116" t="inlineStr">
        <is>
          <t>A 53339-2023</t>
        </is>
      </c>
      <c r="B116" s="1" t="n">
        <v>45222</v>
      </c>
      <c r="C116" s="1" t="n">
        <v>45785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HYPERLINK("https://klasma.github.io/Logging_0482/artfynd/A 53339-2023 artfynd.xlsx", "A 53339-2023")</f>
        <v/>
      </c>
      <c r="T116">
        <f>HYPERLINK("https://klasma.github.io/Logging_0482/kartor/A 53339-2023 karta.png", "A 53339-2023")</f>
        <v/>
      </c>
      <c r="V116">
        <f>HYPERLINK("https://klasma.github.io/Logging_0482/klagomål/A 53339-2023 FSC-klagomål.docx", "A 53339-2023")</f>
        <v/>
      </c>
      <c r="W116">
        <f>HYPERLINK("https://klasma.github.io/Logging_0482/klagomålsmail/A 53339-2023 FSC-klagomål mail.docx", "A 53339-2023")</f>
        <v/>
      </c>
      <c r="X116">
        <f>HYPERLINK("https://klasma.github.io/Logging_0482/tillsyn/A 53339-2023 tillsynsbegäran.docx", "A 53339-2023")</f>
        <v/>
      </c>
      <c r="Y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4154-2024</t>
        </is>
      </c>
      <c r="B117" s="1" t="n">
        <v>45323</v>
      </c>
      <c r="C117" s="1" t="n">
        <v>45785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4154-2024 artfynd.xlsx", "A 4154-2024")</f>
        <v/>
      </c>
      <c r="T117">
        <f>HYPERLINK("https://klasma.github.io/Logging_0482/kartor/A 4154-2024 karta.png", "A 4154-2024")</f>
        <v/>
      </c>
      <c r="V117">
        <f>HYPERLINK("https://klasma.github.io/Logging_0482/klagomål/A 4154-2024 FSC-klagomål.docx", "A 4154-2024")</f>
        <v/>
      </c>
      <c r="W117">
        <f>HYPERLINK("https://klasma.github.io/Logging_0482/klagomålsmail/A 4154-2024 FSC-klagomål mail.docx", "A 4154-2024")</f>
        <v/>
      </c>
      <c r="X117">
        <f>HYPERLINK("https://klasma.github.io/Logging_0482/tillsyn/A 4154-2024 tillsynsbegäran.docx", "A 4154-2024")</f>
        <v/>
      </c>
      <c r="Y117">
        <f>HYPERLINK("https://klasma.github.io/Logging_0482/tillsynsmail/A 4154-2024 tillsynsbegäran mail.docx", "A 4154-2024")</f>
        <v/>
      </c>
    </row>
    <row r="118" ht="15" customHeight="1">
      <c r="A118" t="inlineStr">
        <is>
          <t>A 7973-2024</t>
        </is>
      </c>
      <c r="B118" s="1" t="n">
        <v>45350</v>
      </c>
      <c r="C118" s="1" t="n">
        <v>45785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7973-2024 artfynd.xlsx", "A 7973-2024")</f>
        <v/>
      </c>
      <c r="T118">
        <f>HYPERLINK("https://klasma.github.io/Logging_0482/kartor/A 7973-2024 karta.png", "A 7973-2024")</f>
        <v/>
      </c>
      <c r="V118">
        <f>HYPERLINK("https://klasma.github.io/Logging_0482/klagomål/A 7973-2024 FSC-klagomål.docx", "A 7973-2024")</f>
        <v/>
      </c>
      <c r="W118">
        <f>HYPERLINK("https://klasma.github.io/Logging_0482/klagomålsmail/A 7973-2024 FSC-klagomål mail.docx", "A 7973-2024")</f>
        <v/>
      </c>
      <c r="X118">
        <f>HYPERLINK("https://klasma.github.io/Logging_0482/tillsyn/A 7973-2024 tillsynsbegäran.docx", "A 7973-2024")</f>
        <v/>
      </c>
      <c r="Y118">
        <f>HYPERLINK("https://klasma.github.io/Logging_0482/tillsynsmail/A 7973-2024 tillsynsbegäran mail.docx", "A 7973-2024")</f>
        <v/>
      </c>
    </row>
    <row r="119" ht="15" customHeight="1">
      <c r="A119" t="inlineStr">
        <is>
          <t>A 12056-2024</t>
        </is>
      </c>
      <c r="B119" s="1" t="n">
        <v>45377</v>
      </c>
      <c r="C119" s="1" t="n">
        <v>45785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HYPERLINK("https://klasma.github.io/Logging_0482/artfynd/A 12056-2024 artfynd.xlsx", "A 12056-2024")</f>
        <v/>
      </c>
      <c r="T119">
        <f>HYPERLINK("https://klasma.github.io/Logging_0482/kartor/A 12056-2024 karta.png", "A 12056-2024")</f>
        <v/>
      </c>
      <c r="V119">
        <f>HYPERLINK("https://klasma.github.io/Logging_0482/klagomål/A 12056-2024 FSC-klagomål.docx", "A 12056-2024")</f>
        <v/>
      </c>
      <c r="W119">
        <f>HYPERLINK("https://klasma.github.io/Logging_0482/klagomålsmail/A 12056-2024 FSC-klagomål mail.docx", "A 12056-2024")</f>
        <v/>
      </c>
      <c r="X119">
        <f>HYPERLINK("https://klasma.github.io/Logging_0482/tillsyn/A 12056-2024 tillsynsbegäran.docx", "A 12056-2024")</f>
        <v/>
      </c>
      <c r="Y119">
        <f>HYPERLINK("https://klasma.github.io/Logging_0482/tillsynsmail/A 12056-2024 tillsynsbegäran mail.docx", "A 12056-2024")</f>
        <v/>
      </c>
    </row>
    <row r="120" ht="15" customHeight="1">
      <c r="A120" t="inlineStr">
        <is>
          <t>A 14854-2024</t>
        </is>
      </c>
      <c r="B120" s="1" t="n">
        <v>45398</v>
      </c>
      <c r="C120" s="1" t="n">
        <v>45785</v>
      </c>
      <c r="D120" t="inlineStr">
        <is>
          <t>SÖDERMANLANDS LÄN</t>
        </is>
      </c>
      <c r="E120" t="inlineStr">
        <is>
          <t>FLEN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14854-2024 artfynd.xlsx", "A 14854-2024")</f>
        <v/>
      </c>
      <c r="T120">
        <f>HYPERLINK("https://klasma.github.io/Logging_0482/kartor/A 14854-2024 karta.png", "A 14854-2024")</f>
        <v/>
      </c>
      <c r="V120">
        <f>HYPERLINK("https://klasma.github.io/Logging_0482/klagomål/A 14854-2024 FSC-klagomål.docx", "A 14854-2024")</f>
        <v/>
      </c>
      <c r="W120">
        <f>HYPERLINK("https://klasma.github.io/Logging_0482/klagomålsmail/A 14854-2024 FSC-klagomål mail.docx", "A 14854-2024")</f>
        <v/>
      </c>
      <c r="X120">
        <f>HYPERLINK("https://klasma.github.io/Logging_0482/tillsyn/A 14854-2024 tillsynsbegäran.docx", "A 14854-2024")</f>
        <v/>
      </c>
      <c r="Y120">
        <f>HYPERLINK("https://klasma.github.io/Logging_0482/tillsynsmail/A 14854-2024 tillsynsbegäran mail.docx", "A 14854-2024")</f>
        <v/>
      </c>
    </row>
    <row r="121" ht="15" customHeight="1">
      <c r="A121" t="inlineStr">
        <is>
          <t>A 28779-2024</t>
        </is>
      </c>
      <c r="B121" s="1" t="n">
        <v>45478</v>
      </c>
      <c r="C121" s="1" t="n">
        <v>45785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28779-2024 artfynd.xlsx", "A 28779-2024")</f>
        <v/>
      </c>
      <c r="T121">
        <f>HYPERLINK("https://klasma.github.io/Logging_0482/kartor/A 28779-2024 karta.png", "A 28779-2024")</f>
        <v/>
      </c>
      <c r="V121">
        <f>HYPERLINK("https://klasma.github.io/Logging_0482/klagomål/A 28779-2024 FSC-klagomål.docx", "A 28779-2024")</f>
        <v/>
      </c>
      <c r="W121">
        <f>HYPERLINK("https://klasma.github.io/Logging_0482/klagomålsmail/A 28779-2024 FSC-klagomål mail.docx", "A 28779-2024")</f>
        <v/>
      </c>
      <c r="X121">
        <f>HYPERLINK("https://klasma.github.io/Logging_0482/tillsyn/A 28779-2024 tillsynsbegäran.docx", "A 28779-2024")</f>
        <v/>
      </c>
      <c r="Y121">
        <f>HYPERLINK("https://klasma.github.io/Logging_0482/tillsynsmail/A 28779-2024 tillsynsbegäran mail.docx", "A 28779-2024")</f>
        <v/>
      </c>
    </row>
    <row r="122" ht="15" customHeight="1">
      <c r="A122" t="inlineStr">
        <is>
          <t>A 33216-2024</t>
        </is>
      </c>
      <c r="B122" s="1" t="n">
        <v>45518</v>
      </c>
      <c r="C122" s="1" t="n">
        <v>45785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HYPERLINK("https://klasma.github.io/Logging_0482/artfynd/A 33216-2024 artfynd.xlsx", "A 33216-2024")</f>
        <v/>
      </c>
      <c r="T122">
        <f>HYPERLINK("https://klasma.github.io/Logging_0482/kartor/A 33216-2024 karta.png", "A 33216-2024")</f>
        <v/>
      </c>
      <c r="V122">
        <f>HYPERLINK("https://klasma.github.io/Logging_0482/klagomål/A 33216-2024 FSC-klagomål.docx", "A 33216-2024")</f>
        <v/>
      </c>
      <c r="W122">
        <f>HYPERLINK("https://klasma.github.io/Logging_0482/klagomålsmail/A 33216-2024 FSC-klagomål mail.docx", "A 33216-2024")</f>
        <v/>
      </c>
      <c r="X122">
        <f>HYPERLINK("https://klasma.github.io/Logging_0482/tillsyn/A 33216-2024 tillsynsbegäran.docx", "A 33216-2024")</f>
        <v/>
      </c>
      <c r="Y122">
        <f>HYPERLINK("https://klasma.github.io/Logging_0482/tillsynsmail/A 33216-2024 tillsynsbegäran mail.docx", "A 33216-2024")</f>
        <v/>
      </c>
    </row>
    <row r="123" ht="15" customHeight="1">
      <c r="A123" t="inlineStr">
        <is>
          <t>A 37282-2024</t>
        </is>
      </c>
      <c r="B123" s="1" t="n">
        <v>45540</v>
      </c>
      <c r="C123" s="1" t="n">
        <v>45785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37282-2024 artfynd.xlsx", "A 37282-2024")</f>
        <v/>
      </c>
      <c r="T123">
        <f>HYPERLINK("https://klasma.github.io/Logging_0482/kartor/A 37282-2024 karta.png", "A 37282-2024")</f>
        <v/>
      </c>
      <c r="V123">
        <f>HYPERLINK("https://klasma.github.io/Logging_0482/klagomål/A 37282-2024 FSC-klagomål.docx", "A 37282-2024")</f>
        <v/>
      </c>
      <c r="W123">
        <f>HYPERLINK("https://klasma.github.io/Logging_0482/klagomålsmail/A 37282-2024 FSC-klagomål mail.docx", "A 37282-2024")</f>
        <v/>
      </c>
      <c r="X123">
        <f>HYPERLINK("https://klasma.github.io/Logging_0482/tillsyn/A 37282-2024 tillsynsbegäran.docx", "A 37282-2024")</f>
        <v/>
      </c>
      <c r="Y123">
        <f>HYPERLINK("https://klasma.github.io/Logging_0482/tillsynsmail/A 37282-2024 tillsynsbegäran mail.docx", "A 37282-2024")</f>
        <v/>
      </c>
    </row>
    <row r="124" ht="15" customHeight="1">
      <c r="A124" t="inlineStr">
        <is>
          <t>A 37284-2024</t>
        </is>
      </c>
      <c r="B124" s="1" t="n">
        <v>45540</v>
      </c>
      <c r="C124" s="1" t="n">
        <v>45785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HYPERLINK("https://klasma.github.io/Logging_0482/artfynd/A 37284-2024 artfynd.xlsx", "A 37284-2024")</f>
        <v/>
      </c>
      <c r="T124">
        <f>HYPERLINK("https://klasma.github.io/Logging_0482/kartor/A 37284-2024 karta.png", "A 37284-2024")</f>
        <v/>
      </c>
      <c r="V124">
        <f>HYPERLINK("https://klasma.github.io/Logging_0482/klagomål/A 37284-2024 FSC-klagomål.docx", "A 37284-2024")</f>
        <v/>
      </c>
      <c r="W124">
        <f>HYPERLINK("https://klasma.github.io/Logging_0482/klagomålsmail/A 37284-2024 FSC-klagomål mail.docx", "A 37284-2024")</f>
        <v/>
      </c>
      <c r="X124">
        <f>HYPERLINK("https://klasma.github.io/Logging_0482/tillsyn/A 37284-2024 tillsynsbegäran.docx", "A 37284-2024")</f>
        <v/>
      </c>
      <c r="Y124">
        <f>HYPERLINK("https://klasma.github.io/Logging_0482/tillsynsmail/A 37284-2024 tillsynsbegäran mail.docx", "A 37284-2024")</f>
        <v/>
      </c>
    </row>
    <row r="125" ht="15" customHeight="1">
      <c r="A125" t="inlineStr">
        <is>
          <t>A 40820-2024</t>
        </is>
      </c>
      <c r="B125" s="1" t="n">
        <v>45558</v>
      </c>
      <c r="C125" s="1" t="n">
        <v>45785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40820-2024 artfynd.xlsx", "A 40820-2024")</f>
        <v/>
      </c>
      <c r="T125">
        <f>HYPERLINK("https://klasma.github.io/Logging_0482/kartor/A 40820-2024 karta.png", "A 40820-2024")</f>
        <v/>
      </c>
      <c r="U125">
        <f>HYPERLINK("https://klasma.github.io/Logging_0482/knärot/A 40820-2024 karta knärot.png", "A 40820-2024")</f>
        <v/>
      </c>
      <c r="V125">
        <f>HYPERLINK("https://klasma.github.io/Logging_0482/klagomål/A 40820-2024 FSC-klagomål.docx", "A 40820-2024")</f>
        <v/>
      </c>
      <c r="W125">
        <f>HYPERLINK("https://klasma.github.io/Logging_0482/klagomålsmail/A 40820-2024 FSC-klagomål mail.docx", "A 40820-2024")</f>
        <v/>
      </c>
      <c r="X125">
        <f>HYPERLINK("https://klasma.github.io/Logging_0482/tillsyn/A 40820-2024 tillsynsbegäran.docx", "A 40820-2024")</f>
        <v/>
      </c>
      <c r="Y125">
        <f>HYPERLINK("https://klasma.github.io/Logging_0482/tillsynsmail/A 40820-2024 tillsynsbegäran mail.docx", "A 40820-2024")</f>
        <v/>
      </c>
    </row>
    <row r="126" ht="15" customHeight="1">
      <c r="A126" t="inlineStr">
        <is>
          <t>A 45718-2024</t>
        </is>
      </c>
      <c r="B126" s="1" t="n">
        <v>45579</v>
      </c>
      <c r="C126" s="1" t="n">
        <v>45785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45718-2024 artfynd.xlsx", "A 45718-2024")</f>
        <v/>
      </c>
      <c r="T126">
        <f>HYPERLINK("https://klasma.github.io/Logging_0482/kartor/A 45718-2024 karta.png", "A 45718-2024")</f>
        <v/>
      </c>
      <c r="U126">
        <f>HYPERLINK("https://klasma.github.io/Logging_0482/knärot/A 45718-2024 karta knärot.png", "A 45718-2024")</f>
        <v/>
      </c>
      <c r="V126">
        <f>HYPERLINK("https://klasma.github.io/Logging_0482/klagomål/A 45718-2024 FSC-klagomål.docx", "A 45718-2024")</f>
        <v/>
      </c>
      <c r="W126">
        <f>HYPERLINK("https://klasma.github.io/Logging_0482/klagomålsmail/A 45718-2024 FSC-klagomål mail.docx", "A 45718-2024")</f>
        <v/>
      </c>
      <c r="X126">
        <f>HYPERLINK("https://klasma.github.io/Logging_0482/tillsyn/A 45718-2024 tillsynsbegäran.docx", "A 45718-2024")</f>
        <v/>
      </c>
      <c r="Y126">
        <f>HYPERLINK("https://klasma.github.io/Logging_0482/tillsynsmail/A 45718-2024 tillsynsbegäran mail.docx", "A 45718-2024")</f>
        <v/>
      </c>
    </row>
    <row r="127" ht="15" customHeight="1">
      <c r="A127" t="inlineStr">
        <is>
          <t>A 57251-2024</t>
        </is>
      </c>
      <c r="B127" s="1" t="n">
        <v>45629</v>
      </c>
      <c r="C127" s="1" t="n">
        <v>45785</v>
      </c>
      <c r="D127" t="inlineStr">
        <is>
          <t>SÖDERMANLANDS LÄN</t>
        </is>
      </c>
      <c r="E127" t="inlineStr">
        <is>
          <t>FLEN</t>
        </is>
      </c>
      <c r="G127" t="n">
        <v>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57251-2024 artfynd.xlsx", "A 57251-2024")</f>
        <v/>
      </c>
      <c r="T127">
        <f>HYPERLINK("https://klasma.github.io/Logging_0482/kartor/A 57251-2024 karta.png", "A 57251-2024")</f>
        <v/>
      </c>
      <c r="V127">
        <f>HYPERLINK("https://klasma.github.io/Logging_0482/klagomål/A 57251-2024 FSC-klagomål.docx", "A 57251-2024")</f>
        <v/>
      </c>
      <c r="W127">
        <f>HYPERLINK("https://klasma.github.io/Logging_0482/klagomålsmail/A 57251-2024 FSC-klagomål mail.docx", "A 57251-2024")</f>
        <v/>
      </c>
      <c r="X127">
        <f>HYPERLINK("https://klasma.github.io/Logging_0482/tillsyn/A 57251-2024 tillsynsbegäran.docx", "A 57251-2024")</f>
        <v/>
      </c>
      <c r="Y127">
        <f>HYPERLINK("https://klasma.github.io/Logging_0482/tillsynsmail/A 57251-2024 tillsynsbegäran mail.docx", "A 57251-2024")</f>
        <v/>
      </c>
    </row>
    <row r="128" ht="15" customHeight="1">
      <c r="A128" t="inlineStr">
        <is>
          <t>A 60529-2024</t>
        </is>
      </c>
      <c r="B128" s="1" t="n">
        <v>45643</v>
      </c>
      <c r="C128" s="1" t="n">
        <v>45785</v>
      </c>
      <c r="D128" t="inlineStr">
        <is>
          <t>SÖDERMANLANDS LÄN</t>
        </is>
      </c>
      <c r="E128" t="inlineStr">
        <is>
          <t>FLEN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HYPERLINK("https://klasma.github.io/Logging_0482/artfynd/A 60529-2024 artfynd.xlsx", "A 60529-2024")</f>
        <v/>
      </c>
      <c r="T128">
        <f>HYPERLINK("https://klasma.github.io/Logging_0482/kartor/A 60529-2024 karta.png", "A 60529-2024")</f>
        <v/>
      </c>
      <c r="V128">
        <f>HYPERLINK("https://klasma.github.io/Logging_0482/klagomål/A 60529-2024 FSC-klagomål.docx", "A 60529-2024")</f>
        <v/>
      </c>
      <c r="W128">
        <f>HYPERLINK("https://klasma.github.io/Logging_0482/klagomålsmail/A 60529-2024 FSC-klagomål mail.docx", "A 60529-2024")</f>
        <v/>
      </c>
      <c r="X128">
        <f>HYPERLINK("https://klasma.github.io/Logging_0482/tillsyn/A 60529-2024 tillsynsbegäran.docx", "A 60529-2024")</f>
        <v/>
      </c>
      <c r="Y128">
        <f>HYPERLINK("https://klasma.github.io/Logging_0482/tillsynsmail/A 60529-2024 tillsynsbegäran mail.docx", "A 60529-2024")</f>
        <v/>
      </c>
    </row>
    <row r="129" ht="15" customHeight="1">
      <c r="A129" t="inlineStr">
        <is>
          <t>A 1148-2025</t>
        </is>
      </c>
      <c r="B129" s="1" t="n">
        <v>45666</v>
      </c>
      <c r="C129" s="1" t="n">
        <v>45785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HYPERLINK("https://klasma.github.io/Logging_0482/artfynd/A 1148-2025 artfynd.xlsx", "A 1148-2025")</f>
        <v/>
      </c>
      <c r="T129">
        <f>HYPERLINK("https://klasma.github.io/Logging_0482/kartor/A 1148-2025 karta.png", "A 1148-2025")</f>
        <v/>
      </c>
      <c r="V129">
        <f>HYPERLINK("https://klasma.github.io/Logging_0482/klagomål/A 1148-2025 FSC-klagomål.docx", "A 1148-2025")</f>
        <v/>
      </c>
      <c r="W129">
        <f>HYPERLINK("https://klasma.github.io/Logging_0482/klagomålsmail/A 1148-2025 FSC-klagomål mail.docx", "A 1148-2025")</f>
        <v/>
      </c>
      <c r="X129">
        <f>HYPERLINK("https://klasma.github.io/Logging_0482/tillsyn/A 1148-2025 tillsynsbegäran.docx", "A 1148-2025")</f>
        <v/>
      </c>
      <c r="Y129">
        <f>HYPERLINK("https://klasma.github.io/Logging_0482/tillsynsmail/A 1148-2025 tillsynsbegäran mail.docx", "A 1148-2025")</f>
        <v/>
      </c>
    </row>
    <row r="130" ht="15" customHeight="1">
      <c r="A130" t="inlineStr">
        <is>
          <t>A 1861-2025</t>
        </is>
      </c>
      <c r="B130" s="1" t="n">
        <v>45671</v>
      </c>
      <c r="C130" s="1" t="n">
        <v>45785</v>
      </c>
      <c r="D130" t="inlineStr">
        <is>
          <t>SÖDERMANLANDS LÄN</t>
        </is>
      </c>
      <c r="E130" t="inlineStr">
        <is>
          <t>FLEN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Skogsalm</t>
        </is>
      </c>
      <c r="S130">
        <f>HYPERLINK("https://klasma.github.io/Logging_0482/artfynd/A 1861-2025 artfynd.xlsx", "A 1861-2025")</f>
        <v/>
      </c>
      <c r="T130">
        <f>HYPERLINK("https://klasma.github.io/Logging_0482/kartor/A 1861-2025 karta.png", "A 1861-2025")</f>
        <v/>
      </c>
      <c r="V130">
        <f>HYPERLINK("https://klasma.github.io/Logging_0482/klagomål/A 1861-2025 FSC-klagomål.docx", "A 1861-2025")</f>
        <v/>
      </c>
      <c r="W130">
        <f>HYPERLINK("https://klasma.github.io/Logging_0482/klagomålsmail/A 1861-2025 FSC-klagomål mail.docx", "A 1861-2025")</f>
        <v/>
      </c>
      <c r="X130">
        <f>HYPERLINK("https://klasma.github.io/Logging_0482/tillsyn/A 1861-2025 tillsynsbegäran.docx", "A 1861-2025")</f>
        <v/>
      </c>
      <c r="Y130">
        <f>HYPERLINK("https://klasma.github.io/Logging_0482/tillsynsmail/A 1861-2025 tillsynsbegäran mail.docx", "A 1861-2025")</f>
        <v/>
      </c>
    </row>
    <row r="131" ht="15" customHeight="1">
      <c r="A131" t="inlineStr">
        <is>
          <t>A 9066-2025</t>
        </is>
      </c>
      <c r="B131" s="1" t="n">
        <v>45713</v>
      </c>
      <c r="C131" s="1" t="n">
        <v>45785</v>
      </c>
      <c r="D131" t="inlineStr">
        <is>
          <t>SÖDERMANLANDS LÄN</t>
        </is>
      </c>
      <c r="E131" t="inlineStr">
        <is>
          <t>FLEN</t>
        </is>
      </c>
      <c r="G131" t="n">
        <v>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Gullklöver</t>
        </is>
      </c>
      <c r="S131">
        <f>HYPERLINK("https://klasma.github.io/Logging_0482/artfynd/A 9066-2025 artfynd.xlsx", "A 9066-2025")</f>
        <v/>
      </c>
      <c r="T131">
        <f>HYPERLINK("https://klasma.github.io/Logging_0482/kartor/A 9066-2025 karta.png", "A 9066-2025")</f>
        <v/>
      </c>
      <c r="V131">
        <f>HYPERLINK("https://klasma.github.io/Logging_0482/klagomål/A 9066-2025 FSC-klagomål.docx", "A 9066-2025")</f>
        <v/>
      </c>
      <c r="W131">
        <f>HYPERLINK("https://klasma.github.io/Logging_0482/klagomålsmail/A 9066-2025 FSC-klagomål mail.docx", "A 9066-2025")</f>
        <v/>
      </c>
      <c r="X131">
        <f>HYPERLINK("https://klasma.github.io/Logging_0482/tillsyn/A 9066-2025 tillsynsbegäran.docx", "A 9066-2025")</f>
        <v/>
      </c>
      <c r="Y131">
        <f>HYPERLINK("https://klasma.github.io/Logging_0482/tillsynsmail/A 9066-2025 tillsynsbegäran mail.docx", "A 9066-2025")</f>
        <v/>
      </c>
    </row>
    <row r="132" ht="15" customHeight="1">
      <c r="A132" t="inlineStr">
        <is>
          <t>A 10828-2025</t>
        </is>
      </c>
      <c r="B132" s="1" t="n">
        <v>45722</v>
      </c>
      <c r="C132" s="1" t="n">
        <v>45785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HYPERLINK("https://klasma.github.io/Logging_040482/artfynd/A 10828-2025 artfynd.xlsx", "A 10828-2025")</f>
        <v/>
      </c>
      <c r="T132">
        <f>HYPERLINK("https://klasma.github.io/Logging_040482/kartor/A 10828-2025 karta.png", "A 10828-2025")</f>
        <v/>
      </c>
      <c r="V132">
        <f>HYPERLINK("https://klasma.github.io/Logging_040482/klagomål/A 10828-2025 FSC-klagomål.docx", "A 10828-2025")</f>
        <v/>
      </c>
      <c r="W132">
        <f>HYPERLINK("https://klasma.github.io/Logging_040482/klagomålsmail/A 10828-2025 FSC-klagomål mail.docx", "A 10828-2025")</f>
        <v/>
      </c>
      <c r="X132">
        <f>HYPERLINK("https://klasma.github.io/Logging_040482/tillsyn/A 10828-2025 tillsynsbegäran.docx", "A 10828-2025")</f>
        <v/>
      </c>
      <c r="Y132">
        <f>HYPERLINK("https://klasma.github.io/Logging_040482/tillsynsmail/A 10828-2025 tillsynsbegäran mail.docx", "A 10828-2025")</f>
        <v/>
      </c>
    </row>
    <row r="133" ht="15" customHeight="1">
      <c r="A133" t="inlineStr">
        <is>
          <t>A 14101-2025</t>
        </is>
      </c>
      <c r="B133" s="1" t="n">
        <v>45740</v>
      </c>
      <c r="C133" s="1" t="n">
        <v>45785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HYPERLINK("https://klasma.github.io/Logging_040482/artfynd/A 14101-2025 artfynd.xlsx", "A 14101-2025")</f>
        <v/>
      </c>
      <c r="T133">
        <f>HYPERLINK("https://klasma.github.io/Logging_040482/kartor/A 14101-2025 karta.png", "A 14101-2025")</f>
        <v/>
      </c>
      <c r="V133">
        <f>HYPERLINK("https://klasma.github.io/Logging_040482/klagomål/A 14101-2025 FSC-klagomål.docx", "A 14101-2025")</f>
        <v/>
      </c>
      <c r="W133">
        <f>HYPERLINK("https://klasma.github.io/Logging_040482/klagomålsmail/A 14101-2025 FSC-klagomål mail.docx", "A 14101-2025")</f>
        <v/>
      </c>
      <c r="X133">
        <f>HYPERLINK("https://klasma.github.io/Logging_040482/tillsyn/A 14101-2025 tillsynsbegäran.docx", "A 14101-2025")</f>
        <v/>
      </c>
      <c r="Y133">
        <f>HYPERLINK("https://klasma.github.io/Logging_040482/tillsynsmail/A 14101-2025 tillsynsbegäran mail.docx", "A 14101-2025")</f>
        <v/>
      </c>
    </row>
    <row r="134" ht="15" customHeight="1">
      <c r="A134" t="inlineStr">
        <is>
          <t>A 14273-2025</t>
        </is>
      </c>
      <c r="B134" s="1" t="n">
        <v>45740</v>
      </c>
      <c r="C134" s="1" t="n">
        <v>45785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Vedskivlav</t>
        </is>
      </c>
      <c r="S134">
        <f>HYPERLINK("https://klasma.github.io/Logging_040482/artfynd/A 14273-2025 artfynd.xlsx", "A 14273-2025")</f>
        <v/>
      </c>
      <c r="T134">
        <f>HYPERLINK("https://klasma.github.io/Logging_040482/kartor/A 14273-2025 karta.png", "A 14273-2025")</f>
        <v/>
      </c>
      <c r="V134">
        <f>HYPERLINK("https://klasma.github.io/Logging_040482/klagomål/A 14273-2025 FSC-klagomål.docx", "A 14273-2025")</f>
        <v/>
      </c>
      <c r="W134">
        <f>HYPERLINK("https://klasma.github.io/Logging_040482/klagomålsmail/A 14273-2025 FSC-klagomål mail.docx", "A 14273-2025")</f>
        <v/>
      </c>
      <c r="X134">
        <f>HYPERLINK("https://klasma.github.io/Logging_040482/tillsyn/A 14273-2025 tillsynsbegäran.docx", "A 14273-2025")</f>
        <v/>
      </c>
      <c r="Y134">
        <f>HYPERLINK("https://klasma.github.io/Logging_040482/tillsynsmail/A 14273-2025 tillsynsbegäran mail.docx", "A 14273-2025")</f>
        <v/>
      </c>
    </row>
    <row r="135" ht="15" customHeight="1">
      <c r="A135" t="inlineStr">
        <is>
          <t>A 14113-2025</t>
        </is>
      </c>
      <c r="B135" s="1" t="n">
        <v>45740</v>
      </c>
      <c r="C135" s="1" t="n">
        <v>45785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HYPERLINK("https://klasma.github.io/Logging_040482/artfynd/A 14113-2025 artfynd.xlsx", "A 14113-2025")</f>
        <v/>
      </c>
      <c r="T135">
        <f>HYPERLINK("https://klasma.github.io/Logging_040482/kartor/A 14113-2025 karta.png", "A 14113-2025")</f>
        <v/>
      </c>
      <c r="V135">
        <f>HYPERLINK("https://klasma.github.io/Logging_040482/klagomål/A 14113-2025 FSC-klagomål.docx", "A 14113-2025")</f>
        <v/>
      </c>
      <c r="W135">
        <f>HYPERLINK("https://klasma.github.io/Logging_040482/klagomålsmail/A 14113-2025 FSC-klagomål mail.docx", "A 14113-2025")</f>
        <v/>
      </c>
      <c r="X135">
        <f>HYPERLINK("https://klasma.github.io/Logging_040482/tillsyn/A 14113-2025 tillsynsbegäran.docx", "A 14113-2025")</f>
        <v/>
      </c>
      <c r="Y135">
        <f>HYPERLINK("https://klasma.github.io/Logging_040482/tillsynsmail/A 14113-2025 tillsynsbegäran mail.docx", "A 14113-2025")</f>
        <v/>
      </c>
    </row>
    <row r="136" ht="15" customHeight="1">
      <c r="A136" t="inlineStr">
        <is>
          <t>A 16831-2025</t>
        </is>
      </c>
      <c r="B136" s="1" t="n">
        <v>45754</v>
      </c>
      <c r="C136" s="1" t="n">
        <v>45785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6.6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HYPERLINK("https://klasma.github.io/Logging_040482/artfynd/A 16831-2025 artfynd.xlsx", "A 16831-2025")</f>
        <v/>
      </c>
      <c r="T136">
        <f>HYPERLINK("https://klasma.github.io/Logging_040482/kartor/A 16831-2025 karta.png", "A 16831-2025")</f>
        <v/>
      </c>
      <c r="V136">
        <f>HYPERLINK("https://klasma.github.io/Logging_040482/klagomål/A 16831-2025 FSC-klagomål.docx", "A 16831-2025")</f>
        <v/>
      </c>
      <c r="W136">
        <f>HYPERLINK("https://klasma.github.io/Logging_040482/klagomålsmail/A 16831-2025 FSC-klagomål mail.docx", "A 16831-2025")</f>
        <v/>
      </c>
      <c r="X136">
        <f>HYPERLINK("https://klasma.github.io/Logging_040482/tillsyn/A 16831-2025 tillsynsbegäran.docx", "A 16831-2025")</f>
        <v/>
      </c>
      <c r="Y136">
        <f>HYPERLINK("https://klasma.github.io/Logging_040482/tillsynsmail/A 16831-2025 tillsynsbegäran mail.docx", "A 16831-2025")</f>
        <v/>
      </c>
    </row>
    <row r="137" ht="15" customHeight="1">
      <c r="A137" t="inlineStr">
        <is>
          <t>A 18391-2019</t>
        </is>
      </c>
      <c r="B137" s="1" t="n">
        <v>43558</v>
      </c>
      <c r="C137" s="1" t="n">
        <v>45785</v>
      </c>
      <c r="D137" t="inlineStr">
        <is>
          <t>SÖDERMANLANDS LÄN</t>
        </is>
      </c>
      <c r="E137" t="inlineStr">
        <is>
          <t>FLEN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18543-2019</t>
        </is>
      </c>
      <c r="B138" s="1" t="n">
        <v>43558</v>
      </c>
      <c r="C138" s="1" t="n">
        <v>45785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18700-2019</t>
        </is>
      </c>
      <c r="B139" s="1" t="n">
        <v>43559</v>
      </c>
      <c r="C139" s="1" t="n">
        <v>45785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18688-2019</t>
        </is>
      </c>
      <c r="B140" s="1" t="n">
        <v>43559</v>
      </c>
      <c r="C140" s="1" t="n">
        <v>45785</v>
      </c>
      <c r="D140" t="inlineStr">
        <is>
          <t>SÖDERMANLANDS LÄN</t>
        </is>
      </c>
      <c r="E140" t="inlineStr">
        <is>
          <t>FLEN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18645-2019</t>
        </is>
      </c>
      <c r="B141" s="1" t="n">
        <v>43560</v>
      </c>
      <c r="C141" s="1" t="n">
        <v>45785</v>
      </c>
      <c r="D141" t="inlineStr">
        <is>
          <t>SÖDERMANLANDS LÄN</t>
        </is>
      </c>
      <c r="E141" t="inlineStr">
        <is>
          <t>FLEN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18824-2019</t>
        </is>
      </c>
      <c r="B142" s="1" t="n">
        <v>43560</v>
      </c>
      <c r="C142" s="1" t="n">
        <v>45785</v>
      </c>
      <c r="D142" t="inlineStr">
        <is>
          <t>SÖDERMANLANDS LÄN</t>
        </is>
      </c>
      <c r="E142" t="inlineStr">
        <is>
          <t>FLEN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19395-2019</t>
        </is>
      </c>
      <c r="B143" s="1" t="n">
        <v>43565</v>
      </c>
      <c r="C143" s="1" t="n">
        <v>45785</v>
      </c>
      <c r="D143" t="inlineStr">
        <is>
          <t>SÖDERMANLANDS LÄN</t>
        </is>
      </c>
      <c r="E143" t="inlineStr">
        <is>
          <t>FLEN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19834-2019</t>
        </is>
      </c>
      <c r="B144" s="1" t="n">
        <v>43567</v>
      </c>
      <c r="C144" s="1" t="n">
        <v>45785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20284-2019</t>
        </is>
      </c>
      <c r="B145" s="1" t="n">
        <v>43570</v>
      </c>
      <c r="C145" s="1" t="n">
        <v>45785</v>
      </c>
      <c r="D145" t="inlineStr">
        <is>
          <t>SÖDERMANLANDS LÄN</t>
        </is>
      </c>
      <c r="E145" t="inlineStr">
        <is>
          <t>FLEN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21920-2019</t>
        </is>
      </c>
      <c r="B146" s="1" t="n">
        <v>43584</v>
      </c>
      <c r="C146" s="1" t="n">
        <v>45785</v>
      </c>
      <c r="D146" t="inlineStr">
        <is>
          <t>SÖDERMANLANDS LÄN</t>
        </is>
      </c>
      <c r="E146" t="inlineStr">
        <is>
          <t>FLEN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28911-2019</t>
        </is>
      </c>
      <c r="B147" s="1" t="n">
        <v>43616</v>
      </c>
      <c r="C147" s="1" t="n">
        <v>45785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28058-2019</t>
        </is>
      </c>
      <c r="B148" s="1" t="n">
        <v>43621</v>
      </c>
      <c r="C148" s="1" t="n">
        <v>45785</v>
      </c>
      <c r="D148" t="inlineStr">
        <is>
          <t>SÖDERMANLANDS LÄN</t>
        </is>
      </c>
      <c r="E148" t="inlineStr">
        <is>
          <t>FLEN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29977-2019</t>
        </is>
      </c>
      <c r="B149" s="1" t="n">
        <v>43630</v>
      </c>
      <c r="C149" s="1" t="n">
        <v>45785</v>
      </c>
      <c r="D149" t="inlineStr">
        <is>
          <t>SÖDERMANLANDS LÄN</t>
        </is>
      </c>
      <c r="E149" t="inlineStr">
        <is>
          <t>FLEN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30492-2019</t>
        </is>
      </c>
      <c r="B150" s="1" t="n">
        <v>43635</v>
      </c>
      <c r="C150" s="1" t="n">
        <v>45785</v>
      </c>
      <c r="D150" t="inlineStr">
        <is>
          <t>SÖDERMANLANDS LÄN</t>
        </is>
      </c>
      <c r="E150" t="inlineStr">
        <is>
          <t>FLEN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30872-2019</t>
        </is>
      </c>
      <c r="B151" s="1" t="n">
        <v>43636</v>
      </c>
      <c r="C151" s="1" t="n">
        <v>45785</v>
      </c>
      <c r="D151" t="inlineStr">
        <is>
          <t>SÖDERMANLANDS LÄN</t>
        </is>
      </c>
      <c r="E151" t="inlineStr">
        <is>
          <t>FLEN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32070-2019</t>
        </is>
      </c>
      <c r="B152" s="1" t="n">
        <v>43643</v>
      </c>
      <c r="C152" s="1" t="n">
        <v>45785</v>
      </c>
      <c r="D152" t="inlineStr">
        <is>
          <t>SÖDERMANLANDS LÄN</t>
        </is>
      </c>
      <c r="E152" t="inlineStr">
        <is>
          <t>FLEN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35583-2019</t>
        </is>
      </c>
      <c r="B153" s="1" t="n">
        <v>43655</v>
      </c>
      <c r="C153" s="1" t="n">
        <v>45785</v>
      </c>
      <c r="D153" t="inlineStr">
        <is>
          <t>SÖDERMANLANDS LÄN</t>
        </is>
      </c>
      <c r="E153" t="inlineStr">
        <is>
          <t>FLEN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34988-2019</t>
        </is>
      </c>
      <c r="B154" s="1" t="n">
        <v>43659</v>
      </c>
      <c r="C154" s="1" t="n">
        <v>45785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35023-2019</t>
        </is>
      </c>
      <c r="B155" s="1" t="n">
        <v>43661</v>
      </c>
      <c r="C155" s="1" t="n">
        <v>45785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35086-2019</t>
        </is>
      </c>
      <c r="B156" s="1" t="n">
        <v>43661</v>
      </c>
      <c r="C156" s="1" t="n">
        <v>45785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35052-2019</t>
        </is>
      </c>
      <c r="B157" s="1" t="n">
        <v>43661</v>
      </c>
      <c r="C157" s="1" t="n">
        <v>45785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35182-2019</t>
        </is>
      </c>
      <c r="B158" s="1" t="n">
        <v>43661</v>
      </c>
      <c r="C158" s="1" t="n">
        <v>45785</v>
      </c>
      <c r="D158" t="inlineStr">
        <is>
          <t>SÖDERMANLANDS LÄN</t>
        </is>
      </c>
      <c r="E158" t="inlineStr">
        <is>
          <t>FLEN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35702-2019</t>
        </is>
      </c>
      <c r="B159" s="1" t="n">
        <v>43664</v>
      </c>
      <c r="C159" s="1" t="n">
        <v>45785</v>
      </c>
      <c r="D159" t="inlineStr">
        <is>
          <t>SÖDERMANLANDS LÄN</t>
        </is>
      </c>
      <c r="E159" t="inlineStr">
        <is>
          <t>FLEN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36152-2019</t>
        </is>
      </c>
      <c r="B160" s="1" t="n">
        <v>43668</v>
      </c>
      <c r="C160" s="1" t="n">
        <v>45785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36223-2019</t>
        </is>
      </c>
      <c r="B161" s="1" t="n">
        <v>43669</v>
      </c>
      <c r="C161" s="1" t="n">
        <v>45785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36612-2019</t>
        </is>
      </c>
      <c r="B162" s="1" t="n">
        <v>43669</v>
      </c>
      <c r="C162" s="1" t="n">
        <v>45785</v>
      </c>
      <c r="D162" t="inlineStr">
        <is>
          <t>SÖDERMANLANDS LÄN</t>
        </is>
      </c>
      <c r="E162" t="inlineStr">
        <is>
          <t>FLEN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36225-2019</t>
        </is>
      </c>
      <c r="B163" s="1" t="n">
        <v>43669</v>
      </c>
      <c r="C163" s="1" t="n">
        <v>45785</v>
      </c>
      <c r="D163" t="inlineStr">
        <is>
          <t>SÖDERMANLANDS LÄN</t>
        </is>
      </c>
      <c r="E163" t="inlineStr">
        <is>
          <t>FLEN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36619-2019</t>
        </is>
      </c>
      <c r="B164" s="1" t="n">
        <v>43669</v>
      </c>
      <c r="C164" s="1" t="n">
        <v>45785</v>
      </c>
      <c r="D164" t="inlineStr">
        <is>
          <t>SÖDERMANLANDS LÄN</t>
        </is>
      </c>
      <c r="E164" t="inlineStr">
        <is>
          <t>FLEN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36901-2019</t>
        </is>
      </c>
      <c r="B165" s="1" t="n">
        <v>43675</v>
      </c>
      <c r="C165" s="1" t="n">
        <v>45785</v>
      </c>
      <c r="D165" t="inlineStr">
        <is>
          <t>SÖDERMANLANDS LÄN</t>
        </is>
      </c>
      <c r="E165" t="inlineStr">
        <is>
          <t>FLEN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36978-2019</t>
        </is>
      </c>
      <c r="B166" s="1" t="n">
        <v>43676</v>
      </c>
      <c r="C166" s="1" t="n">
        <v>45785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36994-2019</t>
        </is>
      </c>
      <c r="B167" s="1" t="n">
        <v>43676</v>
      </c>
      <c r="C167" s="1" t="n">
        <v>45785</v>
      </c>
      <c r="D167" t="inlineStr">
        <is>
          <t>SÖDERMANLANDS LÄN</t>
        </is>
      </c>
      <c r="E167" t="inlineStr">
        <is>
          <t>FLEN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37337-2019</t>
        </is>
      </c>
      <c r="B168" s="1" t="n">
        <v>43678</v>
      </c>
      <c r="C168" s="1" t="n">
        <v>45785</v>
      </c>
      <c r="D168" t="inlineStr">
        <is>
          <t>SÖDERMANLANDS LÄN</t>
        </is>
      </c>
      <c r="E168" t="inlineStr">
        <is>
          <t>FLEN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37574-2019</t>
        </is>
      </c>
      <c r="B169" s="1" t="n">
        <v>43679</v>
      </c>
      <c r="C169" s="1" t="n">
        <v>45785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37560-2019</t>
        </is>
      </c>
      <c r="B170" s="1" t="n">
        <v>43679</v>
      </c>
      <c r="C170" s="1" t="n">
        <v>45785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37571-2019</t>
        </is>
      </c>
      <c r="B171" s="1" t="n">
        <v>43679</v>
      </c>
      <c r="C171" s="1" t="n">
        <v>45785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37572-2019</t>
        </is>
      </c>
      <c r="B172" s="1" t="n">
        <v>43679</v>
      </c>
      <c r="C172" s="1" t="n">
        <v>45785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37769-2019</t>
        </is>
      </c>
      <c r="B173" s="1" t="n">
        <v>43682</v>
      </c>
      <c r="C173" s="1" t="n">
        <v>45785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38241-2019</t>
        </is>
      </c>
      <c r="B174" s="1" t="n">
        <v>43684</v>
      </c>
      <c r="C174" s="1" t="n">
        <v>45785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38795-2019</t>
        </is>
      </c>
      <c r="B175" s="1" t="n">
        <v>43688</v>
      </c>
      <c r="C175" s="1" t="n">
        <v>45785</v>
      </c>
      <c r="D175" t="inlineStr">
        <is>
          <t>SÖDERMANLANDS LÄN</t>
        </is>
      </c>
      <c r="E175" t="inlineStr">
        <is>
          <t>FLEN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38796-2019</t>
        </is>
      </c>
      <c r="B176" s="1" t="n">
        <v>43688</v>
      </c>
      <c r="C176" s="1" t="n">
        <v>45785</v>
      </c>
      <c r="D176" t="inlineStr">
        <is>
          <t>SÖDERMANLANDS LÄN</t>
        </is>
      </c>
      <c r="E176" t="inlineStr">
        <is>
          <t>FLEN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39441-2019</t>
        </is>
      </c>
      <c r="B177" s="1" t="n">
        <v>43691</v>
      </c>
      <c r="C177" s="1" t="n">
        <v>45785</v>
      </c>
      <c r="D177" t="inlineStr">
        <is>
          <t>SÖDERMANLANDS LÄN</t>
        </is>
      </c>
      <c r="E177" t="inlineStr">
        <is>
          <t>FLEN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41114-2019</t>
        </is>
      </c>
      <c r="B178" s="1" t="n">
        <v>43691</v>
      </c>
      <c r="C178" s="1" t="n">
        <v>45785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40314-2019</t>
        </is>
      </c>
      <c r="B179" s="1" t="n">
        <v>43696</v>
      </c>
      <c r="C179" s="1" t="n">
        <v>45785</v>
      </c>
      <c r="D179" t="inlineStr">
        <is>
          <t>SÖDERMANLANDS LÄN</t>
        </is>
      </c>
      <c r="E179" t="inlineStr">
        <is>
          <t>FLEN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41847-2019</t>
        </is>
      </c>
      <c r="B180" s="1" t="n">
        <v>43697</v>
      </c>
      <c r="C180" s="1" t="n">
        <v>45785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46628-2019</t>
        </is>
      </c>
      <c r="B181" s="1" t="n">
        <v>43717</v>
      </c>
      <c r="C181" s="1" t="n">
        <v>45785</v>
      </c>
      <c r="D181" t="inlineStr">
        <is>
          <t>SÖDERMANLANDS LÄN</t>
        </is>
      </c>
      <c r="E181" t="inlineStr">
        <is>
          <t>FLEN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47345-2019</t>
        </is>
      </c>
      <c r="B182" s="1" t="n">
        <v>43721</v>
      </c>
      <c r="C182" s="1" t="n">
        <v>45785</v>
      </c>
      <c r="D182" t="inlineStr">
        <is>
          <t>SÖDERMANLANDS LÄN</t>
        </is>
      </c>
      <c r="E182" t="inlineStr">
        <is>
          <t>FLEN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48078-2019</t>
        </is>
      </c>
      <c r="B183" s="1" t="n">
        <v>43725</v>
      </c>
      <c r="C183" s="1" t="n">
        <v>45785</v>
      </c>
      <c r="D183" t="inlineStr">
        <is>
          <t>SÖDERMANLANDS LÄN</t>
        </is>
      </c>
      <c r="E183" t="inlineStr">
        <is>
          <t>FLEN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48240-2019</t>
        </is>
      </c>
      <c r="B184" s="1" t="n">
        <v>43726</v>
      </c>
      <c r="C184" s="1" t="n">
        <v>45785</v>
      </c>
      <c r="D184" t="inlineStr">
        <is>
          <t>SÖDERMANLANDS LÄN</t>
        </is>
      </c>
      <c r="E184" t="inlineStr">
        <is>
          <t>FLEN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49342-2019</t>
        </is>
      </c>
      <c r="B185" s="1" t="n">
        <v>43730</v>
      </c>
      <c r="C185" s="1" t="n">
        <v>45785</v>
      </c>
      <c r="D185" t="inlineStr">
        <is>
          <t>SÖDERMANLANDS LÄN</t>
        </is>
      </c>
      <c r="E185" t="inlineStr">
        <is>
          <t>FLEN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50710-2019</t>
        </is>
      </c>
      <c r="B186" s="1" t="n">
        <v>43738</v>
      </c>
      <c r="C186" s="1" t="n">
        <v>45785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51170-2019</t>
        </is>
      </c>
      <c r="B187" s="1" t="n">
        <v>43739</v>
      </c>
      <c r="C187" s="1" t="n">
        <v>45785</v>
      </c>
      <c r="D187" t="inlineStr">
        <is>
          <t>SÖDERMANLANDS LÄN</t>
        </is>
      </c>
      <c r="E187" t="inlineStr">
        <is>
          <t>FLEN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51738-2019</t>
        </is>
      </c>
      <c r="B188" s="1" t="n">
        <v>43740</v>
      </c>
      <c r="C188" s="1" t="n">
        <v>45785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54175-2019</t>
        </is>
      </c>
      <c r="B189" s="1" t="n">
        <v>43745</v>
      </c>
      <c r="C189" s="1" t="n">
        <v>45785</v>
      </c>
      <c r="D189" t="inlineStr">
        <is>
          <t>SÖDERMANLANDS LÄN</t>
        </is>
      </c>
      <c r="E189" t="inlineStr">
        <is>
          <t>FLEN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52871-2019</t>
        </is>
      </c>
      <c r="B190" s="1" t="n">
        <v>43746</v>
      </c>
      <c r="C190" s="1" t="n">
        <v>45785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54412-2019</t>
        </is>
      </c>
      <c r="B191" s="1" t="n">
        <v>43747</v>
      </c>
      <c r="C191" s="1" t="n">
        <v>45785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55088-2019</t>
        </is>
      </c>
      <c r="B192" s="1" t="n">
        <v>43752</v>
      </c>
      <c r="C192" s="1" t="n">
        <v>45785</v>
      </c>
      <c r="D192" t="inlineStr">
        <is>
          <t>SÖDERMANLANDS LÄN</t>
        </is>
      </c>
      <c r="E192" t="inlineStr">
        <is>
          <t>FLEN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55122-2019</t>
        </is>
      </c>
      <c r="B193" s="1" t="n">
        <v>43752</v>
      </c>
      <c r="C193" s="1" t="n">
        <v>45785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54307-2019</t>
        </is>
      </c>
      <c r="B194" s="1" t="n">
        <v>43753</v>
      </c>
      <c r="C194" s="1" t="n">
        <v>45785</v>
      </c>
      <c r="D194" t="inlineStr">
        <is>
          <t>SÖDERMANLANDS LÄN</t>
        </is>
      </c>
      <c r="E194" t="inlineStr">
        <is>
          <t>FLEN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55346-2019</t>
        </is>
      </c>
      <c r="B195" s="1" t="n">
        <v>43756</v>
      </c>
      <c r="C195" s="1" t="n">
        <v>45785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55417-2019</t>
        </is>
      </c>
      <c r="B196" s="1" t="n">
        <v>43758</v>
      </c>
      <c r="C196" s="1" t="n">
        <v>45785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55421-2019</t>
        </is>
      </c>
      <c r="B197" s="1" t="n">
        <v>43758</v>
      </c>
      <c r="C197" s="1" t="n">
        <v>45785</v>
      </c>
      <c r="D197" t="inlineStr">
        <is>
          <t>SÖDERMANLANDS LÄN</t>
        </is>
      </c>
      <c r="E197" t="inlineStr">
        <is>
          <t>FLEN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57898-2019</t>
        </is>
      </c>
      <c r="B198" s="1" t="n">
        <v>43762</v>
      </c>
      <c r="C198" s="1" t="n">
        <v>45785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58909-2019</t>
        </is>
      </c>
      <c r="B199" s="1" t="n">
        <v>43769</v>
      </c>
      <c r="C199" s="1" t="n">
        <v>45785</v>
      </c>
      <c r="D199" t="inlineStr">
        <is>
          <t>SÖDERMANLANDS LÄN</t>
        </is>
      </c>
      <c r="E199" t="inlineStr">
        <is>
          <t>FLEN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59014-2019</t>
        </is>
      </c>
      <c r="B200" s="1" t="n">
        <v>43774</v>
      </c>
      <c r="C200" s="1" t="n">
        <v>45785</v>
      </c>
      <c r="D200" t="inlineStr">
        <is>
          <t>SÖDERMANLANDS LÄN</t>
        </is>
      </c>
      <c r="E200" t="inlineStr">
        <is>
          <t>FLEN</t>
        </is>
      </c>
      <c r="F200" t="inlineStr">
        <is>
          <t>Kommuner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59454-2019</t>
        </is>
      </c>
      <c r="B201" s="1" t="n">
        <v>43776</v>
      </c>
      <c r="C201" s="1" t="n">
        <v>45785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59448-2019</t>
        </is>
      </c>
      <c r="B202" s="1" t="n">
        <v>43776</v>
      </c>
      <c r="C202" s="1" t="n">
        <v>45785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59750-2019</t>
        </is>
      </c>
      <c r="B203" s="1" t="n">
        <v>43776</v>
      </c>
      <c r="C203" s="1" t="n">
        <v>45785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59446-2019</t>
        </is>
      </c>
      <c r="B204" s="1" t="n">
        <v>43776</v>
      </c>
      <c r="C204" s="1" t="n">
        <v>45785</v>
      </c>
      <c r="D204" t="inlineStr">
        <is>
          <t>SÖDERMANLANDS LÄN</t>
        </is>
      </c>
      <c r="E204" t="inlineStr">
        <is>
          <t>FLEN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61889-2019</t>
        </is>
      </c>
      <c r="B205" s="1" t="n">
        <v>43787</v>
      </c>
      <c r="C205" s="1" t="n">
        <v>45785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64580-2019</t>
        </is>
      </c>
      <c r="B206" s="1" t="n">
        <v>43794</v>
      </c>
      <c r="C206" s="1" t="n">
        <v>45785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63758-2019</t>
        </is>
      </c>
      <c r="B207" s="1" t="n">
        <v>43795</v>
      </c>
      <c r="C207" s="1" t="n">
        <v>45785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64576-2019</t>
        </is>
      </c>
      <c r="B208" s="1" t="n">
        <v>43798</v>
      </c>
      <c r="C208" s="1" t="n">
        <v>45785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65346-2019</t>
        </is>
      </c>
      <c r="B209" s="1" t="n">
        <v>43803</v>
      </c>
      <c r="C209" s="1" t="n">
        <v>45785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68476-2019</t>
        </is>
      </c>
      <c r="B210" s="1" t="n">
        <v>43811</v>
      </c>
      <c r="C210" s="1" t="n">
        <v>45785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68491-2019</t>
        </is>
      </c>
      <c r="B211" s="1" t="n">
        <v>43811</v>
      </c>
      <c r="C211" s="1" t="n">
        <v>45785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68481-2019</t>
        </is>
      </c>
      <c r="B212" s="1" t="n">
        <v>43811</v>
      </c>
      <c r="C212" s="1" t="n">
        <v>45785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68976-2019</t>
        </is>
      </c>
      <c r="B213" s="1" t="n">
        <v>43823</v>
      </c>
      <c r="C213" s="1" t="n">
        <v>45785</v>
      </c>
      <c r="D213" t="inlineStr">
        <is>
          <t>SÖDERMANLANDS LÄN</t>
        </is>
      </c>
      <c r="E213" t="inlineStr">
        <is>
          <t>FLEN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82-2020</t>
        </is>
      </c>
      <c r="B214" s="1" t="n">
        <v>43832</v>
      </c>
      <c r="C214" s="1" t="n">
        <v>45785</v>
      </c>
      <c r="D214" t="inlineStr">
        <is>
          <t>SÖDERMANLANDS LÄN</t>
        </is>
      </c>
      <c r="E214" t="inlineStr">
        <is>
          <t>FLEN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235-2020</t>
        </is>
      </c>
      <c r="B215" s="1" t="n">
        <v>43834</v>
      </c>
      <c r="C215" s="1" t="n">
        <v>45785</v>
      </c>
      <c r="D215" t="inlineStr">
        <is>
          <t>SÖDERMANLANDS LÄN</t>
        </is>
      </c>
      <c r="E215" t="inlineStr">
        <is>
          <t>FLEN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236-2020</t>
        </is>
      </c>
      <c r="B216" s="1" t="n">
        <v>43834</v>
      </c>
      <c r="C216" s="1" t="n">
        <v>45785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1007-2020</t>
        </is>
      </c>
      <c r="B217" s="1" t="n">
        <v>43839</v>
      </c>
      <c r="C217" s="1" t="n">
        <v>45785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4033-2020</t>
        </is>
      </c>
      <c r="B218" s="1" t="n">
        <v>43846</v>
      </c>
      <c r="C218" s="1" t="n">
        <v>45785</v>
      </c>
      <c r="D218" t="inlineStr">
        <is>
          <t>SÖDERMANLANDS LÄN</t>
        </is>
      </c>
      <c r="E218" t="inlineStr">
        <is>
          <t>FLEN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2538-2020</t>
        </is>
      </c>
      <c r="B219" s="1" t="n">
        <v>43847</v>
      </c>
      <c r="C219" s="1" t="n">
        <v>45785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3831-2020</t>
        </is>
      </c>
      <c r="B220" s="1" t="n">
        <v>43847</v>
      </c>
      <c r="C220" s="1" t="n">
        <v>45785</v>
      </c>
      <c r="D220" t="inlineStr">
        <is>
          <t>SÖDERMANLANDS LÄN</t>
        </is>
      </c>
      <c r="E220" t="inlineStr">
        <is>
          <t>FLEN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3619-2020</t>
        </is>
      </c>
      <c r="B221" s="1" t="n">
        <v>43853</v>
      </c>
      <c r="C221" s="1" t="n">
        <v>45785</v>
      </c>
      <c r="D221" t="inlineStr">
        <is>
          <t>SÖDERMANLANDS LÄN</t>
        </is>
      </c>
      <c r="E221" t="inlineStr">
        <is>
          <t>FLEN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4092-2020</t>
        </is>
      </c>
      <c r="B222" s="1" t="n">
        <v>43857</v>
      </c>
      <c r="C222" s="1" t="n">
        <v>45785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5777-2020</t>
        </is>
      </c>
      <c r="B223" s="1" t="n">
        <v>43864</v>
      </c>
      <c r="C223" s="1" t="n">
        <v>45785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7747-2020</t>
        </is>
      </c>
      <c r="B224" s="1" t="n">
        <v>43872</v>
      </c>
      <c r="C224" s="1" t="n">
        <v>45785</v>
      </c>
      <c r="D224" t="inlineStr">
        <is>
          <t>SÖDERMANLANDS LÄN</t>
        </is>
      </c>
      <c r="E224" t="inlineStr">
        <is>
          <t>FLEN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7941-2020</t>
        </is>
      </c>
      <c r="B225" s="1" t="n">
        <v>43873</v>
      </c>
      <c r="C225" s="1" t="n">
        <v>45785</v>
      </c>
      <c r="D225" t="inlineStr">
        <is>
          <t>SÖDERMANLANDS LÄN</t>
        </is>
      </c>
      <c r="E225" t="inlineStr">
        <is>
          <t>FLEN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9740-2020</t>
        </is>
      </c>
      <c r="B226" s="1" t="n">
        <v>43881</v>
      </c>
      <c r="C226" s="1" t="n">
        <v>45785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10193-2020</t>
        </is>
      </c>
      <c r="B227" s="1" t="n">
        <v>43885</v>
      </c>
      <c r="C227" s="1" t="n">
        <v>45785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11059-2020</t>
        </is>
      </c>
      <c r="B228" s="1" t="n">
        <v>43885</v>
      </c>
      <c r="C228" s="1" t="n">
        <v>45785</v>
      </c>
      <c r="D228" t="inlineStr">
        <is>
          <t>SÖDERMANLANDS LÄN</t>
        </is>
      </c>
      <c r="E228" t="inlineStr">
        <is>
          <t>FLEN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10705-2020</t>
        </is>
      </c>
      <c r="B229" s="1" t="n">
        <v>43888</v>
      </c>
      <c r="C229" s="1" t="n">
        <v>45785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10918-2020</t>
        </is>
      </c>
      <c r="B230" s="1" t="n">
        <v>43889</v>
      </c>
      <c r="C230" s="1" t="n">
        <v>45785</v>
      </c>
      <c r="D230" t="inlineStr">
        <is>
          <t>SÖDERMANLANDS LÄN</t>
        </is>
      </c>
      <c r="E230" t="inlineStr">
        <is>
          <t>FLEN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10913-2020</t>
        </is>
      </c>
      <c r="B231" s="1" t="n">
        <v>43889</v>
      </c>
      <c r="C231" s="1" t="n">
        <v>45785</v>
      </c>
      <c r="D231" t="inlineStr">
        <is>
          <t>SÖDERMANLANDS LÄN</t>
        </is>
      </c>
      <c r="E231" t="inlineStr">
        <is>
          <t>FLEN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11517-2020</t>
        </is>
      </c>
      <c r="B232" s="1" t="n">
        <v>43893</v>
      </c>
      <c r="C232" s="1" t="n">
        <v>45785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11811-2020</t>
        </is>
      </c>
      <c r="B233" s="1" t="n">
        <v>43894</v>
      </c>
      <c r="C233" s="1" t="n">
        <v>45785</v>
      </c>
      <c r="D233" t="inlineStr">
        <is>
          <t>SÖDERMANLANDS LÄN</t>
        </is>
      </c>
      <c r="E233" t="inlineStr">
        <is>
          <t>FLEN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13194-2020</t>
        </is>
      </c>
      <c r="B234" s="1" t="n">
        <v>43901</v>
      </c>
      <c r="C234" s="1" t="n">
        <v>45785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13255-2020</t>
        </is>
      </c>
      <c r="B235" s="1" t="n">
        <v>43901</v>
      </c>
      <c r="C235" s="1" t="n">
        <v>45785</v>
      </c>
      <c r="D235" t="inlineStr">
        <is>
          <t>SÖDERMANLANDS LÄN</t>
        </is>
      </c>
      <c r="E235" t="inlineStr">
        <is>
          <t>FLEN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13251-2020</t>
        </is>
      </c>
      <c r="B236" s="1" t="n">
        <v>43901</v>
      </c>
      <c r="C236" s="1" t="n">
        <v>45785</v>
      </c>
      <c r="D236" t="inlineStr">
        <is>
          <t>SÖDERMANLANDS LÄN</t>
        </is>
      </c>
      <c r="E236" t="inlineStr">
        <is>
          <t>FLEN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13473-2020</t>
        </is>
      </c>
      <c r="B237" s="1" t="n">
        <v>43902</v>
      </c>
      <c r="C237" s="1" t="n">
        <v>45785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13698-2020</t>
        </is>
      </c>
      <c r="B238" s="1" t="n">
        <v>43902</v>
      </c>
      <c r="C238" s="1" t="n">
        <v>45785</v>
      </c>
      <c r="D238" t="inlineStr">
        <is>
          <t>SÖDERMANLANDS LÄN</t>
        </is>
      </c>
      <c r="E238" t="inlineStr">
        <is>
          <t>FLEN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14200-2020</t>
        </is>
      </c>
      <c r="B239" s="1" t="n">
        <v>43907</v>
      </c>
      <c r="C239" s="1" t="n">
        <v>45785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15132-2020</t>
        </is>
      </c>
      <c r="B240" s="1" t="n">
        <v>43911</v>
      </c>
      <c r="C240" s="1" t="n">
        <v>45785</v>
      </c>
      <c r="D240" t="inlineStr">
        <is>
          <t>SÖDERMANLANDS LÄN</t>
        </is>
      </c>
      <c r="E240" t="inlineStr">
        <is>
          <t>FLEN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16206-2020</t>
        </is>
      </c>
      <c r="B241" s="1" t="n">
        <v>43917</v>
      </c>
      <c r="C241" s="1" t="n">
        <v>45785</v>
      </c>
      <c r="D241" t="inlineStr">
        <is>
          <t>SÖDERMANLANDS LÄN</t>
        </is>
      </c>
      <c r="E241" t="inlineStr">
        <is>
          <t>FLEN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16684-2020</t>
        </is>
      </c>
      <c r="B242" s="1" t="n">
        <v>43920</v>
      </c>
      <c r="C242" s="1" t="n">
        <v>45785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17154-2020</t>
        </is>
      </c>
      <c r="B243" s="1" t="n">
        <v>43922</v>
      </c>
      <c r="C243" s="1" t="n">
        <v>45785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20002-2020</t>
        </is>
      </c>
      <c r="B244" s="1" t="n">
        <v>43943</v>
      </c>
      <c r="C244" s="1" t="n">
        <v>45785</v>
      </c>
      <c r="D244" t="inlineStr">
        <is>
          <t>SÖDERMANLANDS LÄN</t>
        </is>
      </c>
      <c r="E244" t="inlineStr">
        <is>
          <t>FLEN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20527-2020</t>
        </is>
      </c>
      <c r="B245" s="1" t="n">
        <v>43948</v>
      </c>
      <c r="C245" s="1" t="n">
        <v>45785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21401-2020</t>
        </is>
      </c>
      <c r="B246" s="1" t="n">
        <v>43955</v>
      </c>
      <c r="C246" s="1" t="n">
        <v>45785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21404-2020</t>
        </is>
      </c>
      <c r="B247" s="1" t="n">
        <v>43955</v>
      </c>
      <c r="C247" s="1" t="n">
        <v>45785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22347-2020</t>
        </is>
      </c>
      <c r="B248" s="1" t="n">
        <v>43957</v>
      </c>
      <c r="C248" s="1" t="n">
        <v>45785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21902-2020</t>
        </is>
      </c>
      <c r="B249" s="1" t="n">
        <v>43958</v>
      </c>
      <c r="C249" s="1" t="n">
        <v>45785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22237-2020</t>
        </is>
      </c>
      <c r="B250" s="1" t="n">
        <v>43959</v>
      </c>
      <c r="C250" s="1" t="n">
        <v>45785</v>
      </c>
      <c r="D250" t="inlineStr">
        <is>
          <t>SÖDERMANLANDS LÄN</t>
        </is>
      </c>
      <c r="E250" t="inlineStr">
        <is>
          <t>FLEN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22243-2020</t>
        </is>
      </c>
      <c r="B251" s="1" t="n">
        <v>43959</v>
      </c>
      <c r="C251" s="1" t="n">
        <v>45785</v>
      </c>
      <c r="D251" t="inlineStr">
        <is>
          <t>SÖDERMANLANDS LÄN</t>
        </is>
      </c>
      <c r="E251" t="inlineStr">
        <is>
          <t>FLEN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22241-2020</t>
        </is>
      </c>
      <c r="B252" s="1" t="n">
        <v>43959</v>
      </c>
      <c r="C252" s="1" t="n">
        <v>45785</v>
      </c>
      <c r="D252" t="inlineStr">
        <is>
          <t>SÖDERMANLANDS LÄN</t>
        </is>
      </c>
      <c r="E252" t="inlineStr">
        <is>
          <t>FLEN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25067-2020</t>
        </is>
      </c>
      <c r="B253" s="1" t="n">
        <v>43979</v>
      </c>
      <c r="C253" s="1" t="n">
        <v>45785</v>
      </c>
      <c r="D253" t="inlineStr">
        <is>
          <t>SÖDERMANLANDS LÄN</t>
        </is>
      </c>
      <c r="E253" t="inlineStr">
        <is>
          <t>FLEN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25280-2020</t>
        </is>
      </c>
      <c r="B254" s="1" t="n">
        <v>43980</v>
      </c>
      <c r="C254" s="1" t="n">
        <v>45785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25842-2020</t>
        </is>
      </c>
      <c r="B255" s="1" t="n">
        <v>43983</v>
      </c>
      <c r="C255" s="1" t="n">
        <v>45785</v>
      </c>
      <c r="D255" t="inlineStr">
        <is>
          <t>SÖDERMANLANDS LÄN</t>
        </is>
      </c>
      <c r="E255" t="inlineStr">
        <is>
          <t>FLEN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25466-2020</t>
        </is>
      </c>
      <c r="B256" s="1" t="n">
        <v>43983</v>
      </c>
      <c r="C256" s="1" t="n">
        <v>45785</v>
      </c>
      <c r="D256" t="inlineStr">
        <is>
          <t>SÖDERMANLANDS LÄN</t>
        </is>
      </c>
      <c r="E256" t="inlineStr">
        <is>
          <t>FLEN</t>
        </is>
      </c>
      <c r="G256" t="n">
        <v>30.4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25880-2020</t>
        </is>
      </c>
      <c r="B257" s="1" t="n">
        <v>43983</v>
      </c>
      <c r="C257" s="1" t="n">
        <v>45785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26063-2020</t>
        </is>
      </c>
      <c r="B258" s="1" t="n">
        <v>43985</v>
      </c>
      <c r="C258" s="1" t="n">
        <v>45785</v>
      </c>
      <c r="D258" t="inlineStr">
        <is>
          <t>SÖDERMANLANDS LÄN</t>
        </is>
      </c>
      <c r="E258" t="inlineStr">
        <is>
          <t>FLEN</t>
        </is>
      </c>
      <c r="G258" t="n">
        <v>22.3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28981-2020</t>
        </is>
      </c>
      <c r="B259" s="1" t="n">
        <v>43998</v>
      </c>
      <c r="C259" s="1" t="n">
        <v>45785</v>
      </c>
      <c r="D259" t="inlineStr">
        <is>
          <t>SÖDERMANLANDS LÄN</t>
        </is>
      </c>
      <c r="E259" t="inlineStr">
        <is>
          <t>FLEN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28562-2020</t>
        </is>
      </c>
      <c r="B260" s="1" t="n">
        <v>43999</v>
      </c>
      <c r="C260" s="1" t="n">
        <v>45785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28676-2020</t>
        </is>
      </c>
      <c r="B261" s="1" t="n">
        <v>43999</v>
      </c>
      <c r="C261" s="1" t="n">
        <v>45785</v>
      </c>
      <c r="D261" t="inlineStr">
        <is>
          <t>SÖDERMANLANDS LÄN</t>
        </is>
      </c>
      <c r="E261" t="inlineStr">
        <is>
          <t>FLEN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29455-2020</t>
        </is>
      </c>
      <c r="B262" s="1" t="n">
        <v>44004</v>
      </c>
      <c r="C262" s="1" t="n">
        <v>45785</v>
      </c>
      <c r="D262" t="inlineStr">
        <is>
          <t>SÖDERMANLANDS LÄN</t>
        </is>
      </c>
      <c r="E262" t="inlineStr">
        <is>
          <t>FLEN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29557-2020</t>
        </is>
      </c>
      <c r="B263" s="1" t="n">
        <v>44005</v>
      </c>
      <c r="C263" s="1" t="n">
        <v>45785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30209-2020</t>
        </is>
      </c>
      <c r="B264" s="1" t="n">
        <v>44007</v>
      </c>
      <c r="C264" s="1" t="n">
        <v>45785</v>
      </c>
      <c r="D264" t="inlineStr">
        <is>
          <t>SÖDERMANLANDS LÄN</t>
        </is>
      </c>
      <c r="E264" t="inlineStr">
        <is>
          <t>FLEN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30879-2020</t>
        </is>
      </c>
      <c r="B265" s="1" t="n">
        <v>44011</v>
      </c>
      <c r="C265" s="1" t="n">
        <v>45785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30871-2020</t>
        </is>
      </c>
      <c r="B266" s="1" t="n">
        <v>44011</v>
      </c>
      <c r="C266" s="1" t="n">
        <v>45785</v>
      </c>
      <c r="D266" t="inlineStr">
        <is>
          <t>SÖDERMANLANDS LÄN</t>
        </is>
      </c>
      <c r="E266" t="inlineStr">
        <is>
          <t>FLEN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31118-2020</t>
        </is>
      </c>
      <c r="B267" s="1" t="n">
        <v>44012</v>
      </c>
      <c r="C267" s="1" t="n">
        <v>45785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32142-2020</t>
        </is>
      </c>
      <c r="B268" s="1" t="n">
        <v>44015</v>
      </c>
      <c r="C268" s="1" t="n">
        <v>45785</v>
      </c>
      <c r="D268" t="inlineStr">
        <is>
          <t>SÖDERMANLANDS LÄN</t>
        </is>
      </c>
      <c r="E268" t="inlineStr">
        <is>
          <t>FLEN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32366-2020</t>
        </is>
      </c>
      <c r="B269" s="1" t="n">
        <v>44018</v>
      </c>
      <c r="C269" s="1" t="n">
        <v>45785</v>
      </c>
      <c r="D269" t="inlineStr">
        <is>
          <t>SÖDERMANLANDS LÄN</t>
        </is>
      </c>
      <c r="E269" t="inlineStr">
        <is>
          <t>FLEN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32585-2020</t>
        </is>
      </c>
      <c r="B270" s="1" t="n">
        <v>44018</v>
      </c>
      <c r="C270" s="1" t="n">
        <v>45785</v>
      </c>
      <c r="D270" t="inlineStr">
        <is>
          <t>SÖDERMANLANDS LÄN</t>
        </is>
      </c>
      <c r="E270" t="inlineStr">
        <is>
          <t>FLEN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33146-2020</t>
        </is>
      </c>
      <c r="B271" s="1" t="n">
        <v>44021</v>
      </c>
      <c r="C271" s="1" t="n">
        <v>45785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33464-2020</t>
        </is>
      </c>
      <c r="B272" s="1" t="n">
        <v>44023</v>
      </c>
      <c r="C272" s="1" t="n">
        <v>45785</v>
      </c>
      <c r="D272" t="inlineStr">
        <is>
          <t>SÖDERMANLANDS LÄN</t>
        </is>
      </c>
      <c r="E272" t="inlineStr">
        <is>
          <t>FLEN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33682-2020</t>
        </is>
      </c>
      <c r="B273" s="1" t="n">
        <v>44026</v>
      </c>
      <c r="C273" s="1" t="n">
        <v>45785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34066-2020</t>
        </is>
      </c>
      <c r="B274" s="1" t="n">
        <v>44027</v>
      </c>
      <c r="C274" s="1" t="n">
        <v>45785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34072-2020</t>
        </is>
      </c>
      <c r="B275" s="1" t="n">
        <v>44028</v>
      </c>
      <c r="C275" s="1" t="n">
        <v>45785</v>
      </c>
      <c r="D275" t="inlineStr">
        <is>
          <t>SÖDERMANLANDS LÄN</t>
        </is>
      </c>
      <c r="E275" t="inlineStr">
        <is>
          <t>FLEN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34489-2020</t>
        </is>
      </c>
      <c r="B276" s="1" t="n">
        <v>44029</v>
      </c>
      <c r="C276" s="1" t="n">
        <v>45785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34992-2020</t>
        </is>
      </c>
      <c r="B277" s="1" t="n">
        <v>44039</v>
      </c>
      <c r="C277" s="1" t="n">
        <v>45785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35093-2020</t>
        </is>
      </c>
      <c r="B278" s="1" t="n">
        <v>44039</v>
      </c>
      <c r="C278" s="1" t="n">
        <v>45785</v>
      </c>
      <c r="D278" t="inlineStr">
        <is>
          <t>SÖDERMANLANDS LÄN</t>
        </is>
      </c>
      <c r="E278" t="inlineStr">
        <is>
          <t>FLEN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35176-2020</t>
        </is>
      </c>
      <c r="B279" s="1" t="n">
        <v>44040</v>
      </c>
      <c r="C279" s="1" t="n">
        <v>45785</v>
      </c>
      <c r="D279" t="inlineStr">
        <is>
          <t>SÖDERMANLANDS LÄN</t>
        </is>
      </c>
      <c r="E279" t="inlineStr">
        <is>
          <t>FLEN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35501-2020</t>
        </is>
      </c>
      <c r="B280" s="1" t="n">
        <v>44042</v>
      </c>
      <c r="C280" s="1" t="n">
        <v>45785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35563-2020</t>
        </is>
      </c>
      <c r="B281" s="1" t="n">
        <v>44043</v>
      </c>
      <c r="C281" s="1" t="n">
        <v>45785</v>
      </c>
      <c r="D281" t="inlineStr">
        <is>
          <t>SÖDERMANLANDS LÄN</t>
        </is>
      </c>
      <c r="E281" t="inlineStr">
        <is>
          <t>FLEN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35560-2020</t>
        </is>
      </c>
      <c r="B282" s="1" t="n">
        <v>44043</v>
      </c>
      <c r="C282" s="1" t="n">
        <v>45785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35817-2020</t>
        </is>
      </c>
      <c r="B283" s="1" t="n">
        <v>44047</v>
      </c>
      <c r="C283" s="1" t="n">
        <v>45785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36317-2020</t>
        </is>
      </c>
      <c r="B284" s="1" t="n">
        <v>44049</v>
      </c>
      <c r="C284" s="1" t="n">
        <v>45785</v>
      </c>
      <c r="D284" t="inlineStr">
        <is>
          <t>SÖDERMANLANDS LÄN</t>
        </is>
      </c>
      <c r="E284" t="inlineStr">
        <is>
          <t>FLEN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36366-2020</t>
        </is>
      </c>
      <c r="B285" s="1" t="n">
        <v>44049</v>
      </c>
      <c r="C285" s="1" t="n">
        <v>45785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36880-2020</t>
        </is>
      </c>
      <c r="B286" s="1" t="n">
        <v>44053</v>
      </c>
      <c r="C286" s="1" t="n">
        <v>45785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36891-2020</t>
        </is>
      </c>
      <c r="B287" s="1" t="n">
        <v>44053</v>
      </c>
      <c r="C287" s="1" t="n">
        <v>45785</v>
      </c>
      <c r="D287" t="inlineStr">
        <is>
          <t>SÖDERMANLANDS LÄN</t>
        </is>
      </c>
      <c r="E287" t="inlineStr">
        <is>
          <t>FLEN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37214-2020</t>
        </is>
      </c>
      <c r="B288" s="1" t="n">
        <v>44054</v>
      </c>
      <c r="C288" s="1" t="n">
        <v>45785</v>
      </c>
      <c r="D288" t="inlineStr">
        <is>
          <t>SÖDERMANLANDS LÄN</t>
        </is>
      </c>
      <c r="E288" t="inlineStr">
        <is>
          <t>FLEN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37274-2020</t>
        </is>
      </c>
      <c r="B289" s="1" t="n">
        <v>44054</v>
      </c>
      <c r="C289" s="1" t="n">
        <v>45785</v>
      </c>
      <c r="D289" t="inlineStr">
        <is>
          <t>SÖDERMANLANDS LÄN</t>
        </is>
      </c>
      <c r="E289" t="inlineStr">
        <is>
          <t>FLEN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37736-2020</t>
        </is>
      </c>
      <c r="B290" s="1" t="n">
        <v>44056</v>
      </c>
      <c r="C290" s="1" t="n">
        <v>45785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37897-2020</t>
        </is>
      </c>
      <c r="B291" s="1" t="n">
        <v>44057</v>
      </c>
      <c r="C291" s="1" t="n">
        <v>45785</v>
      </c>
      <c r="D291" t="inlineStr">
        <is>
          <t>SÖDERMANLANDS LÄN</t>
        </is>
      </c>
      <c r="E291" t="inlineStr">
        <is>
          <t>FLEN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38613-2020</t>
        </is>
      </c>
      <c r="B292" s="1" t="n">
        <v>44061</v>
      </c>
      <c r="C292" s="1" t="n">
        <v>45785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38849-2020</t>
        </is>
      </c>
      <c r="B293" s="1" t="n">
        <v>44062</v>
      </c>
      <c r="C293" s="1" t="n">
        <v>45785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38854-2020</t>
        </is>
      </c>
      <c r="B294" s="1" t="n">
        <v>44062</v>
      </c>
      <c r="C294" s="1" t="n">
        <v>45785</v>
      </c>
      <c r="D294" t="inlineStr">
        <is>
          <t>SÖDERMANLANDS LÄN</t>
        </is>
      </c>
      <c r="E294" t="inlineStr">
        <is>
          <t>FLEN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40693-2020</t>
        </is>
      </c>
      <c r="B295" s="1" t="n">
        <v>44067</v>
      </c>
      <c r="C295" s="1" t="n">
        <v>45785</v>
      </c>
      <c r="D295" t="inlineStr">
        <is>
          <t>SÖDERMANLANDS LÄN</t>
        </is>
      </c>
      <c r="E295" t="inlineStr">
        <is>
          <t>FLEN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45305-2020</t>
        </is>
      </c>
      <c r="B296" s="1" t="n">
        <v>44085</v>
      </c>
      <c r="C296" s="1" t="n">
        <v>45785</v>
      </c>
      <c r="D296" t="inlineStr">
        <is>
          <t>SÖDERMANLANDS LÄN</t>
        </is>
      </c>
      <c r="E296" t="inlineStr">
        <is>
          <t>FLEN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45315-2020</t>
        </is>
      </c>
      <c r="B297" s="1" t="n">
        <v>44085</v>
      </c>
      <c r="C297" s="1" t="n">
        <v>45785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45785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HYPERLINK("https://klasma.github.io/Logging_0482/knärot/A 45265-2020 karta knärot.png", "A 45265-2020")</f>
        <v/>
      </c>
      <c r="V298">
        <f>HYPERLINK("https://klasma.github.io/Logging_0482/klagomål/A 45265-2020 FSC-klagomål.docx", "A 45265-2020")</f>
        <v/>
      </c>
      <c r="W298">
        <f>HYPERLINK("https://klasma.github.io/Logging_0482/klagomålsmail/A 45265-2020 FSC-klagomål mail.docx", "A 45265-2020")</f>
        <v/>
      </c>
      <c r="X298">
        <f>HYPERLINK("https://klasma.github.io/Logging_0482/tillsyn/A 45265-2020 tillsynsbegäran.docx", "A 45265-2020")</f>
        <v/>
      </c>
      <c r="Y298">
        <f>HYPERLINK("https://klasma.github.io/Logging_0482/tillsynsmail/A 45265-2020 tillsynsbegäran mail.docx", "A 45265-2020")</f>
        <v/>
      </c>
    </row>
    <row r="299" ht="15" customHeight="1">
      <c r="A299" t="inlineStr">
        <is>
          <t>A 47401-2020</t>
        </is>
      </c>
      <c r="B299" s="1" t="n">
        <v>44097</v>
      </c>
      <c r="C299" s="1" t="n">
        <v>45785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45785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45785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45785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45785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45785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45785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45785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45785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45785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45785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45785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45785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45785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45785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57251-2020</t>
        </is>
      </c>
      <c r="B314" s="1" t="n">
        <v>44139</v>
      </c>
      <c r="C314" s="1" t="n">
        <v>45785</v>
      </c>
      <c r="D314" t="inlineStr">
        <is>
          <t>SÖDERMANLANDS LÄN</t>
        </is>
      </c>
      <c r="E314" t="inlineStr">
        <is>
          <t>FLEN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57682-2020</t>
        </is>
      </c>
      <c r="B315" s="1" t="n">
        <v>44140</v>
      </c>
      <c r="C315" s="1" t="n">
        <v>45785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57689-2020</t>
        </is>
      </c>
      <c r="B316" s="1" t="n">
        <v>44140</v>
      </c>
      <c r="C316" s="1" t="n">
        <v>45785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58592-2020</t>
        </is>
      </c>
      <c r="B317" s="1" t="n">
        <v>44145</v>
      </c>
      <c r="C317" s="1" t="n">
        <v>45785</v>
      </c>
      <c r="D317" t="inlineStr">
        <is>
          <t>SÖDERMANLANDS LÄN</t>
        </is>
      </c>
      <c r="E317" t="inlineStr">
        <is>
          <t>FLEN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58948-2020</t>
        </is>
      </c>
      <c r="B318" s="1" t="n">
        <v>44146</v>
      </c>
      <c r="C318" s="1" t="n">
        <v>45785</v>
      </c>
      <c r="D318" t="inlineStr">
        <is>
          <t>SÖDERMANLANDS LÄN</t>
        </is>
      </c>
      <c r="E318" t="inlineStr">
        <is>
          <t>FLEN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60409-2020</t>
        </is>
      </c>
      <c r="B319" s="1" t="n">
        <v>44152</v>
      </c>
      <c r="C319" s="1" t="n">
        <v>45785</v>
      </c>
      <c r="D319" t="inlineStr">
        <is>
          <t>SÖDERMANLANDS LÄN</t>
        </is>
      </c>
      <c r="E319" t="inlineStr">
        <is>
          <t>FLEN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61697-2020</t>
        </is>
      </c>
      <c r="B320" s="1" t="n">
        <v>44158</v>
      </c>
      <c r="C320" s="1" t="n">
        <v>45785</v>
      </c>
      <c r="D320" t="inlineStr">
        <is>
          <t>SÖDERMANLANDS LÄN</t>
        </is>
      </c>
      <c r="E320" t="inlineStr">
        <is>
          <t>FLEN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61713-2020</t>
        </is>
      </c>
      <c r="B321" s="1" t="n">
        <v>44158</v>
      </c>
      <c r="C321" s="1" t="n">
        <v>45785</v>
      </c>
      <c r="D321" t="inlineStr">
        <is>
          <t>SÖDERMANLANDS LÄN</t>
        </is>
      </c>
      <c r="E321" t="inlineStr">
        <is>
          <t>FLEN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62512-2020</t>
        </is>
      </c>
      <c r="B322" s="1" t="n">
        <v>44160</v>
      </c>
      <c r="C322" s="1" t="n">
        <v>45785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65233-2020</t>
        </is>
      </c>
      <c r="B323" s="1" t="n">
        <v>44172</v>
      </c>
      <c r="C323" s="1" t="n">
        <v>45785</v>
      </c>
      <c r="D323" t="inlineStr">
        <is>
          <t>SÖDERMANLANDS LÄN</t>
        </is>
      </c>
      <c r="E323" t="inlineStr">
        <is>
          <t>FLEN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66511-2020</t>
        </is>
      </c>
      <c r="B324" s="1" t="n">
        <v>44178</v>
      </c>
      <c r="C324" s="1" t="n">
        <v>45785</v>
      </c>
      <c r="D324" t="inlineStr">
        <is>
          <t>SÖDERMANLANDS LÄN</t>
        </is>
      </c>
      <c r="E324" t="inlineStr">
        <is>
          <t>FLEN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69019-2020</t>
        </is>
      </c>
      <c r="B325" s="1" t="n">
        <v>44187</v>
      </c>
      <c r="C325" s="1" t="n">
        <v>45785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69015-2020</t>
        </is>
      </c>
      <c r="B326" s="1" t="n">
        <v>44188</v>
      </c>
      <c r="C326" s="1" t="n">
        <v>45785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69388-2020</t>
        </is>
      </c>
      <c r="B327" s="1" t="n">
        <v>44193</v>
      </c>
      <c r="C327" s="1" t="n">
        <v>45785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527-2021</t>
        </is>
      </c>
      <c r="B328" s="1" t="n">
        <v>44201</v>
      </c>
      <c r="C328" s="1" t="n">
        <v>45785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587-2021</t>
        </is>
      </c>
      <c r="B329" s="1" t="n">
        <v>44203</v>
      </c>
      <c r="C329" s="1" t="n">
        <v>45785</v>
      </c>
      <c r="D329" t="inlineStr">
        <is>
          <t>SÖDERMANLANDS LÄN</t>
        </is>
      </c>
      <c r="E329" t="inlineStr">
        <is>
          <t>FLEN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1329-2021</t>
        </is>
      </c>
      <c r="B330" s="1" t="n">
        <v>44208</v>
      </c>
      <c r="C330" s="1" t="n">
        <v>45785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1333-2021</t>
        </is>
      </c>
      <c r="B331" s="1" t="n">
        <v>44208</v>
      </c>
      <c r="C331" s="1" t="n">
        <v>45785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1330-2021</t>
        </is>
      </c>
      <c r="B332" s="1" t="n">
        <v>44208</v>
      </c>
      <c r="C332" s="1" t="n">
        <v>45785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1565-2021</t>
        </is>
      </c>
      <c r="B333" s="1" t="n">
        <v>44209</v>
      </c>
      <c r="C333" s="1" t="n">
        <v>45785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2460-2021</t>
        </is>
      </c>
      <c r="B334" s="1" t="n">
        <v>44214</v>
      </c>
      <c r="C334" s="1" t="n">
        <v>45785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2488-2021</t>
        </is>
      </c>
      <c r="B335" s="1" t="n">
        <v>44214</v>
      </c>
      <c r="C335" s="1" t="n">
        <v>45785</v>
      </c>
      <c r="D335" t="inlineStr">
        <is>
          <t>SÖDERMANLANDS LÄN</t>
        </is>
      </c>
      <c r="E335" t="inlineStr">
        <is>
          <t>FLEN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3169-2021</t>
        </is>
      </c>
      <c r="B336" s="1" t="n">
        <v>44217</v>
      </c>
      <c r="C336" s="1" t="n">
        <v>45785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3513-2021</t>
        </is>
      </c>
      <c r="B337" s="1" t="n">
        <v>44218</v>
      </c>
      <c r="C337" s="1" t="n">
        <v>45785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4348-2021</t>
        </is>
      </c>
      <c r="B338" s="1" t="n">
        <v>44223</v>
      </c>
      <c r="C338" s="1" t="n">
        <v>45785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5971-2021</t>
        </is>
      </c>
      <c r="B339" s="1" t="n">
        <v>44230</v>
      </c>
      <c r="C339" s="1" t="n">
        <v>45785</v>
      </c>
      <c r="D339" t="inlineStr">
        <is>
          <t>SÖDERMANLANDS LÄN</t>
        </is>
      </c>
      <c r="E339" t="inlineStr">
        <is>
          <t>FLEN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6827-2021</t>
        </is>
      </c>
      <c r="B340" s="1" t="n">
        <v>44237</v>
      </c>
      <c r="C340" s="1" t="n">
        <v>45785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7858-2021</t>
        </is>
      </c>
      <c r="B341" s="1" t="n">
        <v>44242</v>
      </c>
      <c r="C341" s="1" t="n">
        <v>45785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8141-2021</t>
        </is>
      </c>
      <c r="B342" s="1" t="n">
        <v>44242</v>
      </c>
      <c r="C342" s="1" t="n">
        <v>45785</v>
      </c>
      <c r="D342" t="inlineStr">
        <is>
          <t>SÖDERMANLANDS LÄN</t>
        </is>
      </c>
      <c r="E342" t="inlineStr">
        <is>
          <t>FLEN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8762-2021</t>
        </is>
      </c>
      <c r="B343" s="1" t="n">
        <v>44246</v>
      </c>
      <c r="C343" s="1" t="n">
        <v>45785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45785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45785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45785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45785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45785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45785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45785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45785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45785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45785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45785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45785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45785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45785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45785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45785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45785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45785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45785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45785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45785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45785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45785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45785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45785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45785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45785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45785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45785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45785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45785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45785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45785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45785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45785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45785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45785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45785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45785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45785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45785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45785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45785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45785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45785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45785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45785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45785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45785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45785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45785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45785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45785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45785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45785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45785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45785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45785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45785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45785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45785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45785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45785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45785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45785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45785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45785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45785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45785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45785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45785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45785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45785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45785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45785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45785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45785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45785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45785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45785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45785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45785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45785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45785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45785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45785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45785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45785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45785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45785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45785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48298-2021</t>
        </is>
      </c>
      <c r="B435" s="1" t="n">
        <v>44450</v>
      </c>
      <c r="C435" s="1" t="n">
        <v>45785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48763-2021</t>
        </is>
      </c>
      <c r="B436" s="1" t="n">
        <v>44452</v>
      </c>
      <c r="C436" s="1" t="n">
        <v>45785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48925-2021</t>
        </is>
      </c>
      <c r="B437" s="1" t="n">
        <v>44452</v>
      </c>
      <c r="C437" s="1" t="n">
        <v>45785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49323-2021</t>
        </is>
      </c>
      <c r="B438" s="1" t="n">
        <v>44453</v>
      </c>
      <c r="C438" s="1" t="n">
        <v>45785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49275-2021</t>
        </is>
      </c>
      <c r="B439" s="1" t="n">
        <v>44453</v>
      </c>
      <c r="C439" s="1" t="n">
        <v>45785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49252-2021</t>
        </is>
      </c>
      <c r="B440" s="1" t="n">
        <v>44454</v>
      </c>
      <c r="C440" s="1" t="n">
        <v>45785</v>
      </c>
      <c r="D440" t="inlineStr">
        <is>
          <t>SÖDERMANLANDS LÄN</t>
        </is>
      </c>
      <c r="E440" t="inlineStr">
        <is>
          <t>FLEN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49255-2021</t>
        </is>
      </c>
      <c r="B441" s="1" t="n">
        <v>44454</v>
      </c>
      <c r="C441" s="1" t="n">
        <v>45785</v>
      </c>
      <c r="D441" t="inlineStr">
        <is>
          <t>SÖDERMANLANDS LÄN</t>
        </is>
      </c>
      <c r="E441" t="inlineStr">
        <is>
          <t>FLEN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49569-2021</t>
        </is>
      </c>
      <c r="B442" s="1" t="n">
        <v>44455</v>
      </c>
      <c r="C442" s="1" t="n">
        <v>45785</v>
      </c>
      <c r="D442" t="inlineStr">
        <is>
          <t>SÖDERMANLANDS LÄN</t>
        </is>
      </c>
      <c r="E442" t="inlineStr">
        <is>
          <t>FLEN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50494-2021</t>
        </is>
      </c>
      <c r="B443" s="1" t="n">
        <v>44458</v>
      </c>
      <c r="C443" s="1" t="n">
        <v>45785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50500-2021</t>
        </is>
      </c>
      <c r="B444" s="1" t="n">
        <v>44458</v>
      </c>
      <c r="C444" s="1" t="n">
        <v>45785</v>
      </c>
      <c r="D444" t="inlineStr">
        <is>
          <t>SÖDERMANLANDS LÄN</t>
        </is>
      </c>
      <c r="E444" t="inlineStr">
        <is>
          <t>FLEN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50301-2021</t>
        </is>
      </c>
      <c r="B445" s="1" t="n">
        <v>44459</v>
      </c>
      <c r="C445" s="1" t="n">
        <v>45785</v>
      </c>
      <c r="D445" t="inlineStr">
        <is>
          <t>SÖDERMANLANDS LÄN</t>
        </is>
      </c>
      <c r="E445" t="inlineStr">
        <is>
          <t>FLEN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50799-2021</t>
        </is>
      </c>
      <c r="B446" s="1" t="n">
        <v>44459</v>
      </c>
      <c r="C446" s="1" t="n">
        <v>45785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50796-2021</t>
        </is>
      </c>
      <c r="B447" s="1" t="n">
        <v>44459</v>
      </c>
      <c r="C447" s="1" t="n">
        <v>45785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52541-2021</t>
        </is>
      </c>
      <c r="B448" s="1" t="n">
        <v>44463</v>
      </c>
      <c r="C448" s="1" t="n">
        <v>45785</v>
      </c>
      <c r="D448" t="inlineStr">
        <is>
          <t>SÖDERMANLANDS LÄN</t>
        </is>
      </c>
      <c r="E448" t="inlineStr">
        <is>
          <t>FLEN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52519-2021</t>
        </is>
      </c>
      <c r="B449" s="1" t="n">
        <v>44463</v>
      </c>
      <c r="C449" s="1" t="n">
        <v>45785</v>
      </c>
      <c r="D449" t="inlineStr">
        <is>
          <t>SÖDERMANLANDS LÄN</t>
        </is>
      </c>
      <c r="E449" t="inlineStr">
        <is>
          <t>FLEN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52563-2021</t>
        </is>
      </c>
      <c r="B450" s="1" t="n">
        <v>44463</v>
      </c>
      <c r="C450" s="1" t="n">
        <v>45785</v>
      </c>
      <c r="D450" t="inlineStr">
        <is>
          <t>SÖDERMANLANDS LÄN</t>
        </is>
      </c>
      <c r="E450" t="inlineStr">
        <is>
          <t>FLEN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52500-2021</t>
        </is>
      </c>
      <c r="B451" s="1" t="n">
        <v>44463</v>
      </c>
      <c r="C451" s="1" t="n">
        <v>45785</v>
      </c>
      <c r="D451" t="inlineStr">
        <is>
          <t>SÖDERMANLANDS LÄN</t>
        </is>
      </c>
      <c r="E451" t="inlineStr">
        <is>
          <t>FLEN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52546-2021</t>
        </is>
      </c>
      <c r="B452" s="1" t="n">
        <v>44463</v>
      </c>
      <c r="C452" s="1" t="n">
        <v>45785</v>
      </c>
      <c r="D452" t="inlineStr">
        <is>
          <t>SÖDERMANLANDS LÄN</t>
        </is>
      </c>
      <c r="E452" t="inlineStr">
        <is>
          <t>FLEN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52534-2021</t>
        </is>
      </c>
      <c r="B453" s="1" t="n">
        <v>44463</v>
      </c>
      <c r="C453" s="1" t="n">
        <v>45785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52692-2021</t>
        </is>
      </c>
      <c r="B454" s="1" t="n">
        <v>44466</v>
      </c>
      <c r="C454" s="1" t="n">
        <v>45785</v>
      </c>
      <c r="D454" t="inlineStr">
        <is>
          <t>SÖDERMANLANDS LÄN</t>
        </is>
      </c>
      <c r="E454" t="inlineStr">
        <is>
          <t>FLEN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53608-2021</t>
        </is>
      </c>
      <c r="B455" s="1" t="n">
        <v>44469</v>
      </c>
      <c r="C455" s="1" t="n">
        <v>45785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53930-2021</t>
        </is>
      </c>
      <c r="B456" s="1" t="n">
        <v>44469</v>
      </c>
      <c r="C456" s="1" t="n">
        <v>45785</v>
      </c>
      <c r="D456" t="inlineStr">
        <is>
          <t>SÖDERMANLANDS LÄN</t>
        </is>
      </c>
      <c r="E456" t="inlineStr">
        <is>
          <t>FLEN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54179-2021</t>
        </is>
      </c>
      <c r="B457" s="1" t="n">
        <v>44470</v>
      </c>
      <c r="C457" s="1" t="n">
        <v>45785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54325-2021</t>
        </is>
      </c>
      <c r="B458" s="1" t="n">
        <v>44472</v>
      </c>
      <c r="C458" s="1" t="n">
        <v>45785</v>
      </c>
      <c r="D458" t="inlineStr">
        <is>
          <t>SÖDERMANLANDS LÄN</t>
        </is>
      </c>
      <c r="E458" t="inlineStr">
        <is>
          <t>FLEN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54645-2021</t>
        </is>
      </c>
      <c r="B459" s="1" t="n">
        <v>44473</v>
      </c>
      <c r="C459" s="1" t="n">
        <v>45785</v>
      </c>
      <c r="D459" t="inlineStr">
        <is>
          <t>SÖDERMANLANDS LÄN</t>
        </is>
      </c>
      <c r="E459" t="inlineStr">
        <is>
          <t>FLEN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54666-2021</t>
        </is>
      </c>
      <c r="B460" s="1" t="n">
        <v>44473</v>
      </c>
      <c r="C460" s="1" t="n">
        <v>45785</v>
      </c>
      <c r="D460" t="inlineStr">
        <is>
          <t>SÖDERMANLANDS LÄN</t>
        </is>
      </c>
      <c r="E460" t="inlineStr">
        <is>
          <t>FLEN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57753-2021</t>
        </is>
      </c>
      <c r="B461" s="1" t="n">
        <v>44484</v>
      </c>
      <c r="C461" s="1" t="n">
        <v>45785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58299-2021</t>
        </is>
      </c>
      <c r="B462" s="1" t="n">
        <v>44487</v>
      </c>
      <c r="C462" s="1" t="n">
        <v>45785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59405-2021</t>
        </is>
      </c>
      <c r="B463" s="1" t="n">
        <v>44490</v>
      </c>
      <c r="C463" s="1" t="n">
        <v>45785</v>
      </c>
      <c r="D463" t="inlineStr">
        <is>
          <t>SÖDERMANLANDS LÄN</t>
        </is>
      </c>
      <c r="E463" t="inlineStr">
        <is>
          <t>FLEN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60069-2021</t>
        </is>
      </c>
      <c r="B464" s="1" t="n">
        <v>44495</v>
      </c>
      <c r="C464" s="1" t="n">
        <v>45785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60077-2021</t>
        </is>
      </c>
      <c r="B465" s="1" t="n">
        <v>44495</v>
      </c>
      <c r="C465" s="1" t="n">
        <v>45785</v>
      </c>
      <c r="D465" t="inlineStr">
        <is>
          <t>SÖDERMANLANDS LÄN</t>
        </is>
      </c>
      <c r="E465" t="inlineStr">
        <is>
          <t>FLEN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60255-2021</t>
        </is>
      </c>
      <c r="B466" s="1" t="n">
        <v>44495</v>
      </c>
      <c r="C466" s="1" t="n">
        <v>45785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60562-2021</t>
        </is>
      </c>
      <c r="B467" s="1" t="n">
        <v>44495</v>
      </c>
      <c r="C467" s="1" t="n">
        <v>45785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62223-2021</t>
        </is>
      </c>
      <c r="B468" s="1" t="n">
        <v>44501</v>
      </c>
      <c r="C468" s="1" t="n">
        <v>45785</v>
      </c>
      <c r="D468" t="inlineStr">
        <is>
          <t>SÖDERMANLANDS LÄN</t>
        </is>
      </c>
      <c r="E468" t="inlineStr">
        <is>
          <t>FLEN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63444-2021</t>
        </is>
      </c>
      <c r="B469" s="1" t="n">
        <v>44508</v>
      </c>
      <c r="C469" s="1" t="n">
        <v>45785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64060-2021</t>
        </is>
      </c>
      <c r="B470" s="1" t="n">
        <v>44508</v>
      </c>
      <c r="C470" s="1" t="n">
        <v>45785</v>
      </c>
      <c r="D470" t="inlineStr">
        <is>
          <t>SÖDERMANLANDS LÄN</t>
        </is>
      </c>
      <c r="E470" t="inlineStr">
        <is>
          <t>FLEN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64330-2021</t>
        </is>
      </c>
      <c r="B471" s="1" t="n">
        <v>44511</v>
      </c>
      <c r="C471" s="1" t="n">
        <v>45785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65869-2021</t>
        </is>
      </c>
      <c r="B472" s="1" t="n">
        <v>44517</v>
      </c>
      <c r="C472" s="1" t="n">
        <v>45785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66230-2021</t>
        </is>
      </c>
      <c r="B473" s="1" t="n">
        <v>44518</v>
      </c>
      <c r="C473" s="1" t="n">
        <v>45785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66334-2021</t>
        </is>
      </c>
      <c r="B474" s="1" t="n">
        <v>44518</v>
      </c>
      <c r="C474" s="1" t="n">
        <v>45785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66337-2021</t>
        </is>
      </c>
      <c r="B475" s="1" t="n">
        <v>44518</v>
      </c>
      <c r="C475" s="1" t="n">
        <v>45785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66867-2021</t>
        </is>
      </c>
      <c r="B476" s="1" t="n">
        <v>44522</v>
      </c>
      <c r="C476" s="1" t="n">
        <v>45785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66979-2021</t>
        </is>
      </c>
      <c r="B477" s="1" t="n">
        <v>44522</v>
      </c>
      <c r="C477" s="1" t="n">
        <v>45785</v>
      </c>
      <c r="D477" t="inlineStr">
        <is>
          <t>SÖDERMANLANDS LÄN</t>
        </is>
      </c>
      <c r="E477" t="inlineStr">
        <is>
          <t>FLEN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67464-2021</t>
        </is>
      </c>
      <c r="B478" s="1" t="n">
        <v>44524</v>
      </c>
      <c r="C478" s="1" t="n">
        <v>45785</v>
      </c>
      <c r="D478" t="inlineStr">
        <is>
          <t>SÖDERMANLANDS LÄN</t>
        </is>
      </c>
      <c r="E478" t="inlineStr">
        <is>
          <t>FLEN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69588-2021</t>
        </is>
      </c>
      <c r="B479" s="1" t="n">
        <v>44531</v>
      </c>
      <c r="C479" s="1" t="n">
        <v>45785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70215-2021</t>
        </is>
      </c>
      <c r="B480" s="1" t="n">
        <v>44535</v>
      </c>
      <c r="C480" s="1" t="n">
        <v>45785</v>
      </c>
      <c r="D480" t="inlineStr">
        <is>
          <t>SÖDERMANLANDS LÄN</t>
        </is>
      </c>
      <c r="E480" t="inlineStr">
        <is>
          <t>FLEN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70701-2021</t>
        </is>
      </c>
      <c r="B481" s="1" t="n">
        <v>44536</v>
      </c>
      <c r="C481" s="1" t="n">
        <v>45785</v>
      </c>
      <c r="D481" t="inlineStr">
        <is>
          <t>SÖDERMANLANDS LÄN</t>
        </is>
      </c>
      <c r="E481" t="inlineStr">
        <is>
          <t>FLEN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72314-2021</t>
        </is>
      </c>
      <c r="B482" s="1" t="n">
        <v>44544</v>
      </c>
      <c r="C482" s="1" t="n">
        <v>45785</v>
      </c>
      <c r="D482" t="inlineStr">
        <is>
          <t>SÖDERMANLANDS LÄN</t>
        </is>
      </c>
      <c r="E482" t="inlineStr">
        <is>
          <t>FLEN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73919-2021</t>
        </is>
      </c>
      <c r="B483" s="1" t="n">
        <v>44553</v>
      </c>
      <c r="C483" s="1" t="n">
        <v>45785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45785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550-2022</t>
        </is>
      </c>
      <c r="B485" s="1" t="n">
        <v>44566</v>
      </c>
      <c r="C485" s="1" t="n">
        <v>45785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985-2022</t>
        </is>
      </c>
      <c r="B486" s="1" t="n">
        <v>44571</v>
      </c>
      <c r="C486" s="1" t="n">
        <v>45785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1242-2022</t>
        </is>
      </c>
      <c r="B487" s="1" t="n">
        <v>44572</v>
      </c>
      <c r="C487" s="1" t="n">
        <v>45785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2204-2022</t>
        </is>
      </c>
      <c r="B488" s="1" t="n">
        <v>44578</v>
      </c>
      <c r="C488" s="1" t="n">
        <v>45785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2162-2022</t>
        </is>
      </c>
      <c r="B489" s="1" t="n">
        <v>44578</v>
      </c>
      <c r="C489" s="1" t="n">
        <v>45785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2496-2022</t>
        </is>
      </c>
      <c r="B490" s="1" t="n">
        <v>44579</v>
      </c>
      <c r="C490" s="1" t="n">
        <v>45785</v>
      </c>
      <c r="D490" t="inlineStr">
        <is>
          <t>SÖDERMANLANDS LÄN</t>
        </is>
      </c>
      <c r="E490" t="inlineStr">
        <is>
          <t>FLEN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2734-2022</t>
        </is>
      </c>
      <c r="B491" s="1" t="n">
        <v>44580</v>
      </c>
      <c r="C491" s="1" t="n">
        <v>45785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2738-2022</t>
        </is>
      </c>
      <c r="B492" s="1" t="n">
        <v>44580</v>
      </c>
      <c r="C492" s="1" t="n">
        <v>45785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4065-2022</t>
        </is>
      </c>
      <c r="B493" s="1" t="n">
        <v>44588</v>
      </c>
      <c r="C493" s="1" t="n">
        <v>45785</v>
      </c>
      <c r="D493" t="inlineStr">
        <is>
          <t>SÖDERMANLANDS LÄN</t>
        </is>
      </c>
      <c r="E493" t="inlineStr">
        <is>
          <t>FLEN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4216-2022</t>
        </is>
      </c>
      <c r="B494" s="1" t="n">
        <v>44588</v>
      </c>
      <c r="C494" s="1" t="n">
        <v>45785</v>
      </c>
      <c r="D494" t="inlineStr">
        <is>
          <t>SÖDERMANLANDS LÄN</t>
        </is>
      </c>
      <c r="E494" t="inlineStr">
        <is>
          <t>FLEN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5260-2022</t>
        </is>
      </c>
      <c r="B495" s="1" t="n">
        <v>44594</v>
      </c>
      <c r="C495" s="1" t="n">
        <v>45785</v>
      </c>
      <c r="D495" t="inlineStr">
        <is>
          <t>SÖDERMANLANDS LÄN</t>
        </is>
      </c>
      <c r="E495" t="inlineStr">
        <is>
          <t>FLEN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5859-2022</t>
        </is>
      </c>
      <c r="B496" s="1" t="n">
        <v>44596</v>
      </c>
      <c r="C496" s="1" t="n">
        <v>45785</v>
      </c>
      <c r="D496" t="inlineStr">
        <is>
          <t>SÖDERMANLANDS LÄN</t>
        </is>
      </c>
      <c r="E496" t="inlineStr">
        <is>
          <t>FLEN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45785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6725-2022</t>
        </is>
      </c>
      <c r="B498" s="1" t="n">
        <v>44602</v>
      </c>
      <c r="C498" s="1" t="n">
        <v>45785</v>
      </c>
      <c r="D498" t="inlineStr">
        <is>
          <t>SÖDERMANLANDS LÄN</t>
        </is>
      </c>
      <c r="E498" t="inlineStr">
        <is>
          <t>FLEN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7170-2022</t>
        </is>
      </c>
      <c r="B499" s="1" t="n">
        <v>44604</v>
      </c>
      <c r="C499" s="1" t="n">
        <v>45785</v>
      </c>
      <c r="D499" t="inlineStr">
        <is>
          <t>SÖDERMANLANDS LÄN</t>
        </is>
      </c>
      <c r="E499" t="inlineStr">
        <is>
          <t>FLEN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7242-2022</t>
        </is>
      </c>
      <c r="B500" s="1" t="n">
        <v>44606</v>
      </c>
      <c r="C500" s="1" t="n">
        <v>45785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7863-2022</t>
        </is>
      </c>
      <c r="B501" s="1" t="n">
        <v>44608</v>
      </c>
      <c r="C501" s="1" t="n">
        <v>45785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8301-2022</t>
        </is>
      </c>
      <c r="B502" s="1" t="n">
        <v>44610</v>
      </c>
      <c r="C502" s="1" t="n">
        <v>45785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8293-2022</t>
        </is>
      </c>
      <c r="B503" s="1" t="n">
        <v>44610</v>
      </c>
      <c r="C503" s="1" t="n">
        <v>45785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8793-2022</t>
        </is>
      </c>
      <c r="B504" s="1" t="n">
        <v>44614</v>
      </c>
      <c r="C504" s="1" t="n">
        <v>45785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8903-2022</t>
        </is>
      </c>
      <c r="B505" s="1" t="n">
        <v>44614</v>
      </c>
      <c r="C505" s="1" t="n">
        <v>45785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8990-2022</t>
        </is>
      </c>
      <c r="B506" s="1" t="n">
        <v>44614</v>
      </c>
      <c r="C506" s="1" t="n">
        <v>45785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9431-2022</t>
        </is>
      </c>
      <c r="B507" s="1" t="n">
        <v>44616</v>
      </c>
      <c r="C507" s="1" t="n">
        <v>45785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10738-2022</t>
        </is>
      </c>
      <c r="B508" s="1" t="n">
        <v>44624</v>
      </c>
      <c r="C508" s="1" t="n">
        <v>45785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10771-2022</t>
        </is>
      </c>
      <c r="B509" s="1" t="n">
        <v>44624</v>
      </c>
      <c r="C509" s="1" t="n">
        <v>45785</v>
      </c>
      <c r="D509" t="inlineStr">
        <is>
          <t>SÖDERMANLANDS LÄN</t>
        </is>
      </c>
      <c r="E509" t="inlineStr">
        <is>
          <t>FLEN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10828-2022</t>
        </is>
      </c>
      <c r="B510" s="1" t="n">
        <v>44624</v>
      </c>
      <c r="C510" s="1" t="n">
        <v>45785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10827-2022</t>
        </is>
      </c>
      <c r="B511" s="1" t="n">
        <v>44624</v>
      </c>
      <c r="C511" s="1" t="n">
        <v>45785</v>
      </c>
      <c r="D511" t="inlineStr">
        <is>
          <t>SÖDERMANLANDS LÄN</t>
        </is>
      </c>
      <c r="E511" t="inlineStr">
        <is>
          <t>FLEN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10745-2022</t>
        </is>
      </c>
      <c r="B512" s="1" t="n">
        <v>44624</v>
      </c>
      <c r="C512" s="1" t="n">
        <v>45785</v>
      </c>
      <c r="D512" t="inlineStr">
        <is>
          <t>SÖDERMANLANDS LÄN</t>
        </is>
      </c>
      <c r="E512" t="inlineStr">
        <is>
          <t>FLEN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12172-2022</t>
        </is>
      </c>
      <c r="B513" s="1" t="n">
        <v>44636</v>
      </c>
      <c r="C513" s="1" t="n">
        <v>45785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12116-2022</t>
        </is>
      </c>
      <c r="B514" s="1" t="n">
        <v>44636</v>
      </c>
      <c r="C514" s="1" t="n">
        <v>45785</v>
      </c>
      <c r="D514" t="inlineStr">
        <is>
          <t>SÖDERMANLANDS LÄN</t>
        </is>
      </c>
      <c r="E514" t="inlineStr">
        <is>
          <t>FLEN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12171-2022</t>
        </is>
      </c>
      <c r="B515" s="1" t="n">
        <v>44636</v>
      </c>
      <c r="C515" s="1" t="n">
        <v>45785</v>
      </c>
      <c r="D515" t="inlineStr">
        <is>
          <t>SÖDERMANLANDS LÄN</t>
        </is>
      </c>
      <c r="E515" t="inlineStr">
        <is>
          <t>FLEN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12174-2022</t>
        </is>
      </c>
      <c r="B516" s="1" t="n">
        <v>44636</v>
      </c>
      <c r="C516" s="1" t="n">
        <v>45785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12303-2022</t>
        </is>
      </c>
      <c r="B517" s="1" t="n">
        <v>44637</v>
      </c>
      <c r="C517" s="1" t="n">
        <v>45785</v>
      </c>
      <c r="D517" t="inlineStr">
        <is>
          <t>SÖDERMANLANDS LÄN</t>
        </is>
      </c>
      <c r="E517" t="inlineStr">
        <is>
          <t>FLEN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12608-2022</t>
        </is>
      </c>
      <c r="B518" s="1" t="n">
        <v>44640</v>
      </c>
      <c r="C518" s="1" t="n">
        <v>45785</v>
      </c>
      <c r="D518" t="inlineStr">
        <is>
          <t>SÖDERMANLANDS LÄN</t>
        </is>
      </c>
      <c r="E518" t="inlineStr">
        <is>
          <t>FLEN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13544-2022</t>
        </is>
      </c>
      <c r="B519" s="1" t="n">
        <v>44643</v>
      </c>
      <c r="C519" s="1" t="n">
        <v>45785</v>
      </c>
      <c r="D519" t="inlineStr">
        <is>
          <t>SÖDERMANLANDS LÄN</t>
        </is>
      </c>
      <c r="E519" t="inlineStr">
        <is>
          <t>FLEN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13529-2022</t>
        </is>
      </c>
      <c r="B520" s="1" t="n">
        <v>44643</v>
      </c>
      <c r="C520" s="1" t="n">
        <v>45785</v>
      </c>
      <c r="D520" t="inlineStr">
        <is>
          <t>SÖDERMANLANDS LÄN</t>
        </is>
      </c>
      <c r="E520" t="inlineStr">
        <is>
          <t>FLEN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13533-2022</t>
        </is>
      </c>
      <c r="B521" s="1" t="n">
        <v>44643</v>
      </c>
      <c r="C521" s="1" t="n">
        <v>45785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13587-2022</t>
        </is>
      </c>
      <c r="B522" s="1" t="n">
        <v>44648</v>
      </c>
      <c r="C522" s="1" t="n">
        <v>45785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16163-2022</t>
        </is>
      </c>
      <c r="B523" s="1" t="n">
        <v>44667</v>
      </c>
      <c r="C523" s="1" t="n">
        <v>45785</v>
      </c>
      <c r="D523" t="inlineStr">
        <is>
          <t>SÖDERMANLANDS LÄN</t>
        </is>
      </c>
      <c r="E523" t="inlineStr">
        <is>
          <t>FLEN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16396-2022</t>
        </is>
      </c>
      <c r="B524" s="1" t="n">
        <v>44671</v>
      </c>
      <c r="C524" s="1" t="n">
        <v>45785</v>
      </c>
      <c r="D524" t="inlineStr">
        <is>
          <t>SÖDERMANLANDS LÄN</t>
        </is>
      </c>
      <c r="E524" t="inlineStr">
        <is>
          <t>FLEN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16382-2022</t>
        </is>
      </c>
      <c r="B525" s="1" t="n">
        <v>44671</v>
      </c>
      <c r="C525" s="1" t="n">
        <v>45785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16937-2022</t>
        </is>
      </c>
      <c r="B526" s="1" t="n">
        <v>44676</v>
      </c>
      <c r="C526" s="1" t="n">
        <v>45785</v>
      </c>
      <c r="D526" t="inlineStr">
        <is>
          <t>SÖDERMANLANDS LÄN</t>
        </is>
      </c>
      <c r="E526" t="inlineStr">
        <is>
          <t>FLEN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17662-2022</t>
        </is>
      </c>
      <c r="B527" s="1" t="n">
        <v>44680</v>
      </c>
      <c r="C527" s="1" t="n">
        <v>45785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19994-2022</t>
        </is>
      </c>
      <c r="B528" s="1" t="n">
        <v>44697</v>
      </c>
      <c r="C528" s="1" t="n">
        <v>45785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20013-2022</t>
        </is>
      </c>
      <c r="B529" s="1" t="n">
        <v>44697</v>
      </c>
      <c r="C529" s="1" t="n">
        <v>45785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20791-2022</t>
        </is>
      </c>
      <c r="B530" s="1" t="n">
        <v>44701</v>
      </c>
      <c r="C530" s="1" t="n">
        <v>45785</v>
      </c>
      <c r="D530" t="inlineStr">
        <is>
          <t>SÖDERMANLANDS LÄN</t>
        </is>
      </c>
      <c r="E530" t="inlineStr">
        <is>
          <t>FLEN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21218-2022</t>
        </is>
      </c>
      <c r="B531" s="1" t="n">
        <v>44704</v>
      </c>
      <c r="C531" s="1" t="n">
        <v>45785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21351-2022</t>
        </is>
      </c>
      <c r="B532" s="1" t="n">
        <v>44705</v>
      </c>
      <c r="C532" s="1" t="n">
        <v>45785</v>
      </c>
      <c r="D532" t="inlineStr">
        <is>
          <t>SÖDERMANLANDS LÄN</t>
        </is>
      </c>
      <c r="E532" t="inlineStr">
        <is>
          <t>FLEN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22881-2022</t>
        </is>
      </c>
      <c r="B533" s="1" t="n">
        <v>44715</v>
      </c>
      <c r="C533" s="1" t="n">
        <v>45785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22883-2022</t>
        </is>
      </c>
      <c r="B534" s="1" t="n">
        <v>44715</v>
      </c>
      <c r="C534" s="1" t="n">
        <v>45785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23103-2022</t>
        </is>
      </c>
      <c r="B535" s="1" t="n">
        <v>44719</v>
      </c>
      <c r="C535" s="1" t="n">
        <v>45785</v>
      </c>
      <c r="D535" t="inlineStr">
        <is>
          <t>SÖDERMANLANDS LÄN</t>
        </is>
      </c>
      <c r="E535" t="inlineStr">
        <is>
          <t>FLEN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HYPERLINK("https://klasma.github.io/Logging_0482/knärot/A 23103-2022 karta knärot.png", "A 23103-2022")</f>
        <v/>
      </c>
      <c r="V535">
        <f>HYPERLINK("https://klasma.github.io/Logging_0482/klagomål/A 23103-2022 FSC-klagomål.docx", "A 23103-2022")</f>
        <v/>
      </c>
      <c r="W535">
        <f>HYPERLINK("https://klasma.github.io/Logging_0482/klagomålsmail/A 23103-2022 FSC-klagomål mail.docx", "A 23103-2022")</f>
        <v/>
      </c>
      <c r="X535">
        <f>HYPERLINK("https://klasma.github.io/Logging_0482/tillsyn/A 23103-2022 tillsynsbegäran.docx", "A 23103-2022")</f>
        <v/>
      </c>
      <c r="Y535">
        <f>HYPERLINK("https://klasma.github.io/Logging_0482/tillsynsmail/A 23103-2022 tillsynsbegäran mail.docx", "A 23103-2022")</f>
        <v/>
      </c>
    </row>
    <row r="536" ht="15" customHeight="1">
      <c r="A536" t="inlineStr">
        <is>
          <t>A 23294-2022</t>
        </is>
      </c>
      <c r="B536" s="1" t="n">
        <v>44720</v>
      </c>
      <c r="C536" s="1" t="n">
        <v>45785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23835-2022</t>
        </is>
      </c>
      <c r="B537" s="1" t="n">
        <v>44722</v>
      </c>
      <c r="C537" s="1" t="n">
        <v>45785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23859-2022</t>
        </is>
      </c>
      <c r="B538" s="1" t="n">
        <v>44722</v>
      </c>
      <c r="C538" s="1" t="n">
        <v>45785</v>
      </c>
      <c r="D538" t="inlineStr">
        <is>
          <t>SÖDERMANLANDS LÄN</t>
        </is>
      </c>
      <c r="E538" t="inlineStr">
        <is>
          <t>FLEN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23960-2022</t>
        </is>
      </c>
      <c r="B539" s="1" t="n">
        <v>44722</v>
      </c>
      <c r="C539" s="1" t="n">
        <v>45785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24037-2022</t>
        </is>
      </c>
      <c r="B540" s="1" t="n">
        <v>44724</v>
      </c>
      <c r="C540" s="1" t="n">
        <v>45785</v>
      </c>
      <c r="D540" t="inlineStr">
        <is>
          <t>SÖDERMANLANDS LÄN</t>
        </is>
      </c>
      <c r="E540" t="inlineStr">
        <is>
          <t>FLEN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24212-2022</t>
        </is>
      </c>
      <c r="B541" s="1" t="n">
        <v>44725</v>
      </c>
      <c r="C541" s="1" t="n">
        <v>45785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25823-2022</t>
        </is>
      </c>
      <c r="B542" s="1" t="n">
        <v>44733</v>
      </c>
      <c r="C542" s="1" t="n">
        <v>45785</v>
      </c>
      <c r="D542" t="inlineStr">
        <is>
          <t>SÖDERMANLANDS LÄN</t>
        </is>
      </c>
      <c r="E542" t="inlineStr">
        <is>
          <t>FLEN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26513-2022</t>
        </is>
      </c>
      <c r="B543" s="1" t="n">
        <v>44739</v>
      </c>
      <c r="C543" s="1" t="n">
        <v>45785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26663-2022</t>
        </is>
      </c>
      <c r="B544" s="1" t="n">
        <v>44739</v>
      </c>
      <c r="C544" s="1" t="n">
        <v>45785</v>
      </c>
      <c r="D544" t="inlineStr">
        <is>
          <t>SÖDERMANLANDS LÄN</t>
        </is>
      </c>
      <c r="E544" t="inlineStr">
        <is>
          <t>FLEN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27146-2022</t>
        </is>
      </c>
      <c r="B545" s="1" t="n">
        <v>44741</v>
      </c>
      <c r="C545" s="1" t="n">
        <v>45785</v>
      </c>
      <c r="D545" t="inlineStr">
        <is>
          <t>SÖDERMANLANDS LÄN</t>
        </is>
      </c>
      <c r="E545" t="inlineStr">
        <is>
          <t>FLEN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27512-2022</t>
        </is>
      </c>
      <c r="B546" s="1" t="n">
        <v>44742</v>
      </c>
      <c r="C546" s="1" t="n">
        <v>45785</v>
      </c>
      <c r="D546" t="inlineStr">
        <is>
          <t>SÖDERMANLANDS LÄN</t>
        </is>
      </c>
      <c r="E546" t="inlineStr">
        <is>
          <t>FLEN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27992-2022</t>
        </is>
      </c>
      <c r="B547" s="1" t="n">
        <v>44745</v>
      </c>
      <c r="C547" s="1" t="n">
        <v>45785</v>
      </c>
      <c r="D547" t="inlineStr">
        <is>
          <t>SÖDERMANLANDS LÄN</t>
        </is>
      </c>
      <c r="E547" t="inlineStr">
        <is>
          <t>FLEN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27991-2022</t>
        </is>
      </c>
      <c r="B548" s="1" t="n">
        <v>44745</v>
      </c>
      <c r="C548" s="1" t="n">
        <v>45785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28153-2022</t>
        </is>
      </c>
      <c r="B549" s="1" t="n">
        <v>44746</v>
      </c>
      <c r="C549" s="1" t="n">
        <v>45785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29367-2022</t>
        </is>
      </c>
      <c r="B550" s="1" t="n">
        <v>44752</v>
      </c>
      <c r="C550" s="1" t="n">
        <v>45785</v>
      </c>
      <c r="D550" t="inlineStr">
        <is>
          <t>SÖDERMANLANDS LÄN</t>
        </is>
      </c>
      <c r="E550" t="inlineStr">
        <is>
          <t>FLEN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29378-2022</t>
        </is>
      </c>
      <c r="B551" s="1" t="n">
        <v>44752</v>
      </c>
      <c r="C551" s="1" t="n">
        <v>45785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29384-2022</t>
        </is>
      </c>
      <c r="B552" s="1" t="n">
        <v>44752</v>
      </c>
      <c r="C552" s="1" t="n">
        <v>45785</v>
      </c>
      <c r="D552" t="inlineStr">
        <is>
          <t>SÖDERMANLANDS LÄN</t>
        </is>
      </c>
      <c r="E552" t="inlineStr">
        <is>
          <t>FLEN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29380-2022</t>
        </is>
      </c>
      <c r="B553" s="1" t="n">
        <v>44752</v>
      </c>
      <c r="C553" s="1" t="n">
        <v>45785</v>
      </c>
      <c r="D553" t="inlineStr">
        <is>
          <t>SÖDERMANLANDS LÄN</t>
        </is>
      </c>
      <c r="E553" t="inlineStr">
        <is>
          <t>FLEN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29389-2022</t>
        </is>
      </c>
      <c r="B554" s="1" t="n">
        <v>44753</v>
      </c>
      <c r="C554" s="1" t="n">
        <v>45785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30423-2022</t>
        </is>
      </c>
      <c r="B555" s="1" t="n">
        <v>44761</v>
      </c>
      <c r="C555" s="1" t="n">
        <v>45785</v>
      </c>
      <c r="D555" t="inlineStr">
        <is>
          <t>SÖDERMANLANDS LÄN</t>
        </is>
      </c>
      <c r="E555" t="inlineStr">
        <is>
          <t>FLEN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31079-2022</t>
        </is>
      </c>
      <c r="B556" s="1" t="n">
        <v>44769</v>
      </c>
      <c r="C556" s="1" t="n">
        <v>45785</v>
      </c>
      <c r="D556" t="inlineStr">
        <is>
          <t>SÖDERMANLANDS LÄN</t>
        </is>
      </c>
      <c r="E556" t="inlineStr">
        <is>
          <t>FLEN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31077-2022</t>
        </is>
      </c>
      <c r="B557" s="1" t="n">
        <v>44769</v>
      </c>
      <c r="C557" s="1" t="n">
        <v>45785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31083-2022</t>
        </is>
      </c>
      <c r="B558" s="1" t="n">
        <v>44769</v>
      </c>
      <c r="C558" s="1" t="n">
        <v>45785</v>
      </c>
      <c r="D558" t="inlineStr">
        <is>
          <t>SÖDERMANLANDS LÄN</t>
        </is>
      </c>
      <c r="E558" t="inlineStr">
        <is>
          <t>FLEN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31096-2022</t>
        </is>
      </c>
      <c r="B559" s="1" t="n">
        <v>44769</v>
      </c>
      <c r="C559" s="1" t="n">
        <v>45785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31068-2022</t>
        </is>
      </c>
      <c r="B560" s="1" t="n">
        <v>44769</v>
      </c>
      <c r="C560" s="1" t="n">
        <v>45785</v>
      </c>
      <c r="D560" t="inlineStr">
        <is>
          <t>SÖDERMANLANDS LÄN</t>
        </is>
      </c>
      <c r="E560" t="inlineStr">
        <is>
          <t>FLEN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31175-2022</t>
        </is>
      </c>
      <c r="B561" s="1" t="n">
        <v>44770</v>
      </c>
      <c r="C561" s="1" t="n">
        <v>45785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31427-2022</t>
        </is>
      </c>
      <c r="B562" s="1" t="n">
        <v>44774</v>
      </c>
      <c r="C562" s="1" t="n">
        <v>45785</v>
      </c>
      <c r="D562" t="inlineStr">
        <is>
          <t>SÖDERMANLANDS LÄN</t>
        </is>
      </c>
      <c r="E562" t="inlineStr">
        <is>
          <t>FLEN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32023-2022</t>
        </is>
      </c>
      <c r="B563" s="1" t="n">
        <v>44778</v>
      </c>
      <c r="C563" s="1" t="n">
        <v>45785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32098-2022</t>
        </is>
      </c>
      <c r="B564" s="1" t="n">
        <v>44778</v>
      </c>
      <c r="C564" s="1" t="n">
        <v>45785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32432-2022</t>
        </is>
      </c>
      <c r="B565" s="1" t="n">
        <v>44782</v>
      </c>
      <c r="C565" s="1" t="n">
        <v>45785</v>
      </c>
      <c r="D565" t="inlineStr">
        <is>
          <t>SÖDERMANLANDS LÄN</t>
        </is>
      </c>
      <c r="E565" t="inlineStr">
        <is>
          <t>FLEN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33101-2022</t>
        </is>
      </c>
      <c r="B566" s="1" t="n">
        <v>44785</v>
      </c>
      <c r="C566" s="1" t="n">
        <v>45785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33024-2022</t>
        </is>
      </c>
      <c r="B567" s="1" t="n">
        <v>44785</v>
      </c>
      <c r="C567" s="1" t="n">
        <v>45785</v>
      </c>
      <c r="D567" t="inlineStr">
        <is>
          <t>SÖDERMANLANDS LÄN</t>
        </is>
      </c>
      <c r="E567" t="inlineStr">
        <is>
          <t>FLEN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33107-2022</t>
        </is>
      </c>
      <c r="B568" s="1" t="n">
        <v>44785</v>
      </c>
      <c r="C568" s="1" t="n">
        <v>45785</v>
      </c>
      <c r="D568" t="inlineStr">
        <is>
          <t>SÖDERMANLANDS LÄN</t>
        </is>
      </c>
      <c r="E568" t="inlineStr">
        <is>
          <t>FLEN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33103-2022</t>
        </is>
      </c>
      <c r="B569" s="1" t="n">
        <v>44785</v>
      </c>
      <c r="C569" s="1" t="n">
        <v>45785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33110-2022</t>
        </is>
      </c>
      <c r="B570" s="1" t="n">
        <v>44785</v>
      </c>
      <c r="C570" s="1" t="n">
        <v>45785</v>
      </c>
      <c r="D570" t="inlineStr">
        <is>
          <t>SÖDERMANLANDS LÄN</t>
        </is>
      </c>
      <c r="E570" t="inlineStr">
        <is>
          <t>FLEN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34095-2022</t>
        </is>
      </c>
      <c r="B571" s="1" t="n">
        <v>44791</v>
      </c>
      <c r="C571" s="1" t="n">
        <v>45785</v>
      </c>
      <c r="D571" t="inlineStr">
        <is>
          <t>SÖDERMANLANDS LÄN</t>
        </is>
      </c>
      <c r="E571" t="inlineStr">
        <is>
          <t>FLEN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34598-2022</t>
        </is>
      </c>
      <c r="B572" s="1" t="n">
        <v>44795</v>
      </c>
      <c r="C572" s="1" t="n">
        <v>45785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34817-2022</t>
        </is>
      </c>
      <c r="B573" s="1" t="n">
        <v>44796</v>
      </c>
      <c r="C573" s="1" t="n">
        <v>45785</v>
      </c>
      <c r="D573" t="inlineStr">
        <is>
          <t>SÖDERMANLANDS LÄN</t>
        </is>
      </c>
      <c r="E573" t="inlineStr">
        <is>
          <t>FLEN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36202-2022</t>
        </is>
      </c>
      <c r="B574" s="1" t="n">
        <v>44803</v>
      </c>
      <c r="C574" s="1" t="n">
        <v>45785</v>
      </c>
      <c r="D574" t="inlineStr">
        <is>
          <t>SÖDERMANLANDS LÄN</t>
        </is>
      </c>
      <c r="E574" t="inlineStr">
        <is>
          <t>FLEN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37257-2022</t>
        </is>
      </c>
      <c r="B575" s="1" t="n">
        <v>44807</v>
      </c>
      <c r="C575" s="1" t="n">
        <v>45785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37256-2022</t>
        </is>
      </c>
      <c r="B576" s="1" t="n">
        <v>44807</v>
      </c>
      <c r="C576" s="1" t="n">
        <v>45785</v>
      </c>
      <c r="D576" t="inlineStr">
        <is>
          <t>SÖDERMANLANDS LÄN</t>
        </is>
      </c>
      <c r="E576" t="inlineStr">
        <is>
          <t>FLEN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38832-2022</t>
        </is>
      </c>
      <c r="B577" s="1" t="n">
        <v>44814</v>
      </c>
      <c r="C577" s="1" t="n">
        <v>45785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39787-2022</t>
        </is>
      </c>
      <c r="B578" s="1" t="n">
        <v>44817</v>
      </c>
      <c r="C578" s="1" t="n">
        <v>45785</v>
      </c>
      <c r="D578" t="inlineStr">
        <is>
          <t>SÖDERMANLANDS LÄN</t>
        </is>
      </c>
      <c r="E578" t="inlineStr">
        <is>
          <t>FLEN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39673-2022</t>
        </is>
      </c>
      <c r="B579" s="1" t="n">
        <v>44818</v>
      </c>
      <c r="C579" s="1" t="n">
        <v>45785</v>
      </c>
      <c r="D579" t="inlineStr">
        <is>
          <t>SÖDERMANLANDS LÄN</t>
        </is>
      </c>
      <c r="E579" t="inlineStr">
        <is>
          <t>FLEN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39671-2022</t>
        </is>
      </c>
      <c r="B580" s="1" t="n">
        <v>44818</v>
      </c>
      <c r="C580" s="1" t="n">
        <v>45785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40198-2022</t>
        </is>
      </c>
      <c r="B581" s="1" t="n">
        <v>44818</v>
      </c>
      <c r="C581" s="1" t="n">
        <v>45785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39891-2022</t>
        </is>
      </c>
      <c r="B582" s="1" t="n">
        <v>44819</v>
      </c>
      <c r="C582" s="1" t="n">
        <v>45785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40420-2022</t>
        </is>
      </c>
      <c r="B583" s="1" t="n">
        <v>44823</v>
      </c>
      <c r="C583" s="1" t="n">
        <v>45785</v>
      </c>
      <c r="D583" t="inlineStr">
        <is>
          <t>SÖDERMANLANDS LÄN</t>
        </is>
      </c>
      <c r="E583" t="inlineStr">
        <is>
          <t>FLEN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40680-2022</t>
        </is>
      </c>
      <c r="B584" s="1" t="n">
        <v>44824</v>
      </c>
      <c r="C584" s="1" t="n">
        <v>45785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41435-2022</t>
        </is>
      </c>
      <c r="B585" s="1" t="n">
        <v>44826</v>
      </c>
      <c r="C585" s="1" t="n">
        <v>45785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42177-2022</t>
        </is>
      </c>
      <c r="B586" s="1" t="n">
        <v>44830</v>
      </c>
      <c r="C586" s="1" t="n">
        <v>45785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43267-2022</t>
        </is>
      </c>
      <c r="B587" s="1" t="n">
        <v>44834</v>
      </c>
      <c r="C587" s="1" t="n">
        <v>45785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43930-2022</t>
        </is>
      </c>
      <c r="B588" s="1" t="n">
        <v>44837</v>
      </c>
      <c r="C588" s="1" t="n">
        <v>45785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44006-2022</t>
        </is>
      </c>
      <c r="B589" s="1" t="n">
        <v>44838</v>
      </c>
      <c r="C589" s="1" t="n">
        <v>45785</v>
      </c>
      <c r="D589" t="inlineStr">
        <is>
          <t>SÖDERMANLANDS LÄN</t>
        </is>
      </c>
      <c r="E589" t="inlineStr">
        <is>
          <t>FLEN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44592-2022</t>
        </is>
      </c>
      <c r="B590" s="1" t="n">
        <v>44838</v>
      </c>
      <c r="C590" s="1" t="n">
        <v>45785</v>
      </c>
      <c r="D590" t="inlineStr">
        <is>
          <t>SÖDERMANLANDS LÄN</t>
        </is>
      </c>
      <c r="E590" t="inlineStr">
        <is>
          <t>FLEN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44552-2022</t>
        </is>
      </c>
      <c r="B591" s="1" t="n">
        <v>44838</v>
      </c>
      <c r="C591" s="1" t="n">
        <v>45785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44172-2022</t>
        </is>
      </c>
      <c r="B592" s="1" t="n">
        <v>44839</v>
      </c>
      <c r="C592" s="1" t="n">
        <v>45785</v>
      </c>
      <c r="D592" t="inlineStr">
        <is>
          <t>SÖDERMANLANDS LÄN</t>
        </is>
      </c>
      <c r="E592" t="inlineStr">
        <is>
          <t>FLEN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44161-2022</t>
        </is>
      </c>
      <c r="B593" s="1" t="n">
        <v>44839</v>
      </c>
      <c r="C593" s="1" t="n">
        <v>45785</v>
      </c>
      <c r="D593" t="inlineStr">
        <is>
          <t>SÖDERMANLANDS LÄN</t>
        </is>
      </c>
      <c r="E593" t="inlineStr">
        <is>
          <t>FLEN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45594-2022</t>
        </is>
      </c>
      <c r="B594" s="1" t="n">
        <v>44841</v>
      </c>
      <c r="C594" s="1" t="n">
        <v>45785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46414-2022</t>
        </is>
      </c>
      <c r="B595" s="1" t="n">
        <v>44846</v>
      </c>
      <c r="C595" s="1" t="n">
        <v>45785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46401-2022</t>
        </is>
      </c>
      <c r="B596" s="1" t="n">
        <v>44846</v>
      </c>
      <c r="C596" s="1" t="n">
        <v>45785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46567-2022</t>
        </is>
      </c>
      <c r="B597" s="1" t="n">
        <v>44848</v>
      </c>
      <c r="C597" s="1" t="n">
        <v>45785</v>
      </c>
      <c r="D597" t="inlineStr">
        <is>
          <t>SÖDERMANLANDS LÄN</t>
        </is>
      </c>
      <c r="E597" t="inlineStr">
        <is>
          <t>FLEN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47187-2022</t>
        </is>
      </c>
      <c r="B598" s="1" t="n">
        <v>44848</v>
      </c>
      <c r="C598" s="1" t="n">
        <v>45785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47182-2022</t>
        </is>
      </c>
      <c r="B599" s="1" t="n">
        <v>44851</v>
      </c>
      <c r="C599" s="1" t="n">
        <v>45785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47055-2022</t>
        </is>
      </c>
      <c r="B600" s="1" t="n">
        <v>44852</v>
      </c>
      <c r="C600" s="1" t="n">
        <v>45785</v>
      </c>
      <c r="D600" t="inlineStr">
        <is>
          <t>SÖDERMANLANDS LÄN</t>
        </is>
      </c>
      <c r="E600" t="inlineStr">
        <is>
          <t>FLEN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47754-2022</t>
        </is>
      </c>
      <c r="B601" s="1" t="n">
        <v>44854</v>
      </c>
      <c r="C601" s="1" t="n">
        <v>45785</v>
      </c>
      <c r="D601" t="inlineStr">
        <is>
          <t>SÖDERMANLANDS LÄN</t>
        </is>
      </c>
      <c r="E601" t="inlineStr">
        <is>
          <t>FLEN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47759-2022</t>
        </is>
      </c>
      <c r="B602" s="1" t="n">
        <v>44854</v>
      </c>
      <c r="C602" s="1" t="n">
        <v>45785</v>
      </c>
      <c r="D602" t="inlineStr">
        <is>
          <t>SÖDERMANLANDS LÄN</t>
        </is>
      </c>
      <c r="E602" t="inlineStr">
        <is>
          <t>FLEN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47758-2022</t>
        </is>
      </c>
      <c r="B603" s="1" t="n">
        <v>44854</v>
      </c>
      <c r="C603" s="1" t="n">
        <v>45785</v>
      </c>
      <c r="D603" t="inlineStr">
        <is>
          <t>SÖDERMANLANDS LÄN</t>
        </is>
      </c>
      <c r="E603" t="inlineStr">
        <is>
          <t>FLEN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48774-2022</t>
        </is>
      </c>
      <c r="B604" s="1" t="n">
        <v>44855</v>
      </c>
      <c r="C604" s="1" t="n">
        <v>45785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48749-2022</t>
        </is>
      </c>
      <c r="B605" s="1" t="n">
        <v>44855</v>
      </c>
      <c r="C605" s="1" t="n">
        <v>45785</v>
      </c>
      <c r="D605" t="inlineStr">
        <is>
          <t>SÖDERMANLANDS LÄN</t>
        </is>
      </c>
      <c r="E605" t="inlineStr">
        <is>
          <t>FLEN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48791-2022</t>
        </is>
      </c>
      <c r="B606" s="1" t="n">
        <v>44855</v>
      </c>
      <c r="C606" s="1" t="n">
        <v>45785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48802-2022</t>
        </is>
      </c>
      <c r="B607" s="1" t="n">
        <v>44855</v>
      </c>
      <c r="C607" s="1" t="n">
        <v>45785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48785-2022</t>
        </is>
      </c>
      <c r="B608" s="1" t="n">
        <v>44859</v>
      </c>
      <c r="C608" s="1" t="n">
        <v>45785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48723-2022</t>
        </is>
      </c>
      <c r="B609" s="1" t="n">
        <v>44859</v>
      </c>
      <c r="C609" s="1" t="n">
        <v>45785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48826-2022</t>
        </is>
      </c>
      <c r="B610" s="1" t="n">
        <v>44859</v>
      </c>
      <c r="C610" s="1" t="n">
        <v>45785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49828-2022</t>
        </is>
      </c>
      <c r="B611" s="1" t="n">
        <v>44862</v>
      </c>
      <c r="C611" s="1" t="n">
        <v>45785</v>
      </c>
      <c r="D611" t="inlineStr">
        <is>
          <t>SÖDERMANLANDS LÄN</t>
        </is>
      </c>
      <c r="E611" t="inlineStr">
        <is>
          <t>FLEN</t>
        </is>
      </c>
      <c r="F611" t="inlineStr">
        <is>
          <t>Kyrkan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50731-2022</t>
        </is>
      </c>
      <c r="B612" s="1" t="n">
        <v>44862</v>
      </c>
      <c r="C612" s="1" t="n">
        <v>45785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50898-2022</t>
        </is>
      </c>
      <c r="B613" s="1" t="n">
        <v>44864</v>
      </c>
      <c r="C613" s="1" t="n">
        <v>45785</v>
      </c>
      <c r="D613" t="inlineStr">
        <is>
          <t>SÖDERMANLANDS LÄN</t>
        </is>
      </c>
      <c r="E613" t="inlineStr">
        <is>
          <t>FLEN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49939-2022</t>
        </is>
      </c>
      <c r="B614" s="1" t="n">
        <v>44865</v>
      </c>
      <c r="C614" s="1" t="n">
        <v>45785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51096-2022</t>
        </is>
      </c>
      <c r="B615" s="1" t="n">
        <v>44868</v>
      </c>
      <c r="C615" s="1" t="n">
        <v>45785</v>
      </c>
      <c r="D615" t="inlineStr">
        <is>
          <t>SÖDERMANLANDS LÄN</t>
        </is>
      </c>
      <c r="E615" t="inlineStr">
        <is>
          <t>FLEN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51327-2022</t>
        </is>
      </c>
      <c r="B616" s="1" t="n">
        <v>44868</v>
      </c>
      <c r="C616" s="1" t="n">
        <v>45785</v>
      </c>
      <c r="D616" t="inlineStr">
        <is>
          <t>SÖDERMANLANDS LÄN</t>
        </is>
      </c>
      <c r="E616" t="inlineStr">
        <is>
          <t>FLEN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51925-2022</t>
        </is>
      </c>
      <c r="B617" s="1" t="n">
        <v>44868</v>
      </c>
      <c r="C617" s="1" t="n">
        <v>45785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52257-2022</t>
        </is>
      </c>
      <c r="B618" s="1" t="n">
        <v>44869</v>
      </c>
      <c r="C618" s="1" t="n">
        <v>45785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51872-2022</t>
        </is>
      </c>
      <c r="B619" s="1" t="n">
        <v>44872</v>
      </c>
      <c r="C619" s="1" t="n">
        <v>45785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51881-2022</t>
        </is>
      </c>
      <c r="B620" s="1" t="n">
        <v>44872</v>
      </c>
      <c r="C620" s="1" t="n">
        <v>45785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52050-2022</t>
        </is>
      </c>
      <c r="B621" s="1" t="n">
        <v>44873</v>
      </c>
      <c r="C621" s="1" t="n">
        <v>45785</v>
      </c>
      <c r="D621" t="inlineStr">
        <is>
          <t>SÖDERMANLANDS LÄN</t>
        </is>
      </c>
      <c r="E621" t="inlineStr">
        <is>
          <t>FLEN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53371-2022</t>
        </is>
      </c>
      <c r="B622" s="1" t="n">
        <v>44879</v>
      </c>
      <c r="C622" s="1" t="n">
        <v>45785</v>
      </c>
      <c r="D622" t="inlineStr">
        <is>
          <t>SÖDERMANLANDS LÄN</t>
        </is>
      </c>
      <c r="E622" t="inlineStr">
        <is>
          <t>FLEN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54737-2022</t>
        </is>
      </c>
      <c r="B623" s="1" t="n">
        <v>44881</v>
      </c>
      <c r="C623" s="1" t="n">
        <v>45785</v>
      </c>
      <c r="D623" t="inlineStr">
        <is>
          <t>SÖDERMANLANDS LÄN</t>
        </is>
      </c>
      <c r="E623" t="inlineStr">
        <is>
          <t>FLEN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54736-2022</t>
        </is>
      </c>
      <c r="B624" s="1" t="n">
        <v>44883</v>
      </c>
      <c r="C624" s="1" t="n">
        <v>45785</v>
      </c>
      <c r="D624" t="inlineStr">
        <is>
          <t>SÖDERMANLANDS LÄN</t>
        </is>
      </c>
      <c r="E624" t="inlineStr">
        <is>
          <t>FLEN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54951-2022</t>
        </is>
      </c>
      <c r="B625" s="1" t="n">
        <v>44886</v>
      </c>
      <c r="C625" s="1" t="n">
        <v>45785</v>
      </c>
      <c r="D625" t="inlineStr">
        <is>
          <t>SÖDERMANLANDS LÄN</t>
        </is>
      </c>
      <c r="E625" t="inlineStr">
        <is>
          <t>FLEN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55081-2022</t>
        </is>
      </c>
      <c r="B626" s="1" t="n">
        <v>44886</v>
      </c>
      <c r="C626" s="1" t="n">
        <v>45785</v>
      </c>
      <c r="D626" t="inlineStr">
        <is>
          <t>SÖDERMANLANDS LÄN</t>
        </is>
      </c>
      <c r="E626" t="inlineStr">
        <is>
          <t>FLEN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55174-2022</t>
        </is>
      </c>
      <c r="B627" s="1" t="n">
        <v>44886</v>
      </c>
      <c r="C627" s="1" t="n">
        <v>45785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55171-2022</t>
        </is>
      </c>
      <c r="B628" s="1" t="n">
        <v>44886</v>
      </c>
      <c r="C628" s="1" t="n">
        <v>45785</v>
      </c>
      <c r="D628" t="inlineStr">
        <is>
          <t>SÖDERMANLANDS LÄN</t>
        </is>
      </c>
      <c r="E628" t="inlineStr">
        <is>
          <t>FLEN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55177-2022</t>
        </is>
      </c>
      <c r="B629" s="1" t="n">
        <v>44886</v>
      </c>
      <c r="C629" s="1" t="n">
        <v>45785</v>
      </c>
      <c r="D629" t="inlineStr">
        <is>
          <t>SÖDERMANLANDS LÄN</t>
        </is>
      </c>
      <c r="E629" t="inlineStr">
        <is>
          <t>FLEN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55445-2022</t>
        </is>
      </c>
      <c r="B630" s="1" t="n">
        <v>44887</v>
      </c>
      <c r="C630" s="1" t="n">
        <v>45785</v>
      </c>
      <c r="D630" t="inlineStr">
        <is>
          <t>SÖDERMANLANDS LÄN</t>
        </is>
      </c>
      <c r="E630" t="inlineStr">
        <is>
          <t>FLEN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56393-2022</t>
        </is>
      </c>
      <c r="B631" s="1" t="n">
        <v>44887</v>
      </c>
      <c r="C631" s="1" t="n">
        <v>45785</v>
      </c>
      <c r="D631" t="inlineStr">
        <is>
          <t>SÖDERMANLANDS LÄN</t>
        </is>
      </c>
      <c r="E631" t="inlineStr">
        <is>
          <t>FLEN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56497-2022</t>
        </is>
      </c>
      <c r="B632" s="1" t="n">
        <v>44887</v>
      </c>
      <c r="C632" s="1" t="n">
        <v>45785</v>
      </c>
      <c r="D632" t="inlineStr">
        <is>
          <t>SÖDERMANLANDS LÄN</t>
        </is>
      </c>
      <c r="E632" t="inlineStr">
        <is>
          <t>FLEN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56577-2022</t>
        </is>
      </c>
      <c r="B633" s="1" t="n">
        <v>44887</v>
      </c>
      <c r="C633" s="1" t="n">
        <v>45785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57032-2022</t>
        </is>
      </c>
      <c r="B634" s="1" t="n">
        <v>44895</v>
      </c>
      <c r="C634" s="1" t="n">
        <v>45785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57031-2022</t>
        </is>
      </c>
      <c r="B635" s="1" t="n">
        <v>44895</v>
      </c>
      <c r="C635" s="1" t="n">
        <v>45785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58692-2022</t>
        </is>
      </c>
      <c r="B636" s="1" t="n">
        <v>44895</v>
      </c>
      <c r="C636" s="1" t="n">
        <v>45785</v>
      </c>
      <c r="D636" t="inlineStr">
        <is>
          <t>SÖDERMANLANDS LÄN</t>
        </is>
      </c>
      <c r="E636" t="inlineStr">
        <is>
          <t>FLEN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58838-2022</t>
        </is>
      </c>
      <c r="B637" s="1" t="n">
        <v>44895</v>
      </c>
      <c r="C637" s="1" t="n">
        <v>45785</v>
      </c>
      <c r="D637" t="inlineStr">
        <is>
          <t>SÖDERMANLANDS LÄN</t>
        </is>
      </c>
      <c r="E637" t="inlineStr">
        <is>
          <t>FLEN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57353-2022</t>
        </is>
      </c>
      <c r="B638" s="1" t="n">
        <v>44896</v>
      </c>
      <c r="C638" s="1" t="n">
        <v>45785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57356-2022</t>
        </is>
      </c>
      <c r="B639" s="1" t="n">
        <v>44896</v>
      </c>
      <c r="C639" s="1" t="n">
        <v>45785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59023-2022</t>
        </is>
      </c>
      <c r="B640" s="1" t="n">
        <v>44897</v>
      </c>
      <c r="C640" s="1" t="n">
        <v>45785</v>
      </c>
      <c r="D640" t="inlineStr">
        <is>
          <t>SÖDERMANLANDS LÄN</t>
        </is>
      </c>
      <c r="E640" t="inlineStr">
        <is>
          <t>FLEN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59258-2022</t>
        </is>
      </c>
      <c r="B641" s="1" t="n">
        <v>44897</v>
      </c>
      <c r="C641" s="1" t="n">
        <v>45785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59247-2022</t>
        </is>
      </c>
      <c r="B642" s="1" t="n">
        <v>44897</v>
      </c>
      <c r="C642" s="1" t="n">
        <v>45785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57863-2022</t>
        </is>
      </c>
      <c r="B643" s="1" t="n">
        <v>44899</v>
      </c>
      <c r="C643" s="1" t="n">
        <v>45785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57862-2022</t>
        </is>
      </c>
      <c r="B644" s="1" t="n">
        <v>44899</v>
      </c>
      <c r="C644" s="1" t="n">
        <v>45785</v>
      </c>
      <c r="D644" t="inlineStr">
        <is>
          <t>SÖDERMANLANDS LÄN</t>
        </is>
      </c>
      <c r="E644" t="inlineStr">
        <is>
          <t>FLEN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59817-2022</t>
        </is>
      </c>
      <c r="B645" s="1" t="n">
        <v>44900</v>
      </c>
      <c r="C645" s="1" t="n">
        <v>45785</v>
      </c>
      <c r="D645" t="inlineStr">
        <is>
          <t>SÖDERMANLANDS LÄN</t>
        </is>
      </c>
      <c r="E645" t="inlineStr">
        <is>
          <t>FLEN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59819-2022</t>
        </is>
      </c>
      <c r="B646" s="1" t="n">
        <v>44900</v>
      </c>
      <c r="C646" s="1" t="n">
        <v>45785</v>
      </c>
      <c r="D646" t="inlineStr">
        <is>
          <t>SÖDERMANLANDS LÄN</t>
        </is>
      </c>
      <c r="E646" t="inlineStr">
        <is>
          <t>FLEN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58507-2022</t>
        </is>
      </c>
      <c r="B647" s="1" t="n">
        <v>44902</v>
      </c>
      <c r="C647" s="1" t="n">
        <v>45785</v>
      </c>
      <c r="D647" t="inlineStr">
        <is>
          <t>SÖDERMANLANDS LÄN</t>
        </is>
      </c>
      <c r="E647" t="inlineStr">
        <is>
          <t>FLEN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60574-2022</t>
        </is>
      </c>
      <c r="B648" s="1" t="n">
        <v>44904</v>
      </c>
      <c r="C648" s="1" t="n">
        <v>45785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59439-2022</t>
        </is>
      </c>
      <c r="B649" s="1" t="n">
        <v>44907</v>
      </c>
      <c r="C649" s="1" t="n">
        <v>45785</v>
      </c>
      <c r="D649" t="inlineStr">
        <is>
          <t>SÖDERMANLANDS LÄN</t>
        </is>
      </c>
      <c r="E649" t="inlineStr">
        <is>
          <t>FLEN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59599-2022</t>
        </is>
      </c>
      <c r="B650" s="1" t="n">
        <v>44907</v>
      </c>
      <c r="C650" s="1" t="n">
        <v>45785</v>
      </c>
      <c r="D650" t="inlineStr">
        <is>
          <t>SÖDERMANLANDS LÄN</t>
        </is>
      </c>
      <c r="E650" t="inlineStr">
        <is>
          <t>FLEN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59607-2022</t>
        </is>
      </c>
      <c r="B651" s="1" t="n">
        <v>44907</v>
      </c>
      <c r="C651" s="1" t="n">
        <v>45785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59776-2022</t>
        </is>
      </c>
      <c r="B652" s="1" t="n">
        <v>44908</v>
      </c>
      <c r="C652" s="1" t="n">
        <v>45785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60034-2022</t>
        </is>
      </c>
      <c r="B653" s="1" t="n">
        <v>44909</v>
      </c>
      <c r="C653" s="1" t="n">
        <v>45785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60058-2022</t>
        </is>
      </c>
      <c r="B654" s="1" t="n">
        <v>44909</v>
      </c>
      <c r="C654" s="1" t="n">
        <v>45785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60048-2022</t>
        </is>
      </c>
      <c r="B655" s="1" t="n">
        <v>44909</v>
      </c>
      <c r="C655" s="1" t="n">
        <v>45785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60150-2022</t>
        </is>
      </c>
      <c r="B656" s="1" t="n">
        <v>44909</v>
      </c>
      <c r="C656" s="1" t="n">
        <v>45785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60609-2022</t>
        </is>
      </c>
      <c r="B657" s="1" t="n">
        <v>44911</v>
      </c>
      <c r="C657" s="1" t="n">
        <v>45785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61633-2022</t>
        </is>
      </c>
      <c r="B658" s="1" t="n">
        <v>44911</v>
      </c>
      <c r="C658" s="1" t="n">
        <v>45785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60937-2022</t>
        </is>
      </c>
      <c r="B659" s="1" t="n">
        <v>44914</v>
      </c>
      <c r="C659" s="1" t="n">
        <v>45785</v>
      </c>
      <c r="D659" t="inlineStr">
        <is>
          <t>SÖDERMANLANDS LÄN</t>
        </is>
      </c>
      <c r="E659" t="inlineStr">
        <is>
          <t>FLEN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61869-2022</t>
        </is>
      </c>
      <c r="B660" s="1" t="n">
        <v>44917</v>
      </c>
      <c r="C660" s="1" t="n">
        <v>45785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780-2023</t>
        </is>
      </c>
      <c r="B661" s="1" t="n">
        <v>44931</v>
      </c>
      <c r="C661" s="1" t="n">
        <v>45785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2391-2023</t>
        </is>
      </c>
      <c r="B662" s="1" t="n">
        <v>44942</v>
      </c>
      <c r="C662" s="1" t="n">
        <v>45785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2757-2023</t>
        </is>
      </c>
      <c r="B663" s="1" t="n">
        <v>44943</v>
      </c>
      <c r="C663" s="1" t="n">
        <v>45785</v>
      </c>
      <c r="D663" t="inlineStr">
        <is>
          <t>SÖDERMANLANDS LÄN</t>
        </is>
      </c>
      <c r="E663" t="inlineStr">
        <is>
          <t>FLEN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2759-2023</t>
        </is>
      </c>
      <c r="B664" s="1" t="n">
        <v>44943</v>
      </c>
      <c r="C664" s="1" t="n">
        <v>45785</v>
      </c>
      <c r="D664" t="inlineStr">
        <is>
          <t>SÖDERMANLANDS LÄN</t>
        </is>
      </c>
      <c r="E664" t="inlineStr">
        <is>
          <t>FLEN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3435-2023</t>
        </is>
      </c>
      <c r="B665" s="1" t="n">
        <v>44949</v>
      </c>
      <c r="C665" s="1" t="n">
        <v>45785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4259-2023</t>
        </is>
      </c>
      <c r="B666" s="1" t="n">
        <v>44953</v>
      </c>
      <c r="C666" s="1" t="n">
        <v>45785</v>
      </c>
      <c r="D666" t="inlineStr">
        <is>
          <t>SÖDERMANLANDS LÄN</t>
        </is>
      </c>
      <c r="E666" t="inlineStr">
        <is>
          <t>FLEN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4736-2023</t>
        </is>
      </c>
      <c r="B667" s="1" t="n">
        <v>44957</v>
      </c>
      <c r="C667" s="1" t="n">
        <v>45785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4742-2023</t>
        </is>
      </c>
      <c r="B668" s="1" t="n">
        <v>44957</v>
      </c>
      <c r="C668" s="1" t="n">
        <v>45785</v>
      </c>
      <c r="D668" t="inlineStr">
        <is>
          <t>SÖDERMANLANDS LÄN</t>
        </is>
      </c>
      <c r="E668" t="inlineStr">
        <is>
          <t>FLEN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4749-2023</t>
        </is>
      </c>
      <c r="B669" s="1" t="n">
        <v>44957</v>
      </c>
      <c r="C669" s="1" t="n">
        <v>45785</v>
      </c>
      <c r="D669" t="inlineStr">
        <is>
          <t>SÖDERMANLANDS LÄN</t>
        </is>
      </c>
      <c r="E669" t="inlineStr">
        <is>
          <t>FLEN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4923-2023</t>
        </is>
      </c>
      <c r="B670" s="1" t="n">
        <v>44958</v>
      </c>
      <c r="C670" s="1" t="n">
        <v>45785</v>
      </c>
      <c r="D670" t="inlineStr">
        <is>
          <t>SÖDERMANLANDS LÄN</t>
        </is>
      </c>
      <c r="E670" t="inlineStr">
        <is>
          <t>FLEN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4899-2023</t>
        </is>
      </c>
      <c r="B671" s="1" t="n">
        <v>44958</v>
      </c>
      <c r="C671" s="1" t="n">
        <v>45785</v>
      </c>
      <c r="D671" t="inlineStr">
        <is>
          <t>SÖDERMANLANDS LÄN</t>
        </is>
      </c>
      <c r="E671" t="inlineStr">
        <is>
          <t>FLEN</t>
        </is>
      </c>
      <c r="F671" t="inlineStr">
        <is>
          <t>Kyrkan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5109-2023</t>
        </is>
      </c>
      <c r="B672" s="1" t="n">
        <v>44958</v>
      </c>
      <c r="C672" s="1" t="n">
        <v>45785</v>
      </c>
      <c r="D672" t="inlineStr">
        <is>
          <t>SÖDERMANLANDS LÄN</t>
        </is>
      </c>
      <c r="E672" t="inlineStr">
        <is>
          <t>FLEN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5582-2023</t>
        </is>
      </c>
      <c r="B673" s="1" t="n">
        <v>44960</v>
      </c>
      <c r="C673" s="1" t="n">
        <v>45785</v>
      </c>
      <c r="D673" t="inlineStr">
        <is>
          <t>SÖDERMANLANDS LÄN</t>
        </is>
      </c>
      <c r="E673" t="inlineStr">
        <is>
          <t>FLEN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7399-2023</t>
        </is>
      </c>
      <c r="B674" s="1" t="n">
        <v>44966</v>
      </c>
      <c r="C674" s="1" t="n">
        <v>45785</v>
      </c>
      <c r="D674" t="inlineStr">
        <is>
          <t>SÖDERMANLANDS LÄN</t>
        </is>
      </c>
      <c r="E674" t="inlineStr">
        <is>
          <t>FLEN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7163-2023</t>
        </is>
      </c>
      <c r="B675" s="1" t="n">
        <v>44970</v>
      </c>
      <c r="C675" s="1" t="n">
        <v>45785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7194-2023</t>
        </is>
      </c>
      <c r="B676" s="1" t="n">
        <v>44970</v>
      </c>
      <c r="C676" s="1" t="n">
        <v>45785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7693-2023</t>
        </is>
      </c>
      <c r="B677" s="1" t="n">
        <v>44972</v>
      </c>
      <c r="C677" s="1" t="n">
        <v>45785</v>
      </c>
      <c r="D677" t="inlineStr">
        <is>
          <t>SÖDERMANLANDS LÄN</t>
        </is>
      </c>
      <c r="E677" t="inlineStr">
        <is>
          <t>FLEN</t>
        </is>
      </c>
      <c r="F677" t="inlineStr">
        <is>
          <t>Kommuner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8075-2023</t>
        </is>
      </c>
      <c r="B678" s="1" t="n">
        <v>44974</v>
      </c>
      <c r="C678" s="1" t="n">
        <v>45785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8042-2023</t>
        </is>
      </c>
      <c r="B679" s="1" t="n">
        <v>44974</v>
      </c>
      <c r="C679" s="1" t="n">
        <v>45785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8607-2023</t>
        </is>
      </c>
      <c r="B680" s="1" t="n">
        <v>44977</v>
      </c>
      <c r="C680" s="1" t="n">
        <v>45785</v>
      </c>
      <c r="D680" t="inlineStr">
        <is>
          <t>SÖDERMANLANDS LÄN</t>
        </is>
      </c>
      <c r="E680" t="inlineStr">
        <is>
          <t>FLEN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8588-2023</t>
        </is>
      </c>
      <c r="B681" s="1" t="n">
        <v>44977</v>
      </c>
      <c r="C681" s="1" t="n">
        <v>45785</v>
      </c>
      <c r="D681" t="inlineStr">
        <is>
          <t>SÖDERMANLANDS LÄN</t>
        </is>
      </c>
      <c r="E681" t="inlineStr">
        <is>
          <t>FLEN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8894-2023</t>
        </is>
      </c>
      <c r="B682" s="1" t="n">
        <v>44979</v>
      </c>
      <c r="C682" s="1" t="n">
        <v>45785</v>
      </c>
      <c r="D682" t="inlineStr">
        <is>
          <t>SÖDERMANLANDS LÄN</t>
        </is>
      </c>
      <c r="E682" t="inlineStr">
        <is>
          <t>FLEN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8891-2023</t>
        </is>
      </c>
      <c r="B683" s="1" t="n">
        <v>44979</v>
      </c>
      <c r="C683" s="1" t="n">
        <v>45785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8883-2023</t>
        </is>
      </c>
      <c r="B684" s="1" t="n">
        <v>44979</v>
      </c>
      <c r="C684" s="1" t="n">
        <v>45785</v>
      </c>
      <c r="D684" t="inlineStr">
        <is>
          <t>SÖDERMANLANDS LÄN</t>
        </is>
      </c>
      <c r="E684" t="inlineStr">
        <is>
          <t>FLEN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9889-2023</t>
        </is>
      </c>
      <c r="B685" s="1" t="n">
        <v>44979</v>
      </c>
      <c r="C685" s="1" t="n">
        <v>45785</v>
      </c>
      <c r="D685" t="inlineStr">
        <is>
          <t>SÖDERMANLANDS LÄN</t>
        </is>
      </c>
      <c r="E685" t="inlineStr">
        <is>
          <t>FLEN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9894-2023</t>
        </is>
      </c>
      <c r="B686" s="1" t="n">
        <v>44979</v>
      </c>
      <c r="C686" s="1" t="n">
        <v>45785</v>
      </c>
      <c r="D686" t="inlineStr">
        <is>
          <t>SÖDERMANLANDS LÄN</t>
        </is>
      </c>
      <c r="E686" t="inlineStr">
        <is>
          <t>FLEN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9257-2023</t>
        </is>
      </c>
      <c r="B687" s="1" t="n">
        <v>44980</v>
      </c>
      <c r="C687" s="1" t="n">
        <v>45785</v>
      </c>
      <c r="D687" t="inlineStr">
        <is>
          <t>SÖDERMANLANDS LÄN</t>
        </is>
      </c>
      <c r="E687" t="inlineStr">
        <is>
          <t>FLEN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9882-2023</t>
        </is>
      </c>
      <c r="B688" s="1" t="n">
        <v>44985</v>
      </c>
      <c r="C688" s="1" t="n">
        <v>45785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9941-2023</t>
        </is>
      </c>
      <c r="B689" s="1" t="n">
        <v>44985</v>
      </c>
      <c r="C689" s="1" t="n">
        <v>45785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10938-2023</t>
        </is>
      </c>
      <c r="B690" s="1" t="n">
        <v>44985</v>
      </c>
      <c r="C690" s="1" t="n">
        <v>45785</v>
      </c>
      <c r="D690" t="inlineStr">
        <is>
          <t>SÖDERMANLANDS LÄN</t>
        </is>
      </c>
      <c r="E690" t="inlineStr">
        <is>
          <t>FLEN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10110-2023</t>
        </is>
      </c>
      <c r="B691" s="1" t="n">
        <v>44986</v>
      </c>
      <c r="C691" s="1" t="n">
        <v>45785</v>
      </c>
      <c r="D691" t="inlineStr">
        <is>
          <t>SÖDERMANLANDS LÄN</t>
        </is>
      </c>
      <c r="E691" t="inlineStr">
        <is>
          <t>FLEN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10565-2023</t>
        </is>
      </c>
      <c r="B692" s="1" t="n">
        <v>44988</v>
      </c>
      <c r="C692" s="1" t="n">
        <v>45785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10886-2023</t>
        </is>
      </c>
      <c r="B693" s="1" t="n">
        <v>44991</v>
      </c>
      <c r="C693" s="1" t="n">
        <v>45785</v>
      </c>
      <c r="D693" t="inlineStr">
        <is>
          <t>SÖDERMANLANDS LÄN</t>
        </is>
      </c>
      <c r="E693" t="inlineStr">
        <is>
          <t>FLEN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11506-2023</t>
        </is>
      </c>
      <c r="B694" s="1" t="n">
        <v>44991</v>
      </c>
      <c r="C694" s="1" t="n">
        <v>45785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12912-2023</t>
        </is>
      </c>
      <c r="B695" s="1" t="n">
        <v>45001</v>
      </c>
      <c r="C695" s="1" t="n">
        <v>45785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12936-2023</t>
        </is>
      </c>
      <c r="B696" s="1" t="n">
        <v>45001</v>
      </c>
      <c r="C696" s="1" t="n">
        <v>45785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12908-2023</t>
        </is>
      </c>
      <c r="B697" s="1" t="n">
        <v>45001</v>
      </c>
      <c r="C697" s="1" t="n">
        <v>45785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13824-2023</t>
        </is>
      </c>
      <c r="B698" s="1" t="n">
        <v>45007</v>
      </c>
      <c r="C698" s="1" t="n">
        <v>45785</v>
      </c>
      <c r="D698" t="inlineStr">
        <is>
          <t>SÖDERMANLANDS LÄN</t>
        </is>
      </c>
      <c r="E698" t="inlineStr">
        <is>
          <t>FLEN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13909-2023</t>
        </is>
      </c>
      <c r="B699" s="1" t="n">
        <v>45008</v>
      </c>
      <c r="C699" s="1" t="n">
        <v>45785</v>
      </c>
      <c r="D699" t="inlineStr">
        <is>
          <t>SÖDERMANLANDS LÄN</t>
        </is>
      </c>
      <c r="E699" t="inlineStr">
        <is>
          <t>FLEN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14412-2023</t>
        </is>
      </c>
      <c r="B700" s="1" t="n">
        <v>45012</v>
      </c>
      <c r="C700" s="1" t="n">
        <v>45785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14599-2023</t>
        </is>
      </c>
      <c r="B701" s="1" t="n">
        <v>45013</v>
      </c>
      <c r="C701" s="1" t="n">
        <v>45785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14749-2023</t>
        </is>
      </c>
      <c r="B702" s="1" t="n">
        <v>45014</v>
      </c>
      <c r="C702" s="1" t="n">
        <v>45785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14755-2023</t>
        </is>
      </c>
      <c r="B703" s="1" t="n">
        <v>45014</v>
      </c>
      <c r="C703" s="1" t="n">
        <v>45785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14826-2023</t>
        </is>
      </c>
      <c r="B704" s="1" t="n">
        <v>45014</v>
      </c>
      <c r="C704" s="1" t="n">
        <v>45785</v>
      </c>
      <c r="D704" t="inlineStr">
        <is>
          <t>SÖDERMANLANDS LÄN</t>
        </is>
      </c>
      <c r="E704" t="inlineStr">
        <is>
          <t>FLEN</t>
        </is>
      </c>
      <c r="G704" t="n">
        <v>15.8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15119-2023</t>
        </is>
      </c>
      <c r="B705" s="1" t="n">
        <v>45016</v>
      </c>
      <c r="C705" s="1" t="n">
        <v>45785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15897-2023</t>
        </is>
      </c>
      <c r="B706" s="1" t="n">
        <v>45022</v>
      </c>
      <c r="C706" s="1" t="n">
        <v>45785</v>
      </c>
      <c r="D706" t="inlineStr">
        <is>
          <t>SÖDERMANLANDS LÄN</t>
        </is>
      </c>
      <c r="E706" t="inlineStr">
        <is>
          <t>FLEN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15904-2023</t>
        </is>
      </c>
      <c r="B707" s="1" t="n">
        <v>45022</v>
      </c>
      <c r="C707" s="1" t="n">
        <v>45785</v>
      </c>
      <c r="D707" t="inlineStr">
        <is>
          <t>SÖDERMANLANDS LÄN</t>
        </is>
      </c>
      <c r="E707" t="inlineStr">
        <is>
          <t>FLEN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15900-2023</t>
        </is>
      </c>
      <c r="B708" s="1" t="n">
        <v>45022</v>
      </c>
      <c r="C708" s="1" t="n">
        <v>45785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16045-2023</t>
        </is>
      </c>
      <c r="B709" s="1" t="n">
        <v>45022</v>
      </c>
      <c r="C709" s="1" t="n">
        <v>45785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16399-2023</t>
        </is>
      </c>
      <c r="B710" s="1" t="n">
        <v>45029</v>
      </c>
      <c r="C710" s="1" t="n">
        <v>45785</v>
      </c>
      <c r="D710" t="inlineStr">
        <is>
          <t>SÖDERMANLANDS LÄN</t>
        </is>
      </c>
      <c r="E710" t="inlineStr">
        <is>
          <t>FLEN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16581-2023</t>
        </is>
      </c>
      <c r="B711" s="1" t="n">
        <v>45030</v>
      </c>
      <c r="C711" s="1" t="n">
        <v>45785</v>
      </c>
      <c r="D711" t="inlineStr">
        <is>
          <t>SÖDERMANLANDS LÄN</t>
        </is>
      </c>
      <c r="E711" t="inlineStr">
        <is>
          <t>FLEN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16582-2023</t>
        </is>
      </c>
      <c r="B712" s="1" t="n">
        <v>45030</v>
      </c>
      <c r="C712" s="1" t="n">
        <v>45785</v>
      </c>
      <c r="D712" t="inlineStr">
        <is>
          <t>SÖDERMANLANDS LÄN</t>
        </is>
      </c>
      <c r="E712" t="inlineStr">
        <is>
          <t>FLEN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16583-2023</t>
        </is>
      </c>
      <c r="B713" s="1" t="n">
        <v>45030</v>
      </c>
      <c r="C713" s="1" t="n">
        <v>45785</v>
      </c>
      <c r="D713" t="inlineStr">
        <is>
          <t>SÖDERMANLANDS LÄN</t>
        </is>
      </c>
      <c r="E713" t="inlineStr">
        <is>
          <t>FLEN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16580-2023</t>
        </is>
      </c>
      <c r="B714" s="1" t="n">
        <v>45030</v>
      </c>
      <c r="C714" s="1" t="n">
        <v>45785</v>
      </c>
      <c r="D714" t="inlineStr">
        <is>
          <t>SÖDERMANLANDS LÄN</t>
        </is>
      </c>
      <c r="E714" t="inlineStr">
        <is>
          <t>FLEN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17125-2023</t>
        </is>
      </c>
      <c r="B715" s="1" t="n">
        <v>45034</v>
      </c>
      <c r="C715" s="1" t="n">
        <v>45785</v>
      </c>
      <c r="D715" t="inlineStr">
        <is>
          <t>SÖDERMANLANDS LÄN</t>
        </is>
      </c>
      <c r="E715" t="inlineStr">
        <is>
          <t>FLEN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17655-2023</t>
        </is>
      </c>
      <c r="B716" s="1" t="n">
        <v>45036</v>
      </c>
      <c r="C716" s="1" t="n">
        <v>45785</v>
      </c>
      <c r="D716" t="inlineStr">
        <is>
          <t>SÖDERMANLANDS LÄN</t>
        </is>
      </c>
      <c r="E716" t="inlineStr">
        <is>
          <t>FLEN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17654-2023</t>
        </is>
      </c>
      <c r="B717" s="1" t="n">
        <v>45036</v>
      </c>
      <c r="C717" s="1" t="n">
        <v>45785</v>
      </c>
      <c r="D717" t="inlineStr">
        <is>
          <t>SÖDERMANLANDS LÄN</t>
        </is>
      </c>
      <c r="E717" t="inlineStr">
        <is>
          <t>FLEN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18083-2023</t>
        </is>
      </c>
      <c r="B718" s="1" t="n">
        <v>45039</v>
      </c>
      <c r="C718" s="1" t="n">
        <v>45785</v>
      </c>
      <c r="D718" t="inlineStr">
        <is>
          <t>SÖDERMANLANDS LÄN</t>
        </is>
      </c>
      <c r="E718" t="inlineStr">
        <is>
          <t>FLEN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18073-2023</t>
        </is>
      </c>
      <c r="B719" s="1" t="n">
        <v>45039</v>
      </c>
      <c r="C719" s="1" t="n">
        <v>45785</v>
      </c>
      <c r="D719" t="inlineStr">
        <is>
          <t>SÖDERMANLANDS LÄN</t>
        </is>
      </c>
      <c r="E719" t="inlineStr">
        <is>
          <t>FLEN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18102-2023</t>
        </is>
      </c>
      <c r="B720" s="1" t="n">
        <v>45039</v>
      </c>
      <c r="C720" s="1" t="n">
        <v>45785</v>
      </c>
      <c r="D720" t="inlineStr">
        <is>
          <t>SÖDERMANLANDS LÄN</t>
        </is>
      </c>
      <c r="E720" t="inlineStr">
        <is>
          <t>FLEN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18093-2023</t>
        </is>
      </c>
      <c r="B721" s="1" t="n">
        <v>45039</v>
      </c>
      <c r="C721" s="1" t="n">
        <v>45785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18511-2023</t>
        </is>
      </c>
      <c r="B722" s="1" t="n">
        <v>45041</v>
      </c>
      <c r="C722" s="1" t="n">
        <v>45785</v>
      </c>
      <c r="D722" t="inlineStr">
        <is>
          <t>SÖDERMANLANDS LÄN</t>
        </is>
      </c>
      <c r="E722" t="inlineStr">
        <is>
          <t>FLEN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18689-2023</t>
        </is>
      </c>
      <c r="B723" s="1" t="n">
        <v>45043</v>
      </c>
      <c r="C723" s="1" t="n">
        <v>45785</v>
      </c>
      <c r="D723" t="inlineStr">
        <is>
          <t>SÖDERMANLANDS LÄN</t>
        </is>
      </c>
      <c r="E723" t="inlineStr">
        <is>
          <t>FLEN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19150-2023</t>
        </is>
      </c>
      <c r="B724" s="1" t="n">
        <v>45048</v>
      </c>
      <c r="C724" s="1" t="n">
        <v>45785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19855-2023</t>
        </is>
      </c>
      <c r="B725" s="1" t="n">
        <v>45053</v>
      </c>
      <c r="C725" s="1" t="n">
        <v>45785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20462-2023</t>
        </is>
      </c>
      <c r="B726" s="1" t="n">
        <v>45056</v>
      </c>
      <c r="C726" s="1" t="n">
        <v>45785</v>
      </c>
      <c r="D726" t="inlineStr">
        <is>
          <t>SÖDERMANLANDS LÄN</t>
        </is>
      </c>
      <c r="E726" t="inlineStr">
        <is>
          <t>FLEN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20463-2023</t>
        </is>
      </c>
      <c r="B727" s="1" t="n">
        <v>45056</v>
      </c>
      <c r="C727" s="1" t="n">
        <v>45785</v>
      </c>
      <c r="D727" t="inlineStr">
        <is>
          <t>SÖDERMANLANDS LÄN</t>
        </is>
      </c>
      <c r="E727" t="inlineStr">
        <is>
          <t>FLEN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20980-2023</t>
        </is>
      </c>
      <c r="B728" s="1" t="n">
        <v>45056</v>
      </c>
      <c r="C728" s="1" t="n">
        <v>45785</v>
      </c>
      <c r="D728" t="inlineStr">
        <is>
          <t>SÖDERMANLANDS LÄN</t>
        </is>
      </c>
      <c r="E728" t="inlineStr">
        <is>
          <t>FLEN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21047-2023</t>
        </is>
      </c>
      <c r="B729" s="1" t="n">
        <v>45056</v>
      </c>
      <c r="C729" s="1" t="n">
        <v>45785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21036-2023</t>
        </is>
      </c>
      <c r="B730" s="1" t="n">
        <v>45056</v>
      </c>
      <c r="C730" s="1" t="n">
        <v>45785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21057-2023</t>
        </is>
      </c>
      <c r="B731" s="1" t="n">
        <v>45056</v>
      </c>
      <c r="C731" s="1" t="n">
        <v>45785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21167-2023</t>
        </is>
      </c>
      <c r="B732" s="1" t="n">
        <v>45057</v>
      </c>
      <c r="C732" s="1" t="n">
        <v>45785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21714-2023</t>
        </is>
      </c>
      <c r="B733" s="1" t="n">
        <v>45065</v>
      </c>
      <c r="C733" s="1" t="n">
        <v>45785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22028-2023</t>
        </is>
      </c>
      <c r="B734" s="1" t="n">
        <v>45066</v>
      </c>
      <c r="C734" s="1" t="n">
        <v>45785</v>
      </c>
      <c r="D734" t="inlineStr">
        <is>
          <t>SÖDERMANLANDS LÄN</t>
        </is>
      </c>
      <c r="E734" t="inlineStr">
        <is>
          <t>FLEN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21822-2023</t>
        </is>
      </c>
      <c r="B735" s="1" t="n">
        <v>45068</v>
      </c>
      <c r="C735" s="1" t="n">
        <v>45785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22101-2023</t>
        </is>
      </c>
      <c r="B736" s="1" t="n">
        <v>45068</v>
      </c>
      <c r="C736" s="1" t="n">
        <v>45785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22369-2023</t>
        </is>
      </c>
      <c r="B737" s="1" t="n">
        <v>45070</v>
      </c>
      <c r="C737" s="1" t="n">
        <v>45785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22365-2023</t>
        </is>
      </c>
      <c r="B738" s="1" t="n">
        <v>45070</v>
      </c>
      <c r="C738" s="1" t="n">
        <v>45785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22957-2023</t>
        </is>
      </c>
      <c r="B739" s="1" t="n">
        <v>45072</v>
      </c>
      <c r="C739" s="1" t="n">
        <v>45785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23650-2023</t>
        </is>
      </c>
      <c r="B740" s="1" t="n">
        <v>45073</v>
      </c>
      <c r="C740" s="1" t="n">
        <v>45785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23646-2023</t>
        </is>
      </c>
      <c r="B741" s="1" t="n">
        <v>45073</v>
      </c>
      <c r="C741" s="1" t="n">
        <v>45785</v>
      </c>
      <c r="D741" t="inlineStr">
        <is>
          <t>SÖDERMANLANDS LÄN</t>
        </is>
      </c>
      <c r="E741" t="inlineStr">
        <is>
          <t>FLEN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24123-2023</t>
        </is>
      </c>
      <c r="B742" s="1" t="n">
        <v>45079</v>
      </c>
      <c r="C742" s="1" t="n">
        <v>45785</v>
      </c>
      <c r="D742" t="inlineStr">
        <is>
          <t>SÖDERMANLANDS LÄN</t>
        </is>
      </c>
      <c r="E742" t="inlineStr">
        <is>
          <t>FLEN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25474-2023</t>
        </is>
      </c>
      <c r="B743" s="1" t="n">
        <v>45081</v>
      </c>
      <c r="C743" s="1" t="n">
        <v>45785</v>
      </c>
      <c r="D743" t="inlineStr">
        <is>
          <t>SÖDERMANLANDS LÄN</t>
        </is>
      </c>
      <c r="E743" t="inlineStr">
        <is>
          <t>FLEN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25467-2023</t>
        </is>
      </c>
      <c r="B744" s="1" t="n">
        <v>45081</v>
      </c>
      <c r="C744" s="1" t="n">
        <v>45785</v>
      </c>
      <c r="D744" t="inlineStr">
        <is>
          <t>SÖDERMANLANDS LÄN</t>
        </is>
      </c>
      <c r="E744" t="inlineStr">
        <is>
          <t>FLEN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24348-2023</t>
        </is>
      </c>
      <c r="B745" s="1" t="n">
        <v>45082</v>
      </c>
      <c r="C745" s="1" t="n">
        <v>45785</v>
      </c>
      <c r="D745" t="inlineStr">
        <is>
          <t>SÖDERMANLANDS LÄN</t>
        </is>
      </c>
      <c r="E745" t="inlineStr">
        <is>
          <t>FLEN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25605-2023</t>
        </is>
      </c>
      <c r="B746" s="1" t="n">
        <v>45089</v>
      </c>
      <c r="C746" s="1" t="n">
        <v>45785</v>
      </c>
      <c r="D746" t="inlineStr">
        <is>
          <t>SÖDERMANLANDS LÄN</t>
        </is>
      </c>
      <c r="E746" t="inlineStr">
        <is>
          <t>FLEN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26036-2023</t>
        </is>
      </c>
      <c r="B747" s="1" t="n">
        <v>45091</v>
      </c>
      <c r="C747" s="1" t="n">
        <v>45785</v>
      </c>
      <c r="D747" t="inlineStr">
        <is>
          <t>SÖDERMANLANDS LÄN</t>
        </is>
      </c>
      <c r="E747" t="inlineStr">
        <is>
          <t>FLEN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27724-2023</t>
        </is>
      </c>
      <c r="B748" s="1" t="n">
        <v>45097</v>
      </c>
      <c r="C748" s="1" t="n">
        <v>45785</v>
      </c>
      <c r="D748" t="inlineStr">
        <is>
          <t>SÖDERMANLANDS LÄN</t>
        </is>
      </c>
      <c r="E748" t="inlineStr">
        <is>
          <t>FLEN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27780-2023</t>
        </is>
      </c>
      <c r="B749" s="1" t="n">
        <v>45098</v>
      </c>
      <c r="C749" s="1" t="n">
        <v>45785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27849-2023</t>
        </is>
      </c>
      <c r="B750" s="1" t="n">
        <v>45098</v>
      </c>
      <c r="C750" s="1" t="n">
        <v>45785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28154-2023</t>
        </is>
      </c>
      <c r="B751" s="1" t="n">
        <v>45099</v>
      </c>
      <c r="C751" s="1" t="n">
        <v>45785</v>
      </c>
      <c r="D751" t="inlineStr">
        <is>
          <t>SÖDERMANLANDS LÄN</t>
        </is>
      </c>
      <c r="E751" t="inlineStr">
        <is>
          <t>FLEN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31007-2023</t>
        </is>
      </c>
      <c r="B752" s="1" t="n">
        <v>45103</v>
      </c>
      <c r="C752" s="1" t="n">
        <v>45785</v>
      </c>
      <c r="D752" t="inlineStr">
        <is>
          <t>SÖDERMANLANDS LÄN</t>
        </is>
      </c>
      <c r="E752" t="inlineStr">
        <is>
          <t>FLEN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HYPERLINK("https://klasma.github.io/Logging_0482/knärot/A 31007-2023 karta knärot.png", "A 31007-2023")</f>
        <v/>
      </c>
      <c r="V752">
        <f>HYPERLINK("https://klasma.github.io/Logging_0482/klagomål/A 31007-2023 FSC-klagomål.docx", "A 31007-2023")</f>
        <v/>
      </c>
      <c r="W752">
        <f>HYPERLINK("https://klasma.github.io/Logging_0482/klagomålsmail/A 31007-2023 FSC-klagomål mail.docx", "A 31007-2023")</f>
        <v/>
      </c>
      <c r="X752">
        <f>HYPERLINK("https://klasma.github.io/Logging_0482/tillsyn/A 31007-2023 tillsynsbegäran.docx", "A 31007-2023")</f>
        <v/>
      </c>
      <c r="Y752">
        <f>HYPERLINK("https://klasma.github.io/Logging_0482/tillsynsmail/A 31007-2023 tillsynsbegäran mail.docx", "A 31007-2023")</f>
        <v/>
      </c>
    </row>
    <row r="753" ht="15" customHeight="1">
      <c r="A753" t="inlineStr">
        <is>
          <t>A 28529-2023</t>
        </is>
      </c>
      <c r="B753" s="1" t="n">
        <v>45103</v>
      </c>
      <c r="C753" s="1" t="n">
        <v>45785</v>
      </c>
      <c r="D753" t="inlineStr">
        <is>
          <t>SÖDERMANLANDS LÄN</t>
        </is>
      </c>
      <c r="E753" t="inlineStr">
        <is>
          <t>FLEN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28928-2023</t>
        </is>
      </c>
      <c r="B754" s="1" t="n">
        <v>45104</v>
      </c>
      <c r="C754" s="1" t="n">
        <v>45785</v>
      </c>
      <c r="D754" t="inlineStr">
        <is>
          <t>SÖDERMANLANDS LÄN</t>
        </is>
      </c>
      <c r="E754" t="inlineStr">
        <is>
          <t>FLEN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28938-2023</t>
        </is>
      </c>
      <c r="B755" s="1" t="n">
        <v>45104</v>
      </c>
      <c r="C755" s="1" t="n">
        <v>45785</v>
      </c>
      <c r="D755" t="inlineStr">
        <is>
          <t>SÖDERMANLANDS LÄN</t>
        </is>
      </c>
      <c r="E755" t="inlineStr">
        <is>
          <t>FLEN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29186-2023</t>
        </is>
      </c>
      <c r="B756" s="1" t="n">
        <v>45105</v>
      </c>
      <c r="C756" s="1" t="n">
        <v>45785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29195-2023</t>
        </is>
      </c>
      <c r="B757" s="1" t="n">
        <v>45105</v>
      </c>
      <c r="C757" s="1" t="n">
        <v>45785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29245-2023</t>
        </is>
      </c>
      <c r="B758" s="1" t="n">
        <v>45105</v>
      </c>
      <c r="C758" s="1" t="n">
        <v>45785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29247-2023</t>
        </is>
      </c>
      <c r="B759" s="1" t="n">
        <v>45105</v>
      </c>
      <c r="C759" s="1" t="n">
        <v>45785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30250-2023</t>
        </is>
      </c>
      <c r="B760" s="1" t="n">
        <v>45110</v>
      </c>
      <c r="C760" s="1" t="n">
        <v>45785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32407-2023</t>
        </is>
      </c>
      <c r="B761" s="1" t="n">
        <v>45110</v>
      </c>
      <c r="C761" s="1" t="n">
        <v>45785</v>
      </c>
      <c r="D761" t="inlineStr">
        <is>
          <t>SÖDERMANLANDS LÄN</t>
        </is>
      </c>
      <c r="E761" t="inlineStr">
        <is>
          <t>FLEN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33010-2023</t>
        </is>
      </c>
      <c r="B762" s="1" t="n">
        <v>45113</v>
      </c>
      <c r="C762" s="1" t="n">
        <v>45785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31217-2023</t>
        </is>
      </c>
      <c r="B763" s="1" t="n">
        <v>45114</v>
      </c>
      <c r="C763" s="1" t="n">
        <v>45785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31214-2023</t>
        </is>
      </c>
      <c r="B764" s="1" t="n">
        <v>45114</v>
      </c>
      <c r="C764" s="1" t="n">
        <v>45785</v>
      </c>
      <c r="D764" t="inlineStr">
        <is>
          <t>SÖDERMANLANDS LÄN</t>
        </is>
      </c>
      <c r="E764" t="inlineStr">
        <is>
          <t>FLEN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31352-2023</t>
        </is>
      </c>
      <c r="B765" s="1" t="n">
        <v>45114</v>
      </c>
      <c r="C765" s="1" t="n">
        <v>45785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33280-2023</t>
        </is>
      </c>
      <c r="B766" s="1" t="n">
        <v>45114</v>
      </c>
      <c r="C766" s="1" t="n">
        <v>45785</v>
      </c>
      <c r="D766" t="inlineStr">
        <is>
          <t>SÖDERMANLANDS LÄN</t>
        </is>
      </c>
      <c r="E766" t="inlineStr">
        <is>
          <t>FLEN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31796-2023</t>
        </is>
      </c>
      <c r="B767" s="1" t="n">
        <v>45118</v>
      </c>
      <c r="C767" s="1" t="n">
        <v>45785</v>
      </c>
      <c r="D767" t="inlineStr">
        <is>
          <t>SÖDERMANLANDS LÄN</t>
        </is>
      </c>
      <c r="E767" t="inlineStr">
        <is>
          <t>FLEN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33742-2023</t>
        </is>
      </c>
      <c r="B768" s="1" t="n">
        <v>45119</v>
      </c>
      <c r="C768" s="1" t="n">
        <v>45785</v>
      </c>
      <c r="D768" t="inlineStr">
        <is>
          <t>SÖDERMANLANDS LÄN</t>
        </is>
      </c>
      <c r="E768" t="inlineStr">
        <is>
          <t>FLEN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33908-2023</t>
        </is>
      </c>
      <c r="B769" s="1" t="n">
        <v>45121</v>
      </c>
      <c r="C769" s="1" t="n">
        <v>45785</v>
      </c>
      <c r="D769" t="inlineStr">
        <is>
          <t>SÖDERMANLANDS LÄN</t>
        </is>
      </c>
      <c r="E769" t="inlineStr">
        <is>
          <t>FLEN</t>
        </is>
      </c>
      <c r="G769" t="n">
        <v>14.4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33902-2023</t>
        </is>
      </c>
      <c r="B770" s="1" t="n">
        <v>45121</v>
      </c>
      <c r="C770" s="1" t="n">
        <v>45785</v>
      </c>
      <c r="D770" t="inlineStr">
        <is>
          <t>SÖDERMANLANDS LÄN</t>
        </is>
      </c>
      <c r="E770" t="inlineStr">
        <is>
          <t>FLEN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33907-2023</t>
        </is>
      </c>
      <c r="B771" s="1" t="n">
        <v>45121</v>
      </c>
      <c r="C771" s="1" t="n">
        <v>45785</v>
      </c>
      <c r="D771" t="inlineStr">
        <is>
          <t>SÖDERMANLANDS LÄN</t>
        </is>
      </c>
      <c r="E771" t="inlineStr">
        <is>
          <t>FLEN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34524-2023</t>
        </is>
      </c>
      <c r="B772" s="1" t="n">
        <v>45140</v>
      </c>
      <c r="C772" s="1" t="n">
        <v>45785</v>
      </c>
      <c r="D772" t="inlineStr">
        <is>
          <t>SÖDERMANLANDS LÄN</t>
        </is>
      </c>
      <c r="E772" t="inlineStr">
        <is>
          <t>FLEN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34612-2023</t>
        </is>
      </c>
      <c r="B773" s="1" t="n">
        <v>45140</v>
      </c>
      <c r="C773" s="1" t="n">
        <v>45785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34783-2023</t>
        </is>
      </c>
      <c r="B774" s="1" t="n">
        <v>45140</v>
      </c>
      <c r="C774" s="1" t="n">
        <v>45785</v>
      </c>
      <c r="D774" t="inlineStr">
        <is>
          <t>SÖDERMANLANDS LÄN</t>
        </is>
      </c>
      <c r="E774" t="inlineStr">
        <is>
          <t>FLEN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34823-2023</t>
        </is>
      </c>
      <c r="B775" s="1" t="n">
        <v>45140</v>
      </c>
      <c r="C775" s="1" t="n">
        <v>45785</v>
      </c>
      <c r="D775" t="inlineStr">
        <is>
          <t>SÖDERMANLANDS LÄN</t>
        </is>
      </c>
      <c r="E775" t="inlineStr">
        <is>
          <t>FLEN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34721-2023</t>
        </is>
      </c>
      <c r="B776" s="1" t="n">
        <v>45141</v>
      </c>
      <c r="C776" s="1" t="n">
        <v>45785</v>
      </c>
      <c r="D776" t="inlineStr">
        <is>
          <t>SÖDERMANLANDS LÄN</t>
        </is>
      </c>
      <c r="E776" t="inlineStr">
        <is>
          <t>FLEN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34734-2023</t>
        </is>
      </c>
      <c r="B777" s="1" t="n">
        <v>45141</v>
      </c>
      <c r="C777" s="1" t="n">
        <v>45785</v>
      </c>
      <c r="D777" t="inlineStr">
        <is>
          <t>SÖDERMANLANDS LÄN</t>
        </is>
      </c>
      <c r="E777" t="inlineStr">
        <is>
          <t>FLEN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34869-2023</t>
        </is>
      </c>
      <c r="B778" s="1" t="n">
        <v>45142</v>
      </c>
      <c r="C778" s="1" t="n">
        <v>45785</v>
      </c>
      <c r="D778" t="inlineStr">
        <is>
          <t>SÖDERMANLANDS LÄN</t>
        </is>
      </c>
      <c r="E778" t="inlineStr">
        <is>
          <t>FLEN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35583-2023</t>
        </is>
      </c>
      <c r="B779" s="1" t="n">
        <v>45147</v>
      </c>
      <c r="C779" s="1" t="n">
        <v>45785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35639-2023</t>
        </is>
      </c>
      <c r="B780" s="1" t="n">
        <v>45147</v>
      </c>
      <c r="C780" s="1" t="n">
        <v>45785</v>
      </c>
      <c r="D780" t="inlineStr">
        <is>
          <t>SÖDERMANLANDS LÄN</t>
        </is>
      </c>
      <c r="E780" t="inlineStr">
        <is>
          <t>FLEN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35600-2023</t>
        </is>
      </c>
      <c r="B781" s="1" t="n">
        <v>45147</v>
      </c>
      <c r="C781" s="1" t="n">
        <v>45785</v>
      </c>
      <c r="D781" t="inlineStr">
        <is>
          <t>SÖDERMANLANDS LÄN</t>
        </is>
      </c>
      <c r="E781" t="inlineStr">
        <is>
          <t>FLEN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35799-2023</t>
        </is>
      </c>
      <c r="B782" s="1" t="n">
        <v>45148</v>
      </c>
      <c r="C782" s="1" t="n">
        <v>45785</v>
      </c>
      <c r="D782" t="inlineStr">
        <is>
          <t>SÖDERMANLANDS LÄN</t>
        </is>
      </c>
      <c r="E782" t="inlineStr">
        <is>
          <t>FLEN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35820-2023</t>
        </is>
      </c>
      <c r="B783" s="1" t="n">
        <v>45148</v>
      </c>
      <c r="C783" s="1" t="n">
        <v>45785</v>
      </c>
      <c r="D783" t="inlineStr">
        <is>
          <t>SÖDERMANLANDS LÄN</t>
        </is>
      </c>
      <c r="E783" t="inlineStr">
        <is>
          <t>FLEN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35830-2023</t>
        </is>
      </c>
      <c r="B784" s="1" t="n">
        <v>45148</v>
      </c>
      <c r="C784" s="1" t="n">
        <v>45785</v>
      </c>
      <c r="D784" t="inlineStr">
        <is>
          <t>SÖDERMANLANDS LÄN</t>
        </is>
      </c>
      <c r="E784" t="inlineStr">
        <is>
          <t>FLEN</t>
        </is>
      </c>
      <c r="G784" t="n">
        <v>21.8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35794-2023</t>
        </is>
      </c>
      <c r="B785" s="1" t="n">
        <v>45148</v>
      </c>
      <c r="C785" s="1" t="n">
        <v>45785</v>
      </c>
      <c r="D785" t="inlineStr">
        <is>
          <t>SÖDERMANLANDS LÄN</t>
        </is>
      </c>
      <c r="E785" t="inlineStr">
        <is>
          <t>FLEN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36096-2023</t>
        </is>
      </c>
      <c r="B786" s="1" t="n">
        <v>45149</v>
      </c>
      <c r="C786" s="1" t="n">
        <v>45785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36934-2023</t>
        </is>
      </c>
      <c r="B787" s="1" t="n">
        <v>45154</v>
      </c>
      <c r="C787" s="1" t="n">
        <v>45785</v>
      </c>
      <c r="D787" t="inlineStr">
        <is>
          <t>SÖDERMANLANDS LÄN</t>
        </is>
      </c>
      <c r="E787" t="inlineStr">
        <is>
          <t>FLEN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37025-2023</t>
        </is>
      </c>
      <c r="B788" s="1" t="n">
        <v>45155</v>
      </c>
      <c r="C788" s="1" t="n">
        <v>45785</v>
      </c>
      <c r="D788" t="inlineStr">
        <is>
          <t>SÖDERMANLANDS LÄN</t>
        </is>
      </c>
      <c r="E788" t="inlineStr">
        <is>
          <t>FLEN</t>
        </is>
      </c>
      <c r="F788" t="inlineStr">
        <is>
          <t>Kyrkan</t>
        </is>
      </c>
      <c r="G788" t="n">
        <v>24.1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45785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45785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45785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45785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45785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45785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45785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45785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45785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45785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45785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45785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45785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45785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45785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45785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45785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45785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45785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45785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45785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45785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45785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45785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45785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45785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45785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45785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45785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45785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45785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45785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45785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45785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45785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45785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45785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45785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45785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45785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45785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45785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45785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45785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45785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45785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45785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45785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45785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45785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45785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45785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45785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45785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45785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45785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45785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45785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45785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45785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45785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45785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45785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45785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45785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45785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45785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45785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45785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45785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45785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45785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45785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45785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45785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45785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45785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45785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45785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45785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45785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45785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45785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45785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45785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45785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45785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45785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45785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45785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45785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45785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45785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45785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45785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45785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45785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45785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45785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45785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45785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45785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45785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45785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45785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45785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45785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45785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45785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45785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45785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45785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45785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45785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45785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45785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45785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45785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45785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45785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45785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45785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45785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45785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45785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45785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45785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45785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45785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45785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45785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45785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45785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45785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45785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45785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45785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45785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45785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45785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45785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45785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45785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45785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45785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45785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45785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45785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45785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45785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45785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45785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45785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45785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45785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45785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45785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45785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45785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45785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45785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45785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45785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45785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45785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45785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45785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45785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45785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45785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45785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45785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45785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45785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45785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45785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45785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45785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45785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45785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45785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45785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45785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45785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45785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45785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45785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45785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45785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45785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45785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45785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45785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45785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45785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45785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45785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45785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45785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45785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45785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45785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45785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45785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45785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45785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45785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45785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45785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45785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45785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45785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45785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45785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45785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45785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45785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45785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45785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45785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45785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45785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45785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45785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45785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45785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45785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45785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45785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45785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45785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45785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45785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45785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45785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45785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45785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45785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45785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45785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45785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45785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45785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45785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45785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45785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45785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45785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45785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45785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45785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45785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45785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45785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45785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45785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45785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45785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45785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45785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45785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45785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45785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45785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45785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45785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45785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45785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45785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45785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45785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45785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45785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45785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45785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45785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45785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45785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45785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45785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45785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45785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45785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45785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45785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45785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45785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45785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45785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45785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45785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45785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45785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45785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45785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45785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45785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45785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45785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45785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45785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45785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45785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45785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45785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45785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45785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45785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45785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45785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45785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45785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45785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45785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45785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45785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45785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45785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45785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45785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45785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45785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45785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45785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45785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45785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45785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45785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45785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45785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45785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45785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45785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45785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45785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45785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45785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45785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45785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45785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45785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45785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45785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45785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45785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45785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45785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45785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45785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45785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45785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45785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45785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45785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45785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45785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45785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45785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45785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45785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45785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45785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45785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45785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45785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45785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45785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45785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20788-2025</t>
        </is>
      </c>
      <c r="B1157" s="1" t="n">
        <v>45776</v>
      </c>
      <c r="C1157" s="1" t="n">
        <v>45785</v>
      </c>
      <c r="D1157" t="inlineStr">
        <is>
          <t>SÖDERMANLANDS LÄN</t>
        </is>
      </c>
      <c r="E1157" t="inlineStr">
        <is>
          <t>FLEN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20702-2025</t>
        </is>
      </c>
      <c r="B1158" s="1" t="n">
        <v>45776</v>
      </c>
      <c r="C1158" s="1" t="n">
        <v>45785</v>
      </c>
      <c r="D1158" t="inlineStr">
        <is>
          <t>SÖDERMANLANDS LÄN</t>
        </is>
      </c>
      <c r="E1158" t="inlineStr">
        <is>
          <t>FLEN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45785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45785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20849-2025</t>
        </is>
      </c>
      <c r="B1161" s="1" t="n">
        <v>45777</v>
      </c>
      <c r="C1161" s="1" t="n">
        <v>45785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21004-2025</t>
        </is>
      </c>
      <c r="B1162" s="1" t="n">
        <v>45777</v>
      </c>
      <c r="C1162" s="1" t="n">
        <v>45785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20875-2025</t>
        </is>
      </c>
      <c r="B1163" s="1" t="n">
        <v>45777</v>
      </c>
      <c r="C1163" s="1" t="n">
        <v>45785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2025-05-08T17:48:54Z</dcterms:created>
  <dcterms:modified xmlns:dcterms="http://purl.org/dc/terms/" xmlns:xsi="http://www.w3.org/2001/XMLSchema-instance" xsi:type="dcterms:W3CDTF">2025-05-08T17:48:55Z</dcterms:modified>
</cp:coreProperties>
</file>