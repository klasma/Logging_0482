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45875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45875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45875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45875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Garnlav
Gullklöver
Motaggsvamp
Spillkråka
Blåmossa
Granbarkgnagare
Grön sköldmossa
Kattfotslav
Vågbandad barkbock
Mattlummer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54665-2022</t>
        </is>
      </c>
      <c r="B6" s="1" t="n">
        <v>44883</v>
      </c>
      <c r="C6" s="1" t="n">
        <v>45875</v>
      </c>
      <c r="D6" t="inlineStr">
        <is>
          <t>SÖDERMANLANDS LÄN</t>
        </is>
      </c>
      <c r="E6" t="inlineStr">
        <is>
          <t>FLEN</t>
        </is>
      </c>
      <c r="G6" t="n">
        <v>3.4</v>
      </c>
      <c r="H6" t="n">
        <v>1</v>
      </c>
      <c r="I6" t="n">
        <v>7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Kandelabersvamp
Tallticka
Veckticka
Fällmossa
Granbarkgnagare
Grön sköldmossa
Guldlockmossa
Hasselticka
Platt fjädermossa
Rävticka</t>
        </is>
      </c>
      <c r="S6">
        <f>HYPERLINK("https://klasma.github.io/Logging_0482/artfynd/A 54665-2022 artfynd.xlsx", "A 54665-2022")</f>
        <v/>
      </c>
      <c r="T6">
        <f>HYPERLINK("https://klasma.github.io/Logging_0482/kartor/A 54665-2022 karta.png", "A 54665-2022")</f>
        <v/>
      </c>
      <c r="V6">
        <f>HYPERLINK("https://klasma.github.io/Logging_0482/klagomål/A 54665-2022 FSC-klagomål.docx", "A 54665-2022")</f>
        <v/>
      </c>
      <c r="W6">
        <f>HYPERLINK("https://klasma.github.io/Logging_0482/klagomålsmail/A 54665-2022 FSC-klagomål mail.docx", "A 54665-2022")</f>
        <v/>
      </c>
      <c r="X6">
        <f>HYPERLINK("https://klasma.github.io/Logging_0482/tillsyn/A 54665-2022 tillsynsbegäran.docx", "A 54665-2022")</f>
        <v/>
      </c>
      <c r="Y6">
        <f>HYPERLINK("https://klasma.github.io/Logging_0482/tillsynsmail/A 54665-2022 tillsynsbegäran mail.docx", "A 54665-2022")</f>
        <v/>
      </c>
    </row>
    <row r="7" ht="15" customHeight="1">
      <c r="A7" t="inlineStr">
        <is>
          <t>A 30095-2021</t>
        </is>
      </c>
      <c r="B7" s="1" t="n">
        <v>44363</v>
      </c>
      <c r="C7" s="1" t="n">
        <v>45875</v>
      </c>
      <c r="D7" t="inlineStr">
        <is>
          <t>SÖDERMANLANDS LÄN</t>
        </is>
      </c>
      <c r="E7" t="inlineStr">
        <is>
          <t>FLEN</t>
        </is>
      </c>
      <c r="G7" t="n">
        <v>8.4</v>
      </c>
      <c r="H7" t="n">
        <v>1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Grangråticka
Grantaggsvamp
Orange taggsvamp
Svedjenäva
Blanksvart trämyra
Fjällig taggsvamp s.str.
Grön sköldmossa
Grönpyrola
Skarp dropptaggsvamp</t>
        </is>
      </c>
      <c r="S7">
        <f>HYPERLINK("https://klasma.github.io/Logging_0482/artfynd/A 30095-2021 artfynd.xlsx", "A 30095-2021")</f>
        <v/>
      </c>
      <c r="T7">
        <f>HYPERLINK("https://klasma.github.io/Logging_0482/kartor/A 30095-2021 karta.png", "A 30095-2021")</f>
        <v/>
      </c>
      <c r="V7">
        <f>HYPERLINK("https://klasma.github.io/Logging_0482/klagomål/A 30095-2021 FSC-klagomål.docx", "A 30095-2021")</f>
        <v/>
      </c>
      <c r="W7">
        <f>HYPERLINK("https://klasma.github.io/Logging_0482/klagomålsmail/A 30095-2021 FSC-klagomål mail.docx", "A 30095-2021")</f>
        <v/>
      </c>
      <c r="X7">
        <f>HYPERLINK("https://klasma.github.io/Logging_0482/tillsyn/A 30095-2021 tillsynsbegäran.docx", "A 30095-2021")</f>
        <v/>
      </c>
      <c r="Y7">
        <f>HYPERLINK("https://klasma.github.io/Logging_0482/tillsynsmail/A 30095-2021 tillsynsbegäran mail.docx", "A 30095-2021")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45875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45875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45875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45875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45875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45875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45875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45875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45875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45875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45875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45875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45875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45875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45875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45875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45875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45875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45875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45875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12419-2023</t>
        </is>
      </c>
      <c r="B28" s="1" t="n">
        <v>44998</v>
      </c>
      <c r="C28" s="1" t="n">
        <v>45875</v>
      </c>
      <c r="D28" t="inlineStr">
        <is>
          <t>SÖDERMANLANDS LÄN</t>
        </is>
      </c>
      <c r="E28" t="inlineStr">
        <is>
          <t>FLEN</t>
        </is>
      </c>
      <c r="G28" t="n">
        <v>6.3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Gullklöver
Havsörn
Svinrot
Röd glada</t>
        </is>
      </c>
      <c r="S28">
        <f>HYPERLINK("https://klasma.github.io/Logging_0482/artfynd/A 12419-2023 artfynd.xlsx", "A 12419-2023")</f>
        <v/>
      </c>
      <c r="T28">
        <f>HYPERLINK("https://klasma.github.io/Logging_0482/kartor/A 12419-2023 karta.png", "A 12419-2023")</f>
        <v/>
      </c>
      <c r="V28">
        <f>HYPERLINK("https://klasma.github.io/Logging_0482/klagomål/A 12419-2023 FSC-klagomål.docx", "A 12419-2023")</f>
        <v/>
      </c>
      <c r="W28">
        <f>HYPERLINK("https://klasma.github.io/Logging_0482/klagomålsmail/A 12419-2023 FSC-klagomål mail.docx", "A 12419-2023")</f>
        <v/>
      </c>
      <c r="X28">
        <f>HYPERLINK("https://klasma.github.io/Logging_0482/tillsyn/A 12419-2023 tillsynsbegäran.docx", "A 12419-2023")</f>
        <v/>
      </c>
      <c r="Y28">
        <f>HYPERLINK("https://klasma.github.io/Logging_0482/tillsynsmail/A 12419-2023 tillsynsbegäran mail.docx", "A 12419-2023")</f>
        <v/>
      </c>
      <c r="Z28">
        <f>HYPERLINK("https://klasma.github.io/Logging_0482/fåglar/A 12419-2023 prioriterade fågelarter.docx", "A 12419-2023")</f>
        <v/>
      </c>
    </row>
    <row r="29" ht="15" customHeight="1">
      <c r="A29" t="inlineStr">
        <is>
          <t>A 33219-2024</t>
        </is>
      </c>
      <c r="B29" s="1" t="n">
        <v>45518</v>
      </c>
      <c r="C29" s="1" t="n">
        <v>45875</v>
      </c>
      <c r="D29" t="inlineStr">
        <is>
          <t>SÖDERMANLANDS LÄN</t>
        </is>
      </c>
      <c r="E29" t="inlineStr">
        <is>
          <t>FLEN</t>
        </is>
      </c>
      <c r="G29" t="n">
        <v>2.5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Svinrot
Blåsippa
Mattlummer</t>
        </is>
      </c>
      <c r="S29">
        <f>HYPERLINK("https://klasma.github.io/Logging_0482/artfynd/A 33219-2024 artfynd.xlsx", "A 33219-2024")</f>
        <v/>
      </c>
      <c r="T29">
        <f>HYPERLINK("https://klasma.github.io/Logging_0482/kartor/A 33219-2024 karta.png", "A 33219-2024")</f>
        <v/>
      </c>
      <c r="U29">
        <f>HYPERLINK("https://klasma.github.io/Logging_0482/knärot/A 33219-2024 karta knärot.png", "A 33219-2024")</f>
        <v/>
      </c>
      <c r="V29">
        <f>HYPERLINK("https://klasma.github.io/Logging_0482/klagomål/A 33219-2024 FSC-klagomål.docx", "A 33219-2024")</f>
        <v/>
      </c>
      <c r="W29">
        <f>HYPERLINK("https://klasma.github.io/Logging_0482/klagomålsmail/A 33219-2024 FSC-klagomål mail.docx", "A 33219-2024")</f>
        <v/>
      </c>
      <c r="X29">
        <f>HYPERLINK("https://klasma.github.io/Logging_0482/tillsyn/A 33219-2024 tillsynsbegäran.docx", "A 33219-2024")</f>
        <v/>
      </c>
      <c r="Y29">
        <f>HYPERLINK("https://klasma.github.io/Logging_0482/tillsynsmail/A 33219-2024 tillsynsbegäran mail.docx", "A 33219-2024")</f>
        <v/>
      </c>
    </row>
    <row r="30" ht="15" customHeight="1">
      <c r="A30" t="inlineStr">
        <is>
          <t>A 38898-2024</t>
        </is>
      </c>
      <c r="B30" s="1" t="n">
        <v>45547</v>
      </c>
      <c r="C30" s="1" t="n">
        <v>45875</v>
      </c>
      <c r="D30" t="inlineStr">
        <is>
          <t>SÖDERMANLANDS LÄN</t>
        </is>
      </c>
      <c r="E30" t="inlineStr">
        <is>
          <t>FLEN</t>
        </is>
      </c>
      <c r="G30" t="n">
        <v>6.9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Svart taggsvamp
Blåmossa
Flagellkvastmossa
Gröngöling</t>
        </is>
      </c>
      <c r="S30">
        <f>HYPERLINK("https://klasma.github.io/Logging_0482/artfynd/A 38898-2024 artfynd.xlsx", "A 38898-2024")</f>
        <v/>
      </c>
      <c r="T30">
        <f>HYPERLINK("https://klasma.github.io/Logging_0482/kartor/A 38898-2024 karta.png", "A 38898-2024")</f>
        <v/>
      </c>
      <c r="V30">
        <f>HYPERLINK("https://klasma.github.io/Logging_0482/klagomål/A 38898-2024 FSC-klagomål.docx", "A 38898-2024")</f>
        <v/>
      </c>
      <c r="W30">
        <f>HYPERLINK("https://klasma.github.io/Logging_0482/klagomålsmail/A 38898-2024 FSC-klagomål mail.docx", "A 38898-2024")</f>
        <v/>
      </c>
      <c r="X30">
        <f>HYPERLINK("https://klasma.github.io/Logging_0482/tillsyn/A 38898-2024 tillsynsbegäran.docx", "A 38898-2024")</f>
        <v/>
      </c>
      <c r="Y30">
        <f>HYPERLINK("https://klasma.github.io/Logging_0482/tillsynsmail/A 38898-2024 tillsynsbegäran mail.docx", "A 38898-2024")</f>
        <v/>
      </c>
      <c r="Z30">
        <f>HYPERLINK("https://klasma.github.io/Logging_0482/fåglar/A 38898-2024 prioriterade fågelarter.docx", "A 38898-2024")</f>
        <v/>
      </c>
    </row>
    <row r="31" ht="15" customHeight="1">
      <c r="A31" t="inlineStr">
        <is>
          <t>A 56883-2024</t>
        </is>
      </c>
      <c r="B31" s="1" t="n">
        <v>45625</v>
      </c>
      <c r="C31" s="1" t="n">
        <v>45875</v>
      </c>
      <c r="D31" t="inlineStr">
        <is>
          <t>SÖDERMANLANDS LÄN</t>
        </is>
      </c>
      <c r="E31" t="inlineStr">
        <is>
          <t>FLEN</t>
        </is>
      </c>
      <c r="G31" t="n">
        <v>19.2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Blomkålssvamp
Vanlig snok</t>
        </is>
      </c>
      <c r="S31">
        <f>HYPERLINK("https://klasma.github.io/Logging_0482/artfynd/A 56883-2024 artfynd.xlsx", "A 56883-2024")</f>
        <v/>
      </c>
      <c r="T31">
        <f>HYPERLINK("https://klasma.github.io/Logging_0482/kartor/A 56883-2024 karta.png", "A 56883-2024")</f>
        <v/>
      </c>
      <c r="U31">
        <f>HYPERLINK("https://klasma.github.io/Logging_0482/knärot/A 56883-2024 karta knärot.png", "A 56883-2024")</f>
        <v/>
      </c>
      <c r="V31">
        <f>HYPERLINK("https://klasma.github.io/Logging_0482/klagomål/A 56883-2024 FSC-klagomål.docx", "A 56883-2024")</f>
        <v/>
      </c>
      <c r="W31">
        <f>HYPERLINK("https://klasma.github.io/Logging_0482/klagomålsmail/A 56883-2024 FSC-klagomål mail.docx", "A 56883-2024")</f>
        <v/>
      </c>
      <c r="X31">
        <f>HYPERLINK("https://klasma.github.io/Logging_0482/tillsyn/A 56883-2024 tillsynsbegäran.docx", "A 56883-2024")</f>
        <v/>
      </c>
      <c r="Y31">
        <f>HYPERLINK("https://klasma.github.io/Logging_0482/tillsynsmail/A 56883-2024 tillsynsbegäran mail.docx", "A 56883-2024")</f>
        <v/>
      </c>
    </row>
    <row r="32" ht="15" customHeight="1">
      <c r="A32" t="inlineStr">
        <is>
          <t>A 32744-2025</t>
        </is>
      </c>
      <c r="B32" s="1" t="n">
        <v>45838</v>
      </c>
      <c r="C32" s="1" t="n">
        <v>45875</v>
      </c>
      <c r="D32" t="inlineStr">
        <is>
          <t>SÖDERMANLANDS LÄN</t>
        </is>
      </c>
      <c r="E32" t="inlineStr">
        <is>
          <t>FLEN</t>
        </is>
      </c>
      <c r="G32" t="n">
        <v>1.8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Klasefibbla
Läderskål
Blåsippa
Gullviva</t>
        </is>
      </c>
      <c r="S32">
        <f>HYPERLINK("https://klasma.github.io/Logging_040482/artfynd/A 32744-2025 artfynd.xlsx", "A 32744-2025")</f>
        <v/>
      </c>
      <c r="T32">
        <f>HYPERLINK("https://klasma.github.io/Logging_040482/kartor/A 32744-2025 karta.png", "A 32744-2025")</f>
        <v/>
      </c>
      <c r="V32">
        <f>HYPERLINK("https://klasma.github.io/Logging_040482/klagomål/A 32744-2025 FSC-klagomål.docx", "A 32744-2025")</f>
        <v/>
      </c>
      <c r="W32">
        <f>HYPERLINK("https://klasma.github.io/Logging_040482/klagomålsmail/A 32744-2025 FSC-klagomål mail.docx", "A 32744-2025")</f>
        <v/>
      </c>
      <c r="X32">
        <f>HYPERLINK("https://klasma.github.io/Logging_040482/tillsyn/A 32744-2025 tillsynsbegäran.docx", "A 32744-2025")</f>
        <v/>
      </c>
      <c r="Y32">
        <f>HYPERLINK("https://klasma.github.io/Logging_040482/tillsynsmail/A 32744-2025 tillsynsbegäran mail.docx", "A 32744-2025")</f>
        <v/>
      </c>
    </row>
    <row r="33" ht="15" customHeight="1">
      <c r="A33" t="inlineStr">
        <is>
          <t>A 32889-2019</t>
        </is>
      </c>
      <c r="B33" s="1" t="n">
        <v>43643</v>
      </c>
      <c r="C33" s="1" t="n">
        <v>45875</v>
      </c>
      <c r="D33" t="inlineStr">
        <is>
          <t>SÖDERMANLANDS LÄN</t>
        </is>
      </c>
      <c r="E33" t="inlineStr">
        <is>
          <t>FLEN</t>
        </is>
      </c>
      <c r="G33" t="n">
        <v>16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Svinrot
Underviol</t>
        </is>
      </c>
      <c r="S33">
        <f>HYPERLINK("https://klasma.github.io/Logging_0482/artfynd/A 32889-2019 artfynd.xlsx", "A 32889-2019")</f>
        <v/>
      </c>
      <c r="T33">
        <f>HYPERLINK("https://klasma.github.io/Logging_0482/kartor/A 32889-2019 karta.png", "A 32889-2019")</f>
        <v/>
      </c>
      <c r="V33">
        <f>HYPERLINK("https://klasma.github.io/Logging_0482/klagomål/A 32889-2019 FSC-klagomål.docx", "A 32889-2019")</f>
        <v/>
      </c>
      <c r="W33">
        <f>HYPERLINK("https://klasma.github.io/Logging_0482/klagomålsmail/A 32889-2019 FSC-klagomål mail.docx", "A 32889-2019")</f>
        <v/>
      </c>
      <c r="X33">
        <f>HYPERLINK("https://klasma.github.io/Logging_0482/tillsyn/A 32889-2019 tillsynsbegäran.docx", "A 32889-2019")</f>
        <v/>
      </c>
      <c r="Y33">
        <f>HYPERLINK("https://klasma.github.io/Logging_0482/tillsynsmail/A 32889-2019 tillsynsbegäran mail.docx", "A 32889-2019")</f>
        <v/>
      </c>
    </row>
    <row r="34" ht="15" customHeight="1">
      <c r="A34" t="inlineStr">
        <is>
          <t>A 36133-2019</t>
        </is>
      </c>
      <c r="B34" s="1" t="n">
        <v>43668</v>
      </c>
      <c r="C34" s="1" t="n">
        <v>45875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Svedjenäva
Gullviva</t>
        </is>
      </c>
      <c r="S34">
        <f>HYPERLINK("https://klasma.github.io/Logging_0482/artfynd/A 36133-2019 artfynd.xlsx", "A 36133-2019")</f>
        <v/>
      </c>
      <c r="T34">
        <f>HYPERLINK("https://klasma.github.io/Logging_0482/kartor/A 36133-2019 karta.png", "A 36133-2019")</f>
        <v/>
      </c>
      <c r="V34">
        <f>HYPERLINK("https://klasma.github.io/Logging_0482/klagomål/A 36133-2019 FSC-klagomål.docx", "A 36133-2019")</f>
        <v/>
      </c>
      <c r="W34">
        <f>HYPERLINK("https://klasma.github.io/Logging_0482/klagomålsmail/A 36133-2019 FSC-klagomål mail.docx", "A 36133-2019")</f>
        <v/>
      </c>
      <c r="X34">
        <f>HYPERLINK("https://klasma.github.io/Logging_0482/tillsyn/A 36133-2019 tillsynsbegäran.docx", "A 36133-2019")</f>
        <v/>
      </c>
      <c r="Y34">
        <f>HYPERLINK("https://klasma.github.io/Logging_0482/tillsynsmail/A 36133-2019 tillsynsbegäran mail.docx", "A 36133-2019")</f>
        <v/>
      </c>
    </row>
    <row r="35" ht="15" customHeight="1">
      <c r="A35" t="inlineStr">
        <is>
          <t>A 31870-2020</t>
        </is>
      </c>
      <c r="B35" s="1" t="n">
        <v>44014</v>
      </c>
      <c r="C35" s="1" t="n">
        <v>45875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10.1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Mellanlummer
Gullklöver
Grönpyrola</t>
        </is>
      </c>
      <c r="S35">
        <f>HYPERLINK("https://klasma.github.io/Logging_0482/artfynd/A 31870-2020 artfynd.xlsx", "A 31870-2020")</f>
        <v/>
      </c>
      <c r="T35">
        <f>HYPERLINK("https://klasma.github.io/Logging_0482/kartor/A 31870-2020 karta.png", "A 31870-2020")</f>
        <v/>
      </c>
      <c r="V35">
        <f>HYPERLINK("https://klasma.github.io/Logging_0482/klagomål/A 31870-2020 FSC-klagomål.docx", "A 31870-2020")</f>
        <v/>
      </c>
      <c r="W35">
        <f>HYPERLINK("https://klasma.github.io/Logging_0482/klagomålsmail/A 31870-2020 FSC-klagomål mail.docx", "A 31870-2020")</f>
        <v/>
      </c>
      <c r="X35">
        <f>HYPERLINK("https://klasma.github.io/Logging_0482/tillsyn/A 31870-2020 tillsynsbegäran.docx", "A 31870-2020")</f>
        <v/>
      </c>
      <c r="Y35">
        <f>HYPERLINK("https://klasma.github.io/Logging_0482/tillsynsmail/A 31870-2020 tillsynsbegäran mail.docx", "A 31870-2020")</f>
        <v/>
      </c>
    </row>
    <row r="36" ht="15" customHeight="1">
      <c r="A36" t="inlineStr">
        <is>
          <t>A 2203-2022</t>
        </is>
      </c>
      <c r="B36" s="1" t="n">
        <v>44578</v>
      </c>
      <c r="C36" s="1" t="n">
        <v>45875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2203-2022 artfynd.xlsx", "A 2203-2022")</f>
        <v/>
      </c>
      <c r="T36">
        <f>HYPERLINK("https://klasma.github.io/Logging_0482/kartor/A 2203-2022 karta.png", "A 2203-2022")</f>
        <v/>
      </c>
      <c r="U36">
        <f>HYPERLINK("https://klasma.github.io/Logging_0482/knärot/A 2203-2022 karta knärot.png", "A 2203-2022")</f>
        <v/>
      </c>
      <c r="V36">
        <f>HYPERLINK("https://klasma.github.io/Logging_0482/klagomål/A 2203-2022 FSC-klagomål.docx", "A 2203-2022")</f>
        <v/>
      </c>
      <c r="W36">
        <f>HYPERLINK("https://klasma.github.io/Logging_0482/klagomålsmail/A 2203-2022 FSC-klagomål mail.docx", "A 2203-2022")</f>
        <v/>
      </c>
      <c r="X36">
        <f>HYPERLINK("https://klasma.github.io/Logging_0482/tillsyn/A 2203-2022 tillsynsbegäran.docx", "A 2203-2022")</f>
        <v/>
      </c>
      <c r="Y36">
        <f>HYPERLINK("https://klasma.github.io/Logging_0482/tillsynsmail/A 2203-2022 tillsynsbegäran mail.docx", "A 2203-2022")</f>
        <v/>
      </c>
    </row>
    <row r="37" ht="15" customHeight="1">
      <c r="A37" t="inlineStr">
        <is>
          <t>A 31238-2022</t>
        </is>
      </c>
      <c r="B37" s="1" t="n">
        <v>44771</v>
      </c>
      <c r="C37" s="1" t="n">
        <v>45875</v>
      </c>
      <c r="D37" t="inlineStr">
        <is>
          <t>SÖDERMANLANDS LÄN</t>
        </is>
      </c>
      <c r="E37" t="inlineStr">
        <is>
          <t>FLEN</t>
        </is>
      </c>
      <c r="G37" t="n">
        <v>7.5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Svedjenäva
Svinrot
Skogsbräsma</t>
        </is>
      </c>
      <c r="S37">
        <f>HYPERLINK("https://klasma.github.io/Logging_0482/artfynd/A 31238-2022 artfynd.xlsx", "A 31238-2022")</f>
        <v/>
      </c>
      <c r="T37">
        <f>HYPERLINK("https://klasma.github.io/Logging_0482/kartor/A 31238-2022 karta.png", "A 31238-2022")</f>
        <v/>
      </c>
      <c r="V37">
        <f>HYPERLINK("https://klasma.github.io/Logging_0482/klagomål/A 31238-2022 FSC-klagomål.docx", "A 31238-2022")</f>
        <v/>
      </c>
      <c r="W37">
        <f>HYPERLINK("https://klasma.github.io/Logging_0482/klagomålsmail/A 31238-2022 FSC-klagomål mail.docx", "A 31238-2022")</f>
        <v/>
      </c>
      <c r="X37">
        <f>HYPERLINK("https://klasma.github.io/Logging_0482/tillsyn/A 31238-2022 tillsynsbegäran.docx", "A 31238-2022")</f>
        <v/>
      </c>
      <c r="Y37">
        <f>HYPERLINK("https://klasma.github.io/Logging_0482/tillsynsmail/A 31238-2022 tillsynsbegäran mail.docx", "A 31238-2022")</f>
        <v/>
      </c>
    </row>
    <row r="38" ht="15" customHeight="1">
      <c r="A38" t="inlineStr">
        <is>
          <t>A 54724-2022</t>
        </is>
      </c>
      <c r="B38" s="1" t="n">
        <v>44881</v>
      </c>
      <c r="C38" s="1" t="n">
        <v>45875</v>
      </c>
      <c r="D38" t="inlineStr">
        <is>
          <t>SÖDERMANLANDS LÄN</t>
        </is>
      </c>
      <c r="E38" t="inlineStr">
        <is>
          <t>FLEN</t>
        </is>
      </c>
      <c r="G38" t="n">
        <v>11.6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Gullklöver
Svinrot
Underviol</t>
        </is>
      </c>
      <c r="S38">
        <f>HYPERLINK("https://klasma.github.io/Logging_0482/artfynd/A 54724-2022 artfynd.xlsx", "A 54724-2022")</f>
        <v/>
      </c>
      <c r="T38">
        <f>HYPERLINK("https://klasma.github.io/Logging_0482/kartor/A 54724-2022 karta.png", "A 54724-2022")</f>
        <v/>
      </c>
      <c r="V38">
        <f>HYPERLINK("https://klasma.github.io/Logging_0482/klagomål/A 54724-2022 FSC-klagomål.docx", "A 54724-2022")</f>
        <v/>
      </c>
      <c r="W38">
        <f>HYPERLINK("https://klasma.github.io/Logging_0482/klagomålsmail/A 54724-2022 FSC-klagomål mail.docx", "A 54724-2022")</f>
        <v/>
      </c>
      <c r="X38">
        <f>HYPERLINK("https://klasma.github.io/Logging_0482/tillsyn/A 54724-2022 tillsynsbegäran.docx", "A 54724-2022")</f>
        <v/>
      </c>
      <c r="Y38">
        <f>HYPERLINK("https://klasma.github.io/Logging_0482/tillsynsmail/A 54724-2022 tillsynsbegäran mail.docx", "A 54724-2022")</f>
        <v/>
      </c>
    </row>
    <row r="39" ht="15" customHeight="1">
      <c r="A39" t="inlineStr">
        <is>
          <t>A 59265-2022</t>
        </is>
      </c>
      <c r="B39" s="1" t="n">
        <v>44897</v>
      </c>
      <c r="C39" s="1" t="n">
        <v>45875</v>
      </c>
      <c r="D39" t="inlineStr">
        <is>
          <t>SÖDERMANLANDS LÄN</t>
        </is>
      </c>
      <c r="E39" t="inlineStr">
        <is>
          <t>FLEN</t>
        </is>
      </c>
      <c r="G39" t="n">
        <v>14.1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Svinrot
Blåsippa</t>
        </is>
      </c>
      <c r="S39">
        <f>HYPERLINK("https://klasma.github.io/Logging_0482/artfynd/A 59265-2022 artfynd.xlsx", "A 59265-2022")</f>
        <v/>
      </c>
      <c r="T39">
        <f>HYPERLINK("https://klasma.github.io/Logging_0482/kartor/A 59265-2022 karta.png", "A 59265-2022")</f>
        <v/>
      </c>
      <c r="V39">
        <f>HYPERLINK("https://klasma.github.io/Logging_0482/klagomål/A 59265-2022 FSC-klagomål.docx", "A 59265-2022")</f>
        <v/>
      </c>
      <c r="W39">
        <f>HYPERLINK("https://klasma.github.io/Logging_0482/klagomålsmail/A 59265-2022 FSC-klagomål mail.docx", "A 59265-2022")</f>
        <v/>
      </c>
      <c r="X39">
        <f>HYPERLINK("https://klasma.github.io/Logging_0482/tillsyn/A 59265-2022 tillsynsbegäran.docx", "A 59265-2022")</f>
        <v/>
      </c>
      <c r="Y39">
        <f>HYPERLINK("https://klasma.github.io/Logging_0482/tillsynsmail/A 59265-2022 tillsynsbegäran mail.docx", "A 59265-2022")</f>
        <v/>
      </c>
    </row>
    <row r="40" ht="15" customHeight="1">
      <c r="A40" t="inlineStr">
        <is>
          <t>A 4551-2023</t>
        </is>
      </c>
      <c r="B40" s="1" t="n">
        <v>44956</v>
      </c>
      <c r="C40" s="1" t="n">
        <v>45875</v>
      </c>
      <c r="D40" t="inlineStr">
        <is>
          <t>SÖDERMANLANDS LÄN</t>
        </is>
      </c>
      <c r="E40" t="inlineStr">
        <is>
          <t>FLEN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Krusfrö
Större vattensalamander</t>
        </is>
      </c>
      <c r="S40">
        <f>HYPERLINK("https://klasma.github.io/Logging_0482/artfynd/A 4551-2023 artfynd.xlsx", "A 4551-2023")</f>
        <v/>
      </c>
      <c r="T40">
        <f>HYPERLINK("https://klasma.github.io/Logging_0482/kartor/A 4551-2023 karta.png", "A 4551-2023")</f>
        <v/>
      </c>
      <c r="V40">
        <f>HYPERLINK("https://klasma.github.io/Logging_0482/klagomål/A 4551-2023 FSC-klagomål.docx", "A 4551-2023")</f>
        <v/>
      </c>
      <c r="W40">
        <f>HYPERLINK("https://klasma.github.io/Logging_0482/klagomålsmail/A 4551-2023 FSC-klagomål mail.docx", "A 4551-2023")</f>
        <v/>
      </c>
      <c r="X40">
        <f>HYPERLINK("https://klasma.github.io/Logging_0482/tillsyn/A 4551-2023 tillsynsbegäran.docx", "A 4551-2023")</f>
        <v/>
      </c>
      <c r="Y40">
        <f>HYPERLINK("https://klasma.github.io/Logging_0482/tillsynsmail/A 4551-2023 tillsynsbegäran mail.docx", "A 4551-2023")</f>
        <v/>
      </c>
    </row>
    <row r="41" ht="15" customHeight="1">
      <c r="A41" t="inlineStr">
        <is>
          <t>A 10107-2023</t>
        </is>
      </c>
      <c r="B41" s="1" t="n">
        <v>44986</v>
      </c>
      <c r="C41" s="1" t="n">
        <v>45875</v>
      </c>
      <c r="D41" t="inlineStr">
        <is>
          <t>SÖDERMANLANDS LÄN</t>
        </is>
      </c>
      <c r="E41" t="inlineStr">
        <is>
          <t>FLEN</t>
        </is>
      </c>
      <c r="G41" t="n">
        <v>21.1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Bombmurkla
Svedjenäva
Mattlummer</t>
        </is>
      </c>
      <c r="S41">
        <f>HYPERLINK("https://klasma.github.io/Logging_0482/artfynd/A 10107-2023 artfynd.xlsx", "A 10107-2023")</f>
        <v/>
      </c>
      <c r="T41">
        <f>HYPERLINK("https://klasma.github.io/Logging_0482/kartor/A 10107-2023 karta.png", "A 10107-2023")</f>
        <v/>
      </c>
      <c r="V41">
        <f>HYPERLINK("https://klasma.github.io/Logging_0482/klagomål/A 10107-2023 FSC-klagomål.docx", "A 10107-2023")</f>
        <v/>
      </c>
      <c r="W41">
        <f>HYPERLINK("https://klasma.github.io/Logging_0482/klagomålsmail/A 10107-2023 FSC-klagomål mail.docx", "A 10107-2023")</f>
        <v/>
      </c>
      <c r="X41">
        <f>HYPERLINK("https://klasma.github.io/Logging_0482/tillsyn/A 10107-2023 tillsynsbegäran.docx", "A 10107-2023")</f>
        <v/>
      </c>
      <c r="Y41">
        <f>HYPERLINK("https://klasma.github.io/Logging_0482/tillsynsmail/A 10107-2023 tillsynsbegäran mail.docx", "A 10107-2023")</f>
        <v/>
      </c>
    </row>
    <row r="42" ht="15" customHeight="1">
      <c r="A42" t="inlineStr">
        <is>
          <t>A 13230-2023</t>
        </is>
      </c>
      <c r="B42" s="1" t="n">
        <v>45002</v>
      </c>
      <c r="C42" s="1" t="n">
        <v>45875</v>
      </c>
      <c r="D42" t="inlineStr">
        <is>
          <t>SÖDERMANLANDS LÄN</t>
        </is>
      </c>
      <c r="E42" t="inlineStr">
        <is>
          <t>FLEN</t>
        </is>
      </c>
      <c r="F42" t="inlineStr">
        <is>
          <t>Kommuner</t>
        </is>
      </c>
      <c r="G42" t="n">
        <v>7.8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Källpraktmossa
Stor aspticka
Blåsippa</t>
        </is>
      </c>
      <c r="S42">
        <f>HYPERLINK("https://klasma.github.io/Logging_0482/artfynd/A 13230-2023 artfynd.xlsx", "A 13230-2023")</f>
        <v/>
      </c>
      <c r="T42">
        <f>HYPERLINK("https://klasma.github.io/Logging_0482/kartor/A 13230-2023 karta.png", "A 13230-2023")</f>
        <v/>
      </c>
      <c r="V42">
        <f>HYPERLINK("https://klasma.github.io/Logging_0482/klagomål/A 13230-2023 FSC-klagomål.docx", "A 13230-2023")</f>
        <v/>
      </c>
      <c r="W42">
        <f>HYPERLINK("https://klasma.github.io/Logging_0482/klagomålsmail/A 13230-2023 FSC-klagomål mail.docx", "A 13230-2023")</f>
        <v/>
      </c>
      <c r="X42">
        <f>HYPERLINK("https://klasma.github.io/Logging_0482/tillsyn/A 13230-2023 tillsynsbegäran.docx", "A 13230-2023")</f>
        <v/>
      </c>
      <c r="Y42">
        <f>HYPERLINK("https://klasma.github.io/Logging_0482/tillsynsmail/A 13230-2023 tillsynsbegäran mail.docx", "A 13230-2023")</f>
        <v/>
      </c>
    </row>
    <row r="43" ht="15" customHeight="1">
      <c r="A43" t="inlineStr">
        <is>
          <t>A 29138-2023</t>
        </is>
      </c>
      <c r="B43" s="1" t="n">
        <v>45105</v>
      </c>
      <c r="C43" s="1" t="n">
        <v>45875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3.9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Stare
Talltita
Revlummer</t>
        </is>
      </c>
      <c r="S43">
        <f>HYPERLINK("https://klasma.github.io/Logging_0482/artfynd/A 29138-2023 artfynd.xlsx", "A 29138-2023")</f>
        <v/>
      </c>
      <c r="T43">
        <f>HYPERLINK("https://klasma.github.io/Logging_0482/kartor/A 29138-2023 karta.png", "A 29138-2023")</f>
        <v/>
      </c>
      <c r="V43">
        <f>HYPERLINK("https://klasma.github.io/Logging_0482/klagomål/A 29138-2023 FSC-klagomål.docx", "A 29138-2023")</f>
        <v/>
      </c>
      <c r="W43">
        <f>HYPERLINK("https://klasma.github.io/Logging_0482/klagomålsmail/A 29138-2023 FSC-klagomål mail.docx", "A 29138-2023")</f>
        <v/>
      </c>
      <c r="X43">
        <f>HYPERLINK("https://klasma.github.io/Logging_0482/tillsyn/A 29138-2023 tillsynsbegäran.docx", "A 29138-2023")</f>
        <v/>
      </c>
      <c r="Y43">
        <f>HYPERLINK("https://klasma.github.io/Logging_0482/tillsynsmail/A 29138-2023 tillsynsbegäran mail.docx", "A 29138-2023")</f>
        <v/>
      </c>
      <c r="Z43">
        <f>HYPERLINK("https://klasma.github.io/Logging_0482/fåglar/A 29138-2023 prioriterade fågelarter.docx", "A 29138-2023")</f>
        <v/>
      </c>
    </row>
    <row r="44" ht="15" customHeight="1">
      <c r="A44" t="inlineStr">
        <is>
          <t>A 34985-2023</t>
        </is>
      </c>
      <c r="B44" s="1" t="n">
        <v>45142</v>
      </c>
      <c r="C44" s="1" t="n">
        <v>45875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2.8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HYPERLINK("https://klasma.github.io/Logging_0482/artfynd/A 34985-2023 artfynd.xlsx", "A 34985-2023")</f>
        <v/>
      </c>
      <c r="T44">
        <f>HYPERLINK("https://klasma.github.io/Logging_0482/kartor/A 34985-2023 karta.png", "A 34985-2023")</f>
        <v/>
      </c>
      <c r="U44">
        <f>HYPERLINK("https://klasma.github.io/Logging_0482/knärot/A 34985-2023 karta knärot.png", "A 34985-2023")</f>
        <v/>
      </c>
      <c r="V44">
        <f>HYPERLINK("https://klasma.github.io/Logging_0482/klagomål/A 34985-2023 FSC-klagomål.docx", "A 34985-2023")</f>
        <v/>
      </c>
      <c r="W44">
        <f>HYPERLINK("https://klasma.github.io/Logging_0482/klagomålsmail/A 34985-2023 FSC-klagomål mail.docx", "A 34985-2023")</f>
        <v/>
      </c>
      <c r="X44">
        <f>HYPERLINK("https://klasma.github.io/Logging_0482/tillsyn/A 34985-2023 tillsynsbegäran.docx", "A 34985-2023")</f>
        <v/>
      </c>
      <c r="Y44">
        <f>HYPERLINK("https://klasma.github.io/Logging_0482/tillsynsmail/A 34985-2023 tillsynsbegäran mail.docx", "A 34985-2023")</f>
        <v/>
      </c>
    </row>
    <row r="45" ht="15" customHeight="1">
      <c r="A45" t="inlineStr">
        <is>
          <t>A 52653-2024</t>
        </is>
      </c>
      <c r="B45" s="1" t="n">
        <v>45610</v>
      </c>
      <c r="C45" s="1" t="n">
        <v>45875</v>
      </c>
      <c r="D45" t="inlineStr">
        <is>
          <t>SÖDERMANLANDS LÄN</t>
        </is>
      </c>
      <c r="E45" t="inlineStr">
        <is>
          <t>FLEN</t>
        </is>
      </c>
      <c r="G45" t="n">
        <v>5.6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Fyrflikig jordstjärna
Blodticka
Blåsippa</t>
        </is>
      </c>
      <c r="S45">
        <f>HYPERLINK("https://klasma.github.io/Logging_0482/artfynd/A 52653-2024 artfynd.xlsx", "A 52653-2024")</f>
        <v/>
      </c>
      <c r="T45">
        <f>HYPERLINK("https://klasma.github.io/Logging_0482/kartor/A 52653-2024 karta.png", "A 52653-2024")</f>
        <v/>
      </c>
      <c r="V45">
        <f>HYPERLINK("https://klasma.github.io/Logging_0482/klagomål/A 52653-2024 FSC-klagomål.docx", "A 52653-2024")</f>
        <v/>
      </c>
      <c r="W45">
        <f>HYPERLINK("https://klasma.github.io/Logging_0482/klagomålsmail/A 52653-2024 FSC-klagomål mail.docx", "A 52653-2024")</f>
        <v/>
      </c>
      <c r="X45">
        <f>HYPERLINK("https://klasma.github.io/Logging_0482/tillsyn/A 52653-2024 tillsynsbegäran.docx", "A 52653-2024")</f>
        <v/>
      </c>
      <c r="Y45">
        <f>HYPERLINK("https://klasma.github.io/Logging_0482/tillsynsmail/A 52653-2024 tillsynsbegäran mail.docx", "A 52653-2024")</f>
        <v/>
      </c>
    </row>
    <row r="46" ht="15" customHeight="1">
      <c r="A46" t="inlineStr">
        <is>
          <t>A 1148-2025</t>
        </is>
      </c>
      <c r="B46" s="1" t="n">
        <v>45666</v>
      </c>
      <c r="C46" s="1" t="n">
        <v>45875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Svedjenäva
Huggorm
Grönvit nattviol</t>
        </is>
      </c>
      <c r="S46">
        <f>HYPERLINK("https://klasma.github.io/Logging_0482/artfynd/A 1148-2025 artfynd.xlsx", "A 1148-2025")</f>
        <v/>
      </c>
      <c r="T46">
        <f>HYPERLINK("https://klasma.github.io/Logging_0482/kartor/A 1148-2025 karta.png", "A 1148-2025")</f>
        <v/>
      </c>
      <c r="V46">
        <f>HYPERLINK("https://klasma.github.io/Logging_0482/klagomål/A 1148-2025 FSC-klagomål.docx", "A 1148-2025")</f>
        <v/>
      </c>
      <c r="W46">
        <f>HYPERLINK("https://klasma.github.io/Logging_0482/klagomålsmail/A 1148-2025 FSC-klagomål mail.docx", "A 1148-2025")</f>
        <v/>
      </c>
      <c r="X46">
        <f>HYPERLINK("https://klasma.github.io/Logging_0482/tillsyn/A 1148-2025 tillsynsbegäran.docx", "A 1148-2025")</f>
        <v/>
      </c>
      <c r="Y46">
        <f>HYPERLINK("https://klasma.github.io/Logging_0482/tillsynsmail/A 1148-2025 tillsynsbegäran mail.docx", "A 1148-2025")</f>
        <v/>
      </c>
    </row>
    <row r="47" ht="15" customHeight="1">
      <c r="A47" t="inlineStr">
        <is>
          <t>A 1149-2025</t>
        </is>
      </c>
      <c r="B47" s="1" t="n">
        <v>45666</v>
      </c>
      <c r="C47" s="1" t="n">
        <v>45875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Leptoporus erubescens
Grönpyrola
Kamjordstjärna</t>
        </is>
      </c>
      <c r="S47">
        <f>HYPERLINK("https://klasma.github.io/Logging_0482/artfynd/A 1149-2025 artfynd.xlsx", "A 1149-2025")</f>
        <v/>
      </c>
      <c r="T47">
        <f>HYPERLINK("https://klasma.github.io/Logging_0482/kartor/A 1149-2025 karta.png", "A 1149-2025")</f>
        <v/>
      </c>
      <c r="V47">
        <f>HYPERLINK("https://klasma.github.io/Logging_0482/klagomål/A 1149-2025 FSC-klagomål.docx", "A 1149-2025")</f>
        <v/>
      </c>
      <c r="W47">
        <f>HYPERLINK("https://klasma.github.io/Logging_0482/klagomålsmail/A 1149-2025 FSC-klagomål mail.docx", "A 1149-2025")</f>
        <v/>
      </c>
      <c r="X47">
        <f>HYPERLINK("https://klasma.github.io/Logging_0482/tillsyn/A 1149-2025 tillsynsbegäran.docx", "A 1149-2025")</f>
        <v/>
      </c>
      <c r="Y47">
        <f>HYPERLINK("https://klasma.github.io/Logging_0482/tillsynsmail/A 1149-2025 tillsynsbegäran mail.docx", "A 1149-2025")</f>
        <v/>
      </c>
    </row>
    <row r="48" ht="15" customHeight="1">
      <c r="A48" t="inlineStr">
        <is>
          <t>A 3161-2025</t>
        </is>
      </c>
      <c r="B48" s="1" t="n">
        <v>45679</v>
      </c>
      <c r="C48" s="1" t="n">
        <v>45875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7.1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Brandticka
Kambräken
Mattlummer</t>
        </is>
      </c>
      <c r="S48">
        <f>HYPERLINK("https://klasma.github.io/Logging_0482/artfynd/A 3161-2025 artfynd.xlsx", "A 3161-2025")</f>
        <v/>
      </c>
      <c r="T48">
        <f>HYPERLINK("https://klasma.github.io/Logging_0482/kartor/A 3161-2025 karta.png", "A 3161-2025")</f>
        <v/>
      </c>
      <c r="V48">
        <f>HYPERLINK("https://klasma.github.io/Logging_0482/klagomål/A 3161-2025 FSC-klagomål.docx", "A 3161-2025")</f>
        <v/>
      </c>
      <c r="W48">
        <f>HYPERLINK("https://klasma.github.io/Logging_0482/klagomålsmail/A 3161-2025 FSC-klagomål mail.docx", "A 3161-2025")</f>
        <v/>
      </c>
      <c r="X48">
        <f>HYPERLINK("https://klasma.github.io/Logging_0482/tillsyn/A 3161-2025 tillsynsbegäran.docx", "A 3161-2025")</f>
        <v/>
      </c>
      <c r="Y48">
        <f>HYPERLINK("https://klasma.github.io/Logging_0482/tillsynsmail/A 3161-2025 tillsynsbegäran mail.docx", "A 3161-2025")</f>
        <v/>
      </c>
    </row>
    <row r="49" ht="15" customHeight="1">
      <c r="A49" t="inlineStr">
        <is>
          <t>A 3159-2025</t>
        </is>
      </c>
      <c r="B49" s="1" t="n">
        <v>45679</v>
      </c>
      <c r="C49" s="1" t="n">
        <v>45875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7.1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Brandticka
Kambräken
Mattlummer</t>
        </is>
      </c>
      <c r="S49">
        <f>HYPERLINK("https://klasma.github.io/Logging_0482/artfynd/A 3159-2025 artfynd.xlsx", "A 3159-2025")</f>
        <v/>
      </c>
      <c r="T49">
        <f>HYPERLINK("https://klasma.github.io/Logging_0482/kartor/A 3159-2025 karta.png", "A 3159-2025")</f>
        <v/>
      </c>
      <c r="V49">
        <f>HYPERLINK("https://klasma.github.io/Logging_0482/klagomål/A 3159-2025 FSC-klagomål.docx", "A 3159-2025")</f>
        <v/>
      </c>
      <c r="W49">
        <f>HYPERLINK("https://klasma.github.io/Logging_0482/klagomålsmail/A 3159-2025 FSC-klagomål mail.docx", "A 3159-2025")</f>
        <v/>
      </c>
      <c r="X49">
        <f>HYPERLINK("https://klasma.github.io/Logging_0482/tillsyn/A 3159-2025 tillsynsbegäran.docx", "A 3159-2025")</f>
        <v/>
      </c>
      <c r="Y49">
        <f>HYPERLINK("https://klasma.github.io/Logging_0482/tillsynsmail/A 3159-2025 tillsynsbegäran mail.docx", "A 3159-2025")</f>
        <v/>
      </c>
    </row>
    <row r="50" ht="15" customHeight="1">
      <c r="A50" t="inlineStr">
        <is>
          <t>A 35023-2019</t>
        </is>
      </c>
      <c r="B50" s="1" t="n">
        <v>43661</v>
      </c>
      <c r="C50" s="1" t="n">
        <v>45875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Gullklöver
Nattviol</t>
        </is>
      </c>
      <c r="S50">
        <f>HYPERLINK("https://klasma.github.io/Logging_0482/artfynd/A 35023-2019 artfynd.xlsx", "A 35023-2019")</f>
        <v/>
      </c>
      <c r="T50">
        <f>HYPERLINK("https://klasma.github.io/Logging_0482/kartor/A 35023-2019 karta.png", "A 35023-2019")</f>
        <v/>
      </c>
      <c r="V50">
        <f>HYPERLINK("https://klasma.github.io/Logging_0482/klagomål/A 35023-2019 FSC-klagomål.docx", "A 35023-2019")</f>
        <v/>
      </c>
      <c r="W50">
        <f>HYPERLINK("https://klasma.github.io/Logging_0482/klagomålsmail/A 35023-2019 FSC-klagomål mail.docx", "A 35023-2019")</f>
        <v/>
      </c>
      <c r="X50">
        <f>HYPERLINK("https://klasma.github.io/Logging_0482/tillsyn/A 35023-2019 tillsynsbegäran.docx", "A 35023-2019")</f>
        <v/>
      </c>
      <c r="Y50">
        <f>HYPERLINK("https://klasma.github.io/Logging_0482/tillsynsmail/A 35023-2019 tillsynsbegäran mail.docx", "A 35023-2019")</f>
        <v/>
      </c>
    </row>
    <row r="51" ht="15" customHeight="1">
      <c r="A51" t="inlineStr">
        <is>
          <t>A 43373-2019</t>
        </is>
      </c>
      <c r="B51" s="1" t="n">
        <v>43703</v>
      </c>
      <c r="C51" s="1" t="n">
        <v>45875</v>
      </c>
      <c r="D51" t="inlineStr">
        <is>
          <t>SÖDERMANLANDS LÄN</t>
        </is>
      </c>
      <c r="E51" t="inlineStr">
        <is>
          <t>FLEN</t>
        </is>
      </c>
      <c r="G51" t="n">
        <v>10.5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Gullviva</t>
        </is>
      </c>
      <c r="S51">
        <f>HYPERLINK("https://klasma.github.io/Logging_0482/artfynd/A 43373-2019 artfynd.xlsx", "A 43373-2019")</f>
        <v/>
      </c>
      <c r="T51">
        <f>HYPERLINK("https://klasma.github.io/Logging_0482/kartor/A 43373-2019 karta.png", "A 43373-2019")</f>
        <v/>
      </c>
      <c r="V51">
        <f>HYPERLINK("https://klasma.github.io/Logging_0482/klagomål/A 43373-2019 FSC-klagomål.docx", "A 43373-2019")</f>
        <v/>
      </c>
      <c r="W51">
        <f>HYPERLINK("https://klasma.github.io/Logging_0482/klagomålsmail/A 43373-2019 FSC-klagomål mail.docx", "A 43373-2019")</f>
        <v/>
      </c>
      <c r="X51">
        <f>HYPERLINK("https://klasma.github.io/Logging_0482/tillsyn/A 43373-2019 tillsynsbegäran.docx", "A 43373-2019")</f>
        <v/>
      </c>
      <c r="Y51">
        <f>HYPERLINK("https://klasma.github.io/Logging_0482/tillsynsmail/A 43373-2019 tillsynsbegäran mail.docx", "A 43373-2019")</f>
        <v/>
      </c>
    </row>
    <row r="52" ht="15" customHeight="1">
      <c r="A52" t="inlineStr">
        <is>
          <t>A 45347-2020</t>
        </is>
      </c>
      <c r="B52" s="1" t="n">
        <v>44085</v>
      </c>
      <c r="C52" s="1" t="n">
        <v>45875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Grönvit nattviol</t>
        </is>
      </c>
      <c r="S52">
        <f>HYPERLINK("https://klasma.github.io/Logging_0482/artfynd/A 45347-2020 artfynd.xlsx", "A 45347-2020")</f>
        <v/>
      </c>
      <c r="T52">
        <f>HYPERLINK("https://klasma.github.io/Logging_0482/kartor/A 45347-2020 karta.png", "A 45347-2020")</f>
        <v/>
      </c>
      <c r="V52">
        <f>HYPERLINK("https://klasma.github.io/Logging_0482/klagomål/A 45347-2020 FSC-klagomål.docx", "A 45347-2020")</f>
        <v/>
      </c>
      <c r="W52">
        <f>HYPERLINK("https://klasma.github.io/Logging_0482/klagomålsmail/A 45347-2020 FSC-klagomål mail.docx", "A 45347-2020")</f>
        <v/>
      </c>
      <c r="X52">
        <f>HYPERLINK("https://klasma.github.io/Logging_0482/tillsyn/A 45347-2020 tillsynsbegäran.docx", "A 45347-2020")</f>
        <v/>
      </c>
      <c r="Y52">
        <f>HYPERLINK("https://klasma.github.io/Logging_0482/tillsynsmail/A 45347-2020 tillsynsbegäran mail.docx", "A 45347-2020")</f>
        <v/>
      </c>
    </row>
    <row r="53" ht="15" customHeight="1">
      <c r="A53" t="inlineStr">
        <is>
          <t>A 38882-2021</t>
        </is>
      </c>
      <c r="B53" s="1" t="n">
        <v>44411</v>
      </c>
      <c r="C53" s="1" t="n">
        <v>45875</v>
      </c>
      <c r="D53" t="inlineStr">
        <is>
          <t>SÖDERMANLANDS LÄN</t>
        </is>
      </c>
      <c r="E53" t="inlineStr">
        <is>
          <t>FLEN</t>
        </is>
      </c>
      <c r="G53" t="n">
        <v>3.4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HYPERLINK("https://klasma.github.io/Logging_0482/artfynd/A 38882-2021 artfynd.xlsx", "A 38882-2021")</f>
        <v/>
      </c>
      <c r="T53">
        <f>HYPERLINK("https://klasma.github.io/Logging_0482/kartor/A 38882-2021 karta.png", "A 38882-2021")</f>
        <v/>
      </c>
      <c r="U53">
        <f>HYPERLINK("https://klasma.github.io/Logging_0482/knärot/A 38882-2021 karta knärot.png", "A 38882-2021")</f>
        <v/>
      </c>
      <c r="V53">
        <f>HYPERLINK("https://klasma.github.io/Logging_0482/klagomål/A 38882-2021 FSC-klagomål.docx", "A 38882-2021")</f>
        <v/>
      </c>
      <c r="W53">
        <f>HYPERLINK("https://klasma.github.io/Logging_0482/klagomålsmail/A 38882-2021 FSC-klagomål mail.docx", "A 38882-2021")</f>
        <v/>
      </c>
      <c r="X53">
        <f>HYPERLINK("https://klasma.github.io/Logging_0482/tillsyn/A 38882-2021 tillsynsbegäran.docx", "A 38882-2021")</f>
        <v/>
      </c>
      <c r="Y53">
        <f>HYPERLINK("https://klasma.github.io/Logging_0482/tillsynsmail/A 38882-2021 tillsynsbegäran mail.docx", "A 38882-2021")</f>
        <v/>
      </c>
    </row>
    <row r="54" ht="15" customHeight="1">
      <c r="A54" t="inlineStr">
        <is>
          <t>A 60251-2021</t>
        </is>
      </c>
      <c r="B54" s="1" t="n">
        <v>44495</v>
      </c>
      <c r="C54" s="1" t="n">
        <v>45875</v>
      </c>
      <c r="D54" t="inlineStr">
        <is>
          <t>SÖDERMANLANDS LÄN</t>
        </is>
      </c>
      <c r="E54" t="inlineStr">
        <is>
          <t>FLEN</t>
        </is>
      </c>
      <c r="G54" t="n">
        <v>2.7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Slåttergubbe
Klasefibbla</t>
        </is>
      </c>
      <c r="S54">
        <f>HYPERLINK("https://klasma.github.io/Logging_0482/artfynd/A 60251-2021 artfynd.xlsx", "A 60251-2021")</f>
        <v/>
      </c>
      <c r="T54">
        <f>HYPERLINK("https://klasma.github.io/Logging_0482/kartor/A 60251-2021 karta.png", "A 60251-2021")</f>
        <v/>
      </c>
      <c r="U54">
        <f>HYPERLINK("https://klasma.github.io/Logging_0482/knärot/A 60251-2021 karta knärot.png", "A 60251-2021")</f>
        <v/>
      </c>
      <c r="V54">
        <f>HYPERLINK("https://klasma.github.io/Logging_0482/klagomål/A 60251-2021 FSC-klagomål.docx", "A 60251-2021")</f>
        <v/>
      </c>
      <c r="W54">
        <f>HYPERLINK("https://klasma.github.io/Logging_0482/klagomålsmail/A 60251-2021 FSC-klagomål mail.docx", "A 60251-2021")</f>
        <v/>
      </c>
      <c r="X54">
        <f>HYPERLINK("https://klasma.github.io/Logging_0482/tillsyn/A 60251-2021 tillsynsbegäran.docx", "A 60251-2021")</f>
        <v/>
      </c>
      <c r="Y54">
        <f>HYPERLINK("https://klasma.github.io/Logging_0482/tillsynsmail/A 60251-2021 tillsynsbegäran mail.docx", "A 60251-2021")</f>
        <v/>
      </c>
    </row>
    <row r="55" ht="15" customHeight="1">
      <c r="A55" t="inlineStr">
        <is>
          <t>A 5859-2022</t>
        </is>
      </c>
      <c r="B55" s="1" t="n">
        <v>44596</v>
      </c>
      <c r="C55" s="1" t="n">
        <v>45875</v>
      </c>
      <c r="D55" t="inlineStr">
        <is>
          <t>SÖDERMANLANDS LÄN</t>
        </is>
      </c>
      <c r="E55" t="inlineStr">
        <is>
          <t>FLEN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HYPERLINK("https://klasma.github.io/Logging_0482/artfynd/A 5859-2022 artfynd.xlsx", "A 5859-2022")</f>
        <v/>
      </c>
      <c r="T55">
        <f>HYPERLINK("https://klasma.github.io/Logging_0482/kartor/A 5859-2022 karta.png", "A 5859-2022")</f>
        <v/>
      </c>
      <c r="V55">
        <f>HYPERLINK("https://klasma.github.io/Logging_0482/klagomål/A 5859-2022 FSC-klagomål.docx", "A 5859-2022")</f>
        <v/>
      </c>
      <c r="W55">
        <f>HYPERLINK("https://klasma.github.io/Logging_0482/klagomålsmail/A 5859-2022 FSC-klagomål mail.docx", "A 5859-2022")</f>
        <v/>
      </c>
      <c r="X55">
        <f>HYPERLINK("https://klasma.github.io/Logging_0482/tillsyn/A 5859-2022 tillsynsbegäran.docx", "A 5859-2022")</f>
        <v/>
      </c>
      <c r="Y55">
        <f>HYPERLINK("https://klasma.github.io/Logging_0482/tillsynsmail/A 5859-2022 tillsynsbegäran mail.docx", "A 5859-2022")</f>
        <v/>
      </c>
    </row>
    <row r="56" ht="15" customHeight="1">
      <c r="A56" t="inlineStr">
        <is>
          <t>A 10825-2022</t>
        </is>
      </c>
      <c r="B56" s="1" t="n">
        <v>44624</v>
      </c>
      <c r="C56" s="1" t="n">
        <v>45875</v>
      </c>
      <c r="D56" t="inlineStr">
        <is>
          <t>SÖDERMANLANDS LÄN</t>
        </is>
      </c>
      <c r="E56" t="inlineStr">
        <is>
          <t>FLEN</t>
        </is>
      </c>
      <c r="G56" t="n">
        <v>4.7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Vanlig backsmörblomma</t>
        </is>
      </c>
      <c r="S56">
        <f>HYPERLINK("https://klasma.github.io/Logging_0482/artfynd/A 10825-2022 artfynd.xlsx", "A 10825-2022")</f>
        <v/>
      </c>
      <c r="T56">
        <f>HYPERLINK("https://klasma.github.io/Logging_0482/kartor/A 10825-2022 karta.png", "A 10825-2022")</f>
        <v/>
      </c>
      <c r="V56">
        <f>HYPERLINK("https://klasma.github.io/Logging_0482/klagomål/A 10825-2022 FSC-klagomål.docx", "A 10825-2022")</f>
        <v/>
      </c>
      <c r="W56">
        <f>HYPERLINK("https://klasma.github.io/Logging_0482/klagomålsmail/A 10825-2022 FSC-klagomål mail.docx", "A 10825-2022")</f>
        <v/>
      </c>
      <c r="X56">
        <f>HYPERLINK("https://klasma.github.io/Logging_0482/tillsyn/A 10825-2022 tillsynsbegäran.docx", "A 10825-2022")</f>
        <v/>
      </c>
      <c r="Y56">
        <f>HYPERLINK("https://klasma.github.io/Logging_0482/tillsynsmail/A 10825-2022 tillsynsbegäran mail.docx", "A 10825-2022")</f>
        <v/>
      </c>
    </row>
    <row r="57" ht="15" customHeight="1">
      <c r="A57" t="inlineStr">
        <is>
          <t>A 22743-2022</t>
        </is>
      </c>
      <c r="B57" s="1" t="n">
        <v>44714</v>
      </c>
      <c r="C57" s="1" t="n">
        <v>45875</v>
      </c>
      <c r="D57" t="inlineStr">
        <is>
          <t>SÖDERMANLANDS LÄN</t>
        </is>
      </c>
      <c r="E57" t="inlineStr">
        <is>
          <t>FLEN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Tretåig hackspett
Grön sköldmossa</t>
        </is>
      </c>
      <c r="S57">
        <f>HYPERLINK("https://klasma.github.io/Logging_0482/artfynd/A 22743-2022 artfynd.xlsx", "A 22743-2022")</f>
        <v/>
      </c>
      <c r="T57">
        <f>HYPERLINK("https://klasma.github.io/Logging_0482/kartor/A 22743-2022 karta.png", "A 22743-2022")</f>
        <v/>
      </c>
      <c r="V57">
        <f>HYPERLINK("https://klasma.github.io/Logging_0482/klagomål/A 22743-2022 FSC-klagomål.docx", "A 22743-2022")</f>
        <v/>
      </c>
      <c r="W57">
        <f>HYPERLINK("https://klasma.github.io/Logging_0482/klagomålsmail/A 22743-2022 FSC-klagomål mail.docx", "A 22743-2022")</f>
        <v/>
      </c>
      <c r="X57">
        <f>HYPERLINK("https://klasma.github.io/Logging_0482/tillsyn/A 22743-2022 tillsynsbegäran.docx", "A 22743-2022")</f>
        <v/>
      </c>
      <c r="Y57">
        <f>HYPERLINK("https://klasma.github.io/Logging_0482/tillsynsmail/A 22743-2022 tillsynsbegäran mail.docx", "A 22743-2022")</f>
        <v/>
      </c>
      <c r="Z57">
        <f>HYPERLINK("https://klasma.github.io/Logging_0482/fåglar/A 22743-2022 prioriterade fågelarter.docx", "A 22743-2022")</f>
        <v/>
      </c>
    </row>
    <row r="58" ht="15" customHeight="1">
      <c r="A58" t="inlineStr">
        <is>
          <t>A 47194-2022</t>
        </is>
      </c>
      <c r="B58" s="1" t="n">
        <v>44848</v>
      </c>
      <c r="C58" s="1" t="n">
        <v>45875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47194-2022 artfynd.xlsx", "A 47194-2022")</f>
        <v/>
      </c>
      <c r="T58">
        <f>HYPERLINK("https://klasma.github.io/Logging_0482/kartor/A 47194-2022 karta.png", "A 47194-2022")</f>
        <v/>
      </c>
      <c r="V58">
        <f>HYPERLINK("https://klasma.github.io/Logging_0482/klagomål/A 47194-2022 FSC-klagomål.docx", "A 47194-2022")</f>
        <v/>
      </c>
      <c r="W58">
        <f>HYPERLINK("https://klasma.github.io/Logging_0482/klagomålsmail/A 47194-2022 FSC-klagomål mail.docx", "A 47194-2022")</f>
        <v/>
      </c>
      <c r="X58">
        <f>HYPERLINK("https://klasma.github.io/Logging_0482/tillsyn/A 47194-2022 tillsynsbegäran.docx", "A 47194-2022")</f>
        <v/>
      </c>
      <c r="Y58">
        <f>HYPERLINK("https://klasma.github.io/Logging_0482/tillsynsmail/A 47194-2022 tillsynsbegäran mail.docx", "A 47194-2022")</f>
        <v/>
      </c>
    </row>
    <row r="59" ht="15" customHeight="1">
      <c r="A59" t="inlineStr">
        <is>
          <t>A 50215-2022</t>
        </is>
      </c>
      <c r="B59" s="1" t="n">
        <v>44865</v>
      </c>
      <c r="C59" s="1" t="n">
        <v>45875</v>
      </c>
      <c r="D59" t="inlineStr">
        <is>
          <t>SÖDERMANLANDS LÄN</t>
        </is>
      </c>
      <c r="E59" t="inlineStr">
        <is>
          <t>FLEN</t>
        </is>
      </c>
      <c r="F59" t="inlineStr">
        <is>
          <t>Kyrkan</t>
        </is>
      </c>
      <c r="G59" t="n">
        <v>2.2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Äkta lopplummer</t>
        </is>
      </c>
      <c r="S59">
        <f>HYPERLINK("https://klasma.github.io/Logging_0482/artfynd/A 50215-2022 artfynd.xlsx", "A 50215-2022")</f>
        <v/>
      </c>
      <c r="T59">
        <f>HYPERLINK("https://klasma.github.io/Logging_0482/kartor/A 50215-2022 karta.png", "A 50215-2022")</f>
        <v/>
      </c>
      <c r="U59">
        <f>HYPERLINK("https://klasma.github.io/Logging_0482/knärot/A 50215-2022 karta knärot.png", "A 50215-2022")</f>
        <v/>
      </c>
      <c r="V59">
        <f>HYPERLINK("https://klasma.github.io/Logging_0482/klagomål/A 50215-2022 FSC-klagomål.docx", "A 50215-2022")</f>
        <v/>
      </c>
      <c r="W59">
        <f>HYPERLINK("https://klasma.github.io/Logging_0482/klagomålsmail/A 50215-2022 FSC-klagomål mail.docx", "A 50215-2022")</f>
        <v/>
      </c>
      <c r="X59">
        <f>HYPERLINK("https://klasma.github.io/Logging_0482/tillsyn/A 50215-2022 tillsynsbegäran.docx", "A 50215-2022")</f>
        <v/>
      </c>
      <c r="Y59">
        <f>HYPERLINK("https://klasma.github.io/Logging_0482/tillsynsmail/A 50215-2022 tillsynsbegäran mail.docx", "A 50215-2022")</f>
        <v/>
      </c>
    </row>
    <row r="60" ht="15" customHeight="1">
      <c r="A60" t="inlineStr">
        <is>
          <t>A 11103-2023</t>
        </is>
      </c>
      <c r="B60" s="1" t="n">
        <v>44986</v>
      </c>
      <c r="C60" s="1" t="n">
        <v>45875</v>
      </c>
      <c r="D60" t="inlineStr">
        <is>
          <t>SÖDERMANLANDS LÄN</t>
        </is>
      </c>
      <c r="E60" t="inlineStr">
        <is>
          <t>FLEN</t>
        </is>
      </c>
      <c r="G60" t="n">
        <v>8.9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Blåmossa</t>
        </is>
      </c>
      <c r="S60">
        <f>HYPERLINK("https://klasma.github.io/Logging_0482/artfynd/A 11103-2023 artfynd.xlsx", "A 11103-2023")</f>
        <v/>
      </c>
      <c r="T60">
        <f>HYPERLINK("https://klasma.github.io/Logging_0482/kartor/A 11103-2023 karta.png", "A 11103-2023")</f>
        <v/>
      </c>
      <c r="V60">
        <f>HYPERLINK("https://klasma.github.io/Logging_0482/klagomål/A 11103-2023 FSC-klagomål.docx", "A 11103-2023")</f>
        <v/>
      </c>
      <c r="W60">
        <f>HYPERLINK("https://klasma.github.io/Logging_0482/klagomålsmail/A 11103-2023 FSC-klagomål mail.docx", "A 11103-2023")</f>
        <v/>
      </c>
      <c r="X60">
        <f>HYPERLINK("https://klasma.github.io/Logging_0482/tillsyn/A 11103-2023 tillsynsbegäran.docx", "A 11103-2023")</f>
        <v/>
      </c>
      <c r="Y60">
        <f>HYPERLINK("https://klasma.github.io/Logging_0482/tillsynsmail/A 11103-2023 tillsynsbegäran mail.docx", "A 11103-2023")</f>
        <v/>
      </c>
    </row>
    <row r="61" ht="15" customHeight="1">
      <c r="A61" t="inlineStr">
        <is>
          <t>A 18689-2023</t>
        </is>
      </c>
      <c r="B61" s="1" t="n">
        <v>45043</v>
      </c>
      <c r="C61" s="1" t="n">
        <v>45875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Svinrot</t>
        </is>
      </c>
      <c r="S61">
        <f>HYPERLINK("https://klasma.github.io/Logging_0482/artfynd/A 18689-2023 artfynd.xlsx", "A 18689-2023")</f>
        <v/>
      </c>
      <c r="T61">
        <f>HYPERLINK("https://klasma.github.io/Logging_0482/kartor/A 18689-2023 karta.png", "A 18689-2023")</f>
        <v/>
      </c>
      <c r="V61">
        <f>HYPERLINK("https://klasma.github.io/Logging_0482/klagomål/A 18689-2023 FSC-klagomål.docx", "A 18689-2023")</f>
        <v/>
      </c>
      <c r="W61">
        <f>HYPERLINK("https://klasma.github.io/Logging_0482/klagomålsmail/A 18689-2023 FSC-klagomål mail.docx", "A 18689-2023")</f>
        <v/>
      </c>
      <c r="X61">
        <f>HYPERLINK("https://klasma.github.io/Logging_0482/tillsyn/A 18689-2023 tillsynsbegäran.docx", "A 18689-2023")</f>
        <v/>
      </c>
      <c r="Y61">
        <f>HYPERLINK("https://klasma.github.io/Logging_0482/tillsynsmail/A 18689-2023 tillsynsbegäran mail.docx", "A 18689-2023")</f>
        <v/>
      </c>
    </row>
    <row r="62" ht="15" customHeight="1">
      <c r="A62" t="inlineStr">
        <is>
          <t>A 34785-2023</t>
        </is>
      </c>
      <c r="B62" s="1" t="n">
        <v>45140</v>
      </c>
      <c r="C62" s="1" t="n">
        <v>45875</v>
      </c>
      <c r="D62" t="inlineStr">
        <is>
          <t>SÖDERMANLANDS LÄN</t>
        </is>
      </c>
      <c r="E62" t="inlineStr">
        <is>
          <t>FLEN</t>
        </is>
      </c>
      <c r="G62" t="n">
        <v>1.8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HYPERLINK("https://klasma.github.io/Logging_0482/artfynd/A 34785-2023 artfynd.xlsx", "A 34785-2023")</f>
        <v/>
      </c>
      <c r="T62">
        <f>HYPERLINK("https://klasma.github.io/Logging_0482/kartor/A 34785-2023 karta.png", "A 34785-2023")</f>
        <v/>
      </c>
      <c r="V62">
        <f>HYPERLINK("https://klasma.github.io/Logging_0482/klagomål/A 34785-2023 FSC-klagomål.docx", "A 34785-2023")</f>
        <v/>
      </c>
      <c r="W62">
        <f>HYPERLINK("https://klasma.github.io/Logging_0482/klagomålsmail/A 34785-2023 FSC-klagomål mail.docx", "A 34785-2023")</f>
        <v/>
      </c>
      <c r="X62">
        <f>HYPERLINK("https://klasma.github.io/Logging_0482/tillsyn/A 34785-2023 tillsynsbegäran.docx", "A 34785-2023")</f>
        <v/>
      </c>
      <c r="Y62">
        <f>HYPERLINK("https://klasma.github.io/Logging_0482/tillsynsmail/A 34785-2023 tillsynsbegäran mail.docx", "A 34785-2023")</f>
        <v/>
      </c>
    </row>
    <row r="63" ht="15" customHeight="1">
      <c r="A63" t="inlineStr">
        <is>
          <t>A 37423-2023</t>
        </is>
      </c>
      <c r="B63" s="1" t="n">
        <v>45156</v>
      </c>
      <c r="C63" s="1" t="n">
        <v>45875</v>
      </c>
      <c r="D63" t="inlineStr">
        <is>
          <t>SÖDERMANLANDS LÄN</t>
        </is>
      </c>
      <c r="E63" t="inlineStr">
        <is>
          <t>FLEN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Grönpyrola</t>
        </is>
      </c>
      <c r="S63">
        <f>HYPERLINK("https://klasma.github.io/Logging_0482/artfynd/A 37423-2023 artfynd.xlsx", "A 37423-2023")</f>
        <v/>
      </c>
      <c r="T63">
        <f>HYPERLINK("https://klasma.github.io/Logging_0482/kartor/A 37423-2023 karta.png", "A 37423-2023")</f>
        <v/>
      </c>
      <c r="V63">
        <f>HYPERLINK("https://klasma.github.io/Logging_0482/klagomål/A 37423-2023 FSC-klagomål.docx", "A 37423-2023")</f>
        <v/>
      </c>
      <c r="W63">
        <f>HYPERLINK("https://klasma.github.io/Logging_0482/klagomålsmail/A 37423-2023 FSC-klagomål mail.docx", "A 37423-2023")</f>
        <v/>
      </c>
      <c r="X63">
        <f>HYPERLINK("https://klasma.github.io/Logging_0482/tillsyn/A 37423-2023 tillsynsbegäran.docx", "A 37423-2023")</f>
        <v/>
      </c>
      <c r="Y63">
        <f>HYPERLINK("https://klasma.github.io/Logging_0482/tillsynsmail/A 37423-2023 tillsynsbegäran mail.docx", "A 37423-2023")</f>
        <v/>
      </c>
    </row>
    <row r="64" ht="15" customHeight="1">
      <c r="A64" t="inlineStr">
        <is>
          <t>A 52858-2023</t>
        </is>
      </c>
      <c r="B64" s="1" t="n">
        <v>45219</v>
      </c>
      <c r="C64" s="1" t="n">
        <v>45875</v>
      </c>
      <c r="D64" t="inlineStr">
        <is>
          <t>SÖDERMANLANDS LÄN</t>
        </is>
      </c>
      <c r="E64" t="inlineStr">
        <is>
          <t>FLEN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Mindre hackspett
Tallticka</t>
        </is>
      </c>
      <c r="S64">
        <f>HYPERLINK("https://klasma.github.io/Logging_0482/artfynd/A 52858-2023 artfynd.xlsx", "A 52858-2023")</f>
        <v/>
      </c>
      <c r="T64">
        <f>HYPERLINK("https://klasma.github.io/Logging_0482/kartor/A 52858-2023 karta.png", "A 52858-2023")</f>
        <v/>
      </c>
      <c r="V64">
        <f>HYPERLINK("https://klasma.github.io/Logging_0482/klagomål/A 52858-2023 FSC-klagomål.docx", "A 52858-2023")</f>
        <v/>
      </c>
      <c r="W64">
        <f>HYPERLINK("https://klasma.github.io/Logging_0482/klagomålsmail/A 52858-2023 FSC-klagomål mail.docx", "A 52858-2023")</f>
        <v/>
      </c>
      <c r="X64">
        <f>HYPERLINK("https://klasma.github.io/Logging_0482/tillsyn/A 52858-2023 tillsynsbegäran.docx", "A 52858-2023")</f>
        <v/>
      </c>
      <c r="Y64">
        <f>HYPERLINK("https://klasma.github.io/Logging_0482/tillsynsmail/A 52858-2023 tillsynsbegäran mail.docx", "A 52858-2023")</f>
        <v/>
      </c>
      <c r="Z64">
        <f>HYPERLINK("https://klasma.github.io/Logging_0482/fåglar/A 52858-2023 prioriterade fågelarter.docx", "A 52858-2023")</f>
        <v/>
      </c>
    </row>
    <row r="65" ht="15" customHeight="1">
      <c r="A65" t="inlineStr">
        <is>
          <t>A 52485-2023</t>
        </is>
      </c>
      <c r="B65" s="1" t="n">
        <v>45225</v>
      </c>
      <c r="C65" s="1" t="n">
        <v>45875</v>
      </c>
      <c r="D65" t="inlineStr">
        <is>
          <t>SÖDERMANLANDS LÄN</t>
        </is>
      </c>
      <c r="E65" t="inlineStr">
        <is>
          <t>FLEN</t>
        </is>
      </c>
      <c r="G65" t="n">
        <v>8.1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Gullklöver
Svinrot</t>
        </is>
      </c>
      <c r="S65">
        <f>HYPERLINK("https://klasma.github.io/Logging_0482/artfynd/A 52485-2023 artfynd.xlsx", "A 52485-2023")</f>
        <v/>
      </c>
      <c r="T65">
        <f>HYPERLINK("https://klasma.github.io/Logging_0482/kartor/A 52485-2023 karta.png", "A 52485-2023")</f>
        <v/>
      </c>
      <c r="V65">
        <f>HYPERLINK("https://klasma.github.io/Logging_0482/klagomål/A 52485-2023 FSC-klagomål.docx", "A 52485-2023")</f>
        <v/>
      </c>
      <c r="W65">
        <f>HYPERLINK("https://klasma.github.io/Logging_0482/klagomålsmail/A 52485-2023 FSC-klagomål mail.docx", "A 52485-2023")</f>
        <v/>
      </c>
      <c r="X65">
        <f>HYPERLINK("https://klasma.github.io/Logging_0482/tillsyn/A 52485-2023 tillsynsbegäran.docx", "A 52485-2023")</f>
        <v/>
      </c>
      <c r="Y65">
        <f>HYPERLINK("https://klasma.github.io/Logging_0482/tillsynsmail/A 52485-2023 tillsynsbegäran mail.docx", "A 52485-2023")</f>
        <v/>
      </c>
    </row>
    <row r="66" ht="15" customHeight="1">
      <c r="A66" t="inlineStr">
        <is>
          <t>A 4155-2024</t>
        </is>
      </c>
      <c r="B66" s="1" t="n">
        <v>45323</v>
      </c>
      <c r="C66" s="1" t="n">
        <v>45875</v>
      </c>
      <c r="D66" t="inlineStr">
        <is>
          <t>SÖDERMANLANDS LÄN</t>
        </is>
      </c>
      <c r="E66" t="inlineStr">
        <is>
          <t>FLEN</t>
        </is>
      </c>
      <c r="G66" t="n">
        <v>2.1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Scharlakansskål</t>
        </is>
      </c>
      <c r="S66">
        <f>HYPERLINK("https://klasma.github.io/Logging_0482/artfynd/A 4155-2024 artfynd.xlsx", "A 4155-2024")</f>
        <v/>
      </c>
      <c r="T66">
        <f>HYPERLINK("https://klasma.github.io/Logging_0482/kartor/A 4155-2024 karta.png", "A 4155-2024")</f>
        <v/>
      </c>
      <c r="U66">
        <f>HYPERLINK("https://klasma.github.io/Logging_0482/knärot/A 4155-2024 karta knärot.png", "A 4155-2024")</f>
        <v/>
      </c>
      <c r="V66">
        <f>HYPERLINK("https://klasma.github.io/Logging_0482/klagomål/A 4155-2024 FSC-klagomål.docx", "A 4155-2024")</f>
        <v/>
      </c>
      <c r="W66">
        <f>HYPERLINK("https://klasma.github.io/Logging_0482/klagomålsmail/A 4155-2024 FSC-klagomål mail.docx", "A 4155-2024")</f>
        <v/>
      </c>
      <c r="X66">
        <f>HYPERLINK("https://klasma.github.io/Logging_0482/tillsyn/A 4155-2024 tillsynsbegäran.docx", "A 4155-2024")</f>
        <v/>
      </c>
      <c r="Y66">
        <f>HYPERLINK("https://klasma.github.io/Logging_0482/tillsynsmail/A 4155-2024 tillsynsbegäran mail.docx", "A 4155-2024")</f>
        <v/>
      </c>
    </row>
    <row r="67" ht="15" customHeight="1">
      <c r="A67" t="inlineStr">
        <is>
          <t>A 7939-2024</t>
        </is>
      </c>
      <c r="B67" s="1" t="n">
        <v>45350</v>
      </c>
      <c r="C67" s="1" t="n">
        <v>45875</v>
      </c>
      <c r="D67" t="inlineStr">
        <is>
          <t>SÖDERMANLANDS LÄN</t>
        </is>
      </c>
      <c r="E67" t="inlineStr">
        <is>
          <t>FLEN</t>
        </is>
      </c>
      <c r="G67" t="n">
        <v>11.5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Grovticka</t>
        </is>
      </c>
      <c r="S67">
        <f>HYPERLINK("https://klasma.github.io/Logging_0482/artfynd/A 7939-2024 artfynd.xlsx", "A 7939-2024")</f>
        <v/>
      </c>
      <c r="T67">
        <f>HYPERLINK("https://klasma.github.io/Logging_0482/kartor/A 7939-2024 karta.png", "A 7939-2024")</f>
        <v/>
      </c>
      <c r="V67">
        <f>HYPERLINK("https://klasma.github.io/Logging_0482/klagomål/A 7939-2024 FSC-klagomål.docx", "A 7939-2024")</f>
        <v/>
      </c>
      <c r="W67">
        <f>HYPERLINK("https://klasma.github.io/Logging_0482/klagomålsmail/A 7939-2024 FSC-klagomål mail.docx", "A 7939-2024")</f>
        <v/>
      </c>
      <c r="X67">
        <f>HYPERLINK("https://klasma.github.io/Logging_0482/tillsyn/A 7939-2024 tillsynsbegäran.docx", "A 7939-2024")</f>
        <v/>
      </c>
      <c r="Y67">
        <f>HYPERLINK("https://klasma.github.io/Logging_0482/tillsynsmail/A 7939-2024 tillsynsbegäran mail.docx", "A 7939-2024")</f>
        <v/>
      </c>
    </row>
    <row r="68" ht="15" customHeight="1">
      <c r="A68" t="inlineStr">
        <is>
          <t>A 18788-2024</t>
        </is>
      </c>
      <c r="B68" s="1" t="n">
        <v>45426</v>
      </c>
      <c r="C68" s="1" t="n">
        <v>45875</v>
      </c>
      <c r="D68" t="inlineStr">
        <is>
          <t>SÖDERMANLANDS LÄN</t>
        </is>
      </c>
      <c r="E68" t="inlineStr">
        <is>
          <t>FLEN</t>
        </is>
      </c>
      <c r="G68" t="n">
        <v>11.1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Svinrot
Ängsskära</t>
        </is>
      </c>
      <c r="S68">
        <f>HYPERLINK("https://klasma.github.io/Logging_0482/artfynd/A 18788-2024 artfynd.xlsx", "A 18788-2024")</f>
        <v/>
      </c>
      <c r="T68">
        <f>HYPERLINK("https://klasma.github.io/Logging_0482/kartor/A 18788-2024 karta.png", "A 18788-2024")</f>
        <v/>
      </c>
      <c r="V68">
        <f>HYPERLINK("https://klasma.github.io/Logging_0482/klagomål/A 18788-2024 FSC-klagomål.docx", "A 18788-2024")</f>
        <v/>
      </c>
      <c r="W68">
        <f>HYPERLINK("https://klasma.github.io/Logging_0482/klagomålsmail/A 18788-2024 FSC-klagomål mail.docx", "A 18788-2024")</f>
        <v/>
      </c>
      <c r="X68">
        <f>HYPERLINK("https://klasma.github.io/Logging_0482/tillsyn/A 18788-2024 tillsynsbegäran.docx", "A 18788-2024")</f>
        <v/>
      </c>
      <c r="Y68">
        <f>HYPERLINK("https://klasma.github.io/Logging_0482/tillsynsmail/A 18788-2024 tillsynsbegäran mail.docx", "A 18788-2024")</f>
        <v/>
      </c>
    </row>
    <row r="69" ht="15" customHeight="1">
      <c r="A69" t="inlineStr">
        <is>
          <t>A 20863-2024</t>
        </is>
      </c>
      <c r="B69" s="1" t="n">
        <v>45439</v>
      </c>
      <c r="C69" s="1" t="n">
        <v>45875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Revlummer</t>
        </is>
      </c>
      <c r="S69">
        <f>HYPERLINK("https://klasma.github.io/Logging_0482/artfynd/A 20863-2024 artfynd.xlsx", "A 20863-2024")</f>
        <v/>
      </c>
      <c r="T69">
        <f>HYPERLINK("https://klasma.github.io/Logging_0482/kartor/A 20863-2024 karta.png", "A 20863-2024")</f>
        <v/>
      </c>
      <c r="V69">
        <f>HYPERLINK("https://klasma.github.io/Logging_0482/klagomål/A 20863-2024 FSC-klagomål.docx", "A 20863-2024")</f>
        <v/>
      </c>
      <c r="W69">
        <f>HYPERLINK("https://klasma.github.io/Logging_0482/klagomålsmail/A 20863-2024 FSC-klagomål mail.docx", "A 20863-2024")</f>
        <v/>
      </c>
      <c r="X69">
        <f>HYPERLINK("https://klasma.github.io/Logging_0482/tillsyn/A 20863-2024 tillsynsbegäran.docx", "A 20863-2024")</f>
        <v/>
      </c>
      <c r="Y69">
        <f>HYPERLINK("https://klasma.github.io/Logging_0482/tillsynsmail/A 20863-2024 tillsynsbegäran mail.docx", "A 20863-2024")</f>
        <v/>
      </c>
    </row>
    <row r="70" ht="15" customHeight="1">
      <c r="A70" t="inlineStr">
        <is>
          <t>A 32760-2024</t>
        </is>
      </c>
      <c r="B70" s="1" t="n">
        <v>45515</v>
      </c>
      <c r="C70" s="1" t="n">
        <v>45875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Svinrot
Grönpyrola</t>
        </is>
      </c>
      <c r="S70">
        <f>HYPERLINK("https://klasma.github.io/Logging_0482/artfynd/A 32760-2024 artfynd.xlsx", "A 32760-2024")</f>
        <v/>
      </c>
      <c r="T70">
        <f>HYPERLINK("https://klasma.github.io/Logging_0482/kartor/A 32760-2024 karta.png", "A 32760-2024")</f>
        <v/>
      </c>
      <c r="V70">
        <f>HYPERLINK("https://klasma.github.io/Logging_0482/klagomål/A 32760-2024 FSC-klagomål.docx", "A 32760-2024")</f>
        <v/>
      </c>
      <c r="W70">
        <f>HYPERLINK("https://klasma.github.io/Logging_0482/klagomålsmail/A 32760-2024 FSC-klagomål mail.docx", "A 32760-2024")</f>
        <v/>
      </c>
      <c r="X70">
        <f>HYPERLINK("https://klasma.github.io/Logging_0482/tillsyn/A 32760-2024 tillsynsbegäran.docx", "A 32760-2024")</f>
        <v/>
      </c>
      <c r="Y70">
        <f>HYPERLINK("https://klasma.github.io/Logging_0482/tillsynsmail/A 32760-2024 tillsynsbegäran mail.docx", "A 32760-2024")</f>
        <v/>
      </c>
    </row>
    <row r="71" ht="15" customHeight="1">
      <c r="A71" t="inlineStr">
        <is>
          <t>A 32756-2024</t>
        </is>
      </c>
      <c r="B71" s="1" t="n">
        <v>45515</v>
      </c>
      <c r="C71" s="1" t="n">
        <v>45875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HYPERLINK("https://klasma.github.io/Logging_0482/artfynd/A 32756-2024 artfynd.xlsx", "A 32756-2024")</f>
        <v/>
      </c>
      <c r="T71">
        <f>HYPERLINK("https://klasma.github.io/Logging_0482/kartor/A 32756-2024 karta.png", "A 32756-2024")</f>
        <v/>
      </c>
      <c r="V71">
        <f>HYPERLINK("https://klasma.github.io/Logging_0482/klagomål/A 32756-2024 FSC-klagomål.docx", "A 32756-2024")</f>
        <v/>
      </c>
      <c r="W71">
        <f>HYPERLINK("https://klasma.github.io/Logging_0482/klagomålsmail/A 32756-2024 FSC-klagomål mail.docx", "A 32756-2024")</f>
        <v/>
      </c>
      <c r="X71">
        <f>HYPERLINK("https://klasma.github.io/Logging_0482/tillsyn/A 32756-2024 tillsynsbegäran.docx", "A 32756-2024")</f>
        <v/>
      </c>
      <c r="Y71">
        <f>HYPERLINK("https://klasma.github.io/Logging_0482/tillsynsmail/A 32756-2024 tillsynsbegäran mail.docx", "A 32756-2024")</f>
        <v/>
      </c>
    </row>
    <row r="72" ht="15" customHeight="1">
      <c r="A72" t="inlineStr">
        <is>
          <t>A 33224-2024</t>
        </is>
      </c>
      <c r="B72" s="1" t="n">
        <v>45518</v>
      </c>
      <c r="C72" s="1" t="n">
        <v>45875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Gullklöver
Blåsippa</t>
        </is>
      </c>
      <c r="S72">
        <f>HYPERLINK("https://klasma.github.io/Logging_0482/artfynd/A 33224-2024 artfynd.xlsx", "A 33224-2024")</f>
        <v/>
      </c>
      <c r="T72">
        <f>HYPERLINK("https://klasma.github.io/Logging_0482/kartor/A 33224-2024 karta.png", "A 33224-2024")</f>
        <v/>
      </c>
      <c r="V72">
        <f>HYPERLINK("https://klasma.github.io/Logging_0482/klagomål/A 33224-2024 FSC-klagomål.docx", "A 33224-2024")</f>
        <v/>
      </c>
      <c r="W72">
        <f>HYPERLINK("https://klasma.github.io/Logging_0482/klagomålsmail/A 33224-2024 FSC-klagomål mail.docx", "A 33224-2024")</f>
        <v/>
      </c>
      <c r="X72">
        <f>HYPERLINK("https://klasma.github.io/Logging_0482/tillsyn/A 33224-2024 tillsynsbegäran.docx", "A 33224-2024")</f>
        <v/>
      </c>
      <c r="Y72">
        <f>HYPERLINK("https://klasma.github.io/Logging_0482/tillsynsmail/A 33224-2024 tillsynsbegäran mail.docx", "A 33224-2024")</f>
        <v/>
      </c>
    </row>
    <row r="73" ht="15" customHeight="1">
      <c r="A73" t="inlineStr">
        <is>
          <t>A 39595-2024</t>
        </is>
      </c>
      <c r="B73" s="1" t="n">
        <v>45552</v>
      </c>
      <c r="C73" s="1" t="n">
        <v>45875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Gullklöver</t>
        </is>
      </c>
      <c r="S73">
        <f>HYPERLINK("https://klasma.github.io/Logging_0482/artfynd/A 39595-2024 artfynd.xlsx", "A 39595-2024")</f>
        <v/>
      </c>
      <c r="T73">
        <f>HYPERLINK("https://klasma.github.io/Logging_0482/kartor/A 39595-2024 karta.png", "A 39595-2024")</f>
        <v/>
      </c>
      <c r="U73">
        <f>HYPERLINK("https://klasma.github.io/Logging_0482/knärot/A 39595-2024 karta knärot.png", "A 39595-2024")</f>
        <v/>
      </c>
      <c r="V73">
        <f>HYPERLINK("https://klasma.github.io/Logging_0482/klagomål/A 39595-2024 FSC-klagomål.docx", "A 39595-2024")</f>
        <v/>
      </c>
      <c r="W73">
        <f>HYPERLINK("https://klasma.github.io/Logging_0482/klagomålsmail/A 39595-2024 FSC-klagomål mail.docx", "A 39595-2024")</f>
        <v/>
      </c>
      <c r="X73">
        <f>HYPERLINK("https://klasma.github.io/Logging_0482/tillsyn/A 39595-2024 tillsynsbegäran.docx", "A 39595-2024")</f>
        <v/>
      </c>
      <c r="Y73">
        <f>HYPERLINK("https://klasma.github.io/Logging_0482/tillsynsmail/A 39595-2024 tillsynsbegäran mail.docx", "A 39595-2024")</f>
        <v/>
      </c>
    </row>
    <row r="74" ht="15" customHeight="1">
      <c r="A74" t="inlineStr">
        <is>
          <t>A 50343-2024</t>
        </is>
      </c>
      <c r="B74" s="1" t="n">
        <v>45600</v>
      </c>
      <c r="C74" s="1" t="n">
        <v>45875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Tallticka
Blåsippa</t>
        </is>
      </c>
      <c r="S74">
        <f>HYPERLINK("https://klasma.github.io/Logging_0482/artfynd/A 50343-2024 artfynd.xlsx", "A 50343-2024")</f>
        <v/>
      </c>
      <c r="T74">
        <f>HYPERLINK("https://klasma.github.io/Logging_0482/kartor/A 50343-2024 karta.png", "A 50343-2024")</f>
        <v/>
      </c>
      <c r="V74">
        <f>HYPERLINK("https://klasma.github.io/Logging_0482/klagomål/A 50343-2024 FSC-klagomål.docx", "A 50343-2024")</f>
        <v/>
      </c>
      <c r="W74">
        <f>HYPERLINK("https://klasma.github.io/Logging_0482/klagomålsmail/A 50343-2024 FSC-klagomål mail.docx", "A 50343-2024")</f>
        <v/>
      </c>
      <c r="X74">
        <f>HYPERLINK("https://klasma.github.io/Logging_0482/tillsyn/A 50343-2024 tillsynsbegäran.docx", "A 50343-2024")</f>
        <v/>
      </c>
      <c r="Y74">
        <f>HYPERLINK("https://klasma.github.io/Logging_0482/tillsynsmail/A 50343-2024 tillsynsbegäran mail.docx", "A 50343-2024")</f>
        <v/>
      </c>
    </row>
    <row r="75" ht="15" customHeight="1">
      <c r="A75" t="inlineStr">
        <is>
          <t>A 1875-2025</t>
        </is>
      </c>
      <c r="B75" s="1" t="n">
        <v>45671</v>
      </c>
      <c r="C75" s="1" t="n">
        <v>45875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Slåtterfibbla
Svinrot</t>
        </is>
      </c>
      <c r="S75">
        <f>HYPERLINK("https://klasma.github.io/Logging_0482/artfynd/A 1875-2025 artfynd.xlsx", "A 1875-2025")</f>
        <v/>
      </c>
      <c r="T75">
        <f>HYPERLINK("https://klasma.github.io/Logging_0482/kartor/A 1875-2025 karta.png", "A 1875-2025")</f>
        <v/>
      </c>
      <c r="V75">
        <f>HYPERLINK("https://klasma.github.io/Logging_0482/klagomål/A 1875-2025 FSC-klagomål.docx", "A 1875-2025")</f>
        <v/>
      </c>
      <c r="W75">
        <f>HYPERLINK("https://klasma.github.io/Logging_0482/klagomålsmail/A 1875-2025 FSC-klagomål mail.docx", "A 1875-2025")</f>
        <v/>
      </c>
      <c r="X75">
        <f>HYPERLINK("https://klasma.github.io/Logging_0482/tillsyn/A 1875-2025 tillsynsbegäran.docx", "A 1875-2025")</f>
        <v/>
      </c>
      <c r="Y75">
        <f>HYPERLINK("https://klasma.github.io/Logging_0482/tillsynsmail/A 1875-2025 tillsynsbegäran mail.docx", "A 1875-2025")</f>
        <v/>
      </c>
    </row>
    <row r="76" ht="15" customHeight="1">
      <c r="A76" t="inlineStr">
        <is>
          <t>A 4536-2025</t>
        </is>
      </c>
      <c r="B76" s="1" t="n">
        <v>45687</v>
      </c>
      <c r="C76" s="1" t="n">
        <v>45875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5.3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Brandticka</t>
        </is>
      </c>
      <c r="S76">
        <f>HYPERLINK("https://klasma.github.io/Logging_0482/artfynd/A 4536-2025 artfynd.xlsx", "A 4536-2025")</f>
        <v/>
      </c>
      <c r="T76">
        <f>HYPERLINK("https://klasma.github.io/Logging_0482/kartor/A 4536-2025 karta.png", "A 4536-2025")</f>
        <v/>
      </c>
      <c r="V76">
        <f>HYPERLINK("https://klasma.github.io/Logging_0482/klagomål/A 4536-2025 FSC-klagomål.docx", "A 4536-2025")</f>
        <v/>
      </c>
      <c r="W76">
        <f>HYPERLINK("https://klasma.github.io/Logging_0482/klagomålsmail/A 4536-2025 FSC-klagomål mail.docx", "A 4536-2025")</f>
        <v/>
      </c>
      <c r="X76">
        <f>HYPERLINK("https://klasma.github.io/Logging_0482/tillsyn/A 4536-2025 tillsynsbegäran.docx", "A 4536-2025")</f>
        <v/>
      </c>
      <c r="Y76">
        <f>HYPERLINK("https://klasma.github.io/Logging_0482/tillsynsmail/A 4536-2025 tillsynsbegäran mail.docx", "A 4536-2025")</f>
        <v/>
      </c>
      <c r="Z76">
        <f>HYPERLINK("https://klasma.github.io/Logging_0482/fåglar/A 4536-2025 prioriterade fågelarter.docx", "A 4536-2025")</f>
        <v/>
      </c>
    </row>
    <row r="77" ht="15" customHeight="1">
      <c r="A77" t="inlineStr">
        <is>
          <t>A 18548-2019</t>
        </is>
      </c>
      <c r="B77" s="1" t="n">
        <v>43558</v>
      </c>
      <c r="C77" s="1" t="n">
        <v>45875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18548-2019 artfynd.xlsx", "A 18548-2019")</f>
        <v/>
      </c>
      <c r="T77">
        <f>HYPERLINK("https://klasma.github.io/Logging_0482/kartor/A 18548-2019 karta.png", "A 18548-2019")</f>
        <v/>
      </c>
      <c r="V77">
        <f>HYPERLINK("https://klasma.github.io/Logging_0482/klagomål/A 18548-2019 FSC-klagomål.docx", "A 18548-2019")</f>
        <v/>
      </c>
      <c r="W77">
        <f>HYPERLINK("https://klasma.github.io/Logging_0482/klagomålsmail/A 18548-2019 FSC-klagomål mail.docx", "A 18548-2019")</f>
        <v/>
      </c>
      <c r="X77">
        <f>HYPERLINK("https://klasma.github.io/Logging_0482/tillsyn/A 18548-2019 tillsynsbegäran.docx", "A 18548-2019")</f>
        <v/>
      </c>
      <c r="Y77">
        <f>HYPERLINK("https://klasma.github.io/Logging_0482/tillsynsmail/A 18548-2019 tillsynsbegäran mail.docx", "A 18548-2019")</f>
        <v/>
      </c>
    </row>
    <row r="78" ht="15" customHeight="1">
      <c r="A78" t="inlineStr">
        <is>
          <t>A 39446-2019</t>
        </is>
      </c>
      <c r="B78" s="1" t="n">
        <v>43691</v>
      </c>
      <c r="C78" s="1" t="n">
        <v>45875</v>
      </c>
      <c r="D78" t="inlineStr">
        <is>
          <t>SÖDERMANLANDS LÄN</t>
        </is>
      </c>
      <c r="E78" t="inlineStr">
        <is>
          <t>FLEN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dunört</t>
        </is>
      </c>
      <c r="S78">
        <f>HYPERLINK("https://klasma.github.io/Logging_0482/artfynd/A 39446-2019 artfynd.xlsx", "A 39446-2019")</f>
        <v/>
      </c>
      <c r="T78">
        <f>HYPERLINK("https://klasma.github.io/Logging_0482/kartor/A 39446-2019 karta.png", "A 39446-2019")</f>
        <v/>
      </c>
      <c r="V78">
        <f>HYPERLINK("https://klasma.github.io/Logging_0482/klagomål/A 39446-2019 FSC-klagomål.docx", "A 39446-2019")</f>
        <v/>
      </c>
      <c r="W78">
        <f>HYPERLINK("https://klasma.github.io/Logging_0482/klagomålsmail/A 39446-2019 FSC-klagomål mail.docx", "A 39446-2019")</f>
        <v/>
      </c>
      <c r="X78">
        <f>HYPERLINK("https://klasma.github.io/Logging_0482/tillsyn/A 39446-2019 tillsynsbegäran.docx", "A 39446-2019")</f>
        <v/>
      </c>
      <c r="Y78">
        <f>HYPERLINK("https://klasma.github.io/Logging_0482/tillsynsmail/A 39446-2019 tillsynsbegäran mail.docx", "A 39446-2019")</f>
        <v/>
      </c>
    </row>
    <row r="79" ht="15" customHeight="1">
      <c r="A79" t="inlineStr">
        <is>
          <t>A 43329-2019</t>
        </is>
      </c>
      <c r="B79" s="1" t="n">
        <v>43703</v>
      </c>
      <c r="C79" s="1" t="n">
        <v>45875</v>
      </c>
      <c r="D79" t="inlineStr">
        <is>
          <t>SÖDERMANLANDS LÄN</t>
        </is>
      </c>
      <c r="E79" t="inlineStr">
        <is>
          <t>FLEN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43329-2019 artfynd.xlsx", "A 43329-2019")</f>
        <v/>
      </c>
      <c r="T79">
        <f>HYPERLINK("https://klasma.github.io/Logging_0482/kartor/A 43329-2019 karta.png", "A 43329-2019")</f>
        <v/>
      </c>
      <c r="U79">
        <f>HYPERLINK("https://klasma.github.io/Logging_0482/knärot/A 43329-2019 karta knärot.png", "A 43329-2019")</f>
        <v/>
      </c>
      <c r="V79">
        <f>HYPERLINK("https://klasma.github.io/Logging_0482/klagomål/A 43329-2019 FSC-klagomål.docx", "A 43329-2019")</f>
        <v/>
      </c>
      <c r="W79">
        <f>HYPERLINK("https://klasma.github.io/Logging_0482/klagomålsmail/A 43329-2019 FSC-klagomål mail.docx", "A 43329-2019")</f>
        <v/>
      </c>
      <c r="X79">
        <f>HYPERLINK("https://klasma.github.io/Logging_0482/tillsyn/A 43329-2019 tillsynsbegäran.docx", "A 43329-2019")</f>
        <v/>
      </c>
      <c r="Y79">
        <f>HYPERLINK("https://klasma.github.io/Logging_0482/tillsynsmail/A 43329-2019 tillsynsbegäran mail.docx", "A 43329-2019")</f>
        <v/>
      </c>
    </row>
    <row r="80" ht="15" customHeight="1">
      <c r="A80" t="inlineStr">
        <is>
          <t>A 43369-2019</t>
        </is>
      </c>
      <c r="B80" s="1" t="n">
        <v>43703</v>
      </c>
      <c r="C80" s="1" t="n">
        <v>45875</v>
      </c>
      <c r="D80" t="inlineStr">
        <is>
          <t>SÖDERMANLANDS LÄN</t>
        </is>
      </c>
      <c r="E80" t="inlineStr">
        <is>
          <t>FLEN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HYPERLINK("https://klasma.github.io/Logging_0482/artfynd/A 43369-2019 artfynd.xlsx", "A 43369-2019")</f>
        <v/>
      </c>
      <c r="T80">
        <f>HYPERLINK("https://klasma.github.io/Logging_0482/kartor/A 43369-2019 karta.png", "A 43369-2019")</f>
        <v/>
      </c>
      <c r="V80">
        <f>HYPERLINK("https://klasma.github.io/Logging_0482/klagomål/A 43369-2019 FSC-klagomål.docx", "A 43369-2019")</f>
        <v/>
      </c>
      <c r="W80">
        <f>HYPERLINK("https://klasma.github.io/Logging_0482/klagomålsmail/A 43369-2019 FSC-klagomål mail.docx", "A 43369-2019")</f>
        <v/>
      </c>
      <c r="X80">
        <f>HYPERLINK("https://klasma.github.io/Logging_0482/tillsyn/A 43369-2019 tillsynsbegäran.docx", "A 43369-2019")</f>
        <v/>
      </c>
      <c r="Y80">
        <f>HYPERLINK("https://klasma.github.io/Logging_0482/tillsynsmail/A 43369-2019 tillsynsbegäran mail.docx", "A 43369-2019")</f>
        <v/>
      </c>
    </row>
    <row r="81" ht="15" customHeight="1">
      <c r="A81" t="inlineStr">
        <is>
          <t>A 54418-2019</t>
        </is>
      </c>
      <c r="B81" s="1" t="n">
        <v>43747</v>
      </c>
      <c r="C81" s="1" t="n">
        <v>45875</v>
      </c>
      <c r="D81" t="inlineStr">
        <is>
          <t>SÖDERMANLANDS LÄN</t>
        </is>
      </c>
      <c r="E81" t="inlineStr">
        <is>
          <t>FLEN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54418-2019 artfynd.xlsx", "A 54418-2019")</f>
        <v/>
      </c>
      <c r="T81">
        <f>HYPERLINK("https://klasma.github.io/Logging_0482/kartor/A 54418-2019 karta.png", "A 54418-2019")</f>
        <v/>
      </c>
      <c r="V81">
        <f>HYPERLINK("https://klasma.github.io/Logging_0482/klagomål/A 54418-2019 FSC-klagomål.docx", "A 54418-2019")</f>
        <v/>
      </c>
      <c r="W81">
        <f>HYPERLINK("https://klasma.github.io/Logging_0482/klagomålsmail/A 54418-2019 FSC-klagomål mail.docx", "A 54418-2019")</f>
        <v/>
      </c>
      <c r="X81">
        <f>HYPERLINK("https://klasma.github.io/Logging_0482/tillsyn/A 54418-2019 tillsynsbegäran.docx", "A 54418-2019")</f>
        <v/>
      </c>
      <c r="Y81">
        <f>HYPERLINK("https://klasma.github.io/Logging_0482/tillsynsmail/A 54418-2019 tillsynsbegäran mail.docx", "A 54418-2019")</f>
        <v/>
      </c>
    </row>
    <row r="82" ht="15" customHeight="1">
      <c r="A82" t="inlineStr">
        <is>
          <t>A 55376-2019</t>
        </is>
      </c>
      <c r="B82" s="1" t="n">
        <v>43754</v>
      </c>
      <c r="C82" s="1" t="n">
        <v>45875</v>
      </c>
      <c r="D82" t="inlineStr">
        <is>
          <t>SÖDERMANLANDS LÄN</t>
        </is>
      </c>
      <c r="E82" t="inlineStr">
        <is>
          <t>FLEN</t>
        </is>
      </c>
      <c r="G82" t="n">
        <v>6.5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HYPERLINK("https://klasma.github.io/Logging_0482/artfynd/A 55376-2019 artfynd.xlsx", "A 55376-2019")</f>
        <v/>
      </c>
      <c r="T82">
        <f>HYPERLINK("https://klasma.github.io/Logging_0482/kartor/A 55376-2019 karta.png", "A 55376-2019")</f>
        <v/>
      </c>
      <c r="V82">
        <f>HYPERLINK("https://klasma.github.io/Logging_0482/klagomål/A 55376-2019 FSC-klagomål.docx", "A 55376-2019")</f>
        <v/>
      </c>
      <c r="W82">
        <f>HYPERLINK("https://klasma.github.io/Logging_0482/klagomålsmail/A 55376-2019 FSC-klagomål mail.docx", "A 55376-2019")</f>
        <v/>
      </c>
      <c r="X82">
        <f>HYPERLINK("https://klasma.github.io/Logging_0482/tillsyn/A 55376-2019 tillsynsbegäran.docx", "A 55376-2019")</f>
        <v/>
      </c>
      <c r="Y82">
        <f>HYPERLINK("https://klasma.github.io/Logging_0482/tillsynsmail/A 55376-2019 tillsynsbegäran mail.docx", "A 55376-2019")</f>
        <v/>
      </c>
    </row>
    <row r="83" ht="15" customHeight="1">
      <c r="A83" t="inlineStr">
        <is>
          <t>A 63758-2019</t>
        </is>
      </c>
      <c r="B83" s="1" t="n">
        <v>43795</v>
      </c>
      <c r="C83" s="1" t="n">
        <v>45875</v>
      </c>
      <c r="D83" t="inlineStr">
        <is>
          <t>SÖDERMANLANDS LÄN</t>
        </is>
      </c>
      <c r="E83" t="inlineStr">
        <is>
          <t>FLEN</t>
        </is>
      </c>
      <c r="F83" t="inlineStr">
        <is>
          <t>Kyrkan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Skogsduva</t>
        </is>
      </c>
      <c r="S83">
        <f>HYPERLINK("https://klasma.github.io/Logging_0482/artfynd/A 63758-2019 artfynd.xlsx", "A 63758-2019")</f>
        <v/>
      </c>
      <c r="T83">
        <f>HYPERLINK("https://klasma.github.io/Logging_0482/kartor/A 63758-2019 karta.png", "A 63758-2019")</f>
        <v/>
      </c>
      <c r="V83">
        <f>HYPERLINK("https://klasma.github.io/Logging_0482/klagomål/A 63758-2019 FSC-klagomål.docx", "A 63758-2019")</f>
        <v/>
      </c>
      <c r="W83">
        <f>HYPERLINK("https://klasma.github.io/Logging_0482/klagomålsmail/A 63758-2019 FSC-klagomål mail.docx", "A 63758-2019")</f>
        <v/>
      </c>
      <c r="X83">
        <f>HYPERLINK("https://klasma.github.io/Logging_0482/tillsyn/A 63758-2019 tillsynsbegäran.docx", "A 63758-2019")</f>
        <v/>
      </c>
      <c r="Y83">
        <f>HYPERLINK("https://klasma.github.io/Logging_0482/tillsynsmail/A 63758-2019 tillsynsbegäran mail.docx", "A 63758-2019")</f>
        <v/>
      </c>
      <c r="Z83">
        <f>HYPERLINK("https://klasma.github.io/Logging_0482/fåglar/A 63758-2019 prioriterade fågelarter.docx", "A 63758-2019")</f>
        <v/>
      </c>
    </row>
    <row r="84" ht="15" customHeight="1">
      <c r="A84" t="inlineStr">
        <is>
          <t>A 4372-2020</t>
        </is>
      </c>
      <c r="B84" s="1" t="n">
        <v>43858</v>
      </c>
      <c r="C84" s="1" t="n">
        <v>45875</v>
      </c>
      <c r="D84" t="inlineStr">
        <is>
          <t>SÖDERMANLANDS LÄN</t>
        </is>
      </c>
      <c r="E84" t="inlineStr">
        <is>
          <t>FLEN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4372-2020 artfynd.xlsx", "A 4372-2020")</f>
        <v/>
      </c>
      <c r="T84">
        <f>HYPERLINK("https://klasma.github.io/Logging_0482/kartor/A 4372-2020 karta.png", "A 4372-2020")</f>
        <v/>
      </c>
      <c r="V84">
        <f>HYPERLINK("https://klasma.github.io/Logging_0482/klagomål/A 4372-2020 FSC-klagomål.docx", "A 4372-2020")</f>
        <v/>
      </c>
      <c r="W84">
        <f>HYPERLINK("https://klasma.github.io/Logging_0482/klagomålsmail/A 4372-2020 FSC-klagomål mail.docx", "A 4372-2020")</f>
        <v/>
      </c>
      <c r="X84">
        <f>HYPERLINK("https://klasma.github.io/Logging_0482/tillsyn/A 4372-2020 tillsynsbegäran.docx", "A 4372-2020")</f>
        <v/>
      </c>
      <c r="Y84">
        <f>HYPERLINK("https://klasma.github.io/Logging_0482/tillsynsmail/A 4372-2020 tillsynsbegäran mail.docx", "A 4372-2020")</f>
        <v/>
      </c>
    </row>
    <row r="85" ht="15" customHeight="1">
      <c r="A85" t="inlineStr">
        <is>
          <t>A 5210-2020</t>
        </is>
      </c>
      <c r="B85" s="1" t="n">
        <v>43860</v>
      </c>
      <c r="C85" s="1" t="n">
        <v>45875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5210-2020 artfynd.xlsx", "A 5210-2020")</f>
        <v/>
      </c>
      <c r="T85">
        <f>HYPERLINK("https://klasma.github.io/Logging_0482/kartor/A 5210-2020 karta.png", "A 5210-2020")</f>
        <v/>
      </c>
      <c r="V85">
        <f>HYPERLINK("https://klasma.github.io/Logging_0482/klagomål/A 5210-2020 FSC-klagomål.docx", "A 5210-2020")</f>
        <v/>
      </c>
      <c r="W85">
        <f>HYPERLINK("https://klasma.github.io/Logging_0482/klagomålsmail/A 5210-2020 FSC-klagomål mail.docx", "A 5210-2020")</f>
        <v/>
      </c>
      <c r="X85">
        <f>HYPERLINK("https://klasma.github.io/Logging_0482/tillsyn/A 5210-2020 tillsynsbegäran.docx", "A 5210-2020")</f>
        <v/>
      </c>
      <c r="Y85">
        <f>HYPERLINK("https://klasma.github.io/Logging_0482/tillsynsmail/A 5210-2020 tillsynsbegäran mail.docx", "A 5210-2020")</f>
        <v/>
      </c>
    </row>
    <row r="86" ht="15" customHeight="1">
      <c r="A86" t="inlineStr">
        <is>
          <t>A 14229-2020</t>
        </is>
      </c>
      <c r="B86" s="1" t="n">
        <v>43907</v>
      </c>
      <c r="C86" s="1" t="n">
        <v>45875</v>
      </c>
      <c r="D86" t="inlineStr">
        <is>
          <t>SÖDERMANLANDS LÄN</t>
        </is>
      </c>
      <c r="E86" t="inlineStr">
        <is>
          <t>FLEN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14229-2020 artfynd.xlsx", "A 14229-2020")</f>
        <v/>
      </c>
      <c r="T86">
        <f>HYPERLINK("https://klasma.github.io/Logging_0482/kartor/A 14229-2020 karta.png", "A 14229-2020")</f>
        <v/>
      </c>
      <c r="V86">
        <f>HYPERLINK("https://klasma.github.io/Logging_0482/klagomål/A 14229-2020 FSC-klagomål.docx", "A 14229-2020")</f>
        <v/>
      </c>
      <c r="W86">
        <f>HYPERLINK("https://klasma.github.io/Logging_0482/klagomålsmail/A 14229-2020 FSC-klagomål mail.docx", "A 14229-2020")</f>
        <v/>
      </c>
      <c r="X86">
        <f>HYPERLINK("https://klasma.github.io/Logging_0482/tillsyn/A 14229-2020 tillsynsbegäran.docx", "A 14229-2020")</f>
        <v/>
      </c>
      <c r="Y86">
        <f>HYPERLINK("https://klasma.github.io/Logging_0482/tillsynsmail/A 14229-2020 tillsynsbegäran mail.docx", "A 14229-2020")</f>
        <v/>
      </c>
    </row>
    <row r="87" ht="15" customHeight="1">
      <c r="A87" t="inlineStr">
        <is>
          <t>A 20001-2020</t>
        </is>
      </c>
      <c r="B87" s="1" t="n">
        <v>43943</v>
      </c>
      <c r="C87" s="1" t="n">
        <v>45875</v>
      </c>
      <c r="D87" t="inlineStr">
        <is>
          <t>SÖDERMANLANDS LÄN</t>
        </is>
      </c>
      <c r="E87" t="inlineStr">
        <is>
          <t>FLEN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20001-2020 artfynd.xlsx", "A 20001-2020")</f>
        <v/>
      </c>
      <c r="T87">
        <f>HYPERLINK("https://klasma.github.io/Logging_0482/kartor/A 20001-2020 karta.png", "A 20001-2020")</f>
        <v/>
      </c>
      <c r="V87">
        <f>HYPERLINK("https://klasma.github.io/Logging_0482/klagomål/A 20001-2020 FSC-klagomål.docx", "A 20001-2020")</f>
        <v/>
      </c>
      <c r="W87">
        <f>HYPERLINK("https://klasma.github.io/Logging_0482/klagomålsmail/A 20001-2020 FSC-klagomål mail.docx", "A 20001-2020")</f>
        <v/>
      </c>
      <c r="X87">
        <f>HYPERLINK("https://klasma.github.io/Logging_0482/tillsyn/A 20001-2020 tillsynsbegäran.docx", "A 20001-2020")</f>
        <v/>
      </c>
      <c r="Y87">
        <f>HYPERLINK("https://klasma.github.io/Logging_0482/tillsynsmail/A 20001-2020 tillsynsbegäran mail.docx", "A 20001-2020")</f>
        <v/>
      </c>
    </row>
    <row r="88" ht="15" customHeight="1">
      <c r="A88" t="inlineStr">
        <is>
          <t>A 21704-2020</t>
        </is>
      </c>
      <c r="B88" s="1" t="n">
        <v>43957</v>
      </c>
      <c r="C88" s="1" t="n">
        <v>45875</v>
      </c>
      <c r="D88" t="inlineStr">
        <is>
          <t>SÖDERMANLANDS LÄN</t>
        </is>
      </c>
      <c r="E88" t="inlineStr">
        <is>
          <t>FLEN</t>
        </is>
      </c>
      <c r="G88" t="n">
        <v>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21704-2020 artfynd.xlsx", "A 21704-2020")</f>
        <v/>
      </c>
      <c r="T88">
        <f>HYPERLINK("https://klasma.github.io/Logging_0482/kartor/A 21704-2020 karta.png", "A 21704-2020")</f>
        <v/>
      </c>
      <c r="V88">
        <f>HYPERLINK("https://klasma.github.io/Logging_0482/klagomål/A 21704-2020 FSC-klagomål.docx", "A 21704-2020")</f>
        <v/>
      </c>
      <c r="W88">
        <f>HYPERLINK("https://klasma.github.io/Logging_0482/klagomålsmail/A 21704-2020 FSC-klagomål mail.docx", "A 21704-2020")</f>
        <v/>
      </c>
      <c r="X88">
        <f>HYPERLINK("https://klasma.github.io/Logging_0482/tillsyn/A 21704-2020 tillsynsbegäran.docx", "A 21704-2020")</f>
        <v/>
      </c>
      <c r="Y88">
        <f>HYPERLINK("https://klasma.github.io/Logging_0482/tillsynsmail/A 21704-2020 tillsynsbegäran mail.docx", "A 21704-2020")</f>
        <v/>
      </c>
      <c r="Z88">
        <f>HYPERLINK("https://klasma.github.io/Logging_0482/fåglar/A 21704-2020 prioriterade fågelarter.docx", "A 21704-2020")</f>
        <v/>
      </c>
    </row>
    <row r="89" ht="15" customHeight="1">
      <c r="A89" t="inlineStr">
        <is>
          <t>A 55009-2020</t>
        </is>
      </c>
      <c r="B89" s="1" t="n">
        <v>44127</v>
      </c>
      <c r="C89" s="1" t="n">
        <v>45875</v>
      </c>
      <c r="D89" t="inlineStr">
        <is>
          <t>SÖDERMANLANDS LÄN</t>
        </is>
      </c>
      <c r="E89" t="inlineStr">
        <is>
          <t>FLEN</t>
        </is>
      </c>
      <c r="G89" t="n">
        <v>26.6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55009-2020 artfynd.xlsx", "A 55009-2020")</f>
        <v/>
      </c>
      <c r="T89">
        <f>HYPERLINK("https://klasma.github.io/Logging_0482/kartor/A 55009-2020 karta.png", "A 55009-2020")</f>
        <v/>
      </c>
      <c r="V89">
        <f>HYPERLINK("https://klasma.github.io/Logging_0482/klagomål/A 55009-2020 FSC-klagomål.docx", "A 55009-2020")</f>
        <v/>
      </c>
      <c r="W89">
        <f>HYPERLINK("https://klasma.github.io/Logging_0482/klagomålsmail/A 55009-2020 FSC-klagomål mail.docx", "A 55009-2020")</f>
        <v/>
      </c>
      <c r="X89">
        <f>HYPERLINK("https://klasma.github.io/Logging_0482/tillsyn/A 55009-2020 tillsynsbegäran.docx", "A 55009-2020")</f>
        <v/>
      </c>
      <c r="Y89">
        <f>HYPERLINK("https://klasma.github.io/Logging_0482/tillsynsmail/A 55009-2020 tillsynsbegäran mail.docx", "A 55009-2020")</f>
        <v/>
      </c>
    </row>
    <row r="90" ht="15" customHeight="1">
      <c r="A90" t="inlineStr">
        <is>
          <t>A 57173-2020</t>
        </is>
      </c>
      <c r="B90" s="1" t="n">
        <v>44138</v>
      </c>
      <c r="C90" s="1" t="n">
        <v>45875</v>
      </c>
      <c r="D90" t="inlineStr">
        <is>
          <t>SÖDERMANLANDS LÄN</t>
        </is>
      </c>
      <c r="E90" t="inlineStr">
        <is>
          <t>FLEN</t>
        </is>
      </c>
      <c r="G90" t="n">
        <v>4.8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57173-2020 artfynd.xlsx", "A 57173-2020")</f>
        <v/>
      </c>
      <c r="T90">
        <f>HYPERLINK("https://klasma.github.io/Logging_0482/kartor/A 57173-2020 karta.png", "A 57173-2020")</f>
        <v/>
      </c>
      <c r="U90">
        <f>HYPERLINK("https://klasma.github.io/Logging_0482/knärot/A 57173-2020 karta knärot.png", "A 57173-2020")</f>
        <v/>
      </c>
      <c r="V90">
        <f>HYPERLINK("https://klasma.github.io/Logging_0482/klagomål/A 57173-2020 FSC-klagomål.docx", "A 57173-2020")</f>
        <v/>
      </c>
      <c r="W90">
        <f>HYPERLINK("https://klasma.github.io/Logging_0482/klagomålsmail/A 57173-2020 FSC-klagomål mail.docx", "A 57173-2020")</f>
        <v/>
      </c>
      <c r="X90">
        <f>HYPERLINK("https://klasma.github.io/Logging_0482/tillsyn/A 57173-2020 tillsynsbegäran.docx", "A 57173-2020")</f>
        <v/>
      </c>
      <c r="Y90">
        <f>HYPERLINK("https://klasma.github.io/Logging_0482/tillsynsmail/A 57173-2020 tillsynsbegäran mail.docx", "A 57173-2020")</f>
        <v/>
      </c>
    </row>
    <row r="91" ht="15" customHeight="1">
      <c r="A91" t="inlineStr">
        <is>
          <t>A 8176-2021</t>
        </is>
      </c>
      <c r="B91" s="1" t="n">
        <v>44242</v>
      </c>
      <c r="C91" s="1" t="n">
        <v>45875</v>
      </c>
      <c r="D91" t="inlineStr">
        <is>
          <t>SÖDERMANLANDS LÄN</t>
        </is>
      </c>
      <c r="E91" t="inlineStr">
        <is>
          <t>FLEN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HYPERLINK("https://klasma.github.io/Logging_0482/artfynd/A 8176-2021 artfynd.xlsx", "A 8176-2021")</f>
        <v/>
      </c>
      <c r="T91">
        <f>HYPERLINK("https://klasma.github.io/Logging_0482/kartor/A 8176-2021 karta.png", "A 8176-2021")</f>
        <v/>
      </c>
      <c r="U91">
        <f>HYPERLINK("https://klasma.github.io/Logging_0482/knärot/A 8176-2021 karta knärot.png", "A 8176-2021")</f>
        <v/>
      </c>
      <c r="V91">
        <f>HYPERLINK("https://klasma.github.io/Logging_0482/klagomål/A 8176-2021 FSC-klagomål.docx", "A 8176-2021")</f>
        <v/>
      </c>
      <c r="W91">
        <f>HYPERLINK("https://klasma.github.io/Logging_0482/klagomålsmail/A 8176-2021 FSC-klagomål mail.docx", "A 8176-2021")</f>
        <v/>
      </c>
      <c r="X91">
        <f>HYPERLINK("https://klasma.github.io/Logging_0482/tillsyn/A 8176-2021 tillsynsbegäran.docx", "A 8176-2021")</f>
        <v/>
      </c>
      <c r="Y91">
        <f>HYPERLINK("https://klasma.github.io/Logging_0482/tillsynsmail/A 8176-2021 tillsynsbegäran mail.docx", "A 8176-2021")</f>
        <v/>
      </c>
    </row>
    <row r="92" ht="15" customHeight="1">
      <c r="A92" t="inlineStr">
        <is>
          <t>A 37347-2021</t>
        </is>
      </c>
      <c r="B92" s="1" t="n">
        <v>44397</v>
      </c>
      <c r="C92" s="1" t="n">
        <v>45875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HYPERLINK("https://klasma.github.io/Logging_0482/artfynd/A 37347-2021 artfynd.xlsx", "A 37347-2021")</f>
        <v/>
      </c>
      <c r="T92">
        <f>HYPERLINK("https://klasma.github.io/Logging_0482/kartor/A 37347-2021 karta.png", "A 37347-2021")</f>
        <v/>
      </c>
      <c r="V92">
        <f>HYPERLINK("https://klasma.github.io/Logging_0482/klagomål/A 37347-2021 FSC-klagomål.docx", "A 37347-2021")</f>
        <v/>
      </c>
      <c r="W92">
        <f>HYPERLINK("https://klasma.github.io/Logging_0482/klagomålsmail/A 37347-2021 FSC-klagomål mail.docx", "A 37347-2021")</f>
        <v/>
      </c>
      <c r="X92">
        <f>HYPERLINK("https://klasma.github.io/Logging_0482/tillsyn/A 37347-2021 tillsynsbegäran.docx", "A 37347-2021")</f>
        <v/>
      </c>
      <c r="Y92">
        <f>HYPERLINK("https://klasma.github.io/Logging_0482/tillsynsmail/A 37347-2021 tillsynsbegäran mail.docx", "A 37347-2021")</f>
        <v/>
      </c>
    </row>
    <row r="93" ht="15" customHeight="1">
      <c r="A93" t="inlineStr">
        <is>
          <t>A 45120-2021</t>
        </is>
      </c>
      <c r="B93" s="1" t="n">
        <v>44439</v>
      </c>
      <c r="C93" s="1" t="n">
        <v>45875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45120-2021 artfynd.xlsx", "A 45120-2021")</f>
        <v/>
      </c>
      <c r="T93">
        <f>HYPERLINK("https://klasma.github.io/Logging_0482/kartor/A 45120-2021 karta.png", "A 45120-2021")</f>
        <v/>
      </c>
      <c r="V93">
        <f>HYPERLINK("https://klasma.github.io/Logging_0482/klagomål/A 45120-2021 FSC-klagomål.docx", "A 45120-2021")</f>
        <v/>
      </c>
      <c r="W93">
        <f>HYPERLINK("https://klasma.github.io/Logging_0482/klagomålsmail/A 45120-2021 FSC-klagomål mail.docx", "A 45120-2021")</f>
        <v/>
      </c>
      <c r="X93">
        <f>HYPERLINK("https://klasma.github.io/Logging_0482/tillsyn/A 45120-2021 tillsynsbegäran.docx", "A 45120-2021")</f>
        <v/>
      </c>
      <c r="Y93">
        <f>HYPERLINK("https://klasma.github.io/Logging_0482/tillsynsmail/A 45120-2021 tillsynsbegäran mail.docx", "A 45120-2021")</f>
        <v/>
      </c>
    </row>
    <row r="94" ht="15" customHeight="1">
      <c r="A94" t="inlineStr">
        <is>
          <t>A 48520-2021</t>
        </is>
      </c>
      <c r="B94" s="1" t="n">
        <v>44449</v>
      </c>
      <c r="C94" s="1" t="n">
        <v>45875</v>
      </c>
      <c r="D94" t="inlineStr">
        <is>
          <t>SÖDERMANLANDS LÄN</t>
        </is>
      </c>
      <c r="E94" t="inlineStr">
        <is>
          <t>FLEN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HYPERLINK("https://klasma.github.io/Logging_0482/artfynd/A 48520-2021 artfynd.xlsx", "A 48520-2021")</f>
        <v/>
      </c>
      <c r="T94">
        <f>HYPERLINK("https://klasma.github.io/Logging_0482/kartor/A 48520-2021 karta.png", "A 48520-2021")</f>
        <v/>
      </c>
      <c r="V94">
        <f>HYPERLINK("https://klasma.github.io/Logging_0482/klagomål/A 48520-2021 FSC-klagomål.docx", "A 48520-2021")</f>
        <v/>
      </c>
      <c r="W94">
        <f>HYPERLINK("https://klasma.github.io/Logging_0482/klagomålsmail/A 48520-2021 FSC-klagomål mail.docx", "A 48520-2021")</f>
        <v/>
      </c>
      <c r="X94">
        <f>HYPERLINK("https://klasma.github.io/Logging_0482/tillsyn/A 48520-2021 tillsynsbegäran.docx", "A 48520-2021")</f>
        <v/>
      </c>
      <c r="Y94">
        <f>HYPERLINK("https://klasma.github.io/Logging_0482/tillsynsmail/A 48520-2021 tillsynsbegäran mail.docx", "A 48520-2021")</f>
        <v/>
      </c>
    </row>
    <row r="95" ht="15" customHeight="1">
      <c r="A95" t="inlineStr">
        <is>
          <t>A 49255-2021</t>
        </is>
      </c>
      <c r="B95" s="1" t="n">
        <v>44454</v>
      </c>
      <c r="C95" s="1" t="n">
        <v>45875</v>
      </c>
      <c r="D95" t="inlineStr">
        <is>
          <t>SÖDERMANLANDS LÄN</t>
        </is>
      </c>
      <c r="E95" t="inlineStr">
        <is>
          <t>FLEN</t>
        </is>
      </c>
      <c r="G95" t="n">
        <v>15.6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HYPERLINK("https://klasma.github.io/Logging_0482/artfynd/A 49255-2021 artfynd.xlsx", "A 49255-2021")</f>
        <v/>
      </c>
      <c r="T95">
        <f>HYPERLINK("https://klasma.github.io/Logging_0482/kartor/A 49255-2021 karta.png", "A 49255-2021")</f>
        <v/>
      </c>
      <c r="V95">
        <f>HYPERLINK("https://klasma.github.io/Logging_0482/klagomål/A 49255-2021 FSC-klagomål.docx", "A 49255-2021")</f>
        <v/>
      </c>
      <c r="W95">
        <f>HYPERLINK("https://klasma.github.io/Logging_0482/klagomålsmail/A 49255-2021 FSC-klagomål mail.docx", "A 49255-2021")</f>
        <v/>
      </c>
      <c r="X95">
        <f>HYPERLINK("https://klasma.github.io/Logging_0482/tillsyn/A 49255-2021 tillsynsbegäran.docx", "A 49255-2021")</f>
        <v/>
      </c>
      <c r="Y95">
        <f>HYPERLINK("https://klasma.github.io/Logging_0482/tillsynsmail/A 49255-2021 tillsynsbegäran mail.docx", "A 49255-2021")</f>
        <v/>
      </c>
    </row>
    <row r="96" ht="15" customHeight="1">
      <c r="A96" t="inlineStr">
        <is>
          <t>A 55092-2021</t>
        </is>
      </c>
      <c r="B96" s="1" t="n">
        <v>44474</v>
      </c>
      <c r="C96" s="1" t="n">
        <v>45875</v>
      </c>
      <c r="D96" t="inlineStr">
        <is>
          <t>SÖDERMANLANDS LÄN</t>
        </is>
      </c>
      <c r="E96" t="inlineStr">
        <is>
          <t>FLEN</t>
        </is>
      </c>
      <c r="G96" t="n">
        <v>3.5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Huggorm</t>
        </is>
      </c>
      <c r="S96">
        <f>HYPERLINK("https://klasma.github.io/Logging_0482/artfynd/A 55092-2021 artfynd.xlsx", "A 55092-2021")</f>
        <v/>
      </c>
      <c r="T96">
        <f>HYPERLINK("https://klasma.github.io/Logging_0482/kartor/A 55092-2021 karta.png", "A 55092-2021")</f>
        <v/>
      </c>
      <c r="V96">
        <f>HYPERLINK("https://klasma.github.io/Logging_0482/klagomål/A 55092-2021 FSC-klagomål.docx", "A 55092-2021")</f>
        <v/>
      </c>
      <c r="W96">
        <f>HYPERLINK("https://klasma.github.io/Logging_0482/klagomålsmail/A 55092-2021 FSC-klagomål mail.docx", "A 55092-2021")</f>
        <v/>
      </c>
      <c r="X96">
        <f>HYPERLINK("https://klasma.github.io/Logging_0482/tillsyn/A 55092-2021 tillsynsbegäran.docx", "A 55092-2021")</f>
        <v/>
      </c>
      <c r="Y96">
        <f>HYPERLINK("https://klasma.github.io/Logging_0482/tillsynsmail/A 55092-2021 tillsynsbegäran mail.docx", "A 55092-2021")</f>
        <v/>
      </c>
    </row>
    <row r="97" ht="15" customHeight="1">
      <c r="A97" t="inlineStr">
        <is>
          <t>A 57766-2021</t>
        </is>
      </c>
      <c r="B97" s="1" t="n">
        <v>44484</v>
      </c>
      <c r="C97" s="1" t="n">
        <v>45875</v>
      </c>
      <c r="D97" t="inlineStr">
        <is>
          <t>SÖDERMANLANDS LÄN</t>
        </is>
      </c>
      <c r="E97" t="inlineStr">
        <is>
          <t>FLEN</t>
        </is>
      </c>
      <c r="G97" t="n">
        <v>9.9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57766-2021 artfynd.xlsx", "A 57766-2021")</f>
        <v/>
      </c>
      <c r="T97">
        <f>HYPERLINK("https://klasma.github.io/Logging_0482/kartor/A 57766-2021 karta.png", "A 57766-2021")</f>
        <v/>
      </c>
      <c r="V97">
        <f>HYPERLINK("https://klasma.github.io/Logging_0482/klagomål/A 57766-2021 FSC-klagomål.docx", "A 57766-2021")</f>
        <v/>
      </c>
      <c r="W97">
        <f>HYPERLINK("https://klasma.github.io/Logging_0482/klagomålsmail/A 57766-2021 FSC-klagomål mail.docx", "A 57766-2021")</f>
        <v/>
      </c>
      <c r="X97">
        <f>HYPERLINK("https://klasma.github.io/Logging_0482/tillsyn/A 57766-2021 tillsynsbegäran.docx", "A 57766-2021")</f>
        <v/>
      </c>
      <c r="Y97">
        <f>HYPERLINK("https://klasma.github.io/Logging_0482/tillsynsmail/A 57766-2021 tillsynsbegäran mail.docx", "A 57766-2021")</f>
        <v/>
      </c>
    </row>
    <row r="98" ht="15" customHeight="1">
      <c r="A98" t="inlineStr">
        <is>
          <t>A 62355-2021</t>
        </is>
      </c>
      <c r="B98" s="1" t="n">
        <v>44503</v>
      </c>
      <c r="C98" s="1" t="n">
        <v>45875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62355-2021 artfynd.xlsx", "A 62355-2021")</f>
        <v/>
      </c>
      <c r="T98">
        <f>HYPERLINK("https://klasma.github.io/Logging_0482/kartor/A 62355-2021 karta.png", "A 62355-2021")</f>
        <v/>
      </c>
      <c r="V98">
        <f>HYPERLINK("https://klasma.github.io/Logging_0482/klagomål/A 62355-2021 FSC-klagomål.docx", "A 62355-2021")</f>
        <v/>
      </c>
      <c r="W98">
        <f>HYPERLINK("https://klasma.github.io/Logging_0482/klagomålsmail/A 62355-2021 FSC-klagomål mail.docx", "A 62355-2021")</f>
        <v/>
      </c>
      <c r="X98">
        <f>HYPERLINK("https://klasma.github.io/Logging_0482/tillsyn/A 62355-2021 tillsynsbegäran.docx", "A 62355-2021")</f>
        <v/>
      </c>
      <c r="Y98">
        <f>HYPERLINK("https://klasma.github.io/Logging_0482/tillsynsmail/A 62355-2021 tillsynsbegäran mail.docx", "A 62355-2021")</f>
        <v/>
      </c>
    </row>
    <row r="99" ht="15" customHeight="1">
      <c r="A99" t="inlineStr">
        <is>
          <t>A 62535-2021</t>
        </is>
      </c>
      <c r="B99" s="1" t="n">
        <v>44503</v>
      </c>
      <c r="C99" s="1" t="n">
        <v>45875</v>
      </c>
      <c r="D99" t="inlineStr">
        <is>
          <t>SÖDERMANLANDS LÄN</t>
        </is>
      </c>
      <c r="E99" t="inlineStr">
        <is>
          <t>FLEN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62535-2021 artfynd.xlsx", "A 62535-2021")</f>
        <v/>
      </c>
      <c r="T99">
        <f>HYPERLINK("https://klasma.github.io/Logging_0482/kartor/A 62535-2021 karta.png", "A 62535-2021")</f>
        <v/>
      </c>
      <c r="V99">
        <f>HYPERLINK("https://klasma.github.io/Logging_0482/klagomål/A 62535-2021 FSC-klagomål.docx", "A 62535-2021")</f>
        <v/>
      </c>
      <c r="W99">
        <f>HYPERLINK("https://klasma.github.io/Logging_0482/klagomålsmail/A 62535-2021 FSC-klagomål mail.docx", "A 62535-2021")</f>
        <v/>
      </c>
      <c r="X99">
        <f>HYPERLINK("https://klasma.github.io/Logging_0482/tillsyn/A 62535-2021 tillsynsbegäran.docx", "A 62535-2021")</f>
        <v/>
      </c>
      <c r="Y99">
        <f>HYPERLINK("https://klasma.github.io/Logging_0482/tillsynsmail/A 62535-2021 tillsynsbegäran mail.docx", "A 62535-2021")</f>
        <v/>
      </c>
    </row>
    <row r="100" ht="15" customHeight="1">
      <c r="A100" t="inlineStr">
        <is>
          <t>A 70039-2021</t>
        </is>
      </c>
      <c r="B100" s="1" t="n">
        <v>44533</v>
      </c>
      <c r="C100" s="1" t="n">
        <v>45875</v>
      </c>
      <c r="D100" t="inlineStr">
        <is>
          <t>SÖDERMANLANDS LÄN</t>
        </is>
      </c>
      <c r="E100" t="inlineStr">
        <is>
          <t>FLEN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70039-2021 artfynd.xlsx", "A 70039-2021")</f>
        <v/>
      </c>
      <c r="T100">
        <f>HYPERLINK("https://klasma.github.io/Logging_0482/kartor/A 70039-2021 karta.png", "A 70039-2021")</f>
        <v/>
      </c>
      <c r="V100">
        <f>HYPERLINK("https://klasma.github.io/Logging_0482/klagomål/A 70039-2021 FSC-klagomål.docx", "A 70039-2021")</f>
        <v/>
      </c>
      <c r="W100">
        <f>HYPERLINK("https://klasma.github.io/Logging_0482/klagomålsmail/A 70039-2021 FSC-klagomål mail.docx", "A 70039-2021")</f>
        <v/>
      </c>
      <c r="X100">
        <f>HYPERLINK("https://klasma.github.io/Logging_0482/tillsyn/A 70039-2021 tillsynsbegäran.docx", "A 70039-2021")</f>
        <v/>
      </c>
      <c r="Y100">
        <f>HYPERLINK("https://klasma.github.io/Logging_0482/tillsynsmail/A 70039-2021 tillsynsbegäran mail.docx", "A 70039-2021")</f>
        <v/>
      </c>
    </row>
    <row r="101" ht="15" customHeight="1">
      <c r="A101" t="inlineStr">
        <is>
          <t>A 73923-2021</t>
        </is>
      </c>
      <c r="B101" s="1" t="n">
        <v>44553</v>
      </c>
      <c r="C101" s="1" t="n">
        <v>45875</v>
      </c>
      <c r="D101" t="inlineStr">
        <is>
          <t>SÖDERMANLANDS LÄN</t>
        </is>
      </c>
      <c r="E101" t="inlineStr">
        <is>
          <t>FLEN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Klasefibbla</t>
        </is>
      </c>
      <c r="S101">
        <f>HYPERLINK("https://klasma.github.io/Logging_0482/artfynd/A 73923-2021 artfynd.xlsx", "A 73923-2021")</f>
        <v/>
      </c>
      <c r="T101">
        <f>HYPERLINK("https://klasma.github.io/Logging_0482/kartor/A 73923-2021 karta.png", "A 73923-2021")</f>
        <v/>
      </c>
      <c r="V101">
        <f>HYPERLINK("https://klasma.github.io/Logging_0482/klagomål/A 73923-2021 FSC-klagomål.docx", "A 73923-2021")</f>
        <v/>
      </c>
      <c r="W101">
        <f>HYPERLINK("https://klasma.github.io/Logging_0482/klagomålsmail/A 73923-2021 FSC-klagomål mail.docx", "A 73923-2021")</f>
        <v/>
      </c>
      <c r="X101">
        <f>HYPERLINK("https://klasma.github.io/Logging_0482/tillsyn/A 73923-2021 tillsynsbegäran.docx", "A 73923-2021")</f>
        <v/>
      </c>
      <c r="Y101">
        <f>HYPERLINK("https://klasma.github.io/Logging_0482/tillsynsmail/A 73923-2021 tillsynsbegäran mail.docx", "A 73923-2021")</f>
        <v/>
      </c>
    </row>
    <row r="102" ht="15" customHeight="1">
      <c r="A102" t="inlineStr">
        <is>
          <t>A 7883-2022</t>
        </is>
      </c>
      <c r="B102" s="1" t="n">
        <v>44608</v>
      </c>
      <c r="C102" s="1" t="n">
        <v>45875</v>
      </c>
      <c r="D102" t="inlineStr">
        <is>
          <t>SÖDERMANLANDS LÄN</t>
        </is>
      </c>
      <c r="E102" t="inlineStr">
        <is>
          <t>FLEN</t>
        </is>
      </c>
      <c r="F102" t="inlineStr">
        <is>
          <t>Övriga statliga verk och myndigheter</t>
        </is>
      </c>
      <c r="G102" t="n">
        <v>2.2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HYPERLINK("https://klasma.github.io/Logging_0482/artfynd/A 7883-2022 artfynd.xlsx", "A 7883-2022")</f>
        <v/>
      </c>
      <c r="T102">
        <f>HYPERLINK("https://klasma.github.io/Logging_0482/kartor/A 7883-2022 karta.png", "A 7883-2022")</f>
        <v/>
      </c>
      <c r="V102">
        <f>HYPERLINK("https://klasma.github.io/Logging_0482/klagomål/A 7883-2022 FSC-klagomål.docx", "A 7883-2022")</f>
        <v/>
      </c>
      <c r="W102">
        <f>HYPERLINK("https://klasma.github.io/Logging_0482/klagomålsmail/A 7883-2022 FSC-klagomål mail.docx", "A 7883-2022")</f>
        <v/>
      </c>
      <c r="X102">
        <f>HYPERLINK("https://klasma.github.io/Logging_0482/tillsyn/A 7883-2022 tillsynsbegäran.docx", "A 7883-2022")</f>
        <v/>
      </c>
      <c r="Y102">
        <f>HYPERLINK("https://klasma.github.io/Logging_0482/tillsynsmail/A 7883-2022 tillsynsbegäran mail.docx", "A 7883-2022")</f>
        <v/>
      </c>
    </row>
    <row r="103" ht="15" customHeight="1">
      <c r="A103" t="inlineStr">
        <is>
          <t>A 10789-2022</t>
        </is>
      </c>
      <c r="B103" s="1" t="n">
        <v>44624</v>
      </c>
      <c r="C103" s="1" t="n">
        <v>45875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HYPERLINK("https://klasma.github.io/Logging_0482/artfynd/A 10789-2022 artfynd.xlsx", "A 10789-2022")</f>
        <v/>
      </c>
      <c r="T103">
        <f>HYPERLINK("https://klasma.github.io/Logging_0482/kartor/A 10789-2022 karta.png", "A 10789-2022")</f>
        <v/>
      </c>
      <c r="V103">
        <f>HYPERLINK("https://klasma.github.io/Logging_0482/klagomål/A 10789-2022 FSC-klagomål.docx", "A 10789-2022")</f>
        <v/>
      </c>
      <c r="W103">
        <f>HYPERLINK("https://klasma.github.io/Logging_0482/klagomålsmail/A 10789-2022 FSC-klagomål mail.docx", "A 10789-2022")</f>
        <v/>
      </c>
      <c r="X103">
        <f>HYPERLINK("https://klasma.github.io/Logging_0482/tillsyn/A 10789-2022 tillsynsbegäran.docx", "A 10789-2022")</f>
        <v/>
      </c>
      <c r="Y103">
        <f>HYPERLINK("https://klasma.github.io/Logging_0482/tillsynsmail/A 10789-2022 tillsynsbegäran mail.docx", "A 10789-2022")</f>
        <v/>
      </c>
    </row>
    <row r="104" ht="15" customHeight="1">
      <c r="A104" t="inlineStr">
        <is>
          <t>A 10770-2022</t>
        </is>
      </c>
      <c r="B104" s="1" t="n">
        <v>44624</v>
      </c>
      <c r="C104" s="1" t="n">
        <v>45875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10770-2022 artfynd.xlsx", "A 10770-2022")</f>
        <v/>
      </c>
      <c r="T104">
        <f>HYPERLINK("https://klasma.github.io/Logging_0482/kartor/A 10770-2022 karta.png", "A 10770-2022")</f>
        <v/>
      </c>
      <c r="V104">
        <f>HYPERLINK("https://klasma.github.io/Logging_0482/klagomål/A 10770-2022 FSC-klagomål.docx", "A 10770-2022")</f>
        <v/>
      </c>
      <c r="W104">
        <f>HYPERLINK("https://klasma.github.io/Logging_0482/klagomålsmail/A 10770-2022 FSC-klagomål mail.docx", "A 10770-2022")</f>
        <v/>
      </c>
      <c r="X104">
        <f>HYPERLINK("https://klasma.github.io/Logging_0482/tillsyn/A 10770-2022 tillsynsbegäran.docx", "A 10770-2022")</f>
        <v/>
      </c>
      <c r="Y104">
        <f>HYPERLINK("https://klasma.github.io/Logging_0482/tillsynsmail/A 10770-2022 tillsynsbegäran mail.docx", "A 10770-2022")</f>
        <v/>
      </c>
    </row>
    <row r="105" ht="15" customHeight="1">
      <c r="A105" t="inlineStr">
        <is>
          <t>A 12306-2022</t>
        </is>
      </c>
      <c r="B105" s="1" t="n">
        <v>44637</v>
      </c>
      <c r="C105" s="1" t="n">
        <v>45875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HYPERLINK("https://klasma.github.io/Logging_0482/artfynd/A 12306-2022 artfynd.xlsx", "A 12306-2022")</f>
        <v/>
      </c>
      <c r="T105">
        <f>HYPERLINK("https://klasma.github.io/Logging_0482/kartor/A 12306-2022 karta.png", "A 12306-2022")</f>
        <v/>
      </c>
      <c r="V105">
        <f>HYPERLINK("https://klasma.github.io/Logging_0482/klagomål/A 12306-2022 FSC-klagomål.docx", "A 12306-2022")</f>
        <v/>
      </c>
      <c r="W105">
        <f>HYPERLINK("https://klasma.github.io/Logging_0482/klagomålsmail/A 12306-2022 FSC-klagomål mail.docx", "A 12306-2022")</f>
        <v/>
      </c>
      <c r="X105">
        <f>HYPERLINK("https://klasma.github.io/Logging_0482/tillsyn/A 12306-2022 tillsynsbegäran.docx", "A 12306-2022")</f>
        <v/>
      </c>
      <c r="Y105">
        <f>HYPERLINK("https://klasma.github.io/Logging_0482/tillsynsmail/A 12306-2022 tillsynsbegäran mail.docx", "A 12306-2022")</f>
        <v/>
      </c>
      <c r="Z105">
        <f>HYPERLINK("https://klasma.github.io/Logging_0482/fåglar/A 12306-2022 prioriterade fågelarter.docx", "A 12306-2022")</f>
        <v/>
      </c>
    </row>
    <row r="106" ht="15" customHeight="1">
      <c r="A106" t="inlineStr">
        <is>
          <t>A 12371-2022</t>
        </is>
      </c>
      <c r="B106" s="1" t="n">
        <v>44637</v>
      </c>
      <c r="C106" s="1" t="n">
        <v>45875</v>
      </c>
      <c r="D106" t="inlineStr">
        <is>
          <t>SÖDERMANLANDS LÄN</t>
        </is>
      </c>
      <c r="E106" t="inlineStr">
        <is>
          <t>FLEN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12371-2022 artfynd.xlsx", "A 12371-2022")</f>
        <v/>
      </c>
      <c r="T106">
        <f>HYPERLINK("https://klasma.github.io/Logging_0482/kartor/A 12371-2022 karta.png", "A 12371-2022")</f>
        <v/>
      </c>
      <c r="V106">
        <f>HYPERLINK("https://klasma.github.io/Logging_0482/klagomål/A 12371-2022 FSC-klagomål.docx", "A 12371-2022")</f>
        <v/>
      </c>
      <c r="W106">
        <f>HYPERLINK("https://klasma.github.io/Logging_0482/klagomålsmail/A 12371-2022 FSC-klagomål mail.docx", "A 12371-2022")</f>
        <v/>
      </c>
      <c r="X106">
        <f>HYPERLINK("https://klasma.github.io/Logging_0482/tillsyn/A 12371-2022 tillsynsbegäran.docx", "A 12371-2022")</f>
        <v/>
      </c>
      <c r="Y106">
        <f>HYPERLINK("https://klasma.github.io/Logging_0482/tillsynsmail/A 12371-2022 tillsynsbegäran mail.docx", "A 12371-2022")</f>
        <v/>
      </c>
    </row>
    <row r="107" ht="15" customHeight="1">
      <c r="A107" t="inlineStr">
        <is>
          <t>A 26245-2022</t>
        </is>
      </c>
      <c r="B107" s="1" t="n">
        <v>44735</v>
      </c>
      <c r="C107" s="1" t="n">
        <v>45875</v>
      </c>
      <c r="D107" t="inlineStr">
        <is>
          <t>SÖDERMANLANDS LÄN</t>
        </is>
      </c>
      <c r="E107" t="inlineStr">
        <is>
          <t>FLEN</t>
        </is>
      </c>
      <c r="G107" t="n">
        <v>2.9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Blanksvart trämyra</t>
        </is>
      </c>
      <c r="S107">
        <f>HYPERLINK("https://klasma.github.io/Logging_0482/artfynd/A 26245-2022 artfynd.xlsx", "A 26245-2022")</f>
        <v/>
      </c>
      <c r="T107">
        <f>HYPERLINK("https://klasma.github.io/Logging_0482/kartor/A 26245-2022 karta.png", "A 26245-2022")</f>
        <v/>
      </c>
      <c r="V107">
        <f>HYPERLINK("https://klasma.github.io/Logging_0482/klagomål/A 26245-2022 FSC-klagomål.docx", "A 26245-2022")</f>
        <v/>
      </c>
      <c r="W107">
        <f>HYPERLINK("https://klasma.github.io/Logging_0482/klagomålsmail/A 26245-2022 FSC-klagomål mail.docx", "A 26245-2022")</f>
        <v/>
      </c>
      <c r="X107">
        <f>HYPERLINK("https://klasma.github.io/Logging_0482/tillsyn/A 26245-2022 tillsynsbegäran.docx", "A 26245-2022")</f>
        <v/>
      </c>
      <c r="Y107">
        <f>HYPERLINK("https://klasma.github.io/Logging_0482/tillsynsmail/A 26245-2022 tillsynsbegäran mail.docx", "A 26245-2022")</f>
        <v/>
      </c>
    </row>
    <row r="108" ht="15" customHeight="1">
      <c r="A108" t="inlineStr">
        <is>
          <t>A 34498-2022</t>
        </is>
      </c>
      <c r="B108" s="1" t="n">
        <v>44792</v>
      </c>
      <c r="C108" s="1" t="n">
        <v>45875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HYPERLINK("https://klasma.github.io/Logging_0482/artfynd/A 34498-2022 artfynd.xlsx", "A 34498-2022")</f>
        <v/>
      </c>
      <c r="T108">
        <f>HYPERLINK("https://klasma.github.io/Logging_0482/kartor/A 34498-2022 karta.png", "A 34498-2022")</f>
        <v/>
      </c>
      <c r="V108">
        <f>HYPERLINK("https://klasma.github.io/Logging_0482/klagomål/A 34498-2022 FSC-klagomål.docx", "A 34498-2022")</f>
        <v/>
      </c>
      <c r="W108">
        <f>HYPERLINK("https://klasma.github.io/Logging_0482/klagomålsmail/A 34498-2022 FSC-klagomål mail.docx", "A 34498-2022")</f>
        <v/>
      </c>
      <c r="X108">
        <f>HYPERLINK("https://klasma.github.io/Logging_0482/tillsyn/A 34498-2022 tillsynsbegäran.docx", "A 34498-2022")</f>
        <v/>
      </c>
      <c r="Y108">
        <f>HYPERLINK("https://klasma.github.io/Logging_0482/tillsynsmail/A 34498-2022 tillsynsbegäran mail.docx", "A 34498-2022")</f>
        <v/>
      </c>
    </row>
    <row r="109" ht="15" customHeight="1">
      <c r="A109" t="inlineStr">
        <is>
          <t>A 35278-2022</t>
        </is>
      </c>
      <c r="B109" s="1" t="n">
        <v>44798</v>
      </c>
      <c r="C109" s="1" t="n">
        <v>45875</v>
      </c>
      <c r="D109" t="inlineStr">
        <is>
          <t>SÖDERMANLANDS LÄN</t>
        </is>
      </c>
      <c r="E109" t="inlineStr">
        <is>
          <t>FLEN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Grönvit nattviol</t>
        </is>
      </c>
      <c r="S109">
        <f>HYPERLINK("https://klasma.github.io/Logging_0482/artfynd/A 35278-2022 artfynd.xlsx", "A 35278-2022")</f>
        <v/>
      </c>
      <c r="T109">
        <f>HYPERLINK("https://klasma.github.io/Logging_0482/kartor/A 35278-2022 karta.png", "A 35278-2022")</f>
        <v/>
      </c>
      <c r="V109">
        <f>HYPERLINK("https://klasma.github.io/Logging_0482/klagomål/A 35278-2022 FSC-klagomål.docx", "A 35278-2022")</f>
        <v/>
      </c>
      <c r="W109">
        <f>HYPERLINK("https://klasma.github.io/Logging_0482/klagomålsmail/A 35278-2022 FSC-klagomål mail.docx", "A 35278-2022")</f>
        <v/>
      </c>
      <c r="X109">
        <f>HYPERLINK("https://klasma.github.io/Logging_0482/tillsyn/A 35278-2022 tillsynsbegäran.docx", "A 35278-2022")</f>
        <v/>
      </c>
      <c r="Y109">
        <f>HYPERLINK("https://klasma.github.io/Logging_0482/tillsynsmail/A 35278-2022 tillsynsbegäran mail.docx", "A 35278-2022")</f>
        <v/>
      </c>
    </row>
    <row r="110" ht="15" customHeight="1">
      <c r="A110" t="inlineStr">
        <is>
          <t>A 44563-2022</t>
        </is>
      </c>
      <c r="B110" s="1" t="n">
        <v>44838</v>
      </c>
      <c r="C110" s="1" t="n">
        <v>45875</v>
      </c>
      <c r="D110" t="inlineStr">
        <is>
          <t>SÖDERMANLANDS LÄN</t>
        </is>
      </c>
      <c r="E110" t="inlineStr">
        <is>
          <t>FLEN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HYPERLINK("https://klasma.github.io/Logging_0482/artfynd/A 44563-2022 artfynd.xlsx", "A 44563-2022")</f>
        <v/>
      </c>
      <c r="T110">
        <f>HYPERLINK("https://klasma.github.io/Logging_0482/kartor/A 44563-2022 karta.png", "A 44563-2022")</f>
        <v/>
      </c>
      <c r="V110">
        <f>HYPERLINK("https://klasma.github.io/Logging_0482/klagomål/A 44563-2022 FSC-klagomål.docx", "A 44563-2022")</f>
        <v/>
      </c>
      <c r="W110">
        <f>HYPERLINK("https://klasma.github.io/Logging_0482/klagomålsmail/A 44563-2022 FSC-klagomål mail.docx", "A 44563-2022")</f>
        <v/>
      </c>
      <c r="X110">
        <f>HYPERLINK("https://klasma.github.io/Logging_0482/tillsyn/A 44563-2022 tillsynsbegäran.docx", "A 44563-2022")</f>
        <v/>
      </c>
      <c r="Y110">
        <f>HYPERLINK("https://klasma.github.io/Logging_0482/tillsynsmail/A 44563-2022 tillsynsbegäran mail.docx", "A 44563-2022")</f>
        <v/>
      </c>
    </row>
    <row r="111" ht="15" customHeight="1">
      <c r="A111" t="inlineStr">
        <is>
          <t>A 47756-2022</t>
        </is>
      </c>
      <c r="B111" s="1" t="n">
        <v>44854</v>
      </c>
      <c r="C111" s="1" t="n">
        <v>45875</v>
      </c>
      <c r="D111" t="inlineStr">
        <is>
          <t>SÖDERMANLANDS LÄN</t>
        </is>
      </c>
      <c r="E111" t="inlineStr">
        <is>
          <t>FLEN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47756-2022 artfynd.xlsx", "A 47756-2022")</f>
        <v/>
      </c>
      <c r="T111">
        <f>HYPERLINK("https://klasma.github.io/Logging_0482/kartor/A 47756-2022 karta.png", "A 47756-2022")</f>
        <v/>
      </c>
      <c r="V111">
        <f>HYPERLINK("https://klasma.github.io/Logging_0482/klagomål/A 47756-2022 FSC-klagomål.docx", "A 47756-2022")</f>
        <v/>
      </c>
      <c r="W111">
        <f>HYPERLINK("https://klasma.github.io/Logging_0482/klagomålsmail/A 47756-2022 FSC-klagomål mail.docx", "A 47756-2022")</f>
        <v/>
      </c>
      <c r="X111">
        <f>HYPERLINK("https://klasma.github.io/Logging_0482/tillsyn/A 47756-2022 tillsynsbegäran.docx", "A 47756-2022")</f>
        <v/>
      </c>
      <c r="Y111">
        <f>HYPERLINK("https://klasma.github.io/Logging_0482/tillsynsmail/A 47756-2022 tillsynsbegäran mail.docx", "A 47756-2022")</f>
        <v/>
      </c>
    </row>
    <row r="112" ht="15" customHeight="1">
      <c r="A112" t="inlineStr">
        <is>
          <t>A 50202-2022</t>
        </is>
      </c>
      <c r="B112" s="1" t="n">
        <v>44865</v>
      </c>
      <c r="C112" s="1" t="n">
        <v>45875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HYPERLINK("https://klasma.github.io/Logging_0482/artfynd/A 50202-2022 artfynd.xlsx", "A 50202-2022")</f>
        <v/>
      </c>
      <c r="T112">
        <f>HYPERLINK("https://klasma.github.io/Logging_0482/kartor/A 50202-2022 karta.png", "A 50202-2022")</f>
        <v/>
      </c>
      <c r="V112">
        <f>HYPERLINK("https://klasma.github.io/Logging_0482/klagomål/A 50202-2022 FSC-klagomål.docx", "A 50202-2022")</f>
        <v/>
      </c>
      <c r="W112">
        <f>HYPERLINK("https://klasma.github.io/Logging_0482/klagomålsmail/A 50202-2022 FSC-klagomål mail.docx", "A 50202-2022")</f>
        <v/>
      </c>
      <c r="X112">
        <f>HYPERLINK("https://klasma.github.io/Logging_0482/tillsyn/A 50202-2022 tillsynsbegäran.docx", "A 50202-2022")</f>
        <v/>
      </c>
      <c r="Y112">
        <f>HYPERLINK("https://klasma.github.io/Logging_0482/tillsynsmail/A 50202-2022 tillsynsbegäran mail.docx", "A 50202-2022")</f>
        <v/>
      </c>
    </row>
    <row r="113" ht="15" customHeight="1">
      <c r="A113" t="inlineStr">
        <is>
          <t>A 59607-2022</t>
        </is>
      </c>
      <c r="B113" s="1" t="n">
        <v>44907</v>
      </c>
      <c r="C113" s="1" t="n">
        <v>45875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59607-2022 artfynd.xlsx", "A 59607-2022")</f>
        <v/>
      </c>
      <c r="T113">
        <f>HYPERLINK("https://klasma.github.io/Logging_0482/kartor/A 59607-2022 karta.png", "A 59607-2022")</f>
        <v/>
      </c>
      <c r="V113">
        <f>HYPERLINK("https://klasma.github.io/Logging_0482/klagomål/A 59607-2022 FSC-klagomål.docx", "A 59607-2022")</f>
        <v/>
      </c>
      <c r="W113">
        <f>HYPERLINK("https://klasma.github.io/Logging_0482/klagomålsmail/A 59607-2022 FSC-klagomål mail.docx", "A 59607-2022")</f>
        <v/>
      </c>
      <c r="X113">
        <f>HYPERLINK("https://klasma.github.io/Logging_0482/tillsyn/A 59607-2022 tillsynsbegäran.docx", "A 59607-2022")</f>
        <v/>
      </c>
      <c r="Y113">
        <f>HYPERLINK("https://klasma.github.io/Logging_0482/tillsynsmail/A 59607-2022 tillsynsbegäran mail.docx", "A 59607-2022")</f>
        <v/>
      </c>
    </row>
    <row r="114" ht="15" customHeight="1">
      <c r="A114" t="inlineStr">
        <is>
          <t>A 60591-2022</t>
        </is>
      </c>
      <c r="B114" s="1" t="n">
        <v>44911</v>
      </c>
      <c r="C114" s="1" t="n">
        <v>45875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HYPERLINK("https://klasma.github.io/Logging_0482/artfynd/A 60591-2022 artfynd.xlsx", "A 60591-2022")</f>
        <v/>
      </c>
      <c r="T114">
        <f>HYPERLINK("https://klasma.github.io/Logging_0482/kartor/A 60591-2022 karta.png", "A 60591-2022")</f>
        <v/>
      </c>
      <c r="V114">
        <f>HYPERLINK("https://klasma.github.io/Logging_0482/klagomål/A 60591-2022 FSC-klagomål.docx", "A 60591-2022")</f>
        <v/>
      </c>
      <c r="W114">
        <f>HYPERLINK("https://klasma.github.io/Logging_0482/klagomålsmail/A 60591-2022 FSC-klagomål mail.docx", "A 60591-2022")</f>
        <v/>
      </c>
      <c r="X114">
        <f>HYPERLINK("https://klasma.github.io/Logging_0482/tillsyn/A 60591-2022 tillsynsbegäran.docx", "A 60591-2022")</f>
        <v/>
      </c>
      <c r="Y114">
        <f>HYPERLINK("https://klasma.github.io/Logging_0482/tillsynsmail/A 60591-2022 tillsynsbegäran mail.docx", "A 60591-2022")</f>
        <v/>
      </c>
    </row>
    <row r="115" ht="15" customHeight="1">
      <c r="A115" t="inlineStr">
        <is>
          <t>A 61870-2022</t>
        </is>
      </c>
      <c r="B115" s="1" t="n">
        <v>44917</v>
      </c>
      <c r="C115" s="1" t="n">
        <v>45875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61870-2022 artfynd.xlsx", "A 61870-2022")</f>
        <v/>
      </c>
      <c r="T115">
        <f>HYPERLINK("https://klasma.github.io/Logging_0482/kartor/A 61870-2022 karta.png", "A 61870-2022")</f>
        <v/>
      </c>
      <c r="V115">
        <f>HYPERLINK("https://klasma.github.io/Logging_0482/klagomål/A 61870-2022 FSC-klagomål.docx", "A 61870-2022")</f>
        <v/>
      </c>
      <c r="W115">
        <f>HYPERLINK("https://klasma.github.io/Logging_0482/klagomålsmail/A 61870-2022 FSC-klagomål mail.docx", "A 61870-2022")</f>
        <v/>
      </c>
      <c r="X115">
        <f>HYPERLINK("https://klasma.github.io/Logging_0482/tillsyn/A 61870-2022 tillsynsbegäran.docx", "A 61870-2022")</f>
        <v/>
      </c>
      <c r="Y115">
        <f>HYPERLINK("https://klasma.github.io/Logging_0482/tillsynsmail/A 61870-2022 tillsynsbegäran mail.docx", "A 61870-2022")</f>
        <v/>
      </c>
    </row>
    <row r="116" ht="15" customHeight="1">
      <c r="A116" t="inlineStr">
        <is>
          <t>A 882-2023</t>
        </is>
      </c>
      <c r="B116" s="1" t="n">
        <v>44931</v>
      </c>
      <c r="C116" s="1" t="n">
        <v>45875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Aspvedgnagare</t>
        </is>
      </c>
      <c r="S116">
        <f>HYPERLINK("https://klasma.github.io/Logging_0482/artfynd/A 882-2023 artfynd.xlsx", "A 882-2023")</f>
        <v/>
      </c>
      <c r="T116">
        <f>HYPERLINK("https://klasma.github.io/Logging_0482/kartor/A 882-2023 karta.png", "A 882-2023")</f>
        <v/>
      </c>
      <c r="V116">
        <f>HYPERLINK("https://klasma.github.io/Logging_0482/klagomål/A 882-2023 FSC-klagomål.docx", "A 882-2023")</f>
        <v/>
      </c>
      <c r="W116">
        <f>HYPERLINK("https://klasma.github.io/Logging_0482/klagomålsmail/A 882-2023 FSC-klagomål mail.docx", "A 882-2023")</f>
        <v/>
      </c>
      <c r="X116">
        <f>HYPERLINK("https://klasma.github.io/Logging_0482/tillsyn/A 882-2023 tillsynsbegäran.docx", "A 882-2023")</f>
        <v/>
      </c>
      <c r="Y116">
        <f>HYPERLINK("https://klasma.github.io/Logging_0482/tillsynsmail/A 882-2023 tillsynsbegäran mail.docx", "A 882-2023")</f>
        <v/>
      </c>
    </row>
    <row r="117" ht="15" customHeight="1">
      <c r="A117" t="inlineStr">
        <is>
          <t>A 4699-2023</t>
        </is>
      </c>
      <c r="B117" s="1" t="n">
        <v>44957</v>
      </c>
      <c r="C117" s="1" t="n">
        <v>45875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Gullviva</t>
        </is>
      </c>
      <c r="S117">
        <f>HYPERLINK("https://klasma.github.io/Logging_0482/artfynd/A 4699-2023 artfynd.xlsx", "A 4699-2023")</f>
        <v/>
      </c>
      <c r="T117">
        <f>HYPERLINK("https://klasma.github.io/Logging_0482/kartor/A 4699-2023 karta.png", "A 4699-2023")</f>
        <v/>
      </c>
      <c r="V117">
        <f>HYPERLINK("https://klasma.github.io/Logging_0482/klagomål/A 4699-2023 FSC-klagomål.docx", "A 4699-2023")</f>
        <v/>
      </c>
      <c r="W117">
        <f>HYPERLINK("https://klasma.github.io/Logging_0482/klagomålsmail/A 4699-2023 FSC-klagomål mail.docx", "A 4699-2023")</f>
        <v/>
      </c>
      <c r="X117">
        <f>HYPERLINK("https://klasma.github.io/Logging_0482/tillsyn/A 4699-2023 tillsynsbegäran.docx", "A 4699-2023")</f>
        <v/>
      </c>
      <c r="Y117">
        <f>HYPERLINK("https://klasma.github.io/Logging_0482/tillsynsmail/A 4699-2023 tillsynsbegäran mail.docx", "A 4699-2023")</f>
        <v/>
      </c>
    </row>
    <row r="118" ht="15" customHeight="1">
      <c r="A118" t="inlineStr">
        <is>
          <t>A 7506-2023</t>
        </is>
      </c>
      <c r="B118" s="1" t="n">
        <v>44971</v>
      </c>
      <c r="C118" s="1" t="n">
        <v>45875</v>
      </c>
      <c r="D118" t="inlineStr">
        <is>
          <t>SÖDERMANLANDS LÄN</t>
        </is>
      </c>
      <c r="E118" t="inlineStr">
        <is>
          <t>FLEN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7506-2023 artfynd.xlsx", "A 7506-2023")</f>
        <v/>
      </c>
      <c r="T118">
        <f>HYPERLINK("https://klasma.github.io/Logging_0482/kartor/A 7506-2023 karta.png", "A 7506-2023")</f>
        <v/>
      </c>
      <c r="V118">
        <f>HYPERLINK("https://klasma.github.io/Logging_0482/klagomål/A 7506-2023 FSC-klagomål.docx", "A 7506-2023")</f>
        <v/>
      </c>
      <c r="W118">
        <f>HYPERLINK("https://klasma.github.io/Logging_0482/klagomålsmail/A 7506-2023 FSC-klagomål mail.docx", "A 7506-2023")</f>
        <v/>
      </c>
      <c r="X118">
        <f>HYPERLINK("https://klasma.github.io/Logging_0482/tillsyn/A 7506-2023 tillsynsbegäran.docx", "A 7506-2023")</f>
        <v/>
      </c>
      <c r="Y118">
        <f>HYPERLINK("https://klasma.github.io/Logging_0482/tillsynsmail/A 7506-2023 tillsynsbegäran mail.docx", "A 7506-2023")</f>
        <v/>
      </c>
    </row>
    <row r="119" ht="15" customHeight="1">
      <c r="A119" t="inlineStr">
        <is>
          <t>A 13858-2023</t>
        </is>
      </c>
      <c r="B119" s="1" t="n">
        <v>45007</v>
      </c>
      <c r="C119" s="1" t="n">
        <v>45875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HYPERLINK("https://klasma.github.io/Logging_0482/artfynd/A 13858-2023 artfynd.xlsx", "A 13858-2023")</f>
        <v/>
      </c>
      <c r="T119">
        <f>HYPERLINK("https://klasma.github.io/Logging_0482/kartor/A 13858-2023 karta.png", "A 13858-2023")</f>
        <v/>
      </c>
      <c r="V119">
        <f>HYPERLINK("https://klasma.github.io/Logging_0482/klagomål/A 13858-2023 FSC-klagomål.docx", "A 13858-2023")</f>
        <v/>
      </c>
      <c r="W119">
        <f>HYPERLINK("https://klasma.github.io/Logging_0482/klagomålsmail/A 13858-2023 FSC-klagomål mail.docx", "A 13858-2023")</f>
        <v/>
      </c>
      <c r="X119">
        <f>HYPERLINK("https://klasma.github.io/Logging_0482/tillsyn/A 13858-2023 tillsynsbegäran.docx", "A 13858-2023")</f>
        <v/>
      </c>
      <c r="Y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30584-2023</t>
        </is>
      </c>
      <c r="B120" s="1" t="n">
        <v>45112</v>
      </c>
      <c r="C120" s="1" t="n">
        <v>45875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HYPERLINK("https://klasma.github.io/Logging_0482/artfynd/A 30584-2023 artfynd.xlsx", "A 30584-2023")</f>
        <v/>
      </c>
      <c r="T120">
        <f>HYPERLINK("https://klasma.github.io/Logging_0482/kartor/A 30584-2023 karta.png", "A 30584-2023")</f>
        <v/>
      </c>
      <c r="V120">
        <f>HYPERLINK("https://klasma.github.io/Logging_0482/klagomål/A 30584-2023 FSC-klagomål.docx", "A 30584-2023")</f>
        <v/>
      </c>
      <c r="W120">
        <f>HYPERLINK("https://klasma.github.io/Logging_0482/klagomålsmail/A 30584-2023 FSC-klagomål mail.docx", "A 30584-2023")</f>
        <v/>
      </c>
      <c r="X120">
        <f>HYPERLINK("https://klasma.github.io/Logging_0482/tillsyn/A 30584-2023 tillsynsbegäran.docx", "A 30584-2023")</f>
        <v/>
      </c>
      <c r="Y120">
        <f>HYPERLINK("https://klasma.github.io/Logging_0482/tillsynsmail/A 30584-2023 tillsynsbegäran mail.docx", "A 30584-2023")</f>
        <v/>
      </c>
      <c r="Z120">
        <f>HYPERLINK("https://klasma.github.io/Logging_0482/fåglar/A 30584-2023 prioriterade fågelarter.docx", "A 30584-2023")</f>
        <v/>
      </c>
    </row>
    <row r="121" ht="15" customHeight="1">
      <c r="A121" t="inlineStr">
        <is>
          <t>A 37025-2023</t>
        </is>
      </c>
      <c r="B121" s="1" t="n">
        <v>45155</v>
      </c>
      <c r="C121" s="1" t="n">
        <v>45875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24.1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HYPERLINK("https://klasma.github.io/Logging_0482/artfynd/A 37025-2023 artfynd.xlsx", "A 37025-2023")</f>
        <v/>
      </c>
      <c r="T121">
        <f>HYPERLINK("https://klasma.github.io/Logging_0482/kartor/A 37025-2023 karta.png", "A 37025-2023")</f>
        <v/>
      </c>
      <c r="V121">
        <f>HYPERLINK("https://klasma.github.io/Logging_0482/klagomål/A 37025-2023 FSC-klagomål.docx", "A 37025-2023")</f>
        <v/>
      </c>
      <c r="W121">
        <f>HYPERLINK("https://klasma.github.io/Logging_0482/klagomålsmail/A 37025-2023 FSC-klagomål mail.docx", "A 37025-2023")</f>
        <v/>
      </c>
      <c r="X121">
        <f>HYPERLINK("https://klasma.github.io/Logging_0482/tillsyn/A 37025-2023 tillsynsbegäran.docx", "A 37025-2023")</f>
        <v/>
      </c>
      <c r="Y121">
        <f>HYPERLINK("https://klasma.github.io/Logging_0482/tillsynsmail/A 37025-2023 tillsynsbegäran mail.docx", "A 37025-2023")</f>
        <v/>
      </c>
      <c r="Z121">
        <f>HYPERLINK("https://klasma.github.io/Logging_0482/fåglar/A 37025-2023 prioriterade fågelarter.docx", "A 37025-2023")</f>
        <v/>
      </c>
    </row>
    <row r="122" ht="15" customHeight="1">
      <c r="A122" t="inlineStr">
        <is>
          <t>A 37317-2023</t>
        </is>
      </c>
      <c r="B122" s="1" t="n">
        <v>45156</v>
      </c>
      <c r="C122" s="1" t="n">
        <v>45875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HYPERLINK("https://klasma.github.io/Logging_0482/artfynd/A 37317-2023 artfynd.xlsx", "A 37317-2023")</f>
        <v/>
      </c>
      <c r="T122">
        <f>HYPERLINK("https://klasma.github.io/Logging_0482/kartor/A 37317-2023 karta.png", "A 37317-2023")</f>
        <v/>
      </c>
      <c r="V122">
        <f>HYPERLINK("https://klasma.github.io/Logging_0482/klagomål/A 37317-2023 FSC-klagomål.docx", "A 37317-2023")</f>
        <v/>
      </c>
      <c r="W122">
        <f>HYPERLINK("https://klasma.github.io/Logging_0482/klagomålsmail/A 37317-2023 FSC-klagomål mail.docx", "A 37317-2023")</f>
        <v/>
      </c>
      <c r="X122">
        <f>HYPERLINK("https://klasma.github.io/Logging_0482/tillsyn/A 37317-2023 tillsynsbegäran.docx", "A 37317-2023")</f>
        <v/>
      </c>
      <c r="Y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39590-2023</t>
        </is>
      </c>
      <c r="B123" s="1" t="n">
        <v>45163</v>
      </c>
      <c r="C123" s="1" t="n">
        <v>45875</v>
      </c>
      <c r="D123" t="inlineStr">
        <is>
          <t>SÖDERMANLANDS LÄN</t>
        </is>
      </c>
      <c r="E123" t="inlineStr">
        <is>
          <t>FLEN</t>
        </is>
      </c>
      <c r="G123" t="n">
        <v>9.4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39590-2023 artfynd.xlsx", "A 39590-2023")</f>
        <v/>
      </c>
      <c r="T123">
        <f>HYPERLINK("https://klasma.github.io/Logging_0482/kartor/A 39590-2023 karta.png", "A 39590-2023")</f>
        <v/>
      </c>
      <c r="V123">
        <f>HYPERLINK("https://klasma.github.io/Logging_0482/klagomål/A 39590-2023 FSC-klagomål.docx", "A 39590-2023")</f>
        <v/>
      </c>
      <c r="W123">
        <f>HYPERLINK("https://klasma.github.io/Logging_0482/klagomålsmail/A 39590-2023 FSC-klagomål mail.docx", "A 39590-2023")</f>
        <v/>
      </c>
      <c r="X123">
        <f>HYPERLINK("https://klasma.github.io/Logging_0482/tillsyn/A 39590-2023 tillsynsbegäran.docx", "A 39590-2023")</f>
        <v/>
      </c>
      <c r="Y123">
        <f>HYPERLINK("https://klasma.github.io/Logging_0482/tillsynsmail/A 39590-2023 tillsynsbegäran mail.docx", "A 39590-2023")</f>
        <v/>
      </c>
    </row>
    <row r="124" ht="15" customHeight="1">
      <c r="A124" t="inlineStr">
        <is>
          <t>A 39240-2023</t>
        </is>
      </c>
      <c r="B124" s="1" t="n">
        <v>45166</v>
      </c>
      <c r="C124" s="1" t="n">
        <v>45875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4.6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Blodticka</t>
        </is>
      </c>
      <c r="S124">
        <f>HYPERLINK("https://klasma.github.io/Logging_0482/artfynd/A 39240-2023 artfynd.xlsx", "A 39240-2023")</f>
        <v/>
      </c>
      <c r="T124">
        <f>HYPERLINK("https://klasma.github.io/Logging_0482/kartor/A 39240-2023 karta.png", "A 39240-2023")</f>
        <v/>
      </c>
      <c r="V124">
        <f>HYPERLINK("https://klasma.github.io/Logging_0482/klagomål/A 39240-2023 FSC-klagomål.docx", "A 39240-2023")</f>
        <v/>
      </c>
      <c r="W124">
        <f>HYPERLINK("https://klasma.github.io/Logging_0482/klagomålsmail/A 39240-2023 FSC-klagomål mail.docx", "A 39240-2023")</f>
        <v/>
      </c>
      <c r="X124">
        <f>HYPERLINK("https://klasma.github.io/Logging_0482/tillsyn/A 39240-2023 tillsynsbegäran.docx", "A 39240-2023")</f>
        <v/>
      </c>
      <c r="Y124">
        <f>HYPERLINK("https://klasma.github.io/Logging_0482/tillsynsmail/A 39240-2023 tillsynsbegäran mail.docx", "A 39240-2023")</f>
        <v/>
      </c>
    </row>
    <row r="125" ht="15" customHeight="1">
      <c r="A125" t="inlineStr">
        <is>
          <t>A 44476-2023</t>
        </is>
      </c>
      <c r="B125" s="1" t="n">
        <v>45189</v>
      </c>
      <c r="C125" s="1" t="n">
        <v>45875</v>
      </c>
      <c r="D125" t="inlineStr">
        <is>
          <t>SÖDERMANLANDS LÄN</t>
        </is>
      </c>
      <c r="E125" t="inlineStr">
        <is>
          <t>FLEN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Svedjenäva</t>
        </is>
      </c>
      <c r="S125">
        <f>HYPERLINK("https://klasma.github.io/Logging_0482/artfynd/A 44476-2023 artfynd.xlsx", "A 44476-2023")</f>
        <v/>
      </c>
      <c r="T125">
        <f>HYPERLINK("https://klasma.github.io/Logging_0482/kartor/A 44476-2023 karta.png", "A 44476-2023")</f>
        <v/>
      </c>
      <c r="V125">
        <f>HYPERLINK("https://klasma.github.io/Logging_0482/klagomål/A 44476-2023 FSC-klagomål.docx", "A 44476-2023")</f>
        <v/>
      </c>
      <c r="W125">
        <f>HYPERLINK("https://klasma.github.io/Logging_0482/klagomålsmail/A 44476-2023 FSC-klagomål mail.docx", "A 44476-2023")</f>
        <v/>
      </c>
      <c r="X125">
        <f>HYPERLINK("https://klasma.github.io/Logging_0482/tillsyn/A 44476-2023 tillsynsbegäran.docx", "A 44476-2023")</f>
        <v/>
      </c>
      <c r="Y125">
        <f>HYPERLINK("https://klasma.github.io/Logging_0482/tillsynsmail/A 44476-2023 tillsynsbegäran mail.docx", "A 44476-2023")</f>
        <v/>
      </c>
    </row>
    <row r="126" ht="15" customHeight="1">
      <c r="A126" t="inlineStr">
        <is>
          <t>A 48896-2023</t>
        </is>
      </c>
      <c r="B126" s="1" t="n">
        <v>45209</v>
      </c>
      <c r="C126" s="1" t="n">
        <v>45875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48896-2023 artfynd.xlsx", "A 48896-2023")</f>
        <v/>
      </c>
      <c r="T126">
        <f>HYPERLINK("https://klasma.github.io/Logging_0482/kartor/A 48896-2023 karta.png", "A 48896-2023")</f>
        <v/>
      </c>
      <c r="V126">
        <f>HYPERLINK("https://klasma.github.io/Logging_0482/klagomål/A 48896-2023 FSC-klagomål.docx", "A 48896-2023")</f>
        <v/>
      </c>
      <c r="W126">
        <f>HYPERLINK("https://klasma.github.io/Logging_0482/klagomålsmail/A 48896-2023 FSC-klagomål mail.docx", "A 48896-2023")</f>
        <v/>
      </c>
      <c r="X126">
        <f>HYPERLINK("https://klasma.github.io/Logging_0482/tillsyn/A 48896-2023 tillsynsbegäran.docx", "A 48896-2023")</f>
        <v/>
      </c>
      <c r="Y126">
        <f>HYPERLINK("https://klasma.github.io/Logging_0482/tillsynsmail/A 48896-2023 tillsynsbegäran mail.docx", "A 48896-2023")</f>
        <v/>
      </c>
    </row>
    <row r="127" ht="15" customHeight="1">
      <c r="A127" t="inlineStr">
        <is>
          <t>A 49808-2023</t>
        </is>
      </c>
      <c r="B127" s="1" t="n">
        <v>45212</v>
      </c>
      <c r="C127" s="1" t="n">
        <v>45875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49808-2023 artfynd.xlsx", "A 49808-2023")</f>
        <v/>
      </c>
      <c r="T127">
        <f>HYPERLINK("https://klasma.github.io/Logging_0482/kartor/A 49808-2023 karta.png", "A 49808-2023")</f>
        <v/>
      </c>
      <c r="V127">
        <f>HYPERLINK("https://klasma.github.io/Logging_0482/klagomål/A 49808-2023 FSC-klagomål.docx", "A 49808-2023")</f>
        <v/>
      </c>
      <c r="W127">
        <f>HYPERLINK("https://klasma.github.io/Logging_0482/klagomålsmail/A 49808-2023 FSC-klagomål mail.docx", "A 49808-2023")</f>
        <v/>
      </c>
      <c r="X127">
        <f>HYPERLINK("https://klasma.github.io/Logging_0482/tillsyn/A 49808-2023 tillsynsbegäran.docx", "A 49808-2023")</f>
        <v/>
      </c>
      <c r="Y127">
        <f>HYPERLINK("https://klasma.github.io/Logging_0482/tillsynsmail/A 49808-2023 tillsynsbegäran mail.docx", "A 49808-2023")</f>
        <v/>
      </c>
    </row>
    <row r="128" ht="15" customHeight="1">
      <c r="A128" t="inlineStr">
        <is>
          <t>A 53339-2023</t>
        </is>
      </c>
      <c r="B128" s="1" t="n">
        <v>45222</v>
      </c>
      <c r="C128" s="1" t="n">
        <v>45875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53339-2023 artfynd.xlsx", "A 53339-2023")</f>
        <v/>
      </c>
      <c r="T128">
        <f>HYPERLINK("https://klasma.github.io/Logging_0482/kartor/A 53339-2023 karta.png", "A 53339-2023")</f>
        <v/>
      </c>
      <c r="V128">
        <f>HYPERLINK("https://klasma.github.io/Logging_0482/klagomål/A 53339-2023 FSC-klagomål.docx", "A 53339-2023")</f>
        <v/>
      </c>
      <c r="W128">
        <f>HYPERLINK("https://klasma.github.io/Logging_0482/klagomålsmail/A 53339-2023 FSC-klagomål mail.docx", "A 53339-2023")</f>
        <v/>
      </c>
      <c r="X128">
        <f>HYPERLINK("https://klasma.github.io/Logging_0482/tillsyn/A 53339-2023 tillsynsbegäran.docx", "A 53339-2023")</f>
        <v/>
      </c>
      <c r="Y128">
        <f>HYPERLINK("https://klasma.github.io/Logging_0482/tillsynsmail/A 53339-2023 tillsynsbegäran mail.docx", "A 53339-2023")</f>
        <v/>
      </c>
    </row>
    <row r="129" ht="15" customHeight="1">
      <c r="A129" t="inlineStr">
        <is>
          <t>A 4154-2024</t>
        </is>
      </c>
      <c r="B129" s="1" t="n">
        <v>45323</v>
      </c>
      <c r="C129" s="1" t="n">
        <v>45875</v>
      </c>
      <c r="D129" t="inlineStr">
        <is>
          <t>SÖDERMANLANDS LÄN</t>
        </is>
      </c>
      <c r="E129" t="inlineStr">
        <is>
          <t>FLEN</t>
        </is>
      </c>
      <c r="G129" t="n">
        <v>1.1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4154-2024 artfynd.xlsx", "A 4154-2024")</f>
        <v/>
      </c>
      <c r="T129">
        <f>HYPERLINK("https://klasma.github.io/Logging_0482/kartor/A 4154-2024 karta.png", "A 4154-2024")</f>
        <v/>
      </c>
      <c r="V129">
        <f>HYPERLINK("https://klasma.github.io/Logging_0482/klagomål/A 4154-2024 FSC-klagomål.docx", "A 4154-2024")</f>
        <v/>
      </c>
      <c r="W129">
        <f>HYPERLINK("https://klasma.github.io/Logging_0482/klagomålsmail/A 4154-2024 FSC-klagomål mail.docx", "A 4154-2024")</f>
        <v/>
      </c>
      <c r="X129">
        <f>HYPERLINK("https://klasma.github.io/Logging_0482/tillsyn/A 4154-2024 tillsynsbegäran.docx", "A 4154-2024")</f>
        <v/>
      </c>
      <c r="Y129">
        <f>HYPERLINK("https://klasma.github.io/Logging_0482/tillsynsmail/A 4154-2024 tillsynsbegäran mail.docx", "A 4154-2024")</f>
        <v/>
      </c>
    </row>
    <row r="130" ht="15" customHeight="1">
      <c r="A130" t="inlineStr">
        <is>
          <t>A 7525-2024</t>
        </is>
      </c>
      <c r="B130" s="1" t="n">
        <v>45348</v>
      </c>
      <c r="C130" s="1" t="n">
        <v>45875</v>
      </c>
      <c r="D130" t="inlineStr">
        <is>
          <t>SÖDERMANLANDS LÄN</t>
        </is>
      </c>
      <c r="E130" t="inlineStr">
        <is>
          <t>FLEN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Vanlig backsmörblomma</t>
        </is>
      </c>
      <c r="S130">
        <f>HYPERLINK("https://klasma.github.io/Logging_0482/artfynd/A 7525-2024 artfynd.xlsx", "A 7525-2024")</f>
        <v/>
      </c>
      <c r="T130">
        <f>HYPERLINK("https://klasma.github.io/Logging_0482/kartor/A 7525-2024 karta.png", "A 7525-2024")</f>
        <v/>
      </c>
      <c r="V130">
        <f>HYPERLINK("https://klasma.github.io/Logging_0482/klagomål/A 7525-2024 FSC-klagomål.docx", "A 7525-2024")</f>
        <v/>
      </c>
      <c r="W130">
        <f>HYPERLINK("https://klasma.github.io/Logging_0482/klagomålsmail/A 7525-2024 FSC-klagomål mail.docx", "A 7525-2024")</f>
        <v/>
      </c>
      <c r="X130">
        <f>HYPERLINK("https://klasma.github.io/Logging_0482/tillsyn/A 7525-2024 tillsynsbegäran.docx", "A 7525-2024")</f>
        <v/>
      </c>
      <c r="Y130">
        <f>HYPERLINK("https://klasma.github.io/Logging_0482/tillsynsmail/A 7525-2024 tillsynsbegäran mail.docx", "A 7525-2024")</f>
        <v/>
      </c>
    </row>
    <row r="131" ht="15" customHeight="1">
      <c r="A131" t="inlineStr">
        <is>
          <t>A 7973-2024</t>
        </is>
      </c>
      <c r="B131" s="1" t="n">
        <v>45350</v>
      </c>
      <c r="C131" s="1" t="n">
        <v>45875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Vippärt</t>
        </is>
      </c>
      <c r="S131">
        <f>HYPERLINK("https://klasma.github.io/Logging_0482/artfynd/A 7973-2024 artfynd.xlsx", "A 7973-2024")</f>
        <v/>
      </c>
      <c r="T131">
        <f>HYPERLINK("https://klasma.github.io/Logging_0482/kartor/A 7973-2024 karta.png", "A 7973-2024")</f>
        <v/>
      </c>
      <c r="V131">
        <f>HYPERLINK("https://klasma.github.io/Logging_0482/klagomål/A 7973-2024 FSC-klagomål.docx", "A 7973-2024")</f>
        <v/>
      </c>
      <c r="W131">
        <f>HYPERLINK("https://klasma.github.io/Logging_0482/klagomålsmail/A 7973-2024 FSC-klagomål mail.docx", "A 7973-2024")</f>
        <v/>
      </c>
      <c r="X131">
        <f>HYPERLINK("https://klasma.github.io/Logging_0482/tillsyn/A 7973-2024 tillsynsbegäran.docx", "A 7973-2024")</f>
        <v/>
      </c>
      <c r="Y131">
        <f>HYPERLINK("https://klasma.github.io/Logging_0482/tillsynsmail/A 7973-2024 tillsynsbegäran mail.docx", "A 7973-2024")</f>
        <v/>
      </c>
    </row>
    <row r="132" ht="15" customHeight="1">
      <c r="A132" t="inlineStr">
        <is>
          <t>A 12056-2024</t>
        </is>
      </c>
      <c r="B132" s="1" t="n">
        <v>45377</v>
      </c>
      <c r="C132" s="1" t="n">
        <v>45875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Fjällig taggsvamp s.str.</t>
        </is>
      </c>
      <c r="S132">
        <f>HYPERLINK("https://klasma.github.io/Logging_0482/artfynd/A 12056-2024 artfynd.xlsx", "A 12056-2024")</f>
        <v/>
      </c>
      <c r="T132">
        <f>HYPERLINK("https://klasma.github.io/Logging_0482/kartor/A 12056-2024 karta.png", "A 12056-2024")</f>
        <v/>
      </c>
      <c r="V132">
        <f>HYPERLINK("https://klasma.github.io/Logging_0482/klagomål/A 12056-2024 FSC-klagomål.docx", "A 12056-2024")</f>
        <v/>
      </c>
      <c r="W132">
        <f>HYPERLINK("https://klasma.github.io/Logging_0482/klagomålsmail/A 12056-2024 FSC-klagomål mail.docx", "A 12056-2024")</f>
        <v/>
      </c>
      <c r="X132">
        <f>HYPERLINK("https://klasma.github.io/Logging_0482/tillsyn/A 12056-2024 tillsynsbegäran.docx", "A 12056-2024")</f>
        <v/>
      </c>
      <c r="Y132">
        <f>HYPERLINK("https://klasma.github.io/Logging_0482/tillsynsmail/A 12056-2024 tillsynsbegäran mail.docx", "A 12056-2024")</f>
        <v/>
      </c>
    </row>
    <row r="133" ht="15" customHeight="1">
      <c r="A133" t="inlineStr">
        <is>
          <t>A 14854-2024</t>
        </is>
      </c>
      <c r="B133" s="1" t="n">
        <v>45398</v>
      </c>
      <c r="C133" s="1" t="n">
        <v>45875</v>
      </c>
      <c r="D133" t="inlineStr">
        <is>
          <t>SÖDERMANLANDS LÄN</t>
        </is>
      </c>
      <c r="E133" t="inlineStr">
        <is>
          <t>FLEN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14854-2024 artfynd.xlsx", "A 14854-2024")</f>
        <v/>
      </c>
      <c r="T133">
        <f>HYPERLINK("https://klasma.github.io/Logging_0482/kartor/A 14854-2024 karta.png", "A 14854-2024")</f>
        <v/>
      </c>
      <c r="V133">
        <f>HYPERLINK("https://klasma.github.io/Logging_0482/klagomål/A 14854-2024 FSC-klagomål.docx", "A 14854-2024")</f>
        <v/>
      </c>
      <c r="W133">
        <f>HYPERLINK("https://klasma.github.io/Logging_0482/klagomålsmail/A 14854-2024 FSC-klagomål mail.docx", "A 14854-2024")</f>
        <v/>
      </c>
      <c r="X133">
        <f>HYPERLINK("https://klasma.github.io/Logging_0482/tillsyn/A 14854-2024 tillsynsbegäran.docx", "A 14854-2024")</f>
        <v/>
      </c>
      <c r="Y133">
        <f>HYPERLINK("https://klasma.github.io/Logging_0482/tillsynsmail/A 14854-2024 tillsynsbegäran mail.docx", "A 14854-2024")</f>
        <v/>
      </c>
    </row>
    <row r="134" ht="15" customHeight="1">
      <c r="A134" t="inlineStr">
        <is>
          <t>A 15452-2024</t>
        </is>
      </c>
      <c r="B134" s="1" t="n">
        <v>45400</v>
      </c>
      <c r="C134" s="1" t="n">
        <v>45875</v>
      </c>
      <c r="D134" t="inlineStr">
        <is>
          <t>SÖDERMANLANDS LÄN</t>
        </is>
      </c>
      <c r="E134" t="inlineStr">
        <is>
          <t>FLEN</t>
        </is>
      </c>
      <c r="G134" t="n">
        <v>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HYPERLINK("https://klasma.github.io/Logging_0482/artfynd/A 15452-2024 artfynd.xlsx", "A 15452-2024")</f>
        <v/>
      </c>
      <c r="T134">
        <f>HYPERLINK("https://klasma.github.io/Logging_0482/kartor/A 15452-2024 karta.png", "A 15452-2024")</f>
        <v/>
      </c>
      <c r="V134">
        <f>HYPERLINK("https://klasma.github.io/Logging_0482/klagomål/A 15452-2024 FSC-klagomål.docx", "A 15452-2024")</f>
        <v/>
      </c>
      <c r="W134">
        <f>HYPERLINK("https://klasma.github.io/Logging_0482/klagomålsmail/A 15452-2024 FSC-klagomål mail.docx", "A 15452-2024")</f>
        <v/>
      </c>
      <c r="X134">
        <f>HYPERLINK("https://klasma.github.io/Logging_0482/tillsyn/A 15452-2024 tillsynsbegäran.docx", "A 15452-2024")</f>
        <v/>
      </c>
      <c r="Y134">
        <f>HYPERLINK("https://klasma.github.io/Logging_0482/tillsynsmail/A 15452-2024 tillsynsbegäran mail.docx", "A 15452-2024")</f>
        <v/>
      </c>
    </row>
    <row r="135" ht="15" customHeight="1">
      <c r="A135" t="inlineStr">
        <is>
          <t>A 28779-2024</t>
        </is>
      </c>
      <c r="B135" s="1" t="n">
        <v>45478</v>
      </c>
      <c r="C135" s="1" t="n">
        <v>45875</v>
      </c>
      <c r="D135" t="inlineStr">
        <is>
          <t>SÖDERMANLANDS LÄN</t>
        </is>
      </c>
      <c r="E135" t="inlineStr">
        <is>
          <t>FLEN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HYPERLINK("https://klasma.github.io/Logging_0482/artfynd/A 28779-2024 artfynd.xlsx", "A 28779-2024")</f>
        <v/>
      </c>
      <c r="T135">
        <f>HYPERLINK("https://klasma.github.io/Logging_0482/kartor/A 28779-2024 karta.png", "A 28779-2024")</f>
        <v/>
      </c>
      <c r="V135">
        <f>HYPERLINK("https://klasma.github.io/Logging_0482/klagomål/A 28779-2024 FSC-klagomål.docx", "A 28779-2024")</f>
        <v/>
      </c>
      <c r="W135">
        <f>HYPERLINK("https://klasma.github.io/Logging_0482/klagomålsmail/A 28779-2024 FSC-klagomål mail.docx", "A 28779-2024")</f>
        <v/>
      </c>
      <c r="X135">
        <f>HYPERLINK("https://klasma.github.io/Logging_0482/tillsyn/A 28779-2024 tillsynsbegäran.docx", "A 28779-2024")</f>
        <v/>
      </c>
      <c r="Y135">
        <f>HYPERLINK("https://klasma.github.io/Logging_0482/tillsynsmail/A 28779-2024 tillsynsbegäran mail.docx", "A 28779-2024")</f>
        <v/>
      </c>
    </row>
    <row r="136" ht="15" customHeight="1">
      <c r="A136" t="inlineStr">
        <is>
          <t>A 33216-2024</t>
        </is>
      </c>
      <c r="B136" s="1" t="n">
        <v>45518</v>
      </c>
      <c r="C136" s="1" t="n">
        <v>45875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HYPERLINK("https://klasma.github.io/Logging_0482/artfynd/A 33216-2024 artfynd.xlsx", "A 33216-2024")</f>
        <v/>
      </c>
      <c r="T136">
        <f>HYPERLINK("https://klasma.github.io/Logging_0482/kartor/A 33216-2024 karta.png", "A 33216-2024")</f>
        <v/>
      </c>
      <c r="V136">
        <f>HYPERLINK("https://klasma.github.io/Logging_0482/klagomål/A 33216-2024 FSC-klagomål.docx", "A 33216-2024")</f>
        <v/>
      </c>
      <c r="W136">
        <f>HYPERLINK("https://klasma.github.io/Logging_0482/klagomålsmail/A 33216-2024 FSC-klagomål mail.docx", "A 33216-2024")</f>
        <v/>
      </c>
      <c r="X136">
        <f>HYPERLINK("https://klasma.github.io/Logging_0482/tillsyn/A 33216-2024 tillsynsbegäran.docx", "A 33216-2024")</f>
        <v/>
      </c>
      <c r="Y136">
        <f>HYPERLINK("https://klasma.github.io/Logging_0482/tillsynsmail/A 33216-2024 tillsynsbegäran mail.docx", "A 33216-2024")</f>
        <v/>
      </c>
    </row>
    <row r="137" ht="15" customHeight="1">
      <c r="A137" t="inlineStr">
        <is>
          <t>A 37282-2024</t>
        </is>
      </c>
      <c r="B137" s="1" t="n">
        <v>45540</v>
      </c>
      <c r="C137" s="1" t="n">
        <v>45875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HYPERLINK("https://klasma.github.io/Logging_0482/artfynd/A 37282-2024 artfynd.xlsx", "A 37282-2024")</f>
        <v/>
      </c>
      <c r="T137">
        <f>HYPERLINK("https://klasma.github.io/Logging_0482/kartor/A 37282-2024 karta.png", "A 37282-2024")</f>
        <v/>
      </c>
      <c r="V137">
        <f>HYPERLINK("https://klasma.github.io/Logging_0482/klagomål/A 37282-2024 FSC-klagomål.docx", "A 37282-2024")</f>
        <v/>
      </c>
      <c r="W137">
        <f>HYPERLINK("https://klasma.github.io/Logging_0482/klagomålsmail/A 37282-2024 FSC-klagomål mail.docx", "A 37282-2024")</f>
        <v/>
      </c>
      <c r="X137">
        <f>HYPERLINK("https://klasma.github.io/Logging_0482/tillsyn/A 37282-2024 tillsynsbegäran.docx", "A 37282-2024")</f>
        <v/>
      </c>
      <c r="Y137">
        <f>HYPERLINK("https://klasma.github.io/Logging_0482/tillsynsmail/A 37282-2024 tillsynsbegäran mail.docx", "A 37282-2024")</f>
        <v/>
      </c>
    </row>
    <row r="138" ht="15" customHeight="1">
      <c r="A138" t="inlineStr">
        <is>
          <t>A 37284-2024</t>
        </is>
      </c>
      <c r="B138" s="1" t="n">
        <v>45540</v>
      </c>
      <c r="C138" s="1" t="n">
        <v>45875</v>
      </c>
      <c r="D138" t="inlineStr">
        <is>
          <t>SÖDERMANLANDS LÄN</t>
        </is>
      </c>
      <c r="E138" t="inlineStr">
        <is>
          <t>FLEN</t>
        </is>
      </c>
      <c r="G138" t="n">
        <v>5.7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HYPERLINK("https://klasma.github.io/Logging_0482/artfynd/A 37284-2024 artfynd.xlsx", "A 37284-2024")</f>
        <v/>
      </c>
      <c r="T138">
        <f>HYPERLINK("https://klasma.github.io/Logging_0482/kartor/A 37284-2024 karta.png", "A 37284-2024")</f>
        <v/>
      </c>
      <c r="V138">
        <f>HYPERLINK("https://klasma.github.io/Logging_0482/klagomål/A 37284-2024 FSC-klagomål.docx", "A 37284-2024")</f>
        <v/>
      </c>
      <c r="W138">
        <f>HYPERLINK("https://klasma.github.io/Logging_0482/klagomålsmail/A 37284-2024 FSC-klagomål mail.docx", "A 37284-2024")</f>
        <v/>
      </c>
      <c r="X138">
        <f>HYPERLINK("https://klasma.github.io/Logging_0482/tillsyn/A 37284-2024 tillsynsbegäran.docx", "A 37284-2024")</f>
        <v/>
      </c>
      <c r="Y138">
        <f>HYPERLINK("https://klasma.github.io/Logging_0482/tillsynsmail/A 37284-2024 tillsynsbegäran mail.docx", "A 37284-2024")</f>
        <v/>
      </c>
    </row>
    <row r="139" ht="15" customHeight="1">
      <c r="A139" t="inlineStr">
        <is>
          <t>A 40820-2024</t>
        </is>
      </c>
      <c r="B139" s="1" t="n">
        <v>45558</v>
      </c>
      <c r="C139" s="1" t="n">
        <v>45875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HYPERLINK("https://klasma.github.io/Logging_0482/artfynd/A 40820-2024 artfynd.xlsx", "A 40820-2024")</f>
        <v/>
      </c>
      <c r="T139">
        <f>HYPERLINK("https://klasma.github.io/Logging_0482/kartor/A 40820-2024 karta.png", "A 40820-2024")</f>
        <v/>
      </c>
      <c r="U139">
        <f>HYPERLINK("https://klasma.github.io/Logging_0482/knärot/A 40820-2024 karta knärot.png", "A 40820-2024")</f>
        <v/>
      </c>
      <c r="V139">
        <f>HYPERLINK("https://klasma.github.io/Logging_0482/klagomål/A 40820-2024 FSC-klagomål.docx", "A 40820-2024")</f>
        <v/>
      </c>
      <c r="W139">
        <f>HYPERLINK("https://klasma.github.io/Logging_0482/klagomålsmail/A 40820-2024 FSC-klagomål mail.docx", "A 40820-2024")</f>
        <v/>
      </c>
      <c r="X139">
        <f>HYPERLINK("https://klasma.github.io/Logging_0482/tillsyn/A 40820-2024 tillsynsbegäran.docx", "A 40820-2024")</f>
        <v/>
      </c>
      <c r="Y139">
        <f>HYPERLINK("https://klasma.github.io/Logging_0482/tillsynsmail/A 40820-2024 tillsynsbegäran mail.docx", "A 40820-2024")</f>
        <v/>
      </c>
    </row>
    <row r="140" ht="15" customHeight="1">
      <c r="A140" t="inlineStr">
        <is>
          <t>A 45718-2024</t>
        </is>
      </c>
      <c r="B140" s="1" t="n">
        <v>45579</v>
      </c>
      <c r="C140" s="1" t="n">
        <v>45875</v>
      </c>
      <c r="D140" t="inlineStr">
        <is>
          <t>SÖDERMANLANDS LÄN</t>
        </is>
      </c>
      <c r="E140" t="inlineStr">
        <is>
          <t>FLEN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HYPERLINK("https://klasma.github.io/Logging_0482/artfynd/A 45718-2024 artfynd.xlsx", "A 45718-2024")</f>
        <v/>
      </c>
      <c r="T140">
        <f>HYPERLINK("https://klasma.github.io/Logging_0482/kartor/A 45718-2024 karta.png", "A 45718-2024")</f>
        <v/>
      </c>
      <c r="U140">
        <f>HYPERLINK("https://klasma.github.io/Logging_0482/knärot/A 45718-2024 karta knärot.png", "A 45718-2024")</f>
        <v/>
      </c>
      <c r="V140">
        <f>HYPERLINK("https://klasma.github.io/Logging_0482/klagomål/A 45718-2024 FSC-klagomål.docx", "A 45718-2024")</f>
        <v/>
      </c>
      <c r="W140">
        <f>HYPERLINK("https://klasma.github.io/Logging_0482/klagomålsmail/A 45718-2024 FSC-klagomål mail.docx", "A 45718-2024")</f>
        <v/>
      </c>
      <c r="X140">
        <f>HYPERLINK("https://klasma.github.io/Logging_0482/tillsyn/A 45718-2024 tillsynsbegäran.docx", "A 45718-2024")</f>
        <v/>
      </c>
      <c r="Y140">
        <f>HYPERLINK("https://klasma.github.io/Logging_0482/tillsynsmail/A 45718-2024 tillsynsbegäran mail.docx", "A 45718-2024")</f>
        <v/>
      </c>
    </row>
    <row r="141" ht="15" customHeight="1">
      <c r="A141" t="inlineStr">
        <is>
          <t>A 46987-2024</t>
        </is>
      </c>
      <c r="B141" s="1" t="n">
        <v>45586</v>
      </c>
      <c r="C141" s="1" t="n">
        <v>45875</v>
      </c>
      <c r="D141" t="inlineStr">
        <is>
          <t>SÖDERMANLANDS LÄN</t>
        </is>
      </c>
      <c r="E141" t="inlineStr">
        <is>
          <t>FLEN</t>
        </is>
      </c>
      <c r="G141" t="n">
        <v>1.2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HYPERLINK("https://klasma.github.io/Logging_0482/artfynd/A 46987-2024 artfynd.xlsx", "A 46987-2024")</f>
        <v/>
      </c>
      <c r="T141">
        <f>HYPERLINK("https://klasma.github.io/Logging_0482/kartor/A 46987-2024 karta.png", "A 46987-2024")</f>
        <v/>
      </c>
      <c r="V141">
        <f>HYPERLINK("https://klasma.github.io/Logging_0482/klagomål/A 46987-2024 FSC-klagomål.docx", "A 46987-2024")</f>
        <v/>
      </c>
      <c r="W141">
        <f>HYPERLINK("https://klasma.github.io/Logging_0482/klagomålsmail/A 46987-2024 FSC-klagomål mail.docx", "A 46987-2024")</f>
        <v/>
      </c>
      <c r="X141">
        <f>HYPERLINK("https://klasma.github.io/Logging_0482/tillsyn/A 46987-2024 tillsynsbegäran.docx", "A 46987-2024")</f>
        <v/>
      </c>
      <c r="Y141">
        <f>HYPERLINK("https://klasma.github.io/Logging_0482/tillsynsmail/A 46987-2024 tillsynsbegäran mail.docx", "A 46987-2024")</f>
        <v/>
      </c>
    </row>
    <row r="142" ht="15" customHeight="1">
      <c r="A142" t="inlineStr">
        <is>
          <t>A 49594-2024</t>
        </is>
      </c>
      <c r="B142" s="1" t="n">
        <v>45596</v>
      </c>
      <c r="C142" s="1" t="n">
        <v>45875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49594-2024 artfynd.xlsx", "A 49594-2024")</f>
        <v/>
      </c>
      <c r="T142">
        <f>HYPERLINK("https://klasma.github.io/Logging_0482/kartor/A 49594-2024 karta.png", "A 49594-2024")</f>
        <v/>
      </c>
      <c r="V142">
        <f>HYPERLINK("https://klasma.github.io/Logging_0482/klagomål/A 49594-2024 FSC-klagomål.docx", "A 49594-2024")</f>
        <v/>
      </c>
      <c r="W142">
        <f>HYPERLINK("https://klasma.github.io/Logging_0482/klagomålsmail/A 49594-2024 FSC-klagomål mail.docx", "A 49594-2024")</f>
        <v/>
      </c>
      <c r="X142">
        <f>HYPERLINK("https://klasma.github.io/Logging_0482/tillsyn/A 49594-2024 tillsynsbegäran.docx", "A 49594-2024")</f>
        <v/>
      </c>
      <c r="Y142">
        <f>HYPERLINK("https://klasma.github.io/Logging_0482/tillsynsmail/A 49594-2024 tillsynsbegäran mail.docx", "A 49594-2024")</f>
        <v/>
      </c>
      <c r="Z142">
        <f>HYPERLINK("https://klasma.github.io/Logging_0482/fåglar/A 49594-2024 prioriterade fågelarter.docx", "A 49594-2024")</f>
        <v/>
      </c>
    </row>
    <row r="143" ht="15" customHeight="1">
      <c r="A143" t="inlineStr">
        <is>
          <t>A 57251-2024</t>
        </is>
      </c>
      <c r="B143" s="1" t="n">
        <v>45629</v>
      </c>
      <c r="C143" s="1" t="n">
        <v>45875</v>
      </c>
      <c r="D143" t="inlineStr">
        <is>
          <t>SÖDERMANLANDS LÄN</t>
        </is>
      </c>
      <c r="E143" t="inlineStr">
        <is>
          <t>FLEN</t>
        </is>
      </c>
      <c r="G143" t="n">
        <v>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HYPERLINK("https://klasma.github.io/Logging_0482/artfynd/A 57251-2024 artfynd.xlsx", "A 57251-2024")</f>
        <v/>
      </c>
      <c r="T143">
        <f>HYPERLINK("https://klasma.github.io/Logging_0482/kartor/A 57251-2024 karta.png", "A 57251-2024")</f>
        <v/>
      </c>
      <c r="V143">
        <f>HYPERLINK("https://klasma.github.io/Logging_0482/klagomål/A 57251-2024 FSC-klagomål.docx", "A 57251-2024")</f>
        <v/>
      </c>
      <c r="W143">
        <f>HYPERLINK("https://klasma.github.io/Logging_0482/klagomålsmail/A 57251-2024 FSC-klagomål mail.docx", "A 57251-2024")</f>
        <v/>
      </c>
      <c r="X143">
        <f>HYPERLINK("https://klasma.github.io/Logging_0482/tillsyn/A 57251-2024 tillsynsbegäran.docx", "A 57251-2024")</f>
        <v/>
      </c>
      <c r="Y143">
        <f>HYPERLINK("https://klasma.github.io/Logging_0482/tillsynsmail/A 57251-2024 tillsynsbegäran mail.docx", "A 57251-2024")</f>
        <v/>
      </c>
    </row>
    <row r="144" ht="15" customHeight="1">
      <c r="A144" t="inlineStr">
        <is>
          <t>A 60529-2024</t>
        </is>
      </c>
      <c r="B144" s="1" t="n">
        <v>45643</v>
      </c>
      <c r="C144" s="1" t="n">
        <v>45875</v>
      </c>
      <c r="D144" t="inlineStr">
        <is>
          <t>SÖDERMANLANDS LÄN</t>
        </is>
      </c>
      <c r="E144" t="inlineStr">
        <is>
          <t>FLEN</t>
        </is>
      </c>
      <c r="G144" t="n">
        <v>2.5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HYPERLINK("https://klasma.github.io/Logging_0482/artfynd/A 60529-2024 artfynd.xlsx", "A 60529-2024")</f>
        <v/>
      </c>
      <c r="T144">
        <f>HYPERLINK("https://klasma.github.io/Logging_0482/kartor/A 60529-2024 karta.png", "A 60529-2024")</f>
        <v/>
      </c>
      <c r="V144">
        <f>HYPERLINK("https://klasma.github.io/Logging_0482/klagomål/A 60529-2024 FSC-klagomål.docx", "A 60529-2024")</f>
        <v/>
      </c>
      <c r="W144">
        <f>HYPERLINK("https://klasma.github.io/Logging_0482/klagomålsmail/A 60529-2024 FSC-klagomål mail.docx", "A 60529-2024")</f>
        <v/>
      </c>
      <c r="X144">
        <f>HYPERLINK("https://klasma.github.io/Logging_0482/tillsyn/A 60529-2024 tillsynsbegäran.docx", "A 60529-2024")</f>
        <v/>
      </c>
      <c r="Y144">
        <f>HYPERLINK("https://klasma.github.io/Logging_0482/tillsynsmail/A 60529-2024 tillsynsbegäran mail.docx", "A 60529-2024")</f>
        <v/>
      </c>
    </row>
    <row r="145" ht="15" customHeight="1">
      <c r="A145" t="inlineStr">
        <is>
          <t>A 1861-2025</t>
        </is>
      </c>
      <c r="B145" s="1" t="n">
        <v>45671</v>
      </c>
      <c r="C145" s="1" t="n">
        <v>45875</v>
      </c>
      <c r="D145" t="inlineStr">
        <is>
          <t>SÖDERMANLANDS LÄN</t>
        </is>
      </c>
      <c r="E145" t="inlineStr">
        <is>
          <t>FLEN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HYPERLINK("https://klasma.github.io/Logging_0482/artfynd/A 1861-2025 artfynd.xlsx", "A 1861-2025")</f>
        <v/>
      </c>
      <c r="T145">
        <f>HYPERLINK("https://klasma.github.io/Logging_0482/kartor/A 1861-2025 karta.png", "A 1861-2025")</f>
        <v/>
      </c>
      <c r="V145">
        <f>HYPERLINK("https://klasma.github.io/Logging_0482/klagomål/A 1861-2025 FSC-klagomål.docx", "A 1861-2025")</f>
        <v/>
      </c>
      <c r="W145">
        <f>HYPERLINK("https://klasma.github.io/Logging_0482/klagomålsmail/A 1861-2025 FSC-klagomål mail.docx", "A 1861-2025")</f>
        <v/>
      </c>
      <c r="X145">
        <f>HYPERLINK("https://klasma.github.io/Logging_0482/tillsyn/A 1861-2025 tillsynsbegäran.docx", "A 1861-2025")</f>
        <v/>
      </c>
      <c r="Y145">
        <f>HYPERLINK("https://klasma.github.io/Logging_0482/tillsynsmail/A 1861-2025 tillsynsbegäran mail.docx", "A 1861-2025")</f>
        <v/>
      </c>
    </row>
    <row r="146" ht="15" customHeight="1">
      <c r="A146" t="inlineStr">
        <is>
          <t>A 9066-2025</t>
        </is>
      </c>
      <c r="B146" s="1" t="n">
        <v>45713</v>
      </c>
      <c r="C146" s="1" t="n">
        <v>45875</v>
      </c>
      <c r="D146" t="inlineStr">
        <is>
          <t>SÖDERMANLANDS LÄN</t>
        </is>
      </c>
      <c r="E146" t="inlineStr">
        <is>
          <t>FLEN</t>
        </is>
      </c>
      <c r="G146" t="n">
        <v>4.5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Gullklöver</t>
        </is>
      </c>
      <c r="S146">
        <f>HYPERLINK("https://klasma.github.io/Logging_0482/artfynd/A 9066-2025 artfynd.xlsx", "A 9066-2025")</f>
        <v/>
      </c>
      <c r="T146">
        <f>HYPERLINK("https://klasma.github.io/Logging_0482/kartor/A 9066-2025 karta.png", "A 9066-2025")</f>
        <v/>
      </c>
      <c r="V146">
        <f>HYPERLINK("https://klasma.github.io/Logging_0482/klagomål/A 9066-2025 FSC-klagomål.docx", "A 9066-2025")</f>
        <v/>
      </c>
      <c r="W146">
        <f>HYPERLINK("https://klasma.github.io/Logging_0482/klagomålsmail/A 9066-2025 FSC-klagomål mail.docx", "A 9066-2025")</f>
        <v/>
      </c>
      <c r="X146">
        <f>HYPERLINK("https://klasma.github.io/Logging_0482/tillsyn/A 9066-2025 tillsynsbegäran.docx", "A 9066-2025")</f>
        <v/>
      </c>
      <c r="Y146">
        <f>HYPERLINK("https://klasma.github.io/Logging_0482/tillsynsmail/A 9066-2025 tillsynsbegäran mail.docx", "A 9066-2025")</f>
        <v/>
      </c>
    </row>
    <row r="147" ht="15" customHeight="1">
      <c r="A147" t="inlineStr">
        <is>
          <t>A 10828-2025</t>
        </is>
      </c>
      <c r="B147" s="1" t="n">
        <v>45722</v>
      </c>
      <c r="C147" s="1" t="n">
        <v>45875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HYPERLINK("https://klasma.github.io/Logging_040482/artfynd/A 10828-2025 artfynd.xlsx", "A 10828-2025")</f>
        <v/>
      </c>
      <c r="T147">
        <f>HYPERLINK("https://klasma.github.io/Logging_040482/kartor/A 10828-2025 karta.png", "A 10828-2025")</f>
        <v/>
      </c>
      <c r="V147">
        <f>HYPERLINK("https://klasma.github.io/Logging_040482/klagomål/A 10828-2025 FSC-klagomål.docx", "A 10828-2025")</f>
        <v/>
      </c>
      <c r="W147">
        <f>HYPERLINK("https://klasma.github.io/Logging_040482/klagomålsmail/A 10828-2025 FSC-klagomål mail.docx", "A 10828-2025")</f>
        <v/>
      </c>
      <c r="X147">
        <f>HYPERLINK("https://klasma.github.io/Logging_040482/tillsyn/A 10828-2025 tillsynsbegäran.docx", "A 10828-2025")</f>
        <v/>
      </c>
      <c r="Y147">
        <f>HYPERLINK("https://klasma.github.io/Logging_040482/tillsynsmail/A 10828-2025 tillsynsbegäran mail.docx", "A 10828-2025")</f>
        <v/>
      </c>
    </row>
    <row r="148" ht="15" customHeight="1">
      <c r="A148" t="inlineStr">
        <is>
          <t>A 14101-2025</t>
        </is>
      </c>
      <c r="B148" s="1" t="n">
        <v>45740</v>
      </c>
      <c r="C148" s="1" t="n">
        <v>45875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14101-2025 artfynd.xlsx", "A 14101-2025")</f>
        <v/>
      </c>
      <c r="T148">
        <f>HYPERLINK("https://klasma.github.io/Logging_040482/kartor/A 14101-2025 karta.png", "A 14101-2025")</f>
        <v/>
      </c>
      <c r="V148">
        <f>HYPERLINK("https://klasma.github.io/Logging_040482/klagomål/A 14101-2025 FSC-klagomål.docx", "A 14101-2025")</f>
        <v/>
      </c>
      <c r="W148">
        <f>HYPERLINK("https://klasma.github.io/Logging_040482/klagomålsmail/A 14101-2025 FSC-klagomål mail.docx", "A 14101-2025")</f>
        <v/>
      </c>
      <c r="X148">
        <f>HYPERLINK("https://klasma.github.io/Logging_040482/tillsyn/A 14101-2025 tillsynsbegäran.docx", "A 14101-2025")</f>
        <v/>
      </c>
      <c r="Y148">
        <f>HYPERLINK("https://klasma.github.io/Logging_040482/tillsynsmail/A 14101-2025 tillsynsbegäran mail.docx", "A 14101-2025")</f>
        <v/>
      </c>
    </row>
    <row r="149" ht="15" customHeight="1">
      <c r="A149" t="inlineStr">
        <is>
          <t>A 14273-2025</t>
        </is>
      </c>
      <c r="B149" s="1" t="n">
        <v>45740</v>
      </c>
      <c r="C149" s="1" t="n">
        <v>45875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HYPERLINK("https://klasma.github.io/Logging_040482/artfynd/A 14273-2025 artfynd.xlsx", "A 14273-2025")</f>
        <v/>
      </c>
      <c r="T149">
        <f>HYPERLINK("https://klasma.github.io/Logging_040482/kartor/A 14273-2025 karta.png", "A 14273-2025")</f>
        <v/>
      </c>
      <c r="V149">
        <f>HYPERLINK("https://klasma.github.io/Logging_040482/klagomål/A 14273-2025 FSC-klagomål.docx", "A 14273-2025")</f>
        <v/>
      </c>
      <c r="W149">
        <f>HYPERLINK("https://klasma.github.io/Logging_040482/klagomålsmail/A 14273-2025 FSC-klagomål mail.docx", "A 14273-2025")</f>
        <v/>
      </c>
      <c r="X149">
        <f>HYPERLINK("https://klasma.github.io/Logging_040482/tillsyn/A 14273-2025 tillsynsbegäran.docx", "A 14273-2025")</f>
        <v/>
      </c>
      <c r="Y149">
        <f>HYPERLINK("https://klasma.github.io/Logging_040482/tillsynsmail/A 14273-2025 tillsynsbegäran mail.docx", "A 14273-2025")</f>
        <v/>
      </c>
    </row>
    <row r="150" ht="15" customHeight="1">
      <c r="A150" t="inlineStr">
        <is>
          <t>A 14113-2025</t>
        </is>
      </c>
      <c r="B150" s="1" t="n">
        <v>45740</v>
      </c>
      <c r="C150" s="1" t="n">
        <v>45875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HYPERLINK("https://klasma.github.io/Logging_040482/artfynd/A 14113-2025 artfynd.xlsx", "A 14113-2025")</f>
        <v/>
      </c>
      <c r="T150">
        <f>HYPERLINK("https://klasma.github.io/Logging_040482/kartor/A 14113-2025 karta.png", "A 14113-2025")</f>
        <v/>
      </c>
      <c r="V150">
        <f>HYPERLINK("https://klasma.github.io/Logging_040482/klagomål/A 14113-2025 FSC-klagomål.docx", "A 14113-2025")</f>
        <v/>
      </c>
      <c r="W150">
        <f>HYPERLINK("https://klasma.github.io/Logging_040482/klagomålsmail/A 14113-2025 FSC-klagomål mail.docx", "A 14113-2025")</f>
        <v/>
      </c>
      <c r="X150">
        <f>HYPERLINK("https://klasma.github.io/Logging_040482/tillsyn/A 14113-2025 tillsynsbegäran.docx", "A 14113-2025")</f>
        <v/>
      </c>
      <c r="Y150">
        <f>HYPERLINK("https://klasma.github.io/Logging_040482/tillsynsmail/A 14113-2025 tillsynsbegäran mail.docx", "A 14113-2025")</f>
        <v/>
      </c>
    </row>
    <row r="151" ht="15" customHeight="1">
      <c r="A151" t="inlineStr">
        <is>
          <t>A 15011-2025</t>
        </is>
      </c>
      <c r="B151" s="1" t="n">
        <v>45743</v>
      </c>
      <c r="C151" s="1" t="n">
        <v>45875</v>
      </c>
      <c r="D151" t="inlineStr">
        <is>
          <t>SÖDERMANLANDS LÄN</t>
        </is>
      </c>
      <c r="E151" t="inlineStr">
        <is>
          <t>FLEN</t>
        </is>
      </c>
      <c r="G151" t="n">
        <v>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HYPERLINK("https://klasma.github.io/Logging_040482/artfynd/A 15011-2025 artfynd.xlsx", "A 15011-2025")</f>
        <v/>
      </c>
      <c r="T151">
        <f>HYPERLINK("https://klasma.github.io/Logging_040482/kartor/A 15011-2025 karta.png", "A 15011-2025")</f>
        <v/>
      </c>
      <c r="V151">
        <f>HYPERLINK("https://klasma.github.io/Logging_040482/klagomål/A 15011-2025 FSC-klagomål.docx", "A 15011-2025")</f>
        <v/>
      </c>
      <c r="W151">
        <f>HYPERLINK("https://klasma.github.io/Logging_040482/klagomålsmail/A 15011-2025 FSC-klagomål mail.docx", "A 15011-2025")</f>
        <v/>
      </c>
      <c r="X151">
        <f>HYPERLINK("https://klasma.github.io/Logging_040482/tillsyn/A 15011-2025 tillsynsbegäran.docx", "A 15011-2025")</f>
        <v/>
      </c>
      <c r="Y151">
        <f>HYPERLINK("https://klasma.github.io/Logging_040482/tillsynsmail/A 15011-2025 tillsynsbegäran mail.docx", "A 15011-2025")</f>
        <v/>
      </c>
    </row>
    <row r="152" ht="15" customHeight="1">
      <c r="A152" t="inlineStr">
        <is>
          <t>A 16831-2025</t>
        </is>
      </c>
      <c r="B152" s="1" t="n">
        <v>45754</v>
      </c>
      <c r="C152" s="1" t="n">
        <v>45875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6.6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HYPERLINK("https://klasma.github.io/Logging_040482/artfynd/A 16831-2025 artfynd.xlsx", "A 16831-2025")</f>
        <v/>
      </c>
      <c r="T152">
        <f>HYPERLINK("https://klasma.github.io/Logging_040482/kartor/A 16831-2025 karta.png", "A 16831-2025")</f>
        <v/>
      </c>
      <c r="V152">
        <f>HYPERLINK("https://klasma.github.io/Logging_040482/klagomål/A 16831-2025 FSC-klagomål.docx", "A 16831-2025")</f>
        <v/>
      </c>
      <c r="W152">
        <f>HYPERLINK("https://klasma.github.io/Logging_040482/klagomålsmail/A 16831-2025 FSC-klagomål mail.docx", "A 16831-2025")</f>
        <v/>
      </c>
      <c r="X152">
        <f>HYPERLINK("https://klasma.github.io/Logging_040482/tillsyn/A 16831-2025 tillsynsbegäran.docx", "A 16831-2025")</f>
        <v/>
      </c>
      <c r="Y152">
        <f>HYPERLINK("https://klasma.github.io/Logging_040482/tillsynsmail/A 16831-2025 tillsynsbegäran mail.docx", "A 16831-2025")</f>
        <v/>
      </c>
    </row>
    <row r="153" ht="15" customHeight="1">
      <c r="A153" t="inlineStr">
        <is>
          <t>A 24464-2025</t>
        </is>
      </c>
      <c r="B153" s="1" t="n">
        <v>45798</v>
      </c>
      <c r="C153" s="1" t="n">
        <v>45875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HYPERLINK("https://klasma.github.io/Logging_040482/artfynd/A 24464-2025 artfynd.xlsx", "A 24464-2025")</f>
        <v/>
      </c>
      <c r="T153">
        <f>HYPERLINK("https://klasma.github.io/Logging_040482/kartor/A 24464-2025 karta.png", "A 24464-2025")</f>
        <v/>
      </c>
      <c r="V153">
        <f>HYPERLINK("https://klasma.github.io/Logging_040482/klagomål/A 24464-2025 FSC-klagomål.docx", "A 24464-2025")</f>
        <v/>
      </c>
      <c r="W153">
        <f>HYPERLINK("https://klasma.github.io/Logging_040482/klagomålsmail/A 24464-2025 FSC-klagomål mail.docx", "A 24464-2025")</f>
        <v/>
      </c>
      <c r="X153">
        <f>HYPERLINK("https://klasma.github.io/Logging_040482/tillsyn/A 24464-2025 tillsynsbegäran.docx", "A 24464-2025")</f>
        <v/>
      </c>
      <c r="Y153">
        <f>HYPERLINK("https://klasma.github.io/Logging_040482/tillsynsmail/A 24464-2025 tillsynsbegäran mail.docx", "A 24464-2025")</f>
        <v/>
      </c>
    </row>
    <row r="154" ht="15" customHeight="1">
      <c r="A154" t="inlineStr">
        <is>
          <t>A 32901-2025</t>
        </is>
      </c>
      <c r="B154" s="1" t="n">
        <v>45839</v>
      </c>
      <c r="C154" s="1" t="n">
        <v>45875</v>
      </c>
      <c r="D154" t="inlineStr">
        <is>
          <t>SÖDERMANLANDS LÄN</t>
        </is>
      </c>
      <c r="E154" t="inlineStr">
        <is>
          <t>FLEN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HYPERLINK("https://klasma.github.io/Logging_040482/artfynd/A 32901-2025 artfynd.xlsx", "A 32901-2025")</f>
        <v/>
      </c>
      <c r="T154">
        <f>HYPERLINK("https://klasma.github.io/Logging_040482/kartor/A 32901-2025 karta.png", "A 32901-2025")</f>
        <v/>
      </c>
      <c r="V154">
        <f>HYPERLINK("https://klasma.github.io/Logging_040482/klagomål/A 32901-2025 FSC-klagomål.docx", "A 32901-2025")</f>
        <v/>
      </c>
      <c r="W154">
        <f>HYPERLINK("https://klasma.github.io/Logging_040482/klagomålsmail/A 32901-2025 FSC-klagomål mail.docx", "A 32901-2025")</f>
        <v/>
      </c>
      <c r="X154">
        <f>HYPERLINK("https://klasma.github.io/Logging_040482/tillsyn/A 32901-2025 tillsynsbegäran.docx", "A 32901-2025")</f>
        <v/>
      </c>
      <c r="Y154">
        <f>HYPERLINK("https://klasma.github.io/Logging_040482/tillsynsmail/A 32901-2025 tillsynsbegäran mail.docx", "A 32901-2025")</f>
        <v/>
      </c>
    </row>
    <row r="155" ht="15" customHeight="1">
      <c r="A155" t="inlineStr">
        <is>
          <t>A 18391-2019</t>
        </is>
      </c>
      <c r="B155" s="1" t="n">
        <v>43558</v>
      </c>
      <c r="C155" s="1" t="n">
        <v>45875</v>
      </c>
      <c r="D155" t="inlineStr">
        <is>
          <t>SÖDERMANLANDS LÄN</t>
        </is>
      </c>
      <c r="E155" t="inlineStr">
        <is>
          <t>FLEN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18543-2019</t>
        </is>
      </c>
      <c r="B156" s="1" t="n">
        <v>43558</v>
      </c>
      <c r="C156" s="1" t="n">
        <v>45875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18700-2019</t>
        </is>
      </c>
      <c r="B157" s="1" t="n">
        <v>43559</v>
      </c>
      <c r="C157" s="1" t="n">
        <v>45875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18688-2019</t>
        </is>
      </c>
      <c r="B158" s="1" t="n">
        <v>43559</v>
      </c>
      <c r="C158" s="1" t="n">
        <v>45875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18645-2019</t>
        </is>
      </c>
      <c r="B159" s="1" t="n">
        <v>43560</v>
      </c>
      <c r="C159" s="1" t="n">
        <v>45875</v>
      </c>
      <c r="D159" t="inlineStr">
        <is>
          <t>SÖDERMANLANDS LÄN</t>
        </is>
      </c>
      <c r="E159" t="inlineStr">
        <is>
          <t>FLEN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18824-2019</t>
        </is>
      </c>
      <c r="B160" s="1" t="n">
        <v>43560</v>
      </c>
      <c r="C160" s="1" t="n">
        <v>45875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19395-2019</t>
        </is>
      </c>
      <c r="B161" s="1" t="n">
        <v>43565</v>
      </c>
      <c r="C161" s="1" t="n">
        <v>45875</v>
      </c>
      <c r="D161" t="inlineStr">
        <is>
          <t>SÖDERMANLANDS LÄN</t>
        </is>
      </c>
      <c r="E161" t="inlineStr">
        <is>
          <t>FLEN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19834-2019</t>
        </is>
      </c>
      <c r="B162" s="1" t="n">
        <v>43567</v>
      </c>
      <c r="C162" s="1" t="n">
        <v>45875</v>
      </c>
      <c r="D162" t="inlineStr">
        <is>
          <t>SÖDERMANLANDS LÄN</t>
        </is>
      </c>
      <c r="E162" t="inlineStr">
        <is>
          <t>FLEN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20284-2019</t>
        </is>
      </c>
      <c r="B163" s="1" t="n">
        <v>43570</v>
      </c>
      <c r="C163" s="1" t="n">
        <v>45875</v>
      </c>
      <c r="D163" t="inlineStr">
        <is>
          <t>SÖDERMANLANDS LÄN</t>
        </is>
      </c>
      <c r="E163" t="inlineStr">
        <is>
          <t>FLEN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21920-2019</t>
        </is>
      </c>
      <c r="B164" s="1" t="n">
        <v>43584</v>
      </c>
      <c r="C164" s="1" t="n">
        <v>45875</v>
      </c>
      <c r="D164" t="inlineStr">
        <is>
          <t>SÖDERMANLANDS LÄN</t>
        </is>
      </c>
      <c r="E164" t="inlineStr">
        <is>
          <t>FLEN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28911-2019</t>
        </is>
      </c>
      <c r="B165" s="1" t="n">
        <v>43616</v>
      </c>
      <c r="C165" s="1" t="n">
        <v>45875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28058-2019</t>
        </is>
      </c>
      <c r="B166" s="1" t="n">
        <v>43621</v>
      </c>
      <c r="C166" s="1" t="n">
        <v>45875</v>
      </c>
      <c r="D166" t="inlineStr">
        <is>
          <t>SÖDERMANLANDS LÄN</t>
        </is>
      </c>
      <c r="E166" t="inlineStr">
        <is>
          <t>FLEN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29977-2019</t>
        </is>
      </c>
      <c r="B167" s="1" t="n">
        <v>43630</v>
      </c>
      <c r="C167" s="1" t="n">
        <v>45875</v>
      </c>
      <c r="D167" t="inlineStr">
        <is>
          <t>SÖDERMANLANDS LÄN</t>
        </is>
      </c>
      <c r="E167" t="inlineStr">
        <is>
          <t>FLEN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30492-2019</t>
        </is>
      </c>
      <c r="B168" s="1" t="n">
        <v>43635</v>
      </c>
      <c r="C168" s="1" t="n">
        <v>45875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30872-2019</t>
        </is>
      </c>
      <c r="B169" s="1" t="n">
        <v>43636</v>
      </c>
      <c r="C169" s="1" t="n">
        <v>45875</v>
      </c>
      <c r="D169" t="inlineStr">
        <is>
          <t>SÖDERMANLANDS LÄN</t>
        </is>
      </c>
      <c r="E169" t="inlineStr">
        <is>
          <t>FLEN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32070-2019</t>
        </is>
      </c>
      <c r="B170" s="1" t="n">
        <v>43643</v>
      </c>
      <c r="C170" s="1" t="n">
        <v>45875</v>
      </c>
      <c r="D170" t="inlineStr">
        <is>
          <t>SÖDERMANLANDS LÄN</t>
        </is>
      </c>
      <c r="E170" t="inlineStr">
        <is>
          <t>FLEN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35583-2019</t>
        </is>
      </c>
      <c r="B171" s="1" t="n">
        <v>43655</v>
      </c>
      <c r="C171" s="1" t="n">
        <v>45875</v>
      </c>
      <c r="D171" t="inlineStr">
        <is>
          <t>SÖDERMANLANDS LÄN</t>
        </is>
      </c>
      <c r="E171" t="inlineStr">
        <is>
          <t>FLEN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34988-2019</t>
        </is>
      </c>
      <c r="B172" s="1" t="n">
        <v>43659</v>
      </c>
      <c r="C172" s="1" t="n">
        <v>45875</v>
      </c>
      <c r="D172" t="inlineStr">
        <is>
          <t>SÖDERMANLANDS LÄN</t>
        </is>
      </c>
      <c r="E172" t="inlineStr">
        <is>
          <t>FLEN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35086-2019</t>
        </is>
      </c>
      <c r="B173" s="1" t="n">
        <v>43661</v>
      </c>
      <c r="C173" s="1" t="n">
        <v>45875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35052-2019</t>
        </is>
      </c>
      <c r="B174" s="1" t="n">
        <v>43661</v>
      </c>
      <c r="C174" s="1" t="n">
        <v>45875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35182-2019</t>
        </is>
      </c>
      <c r="B175" s="1" t="n">
        <v>43661</v>
      </c>
      <c r="C175" s="1" t="n">
        <v>45875</v>
      </c>
      <c r="D175" t="inlineStr">
        <is>
          <t>SÖDERMANLANDS LÄN</t>
        </is>
      </c>
      <c r="E175" t="inlineStr">
        <is>
          <t>FLEN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35702-2019</t>
        </is>
      </c>
      <c r="B176" s="1" t="n">
        <v>43664</v>
      </c>
      <c r="C176" s="1" t="n">
        <v>45875</v>
      </c>
      <c r="D176" t="inlineStr">
        <is>
          <t>SÖDERMANLANDS LÄN</t>
        </is>
      </c>
      <c r="E176" t="inlineStr">
        <is>
          <t>FLEN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36152-2019</t>
        </is>
      </c>
      <c r="B177" s="1" t="n">
        <v>43668</v>
      </c>
      <c r="C177" s="1" t="n">
        <v>45875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36223-2019</t>
        </is>
      </c>
      <c r="B178" s="1" t="n">
        <v>43669</v>
      </c>
      <c r="C178" s="1" t="n">
        <v>45875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36612-2019</t>
        </is>
      </c>
      <c r="B179" s="1" t="n">
        <v>43669</v>
      </c>
      <c r="C179" s="1" t="n">
        <v>45875</v>
      </c>
      <c r="D179" t="inlineStr">
        <is>
          <t>SÖDERMANLANDS LÄN</t>
        </is>
      </c>
      <c r="E179" t="inlineStr">
        <is>
          <t>FLEN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36225-2019</t>
        </is>
      </c>
      <c r="B180" s="1" t="n">
        <v>43669</v>
      </c>
      <c r="C180" s="1" t="n">
        <v>45875</v>
      </c>
      <c r="D180" t="inlineStr">
        <is>
          <t>SÖDERMANLANDS LÄN</t>
        </is>
      </c>
      <c r="E180" t="inlineStr">
        <is>
          <t>FLEN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36619-2019</t>
        </is>
      </c>
      <c r="B181" s="1" t="n">
        <v>43669</v>
      </c>
      <c r="C181" s="1" t="n">
        <v>45875</v>
      </c>
      <c r="D181" t="inlineStr">
        <is>
          <t>SÖDERMANLANDS LÄN</t>
        </is>
      </c>
      <c r="E181" t="inlineStr">
        <is>
          <t>FLEN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36901-2019</t>
        </is>
      </c>
      <c r="B182" s="1" t="n">
        <v>43675</v>
      </c>
      <c r="C182" s="1" t="n">
        <v>45875</v>
      </c>
      <c r="D182" t="inlineStr">
        <is>
          <t>SÖDERMANLANDS LÄN</t>
        </is>
      </c>
      <c r="E182" t="inlineStr">
        <is>
          <t>FLEN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36978-2019</t>
        </is>
      </c>
      <c r="B183" s="1" t="n">
        <v>43676</v>
      </c>
      <c r="C183" s="1" t="n">
        <v>45875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36994-2019</t>
        </is>
      </c>
      <c r="B184" s="1" t="n">
        <v>43676</v>
      </c>
      <c r="C184" s="1" t="n">
        <v>45875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37337-2019</t>
        </is>
      </c>
      <c r="B185" s="1" t="n">
        <v>43678</v>
      </c>
      <c r="C185" s="1" t="n">
        <v>45875</v>
      </c>
      <c r="D185" t="inlineStr">
        <is>
          <t>SÖDERMANLANDS LÄN</t>
        </is>
      </c>
      <c r="E185" t="inlineStr">
        <is>
          <t>FLEN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37574-2019</t>
        </is>
      </c>
      <c r="B186" s="1" t="n">
        <v>43679</v>
      </c>
      <c r="C186" s="1" t="n">
        <v>45875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37560-2019</t>
        </is>
      </c>
      <c r="B187" s="1" t="n">
        <v>43679</v>
      </c>
      <c r="C187" s="1" t="n">
        <v>45875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37571-2019</t>
        </is>
      </c>
      <c r="B188" s="1" t="n">
        <v>43679</v>
      </c>
      <c r="C188" s="1" t="n">
        <v>45875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37572-2019</t>
        </is>
      </c>
      <c r="B189" s="1" t="n">
        <v>43679</v>
      </c>
      <c r="C189" s="1" t="n">
        <v>45875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37769-2019</t>
        </is>
      </c>
      <c r="B190" s="1" t="n">
        <v>43682</v>
      </c>
      <c r="C190" s="1" t="n">
        <v>45875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38241-2019</t>
        </is>
      </c>
      <c r="B191" s="1" t="n">
        <v>43684</v>
      </c>
      <c r="C191" s="1" t="n">
        <v>45875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38795-2019</t>
        </is>
      </c>
      <c r="B192" s="1" t="n">
        <v>43688</v>
      </c>
      <c r="C192" s="1" t="n">
        <v>45875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38796-2019</t>
        </is>
      </c>
      <c r="B193" s="1" t="n">
        <v>43688</v>
      </c>
      <c r="C193" s="1" t="n">
        <v>45875</v>
      </c>
      <c r="D193" t="inlineStr">
        <is>
          <t>SÖDERMANLANDS LÄN</t>
        </is>
      </c>
      <c r="E193" t="inlineStr">
        <is>
          <t>FLEN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39441-2019</t>
        </is>
      </c>
      <c r="B194" s="1" t="n">
        <v>43691</v>
      </c>
      <c r="C194" s="1" t="n">
        <v>45875</v>
      </c>
      <c r="D194" t="inlineStr">
        <is>
          <t>SÖDERMANLANDS LÄN</t>
        </is>
      </c>
      <c r="E194" t="inlineStr">
        <is>
          <t>FLEN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41114-2019</t>
        </is>
      </c>
      <c r="B195" s="1" t="n">
        <v>43691</v>
      </c>
      <c r="C195" s="1" t="n">
        <v>45875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40314-2019</t>
        </is>
      </c>
      <c r="B196" s="1" t="n">
        <v>43696</v>
      </c>
      <c r="C196" s="1" t="n">
        <v>45875</v>
      </c>
      <c r="D196" t="inlineStr">
        <is>
          <t>SÖDERMANLANDS LÄN</t>
        </is>
      </c>
      <c r="E196" t="inlineStr">
        <is>
          <t>FLEN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41847-2019</t>
        </is>
      </c>
      <c r="B197" s="1" t="n">
        <v>43697</v>
      </c>
      <c r="C197" s="1" t="n">
        <v>45875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46628-2019</t>
        </is>
      </c>
      <c r="B198" s="1" t="n">
        <v>43717</v>
      </c>
      <c r="C198" s="1" t="n">
        <v>45875</v>
      </c>
      <c r="D198" t="inlineStr">
        <is>
          <t>SÖDERMANLANDS LÄN</t>
        </is>
      </c>
      <c r="E198" t="inlineStr">
        <is>
          <t>FLEN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47345-2019</t>
        </is>
      </c>
      <c r="B199" s="1" t="n">
        <v>43721</v>
      </c>
      <c r="C199" s="1" t="n">
        <v>45875</v>
      </c>
      <c r="D199" t="inlineStr">
        <is>
          <t>SÖDERMANLANDS LÄN</t>
        </is>
      </c>
      <c r="E199" t="inlineStr">
        <is>
          <t>FLEN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48078-2019</t>
        </is>
      </c>
      <c r="B200" s="1" t="n">
        <v>43725</v>
      </c>
      <c r="C200" s="1" t="n">
        <v>45875</v>
      </c>
      <c r="D200" t="inlineStr">
        <is>
          <t>SÖDERMANLANDS LÄN</t>
        </is>
      </c>
      <c r="E200" t="inlineStr">
        <is>
          <t>FLEN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48240-2019</t>
        </is>
      </c>
      <c r="B201" s="1" t="n">
        <v>43726</v>
      </c>
      <c r="C201" s="1" t="n">
        <v>45875</v>
      </c>
      <c r="D201" t="inlineStr">
        <is>
          <t>SÖDERMANLANDS LÄN</t>
        </is>
      </c>
      <c r="E201" t="inlineStr">
        <is>
          <t>FLEN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49342-2019</t>
        </is>
      </c>
      <c r="B202" s="1" t="n">
        <v>43730</v>
      </c>
      <c r="C202" s="1" t="n">
        <v>45875</v>
      </c>
      <c r="D202" t="inlineStr">
        <is>
          <t>SÖDERMANLANDS LÄN</t>
        </is>
      </c>
      <c r="E202" t="inlineStr">
        <is>
          <t>FLEN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50710-2019</t>
        </is>
      </c>
      <c r="B203" s="1" t="n">
        <v>43738</v>
      </c>
      <c r="C203" s="1" t="n">
        <v>45875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51170-2019</t>
        </is>
      </c>
      <c r="B204" s="1" t="n">
        <v>43739</v>
      </c>
      <c r="C204" s="1" t="n">
        <v>45875</v>
      </c>
      <c r="D204" t="inlineStr">
        <is>
          <t>SÖDERMANLANDS LÄN</t>
        </is>
      </c>
      <c r="E204" t="inlineStr">
        <is>
          <t>FLEN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51738-2019</t>
        </is>
      </c>
      <c r="B205" s="1" t="n">
        <v>43740</v>
      </c>
      <c r="C205" s="1" t="n">
        <v>45875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54175-2019</t>
        </is>
      </c>
      <c r="B206" s="1" t="n">
        <v>43745</v>
      </c>
      <c r="C206" s="1" t="n">
        <v>45875</v>
      </c>
      <c r="D206" t="inlineStr">
        <is>
          <t>SÖDERMANLANDS LÄN</t>
        </is>
      </c>
      <c r="E206" t="inlineStr">
        <is>
          <t>FLEN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52871-2019</t>
        </is>
      </c>
      <c r="B207" s="1" t="n">
        <v>43746</v>
      </c>
      <c r="C207" s="1" t="n">
        <v>45875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54412-2019</t>
        </is>
      </c>
      <c r="B208" s="1" t="n">
        <v>43747</v>
      </c>
      <c r="C208" s="1" t="n">
        <v>45875</v>
      </c>
      <c r="D208" t="inlineStr">
        <is>
          <t>SÖDERMANLANDS LÄN</t>
        </is>
      </c>
      <c r="E208" t="inlineStr">
        <is>
          <t>FLEN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55088-2019</t>
        </is>
      </c>
      <c r="B209" s="1" t="n">
        <v>43752</v>
      </c>
      <c r="C209" s="1" t="n">
        <v>45875</v>
      </c>
      <c r="D209" t="inlineStr">
        <is>
          <t>SÖDERMANLANDS LÄN</t>
        </is>
      </c>
      <c r="E209" t="inlineStr">
        <is>
          <t>FLEN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55122-2019</t>
        </is>
      </c>
      <c r="B210" s="1" t="n">
        <v>43752</v>
      </c>
      <c r="C210" s="1" t="n">
        <v>45875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54307-2019</t>
        </is>
      </c>
      <c r="B211" s="1" t="n">
        <v>43753</v>
      </c>
      <c r="C211" s="1" t="n">
        <v>45875</v>
      </c>
      <c r="D211" t="inlineStr">
        <is>
          <t>SÖDERMANLANDS LÄN</t>
        </is>
      </c>
      <c r="E211" t="inlineStr">
        <is>
          <t>FLEN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55346-2019</t>
        </is>
      </c>
      <c r="B212" s="1" t="n">
        <v>43756</v>
      </c>
      <c r="C212" s="1" t="n">
        <v>45875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55417-2019</t>
        </is>
      </c>
      <c r="B213" s="1" t="n">
        <v>43758</v>
      </c>
      <c r="C213" s="1" t="n">
        <v>45875</v>
      </c>
      <c r="D213" t="inlineStr">
        <is>
          <t>SÖDERMANLANDS LÄN</t>
        </is>
      </c>
      <c r="E213" t="inlineStr">
        <is>
          <t>FLEN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55421-2019</t>
        </is>
      </c>
      <c r="B214" s="1" t="n">
        <v>43758</v>
      </c>
      <c r="C214" s="1" t="n">
        <v>45875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57898-2019</t>
        </is>
      </c>
      <c r="B215" s="1" t="n">
        <v>43762</v>
      </c>
      <c r="C215" s="1" t="n">
        <v>45875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58909-2019</t>
        </is>
      </c>
      <c r="B216" s="1" t="n">
        <v>43769</v>
      </c>
      <c r="C216" s="1" t="n">
        <v>45875</v>
      </c>
      <c r="D216" t="inlineStr">
        <is>
          <t>SÖDERMANLANDS LÄN</t>
        </is>
      </c>
      <c r="E216" t="inlineStr">
        <is>
          <t>FLEN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59014-2019</t>
        </is>
      </c>
      <c r="B217" s="1" t="n">
        <v>43774</v>
      </c>
      <c r="C217" s="1" t="n">
        <v>45875</v>
      </c>
      <c r="D217" t="inlineStr">
        <is>
          <t>SÖDERMANLANDS LÄN</t>
        </is>
      </c>
      <c r="E217" t="inlineStr">
        <is>
          <t>FLEN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59454-2019</t>
        </is>
      </c>
      <c r="B218" s="1" t="n">
        <v>43776</v>
      </c>
      <c r="C218" s="1" t="n">
        <v>45875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59448-2019</t>
        </is>
      </c>
      <c r="B219" s="1" t="n">
        <v>43776</v>
      </c>
      <c r="C219" s="1" t="n">
        <v>45875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59750-2019</t>
        </is>
      </c>
      <c r="B220" s="1" t="n">
        <v>43776</v>
      </c>
      <c r="C220" s="1" t="n">
        <v>45875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59446-2019</t>
        </is>
      </c>
      <c r="B221" s="1" t="n">
        <v>43776</v>
      </c>
      <c r="C221" s="1" t="n">
        <v>45875</v>
      </c>
      <c r="D221" t="inlineStr">
        <is>
          <t>SÖDERMANLANDS LÄN</t>
        </is>
      </c>
      <c r="E221" t="inlineStr">
        <is>
          <t>FLEN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61889-2019</t>
        </is>
      </c>
      <c r="B222" s="1" t="n">
        <v>43787</v>
      </c>
      <c r="C222" s="1" t="n">
        <v>45875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64580-2019</t>
        </is>
      </c>
      <c r="B223" s="1" t="n">
        <v>43794</v>
      </c>
      <c r="C223" s="1" t="n">
        <v>45875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64576-2019</t>
        </is>
      </c>
      <c r="B224" s="1" t="n">
        <v>43798</v>
      </c>
      <c r="C224" s="1" t="n">
        <v>45875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65346-2019</t>
        </is>
      </c>
      <c r="B225" s="1" t="n">
        <v>43803</v>
      </c>
      <c r="C225" s="1" t="n">
        <v>45875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68476-2019</t>
        </is>
      </c>
      <c r="B226" s="1" t="n">
        <v>43811</v>
      </c>
      <c r="C226" s="1" t="n">
        <v>45875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68491-2019</t>
        </is>
      </c>
      <c r="B227" s="1" t="n">
        <v>43811</v>
      </c>
      <c r="C227" s="1" t="n">
        <v>45875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68481-2019</t>
        </is>
      </c>
      <c r="B228" s="1" t="n">
        <v>43811</v>
      </c>
      <c r="C228" s="1" t="n">
        <v>45875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68976-2019</t>
        </is>
      </c>
      <c r="B229" s="1" t="n">
        <v>43823</v>
      </c>
      <c r="C229" s="1" t="n">
        <v>45875</v>
      </c>
      <c r="D229" t="inlineStr">
        <is>
          <t>SÖDERMANLANDS LÄN</t>
        </is>
      </c>
      <c r="E229" t="inlineStr">
        <is>
          <t>FLEN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82-2020</t>
        </is>
      </c>
      <c r="B230" s="1" t="n">
        <v>43832</v>
      </c>
      <c r="C230" s="1" t="n">
        <v>45875</v>
      </c>
      <c r="D230" t="inlineStr">
        <is>
          <t>SÖDERMANLANDS LÄN</t>
        </is>
      </c>
      <c r="E230" t="inlineStr">
        <is>
          <t>FLEN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235-2020</t>
        </is>
      </c>
      <c r="B231" s="1" t="n">
        <v>43834</v>
      </c>
      <c r="C231" s="1" t="n">
        <v>45875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236-2020</t>
        </is>
      </c>
      <c r="B232" s="1" t="n">
        <v>43834</v>
      </c>
      <c r="C232" s="1" t="n">
        <v>45875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1007-2020</t>
        </is>
      </c>
      <c r="B233" s="1" t="n">
        <v>43839</v>
      </c>
      <c r="C233" s="1" t="n">
        <v>45875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4033-2020</t>
        </is>
      </c>
      <c r="B234" s="1" t="n">
        <v>43846</v>
      </c>
      <c r="C234" s="1" t="n">
        <v>45875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2538-2020</t>
        </is>
      </c>
      <c r="B235" s="1" t="n">
        <v>43847</v>
      </c>
      <c r="C235" s="1" t="n">
        <v>45875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3831-2020</t>
        </is>
      </c>
      <c r="B236" s="1" t="n">
        <v>43847</v>
      </c>
      <c r="C236" s="1" t="n">
        <v>45875</v>
      </c>
      <c r="D236" t="inlineStr">
        <is>
          <t>SÖDERMANLANDS LÄN</t>
        </is>
      </c>
      <c r="E236" t="inlineStr">
        <is>
          <t>FLEN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3619-2020</t>
        </is>
      </c>
      <c r="B237" s="1" t="n">
        <v>43853</v>
      </c>
      <c r="C237" s="1" t="n">
        <v>45875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4092-2020</t>
        </is>
      </c>
      <c r="B238" s="1" t="n">
        <v>43857</v>
      </c>
      <c r="C238" s="1" t="n">
        <v>45875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5777-2020</t>
        </is>
      </c>
      <c r="B239" s="1" t="n">
        <v>43864</v>
      </c>
      <c r="C239" s="1" t="n">
        <v>45875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7747-2020</t>
        </is>
      </c>
      <c r="B240" s="1" t="n">
        <v>43872</v>
      </c>
      <c r="C240" s="1" t="n">
        <v>45875</v>
      </c>
      <c r="D240" t="inlineStr">
        <is>
          <t>SÖDERMANLANDS LÄN</t>
        </is>
      </c>
      <c r="E240" t="inlineStr">
        <is>
          <t>FLEN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7941-2020</t>
        </is>
      </c>
      <c r="B241" s="1" t="n">
        <v>43873</v>
      </c>
      <c r="C241" s="1" t="n">
        <v>45875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9740-2020</t>
        </is>
      </c>
      <c r="B242" s="1" t="n">
        <v>43881</v>
      </c>
      <c r="C242" s="1" t="n">
        <v>45875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10193-2020</t>
        </is>
      </c>
      <c r="B243" s="1" t="n">
        <v>43885</v>
      </c>
      <c r="C243" s="1" t="n">
        <v>45875</v>
      </c>
      <c r="D243" t="inlineStr">
        <is>
          <t>SÖDERMANLANDS LÄN</t>
        </is>
      </c>
      <c r="E243" t="inlineStr">
        <is>
          <t>FLEN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11059-2020</t>
        </is>
      </c>
      <c r="B244" s="1" t="n">
        <v>43885</v>
      </c>
      <c r="C244" s="1" t="n">
        <v>45875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10705-2020</t>
        </is>
      </c>
      <c r="B245" s="1" t="n">
        <v>43888</v>
      </c>
      <c r="C245" s="1" t="n">
        <v>45875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10918-2020</t>
        </is>
      </c>
      <c r="B246" s="1" t="n">
        <v>43889</v>
      </c>
      <c r="C246" s="1" t="n">
        <v>45875</v>
      </c>
      <c r="D246" t="inlineStr">
        <is>
          <t>SÖDERMANLANDS LÄN</t>
        </is>
      </c>
      <c r="E246" t="inlineStr">
        <is>
          <t>FLEN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10913-2020</t>
        </is>
      </c>
      <c r="B247" s="1" t="n">
        <v>43889</v>
      </c>
      <c r="C247" s="1" t="n">
        <v>45875</v>
      </c>
      <c r="D247" t="inlineStr">
        <is>
          <t>SÖDERMANLANDS LÄN</t>
        </is>
      </c>
      <c r="E247" t="inlineStr">
        <is>
          <t>FLEN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11517-2020</t>
        </is>
      </c>
      <c r="B248" s="1" t="n">
        <v>43893</v>
      </c>
      <c r="C248" s="1" t="n">
        <v>45875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11811-2020</t>
        </is>
      </c>
      <c r="B249" s="1" t="n">
        <v>43894</v>
      </c>
      <c r="C249" s="1" t="n">
        <v>45875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13194-2020</t>
        </is>
      </c>
      <c r="B250" s="1" t="n">
        <v>43901</v>
      </c>
      <c r="C250" s="1" t="n">
        <v>45875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13255-2020</t>
        </is>
      </c>
      <c r="B251" s="1" t="n">
        <v>43901</v>
      </c>
      <c r="C251" s="1" t="n">
        <v>45875</v>
      </c>
      <c r="D251" t="inlineStr">
        <is>
          <t>SÖDERMANLANDS LÄN</t>
        </is>
      </c>
      <c r="E251" t="inlineStr">
        <is>
          <t>FLEN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13251-2020</t>
        </is>
      </c>
      <c r="B252" s="1" t="n">
        <v>43901</v>
      </c>
      <c r="C252" s="1" t="n">
        <v>45875</v>
      </c>
      <c r="D252" t="inlineStr">
        <is>
          <t>SÖDERMANLANDS LÄN</t>
        </is>
      </c>
      <c r="E252" t="inlineStr">
        <is>
          <t>FLEN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13473-2020</t>
        </is>
      </c>
      <c r="B253" s="1" t="n">
        <v>43902</v>
      </c>
      <c r="C253" s="1" t="n">
        <v>45875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13698-2020</t>
        </is>
      </c>
      <c r="B254" s="1" t="n">
        <v>43902</v>
      </c>
      <c r="C254" s="1" t="n">
        <v>45875</v>
      </c>
      <c r="D254" t="inlineStr">
        <is>
          <t>SÖDERMANLANDS LÄN</t>
        </is>
      </c>
      <c r="E254" t="inlineStr">
        <is>
          <t>FLEN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14200-2020</t>
        </is>
      </c>
      <c r="B255" s="1" t="n">
        <v>43907</v>
      </c>
      <c r="C255" s="1" t="n">
        <v>45875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15132-2020</t>
        </is>
      </c>
      <c r="B256" s="1" t="n">
        <v>43911</v>
      </c>
      <c r="C256" s="1" t="n">
        <v>45875</v>
      </c>
      <c r="D256" t="inlineStr">
        <is>
          <t>SÖDERMANLANDS LÄN</t>
        </is>
      </c>
      <c r="E256" t="inlineStr">
        <is>
          <t>FLEN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16206-2020</t>
        </is>
      </c>
      <c r="B257" s="1" t="n">
        <v>43917</v>
      </c>
      <c r="C257" s="1" t="n">
        <v>45875</v>
      </c>
      <c r="D257" t="inlineStr">
        <is>
          <t>SÖDERMANLANDS LÄN</t>
        </is>
      </c>
      <c r="E257" t="inlineStr">
        <is>
          <t>FLEN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16684-2020</t>
        </is>
      </c>
      <c r="B258" s="1" t="n">
        <v>43920</v>
      </c>
      <c r="C258" s="1" t="n">
        <v>45875</v>
      </c>
      <c r="D258" t="inlineStr">
        <is>
          <t>SÖDERMANLANDS LÄN</t>
        </is>
      </c>
      <c r="E258" t="inlineStr">
        <is>
          <t>FLEN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17154-2020</t>
        </is>
      </c>
      <c r="B259" s="1" t="n">
        <v>43922</v>
      </c>
      <c r="C259" s="1" t="n">
        <v>45875</v>
      </c>
      <c r="D259" t="inlineStr">
        <is>
          <t>SÖDERMANLANDS LÄN</t>
        </is>
      </c>
      <c r="E259" t="inlineStr">
        <is>
          <t>FLEN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20002-2020</t>
        </is>
      </c>
      <c r="B260" s="1" t="n">
        <v>43943</v>
      </c>
      <c r="C260" s="1" t="n">
        <v>45875</v>
      </c>
      <c r="D260" t="inlineStr">
        <is>
          <t>SÖDERMANLANDS LÄN</t>
        </is>
      </c>
      <c r="E260" t="inlineStr">
        <is>
          <t>FLEN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20527-2020</t>
        </is>
      </c>
      <c r="B261" s="1" t="n">
        <v>43948</v>
      </c>
      <c r="C261" s="1" t="n">
        <v>45875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21401-2020</t>
        </is>
      </c>
      <c r="B262" s="1" t="n">
        <v>43955</v>
      </c>
      <c r="C262" s="1" t="n">
        <v>45875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21404-2020</t>
        </is>
      </c>
      <c r="B263" s="1" t="n">
        <v>43955</v>
      </c>
      <c r="C263" s="1" t="n">
        <v>45875</v>
      </c>
      <c r="D263" t="inlineStr">
        <is>
          <t>SÖDERMANLANDS LÄN</t>
        </is>
      </c>
      <c r="E263" t="inlineStr">
        <is>
          <t>FLEN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22347-2020</t>
        </is>
      </c>
      <c r="B264" s="1" t="n">
        <v>43957</v>
      </c>
      <c r="C264" s="1" t="n">
        <v>45875</v>
      </c>
      <c r="D264" t="inlineStr">
        <is>
          <t>SÖDERMANLANDS LÄN</t>
        </is>
      </c>
      <c r="E264" t="inlineStr">
        <is>
          <t>FLEN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21902-2020</t>
        </is>
      </c>
      <c r="B265" s="1" t="n">
        <v>43958</v>
      </c>
      <c r="C265" s="1" t="n">
        <v>45875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22237-2020</t>
        </is>
      </c>
      <c r="B266" s="1" t="n">
        <v>43959</v>
      </c>
      <c r="C266" s="1" t="n">
        <v>45875</v>
      </c>
      <c r="D266" t="inlineStr">
        <is>
          <t>SÖDERMANLANDS LÄN</t>
        </is>
      </c>
      <c r="E266" t="inlineStr">
        <is>
          <t>FLEN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22243-2020</t>
        </is>
      </c>
      <c r="B267" s="1" t="n">
        <v>43959</v>
      </c>
      <c r="C267" s="1" t="n">
        <v>45875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22241-2020</t>
        </is>
      </c>
      <c r="B268" s="1" t="n">
        <v>43959</v>
      </c>
      <c r="C268" s="1" t="n">
        <v>45875</v>
      </c>
      <c r="D268" t="inlineStr">
        <is>
          <t>SÖDERMANLANDS LÄN</t>
        </is>
      </c>
      <c r="E268" t="inlineStr">
        <is>
          <t>FLEN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25067-2020</t>
        </is>
      </c>
      <c r="B269" s="1" t="n">
        <v>43979</v>
      </c>
      <c r="C269" s="1" t="n">
        <v>45875</v>
      </c>
      <c r="D269" t="inlineStr">
        <is>
          <t>SÖDERMANLANDS LÄN</t>
        </is>
      </c>
      <c r="E269" t="inlineStr">
        <is>
          <t>FLEN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25280-2020</t>
        </is>
      </c>
      <c r="B270" s="1" t="n">
        <v>43980</v>
      </c>
      <c r="C270" s="1" t="n">
        <v>45875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25842-2020</t>
        </is>
      </c>
      <c r="B271" s="1" t="n">
        <v>43983</v>
      </c>
      <c r="C271" s="1" t="n">
        <v>45875</v>
      </c>
      <c r="D271" t="inlineStr">
        <is>
          <t>SÖDERMANLANDS LÄN</t>
        </is>
      </c>
      <c r="E271" t="inlineStr">
        <is>
          <t>FLEN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25466-2020</t>
        </is>
      </c>
      <c r="B272" s="1" t="n">
        <v>43983</v>
      </c>
      <c r="C272" s="1" t="n">
        <v>45875</v>
      </c>
      <c r="D272" t="inlineStr">
        <is>
          <t>SÖDERMANLANDS LÄN</t>
        </is>
      </c>
      <c r="E272" t="inlineStr">
        <is>
          <t>FLEN</t>
        </is>
      </c>
      <c r="G272" t="n">
        <v>30.4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25880-2020</t>
        </is>
      </c>
      <c r="B273" s="1" t="n">
        <v>43983</v>
      </c>
      <c r="C273" s="1" t="n">
        <v>45875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26063-2020</t>
        </is>
      </c>
      <c r="B274" s="1" t="n">
        <v>43985</v>
      </c>
      <c r="C274" s="1" t="n">
        <v>45875</v>
      </c>
      <c r="D274" t="inlineStr">
        <is>
          <t>SÖDERMANLANDS LÄN</t>
        </is>
      </c>
      <c r="E274" t="inlineStr">
        <is>
          <t>FLEN</t>
        </is>
      </c>
      <c r="G274" t="n">
        <v>22.3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28981-2020</t>
        </is>
      </c>
      <c r="B275" s="1" t="n">
        <v>43998</v>
      </c>
      <c r="C275" s="1" t="n">
        <v>45875</v>
      </c>
      <c r="D275" t="inlineStr">
        <is>
          <t>SÖDERMANLANDS LÄN</t>
        </is>
      </c>
      <c r="E275" t="inlineStr">
        <is>
          <t>FLEN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28562-2020</t>
        </is>
      </c>
      <c r="B276" s="1" t="n">
        <v>43999</v>
      </c>
      <c r="C276" s="1" t="n">
        <v>45875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28676-2020</t>
        </is>
      </c>
      <c r="B277" s="1" t="n">
        <v>43999</v>
      </c>
      <c r="C277" s="1" t="n">
        <v>45875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29455-2020</t>
        </is>
      </c>
      <c r="B278" s="1" t="n">
        <v>44004</v>
      </c>
      <c r="C278" s="1" t="n">
        <v>45875</v>
      </c>
      <c r="D278" t="inlineStr">
        <is>
          <t>SÖDERMANLANDS LÄN</t>
        </is>
      </c>
      <c r="E278" t="inlineStr">
        <is>
          <t>FLEN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29557-2020</t>
        </is>
      </c>
      <c r="B279" s="1" t="n">
        <v>44005</v>
      </c>
      <c r="C279" s="1" t="n">
        <v>45875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30209-2020</t>
        </is>
      </c>
      <c r="B280" s="1" t="n">
        <v>44007</v>
      </c>
      <c r="C280" s="1" t="n">
        <v>45875</v>
      </c>
      <c r="D280" t="inlineStr">
        <is>
          <t>SÖDERMANLANDS LÄN</t>
        </is>
      </c>
      <c r="E280" t="inlineStr">
        <is>
          <t>FLEN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30879-2020</t>
        </is>
      </c>
      <c r="B281" s="1" t="n">
        <v>44011</v>
      </c>
      <c r="C281" s="1" t="n">
        <v>45875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30871-2020</t>
        </is>
      </c>
      <c r="B282" s="1" t="n">
        <v>44011</v>
      </c>
      <c r="C282" s="1" t="n">
        <v>45875</v>
      </c>
      <c r="D282" t="inlineStr">
        <is>
          <t>SÖDERMANLANDS LÄN</t>
        </is>
      </c>
      <c r="E282" t="inlineStr">
        <is>
          <t>FLEN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31118-2020</t>
        </is>
      </c>
      <c r="B283" s="1" t="n">
        <v>44012</v>
      </c>
      <c r="C283" s="1" t="n">
        <v>45875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32142-2020</t>
        </is>
      </c>
      <c r="B284" s="1" t="n">
        <v>44015</v>
      </c>
      <c r="C284" s="1" t="n">
        <v>45875</v>
      </c>
      <c r="D284" t="inlineStr">
        <is>
          <t>SÖDERMANLANDS LÄN</t>
        </is>
      </c>
      <c r="E284" t="inlineStr">
        <is>
          <t>FLEN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32366-2020</t>
        </is>
      </c>
      <c r="B285" s="1" t="n">
        <v>44018</v>
      </c>
      <c r="C285" s="1" t="n">
        <v>45875</v>
      </c>
      <c r="D285" t="inlineStr">
        <is>
          <t>SÖDERMANLANDS LÄN</t>
        </is>
      </c>
      <c r="E285" t="inlineStr">
        <is>
          <t>FLEN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32585-2020</t>
        </is>
      </c>
      <c r="B286" s="1" t="n">
        <v>44018</v>
      </c>
      <c r="C286" s="1" t="n">
        <v>45875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33146-2020</t>
        </is>
      </c>
      <c r="B287" s="1" t="n">
        <v>44021</v>
      </c>
      <c r="C287" s="1" t="n">
        <v>45875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33464-2020</t>
        </is>
      </c>
      <c r="B288" s="1" t="n">
        <v>44023</v>
      </c>
      <c r="C288" s="1" t="n">
        <v>45875</v>
      </c>
      <c r="D288" t="inlineStr">
        <is>
          <t>SÖDERMANLANDS LÄN</t>
        </is>
      </c>
      <c r="E288" t="inlineStr">
        <is>
          <t>FLEN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33682-2020</t>
        </is>
      </c>
      <c r="B289" s="1" t="n">
        <v>44026</v>
      </c>
      <c r="C289" s="1" t="n">
        <v>45875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34066-2020</t>
        </is>
      </c>
      <c r="B290" s="1" t="n">
        <v>44027</v>
      </c>
      <c r="C290" s="1" t="n">
        <v>45875</v>
      </c>
      <c r="D290" t="inlineStr">
        <is>
          <t>SÖDERMANLANDS LÄN</t>
        </is>
      </c>
      <c r="E290" t="inlineStr">
        <is>
          <t>FLEN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34072-2020</t>
        </is>
      </c>
      <c r="B291" s="1" t="n">
        <v>44028</v>
      </c>
      <c r="C291" s="1" t="n">
        <v>45875</v>
      </c>
      <c r="D291" t="inlineStr">
        <is>
          <t>SÖDERMANLANDS LÄN</t>
        </is>
      </c>
      <c r="E291" t="inlineStr">
        <is>
          <t>FLEN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34489-2020</t>
        </is>
      </c>
      <c r="B292" s="1" t="n">
        <v>44029</v>
      </c>
      <c r="C292" s="1" t="n">
        <v>45875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34992-2020</t>
        </is>
      </c>
      <c r="B293" s="1" t="n">
        <v>44039</v>
      </c>
      <c r="C293" s="1" t="n">
        <v>45875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35093-2020</t>
        </is>
      </c>
      <c r="B294" s="1" t="n">
        <v>44039</v>
      </c>
      <c r="C294" s="1" t="n">
        <v>45875</v>
      </c>
      <c r="D294" t="inlineStr">
        <is>
          <t>SÖDERMANLANDS LÄN</t>
        </is>
      </c>
      <c r="E294" t="inlineStr">
        <is>
          <t>FLEN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35176-2020</t>
        </is>
      </c>
      <c r="B295" s="1" t="n">
        <v>44040</v>
      </c>
      <c r="C295" s="1" t="n">
        <v>45875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35501-2020</t>
        </is>
      </c>
      <c r="B296" s="1" t="n">
        <v>44042</v>
      </c>
      <c r="C296" s="1" t="n">
        <v>45875</v>
      </c>
      <c r="D296" t="inlineStr">
        <is>
          <t>SÖDERMANLANDS LÄN</t>
        </is>
      </c>
      <c r="E296" t="inlineStr">
        <is>
          <t>FLEN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35563-2020</t>
        </is>
      </c>
      <c r="B297" s="1" t="n">
        <v>44043</v>
      </c>
      <c r="C297" s="1" t="n">
        <v>45875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35560-2020</t>
        </is>
      </c>
      <c r="B298" s="1" t="n">
        <v>44043</v>
      </c>
      <c r="C298" s="1" t="n">
        <v>45875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35817-2020</t>
        </is>
      </c>
      <c r="B299" s="1" t="n">
        <v>44047</v>
      </c>
      <c r="C299" s="1" t="n">
        <v>45875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36317-2020</t>
        </is>
      </c>
      <c r="B300" s="1" t="n">
        <v>44049</v>
      </c>
      <c r="C300" s="1" t="n">
        <v>45875</v>
      </c>
      <c r="D300" t="inlineStr">
        <is>
          <t>SÖDERMANLANDS LÄN</t>
        </is>
      </c>
      <c r="E300" t="inlineStr">
        <is>
          <t>FLEN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36366-2020</t>
        </is>
      </c>
      <c r="B301" s="1" t="n">
        <v>44049</v>
      </c>
      <c r="C301" s="1" t="n">
        <v>45875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36880-2020</t>
        </is>
      </c>
      <c r="B302" s="1" t="n">
        <v>44053</v>
      </c>
      <c r="C302" s="1" t="n">
        <v>45875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36891-2020</t>
        </is>
      </c>
      <c r="B303" s="1" t="n">
        <v>44053</v>
      </c>
      <c r="C303" s="1" t="n">
        <v>45875</v>
      </c>
      <c r="D303" t="inlineStr">
        <is>
          <t>SÖDERMANLANDS LÄN</t>
        </is>
      </c>
      <c r="E303" t="inlineStr">
        <is>
          <t>FLEN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37214-2020</t>
        </is>
      </c>
      <c r="B304" s="1" t="n">
        <v>44054</v>
      </c>
      <c r="C304" s="1" t="n">
        <v>45875</v>
      </c>
      <c r="D304" t="inlineStr">
        <is>
          <t>SÖDERMANLANDS LÄN</t>
        </is>
      </c>
      <c r="E304" t="inlineStr">
        <is>
          <t>FLEN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37274-2020</t>
        </is>
      </c>
      <c r="B305" s="1" t="n">
        <v>44054</v>
      </c>
      <c r="C305" s="1" t="n">
        <v>45875</v>
      </c>
      <c r="D305" t="inlineStr">
        <is>
          <t>SÖDERMANLANDS LÄN</t>
        </is>
      </c>
      <c r="E305" t="inlineStr">
        <is>
          <t>FLEN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37736-2020</t>
        </is>
      </c>
      <c r="B306" s="1" t="n">
        <v>44056</v>
      </c>
      <c r="C306" s="1" t="n">
        <v>45875</v>
      </c>
      <c r="D306" t="inlineStr">
        <is>
          <t>SÖDERMANLANDS LÄN</t>
        </is>
      </c>
      <c r="E306" t="inlineStr">
        <is>
          <t>FLEN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37897-2020</t>
        </is>
      </c>
      <c r="B307" s="1" t="n">
        <v>44057</v>
      </c>
      <c r="C307" s="1" t="n">
        <v>45875</v>
      </c>
      <c r="D307" t="inlineStr">
        <is>
          <t>SÖDERMANLANDS LÄN</t>
        </is>
      </c>
      <c r="E307" t="inlineStr">
        <is>
          <t>FLEN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38613-2020</t>
        </is>
      </c>
      <c r="B308" s="1" t="n">
        <v>44061</v>
      </c>
      <c r="C308" s="1" t="n">
        <v>45875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38849-2020</t>
        </is>
      </c>
      <c r="B309" s="1" t="n">
        <v>44062</v>
      </c>
      <c r="C309" s="1" t="n">
        <v>45875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38854-2020</t>
        </is>
      </c>
      <c r="B310" s="1" t="n">
        <v>44062</v>
      </c>
      <c r="C310" s="1" t="n">
        <v>45875</v>
      </c>
      <c r="D310" t="inlineStr">
        <is>
          <t>SÖDERMANLANDS LÄN</t>
        </is>
      </c>
      <c r="E310" t="inlineStr">
        <is>
          <t>FLEN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40693-2020</t>
        </is>
      </c>
      <c r="B311" s="1" t="n">
        <v>44067</v>
      </c>
      <c r="C311" s="1" t="n">
        <v>45875</v>
      </c>
      <c r="D311" t="inlineStr">
        <is>
          <t>SÖDERMANLANDS LÄN</t>
        </is>
      </c>
      <c r="E311" t="inlineStr">
        <is>
          <t>FLEN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45305-2020</t>
        </is>
      </c>
      <c r="B312" s="1" t="n">
        <v>44085</v>
      </c>
      <c r="C312" s="1" t="n">
        <v>45875</v>
      </c>
      <c r="D312" t="inlineStr">
        <is>
          <t>SÖDERMANLANDS LÄN</t>
        </is>
      </c>
      <c r="E312" t="inlineStr">
        <is>
          <t>FLEN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45315-2020</t>
        </is>
      </c>
      <c r="B313" s="1" t="n">
        <v>44085</v>
      </c>
      <c r="C313" s="1" t="n">
        <v>45875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45265-2020</t>
        </is>
      </c>
      <c r="B314" s="1" t="n">
        <v>44089</v>
      </c>
      <c r="C314" s="1" t="n">
        <v>45875</v>
      </c>
      <c r="D314" t="inlineStr">
        <is>
          <t>SÖDERMANLANDS LÄN</t>
        </is>
      </c>
      <c r="E314" t="inlineStr">
        <is>
          <t>FLEN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HYPERLINK("https://klasma.github.io/Logging_0482/knärot/A 45265-2020 karta knärot.png", "A 45265-2020")</f>
        <v/>
      </c>
      <c r="V314">
        <f>HYPERLINK("https://klasma.github.io/Logging_0482/klagomål/A 45265-2020 FSC-klagomål.docx", "A 45265-2020")</f>
        <v/>
      </c>
      <c r="W314">
        <f>HYPERLINK("https://klasma.github.io/Logging_0482/klagomålsmail/A 45265-2020 FSC-klagomål mail.docx", "A 45265-2020")</f>
        <v/>
      </c>
      <c r="X314">
        <f>HYPERLINK("https://klasma.github.io/Logging_0482/tillsyn/A 45265-2020 tillsynsbegäran.docx", "A 45265-2020")</f>
        <v/>
      </c>
      <c r="Y314">
        <f>HYPERLINK("https://klasma.github.io/Logging_0482/tillsynsmail/A 45265-2020 tillsynsbegäran mail.docx", "A 45265-2020")</f>
        <v/>
      </c>
    </row>
    <row r="315" ht="15" customHeight="1">
      <c r="A315" t="inlineStr">
        <is>
          <t>A 47401-2020</t>
        </is>
      </c>
      <c r="B315" s="1" t="n">
        <v>44097</v>
      </c>
      <c r="C315" s="1" t="n">
        <v>45875</v>
      </c>
      <c r="D315" t="inlineStr">
        <is>
          <t>SÖDERMANLANDS LÄN</t>
        </is>
      </c>
      <c r="E315" t="inlineStr">
        <is>
          <t>FLEN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47669-2020</t>
        </is>
      </c>
      <c r="B316" s="1" t="n">
        <v>44098</v>
      </c>
      <c r="C316" s="1" t="n">
        <v>45875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47681-2020</t>
        </is>
      </c>
      <c r="B317" s="1" t="n">
        <v>44098</v>
      </c>
      <c r="C317" s="1" t="n">
        <v>45875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48869-2020</t>
        </is>
      </c>
      <c r="B318" s="1" t="n">
        <v>44104</v>
      </c>
      <c r="C318" s="1" t="n">
        <v>45875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51315-2020</t>
        </is>
      </c>
      <c r="B319" s="1" t="n">
        <v>44106</v>
      </c>
      <c r="C319" s="1" t="n">
        <v>45875</v>
      </c>
      <c r="D319" t="inlineStr">
        <is>
          <t>SÖDERMANLANDS LÄN</t>
        </is>
      </c>
      <c r="E319" t="inlineStr">
        <is>
          <t>FLEN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51836-2020</t>
        </is>
      </c>
      <c r="B320" s="1" t="n">
        <v>44109</v>
      </c>
      <c r="C320" s="1" t="n">
        <v>45875</v>
      </c>
      <c r="D320" t="inlineStr">
        <is>
          <t>SÖDERMANLANDS LÄN</t>
        </is>
      </c>
      <c r="E320" t="inlineStr">
        <is>
          <t>FLEN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51933-2020</t>
        </is>
      </c>
      <c r="B321" s="1" t="n">
        <v>44109</v>
      </c>
      <c r="C321" s="1" t="n">
        <v>45875</v>
      </c>
      <c r="D321" t="inlineStr">
        <is>
          <t>SÖDERMANLANDS LÄN</t>
        </is>
      </c>
      <c r="E321" t="inlineStr">
        <is>
          <t>FLEN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50467-2020</t>
        </is>
      </c>
      <c r="B322" s="1" t="n">
        <v>44110</v>
      </c>
      <c r="C322" s="1" t="n">
        <v>45875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51864-2020</t>
        </is>
      </c>
      <c r="B323" s="1" t="n">
        <v>44113</v>
      </c>
      <c r="C323" s="1" t="n">
        <v>45875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53424-2020</t>
        </is>
      </c>
      <c r="B324" s="1" t="n">
        <v>44123</v>
      </c>
      <c r="C324" s="1" t="n">
        <v>45875</v>
      </c>
      <c r="D324" t="inlineStr">
        <is>
          <t>SÖDERMANLANDS LÄN</t>
        </is>
      </c>
      <c r="E324" t="inlineStr">
        <is>
          <t>FLEN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54919-2020</t>
        </is>
      </c>
      <c r="B325" s="1" t="n">
        <v>44127</v>
      </c>
      <c r="C325" s="1" t="n">
        <v>45875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54918-2020</t>
        </is>
      </c>
      <c r="B326" s="1" t="n">
        <v>44127</v>
      </c>
      <c r="C326" s="1" t="n">
        <v>45875</v>
      </c>
      <c r="D326" t="inlineStr">
        <is>
          <t>SÖDERMANLANDS LÄN</t>
        </is>
      </c>
      <c r="E326" t="inlineStr">
        <is>
          <t>FLEN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56930-2020</t>
        </is>
      </c>
      <c r="B327" s="1" t="n">
        <v>44138</v>
      </c>
      <c r="C327" s="1" t="n">
        <v>45875</v>
      </c>
      <c r="D327" t="inlineStr">
        <is>
          <t>SÖDERMANLANDS LÄN</t>
        </is>
      </c>
      <c r="E327" t="inlineStr">
        <is>
          <t>FLEN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56863-2020</t>
        </is>
      </c>
      <c r="B328" s="1" t="n">
        <v>44138</v>
      </c>
      <c r="C328" s="1" t="n">
        <v>45875</v>
      </c>
      <c r="D328" t="inlineStr">
        <is>
          <t>SÖDERMANLANDS LÄN</t>
        </is>
      </c>
      <c r="E328" t="inlineStr">
        <is>
          <t>FLEN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57165-2020</t>
        </is>
      </c>
      <c r="B329" s="1" t="n">
        <v>44138</v>
      </c>
      <c r="C329" s="1" t="n">
        <v>45875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57251-2020</t>
        </is>
      </c>
      <c r="B330" s="1" t="n">
        <v>44139</v>
      </c>
      <c r="C330" s="1" t="n">
        <v>45875</v>
      </c>
      <c r="D330" t="inlineStr">
        <is>
          <t>SÖDERMANLANDS LÄN</t>
        </is>
      </c>
      <c r="E330" t="inlineStr">
        <is>
          <t>FLEN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57682-2020</t>
        </is>
      </c>
      <c r="B331" s="1" t="n">
        <v>44140</v>
      </c>
      <c r="C331" s="1" t="n">
        <v>45875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57689-2020</t>
        </is>
      </c>
      <c r="B332" s="1" t="n">
        <v>44140</v>
      </c>
      <c r="C332" s="1" t="n">
        <v>45875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58592-2020</t>
        </is>
      </c>
      <c r="B333" s="1" t="n">
        <v>44145</v>
      </c>
      <c r="C333" s="1" t="n">
        <v>45875</v>
      </c>
      <c r="D333" t="inlineStr">
        <is>
          <t>SÖDERMANLANDS LÄN</t>
        </is>
      </c>
      <c r="E333" t="inlineStr">
        <is>
          <t>FLEN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58948-2020</t>
        </is>
      </c>
      <c r="B334" s="1" t="n">
        <v>44146</v>
      </c>
      <c r="C334" s="1" t="n">
        <v>45875</v>
      </c>
      <c r="D334" t="inlineStr">
        <is>
          <t>SÖDERMANLANDS LÄN</t>
        </is>
      </c>
      <c r="E334" t="inlineStr">
        <is>
          <t>FLEN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60409-2020</t>
        </is>
      </c>
      <c r="B335" s="1" t="n">
        <v>44152</v>
      </c>
      <c r="C335" s="1" t="n">
        <v>45875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61697-2020</t>
        </is>
      </c>
      <c r="B336" s="1" t="n">
        <v>44158</v>
      </c>
      <c r="C336" s="1" t="n">
        <v>45875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61713-2020</t>
        </is>
      </c>
      <c r="B337" s="1" t="n">
        <v>44158</v>
      </c>
      <c r="C337" s="1" t="n">
        <v>45875</v>
      </c>
      <c r="D337" t="inlineStr">
        <is>
          <t>SÖDERMANLANDS LÄN</t>
        </is>
      </c>
      <c r="E337" t="inlineStr">
        <is>
          <t>FLEN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62512-2020</t>
        </is>
      </c>
      <c r="B338" s="1" t="n">
        <v>44160</v>
      </c>
      <c r="C338" s="1" t="n">
        <v>45875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65233-2020</t>
        </is>
      </c>
      <c r="B339" s="1" t="n">
        <v>44172</v>
      </c>
      <c r="C339" s="1" t="n">
        <v>45875</v>
      </c>
      <c r="D339" t="inlineStr">
        <is>
          <t>SÖDERMANLANDS LÄN</t>
        </is>
      </c>
      <c r="E339" t="inlineStr">
        <is>
          <t>FLEN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66511-2020</t>
        </is>
      </c>
      <c r="B340" s="1" t="n">
        <v>44178</v>
      </c>
      <c r="C340" s="1" t="n">
        <v>45875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69019-2020</t>
        </is>
      </c>
      <c r="B341" s="1" t="n">
        <v>44187</v>
      </c>
      <c r="C341" s="1" t="n">
        <v>45875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69015-2020</t>
        </is>
      </c>
      <c r="B342" s="1" t="n">
        <v>44188</v>
      </c>
      <c r="C342" s="1" t="n">
        <v>45875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69388-2020</t>
        </is>
      </c>
      <c r="B343" s="1" t="n">
        <v>44193</v>
      </c>
      <c r="C343" s="1" t="n">
        <v>45875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527-2021</t>
        </is>
      </c>
      <c r="B344" s="1" t="n">
        <v>44201</v>
      </c>
      <c r="C344" s="1" t="n">
        <v>45875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587-2021</t>
        </is>
      </c>
      <c r="B345" s="1" t="n">
        <v>44203</v>
      </c>
      <c r="C345" s="1" t="n">
        <v>45875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1329-2021</t>
        </is>
      </c>
      <c r="B346" s="1" t="n">
        <v>44208</v>
      </c>
      <c r="C346" s="1" t="n">
        <v>45875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1333-2021</t>
        </is>
      </c>
      <c r="B347" s="1" t="n">
        <v>44208</v>
      </c>
      <c r="C347" s="1" t="n">
        <v>45875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1330-2021</t>
        </is>
      </c>
      <c r="B348" s="1" t="n">
        <v>44208</v>
      </c>
      <c r="C348" s="1" t="n">
        <v>45875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1565-2021</t>
        </is>
      </c>
      <c r="B349" s="1" t="n">
        <v>44209</v>
      </c>
      <c r="C349" s="1" t="n">
        <v>45875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2460-2021</t>
        </is>
      </c>
      <c r="B350" s="1" t="n">
        <v>44214</v>
      </c>
      <c r="C350" s="1" t="n">
        <v>45875</v>
      </c>
      <c r="D350" t="inlineStr">
        <is>
          <t>SÖDERMANLANDS LÄN</t>
        </is>
      </c>
      <c r="E350" t="inlineStr">
        <is>
          <t>FLEN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2488-2021</t>
        </is>
      </c>
      <c r="B351" s="1" t="n">
        <v>44214</v>
      </c>
      <c r="C351" s="1" t="n">
        <v>45875</v>
      </c>
      <c r="D351" t="inlineStr">
        <is>
          <t>SÖDERMANLANDS LÄN</t>
        </is>
      </c>
      <c r="E351" t="inlineStr">
        <is>
          <t>FLEN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3169-2021</t>
        </is>
      </c>
      <c r="B352" s="1" t="n">
        <v>44217</v>
      </c>
      <c r="C352" s="1" t="n">
        <v>45875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3513-2021</t>
        </is>
      </c>
      <c r="B353" s="1" t="n">
        <v>44218</v>
      </c>
      <c r="C353" s="1" t="n">
        <v>45875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4348-2021</t>
        </is>
      </c>
      <c r="B354" s="1" t="n">
        <v>44223</v>
      </c>
      <c r="C354" s="1" t="n">
        <v>45875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5971-2021</t>
        </is>
      </c>
      <c r="B355" s="1" t="n">
        <v>44230</v>
      </c>
      <c r="C355" s="1" t="n">
        <v>45875</v>
      </c>
      <c r="D355" t="inlineStr">
        <is>
          <t>SÖDERMANLANDS LÄN</t>
        </is>
      </c>
      <c r="E355" t="inlineStr">
        <is>
          <t>FLEN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6827-2021</t>
        </is>
      </c>
      <c r="B356" s="1" t="n">
        <v>44237</v>
      </c>
      <c r="C356" s="1" t="n">
        <v>45875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7858-2021</t>
        </is>
      </c>
      <c r="B357" s="1" t="n">
        <v>44242</v>
      </c>
      <c r="C357" s="1" t="n">
        <v>45875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8141-2021</t>
        </is>
      </c>
      <c r="B358" s="1" t="n">
        <v>44242</v>
      </c>
      <c r="C358" s="1" t="n">
        <v>45875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8762-2021</t>
        </is>
      </c>
      <c r="B359" s="1" t="n">
        <v>44246</v>
      </c>
      <c r="C359" s="1" t="n">
        <v>45875</v>
      </c>
      <c r="D359" t="inlineStr">
        <is>
          <t>SÖDERMANLANDS LÄN</t>
        </is>
      </c>
      <c r="E359" t="inlineStr">
        <is>
          <t>FLEN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8749-2021</t>
        </is>
      </c>
      <c r="B360" s="1" t="n">
        <v>44246</v>
      </c>
      <c r="C360" s="1" t="n">
        <v>45875</v>
      </c>
      <c r="D360" t="inlineStr">
        <is>
          <t>SÖDERMANLANDS LÄN</t>
        </is>
      </c>
      <c r="E360" t="inlineStr">
        <is>
          <t>FLEN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8710-2021</t>
        </is>
      </c>
      <c r="B361" s="1" t="n">
        <v>44246</v>
      </c>
      <c r="C361" s="1" t="n">
        <v>45875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8888-2021</t>
        </is>
      </c>
      <c r="B362" s="1" t="n">
        <v>44248</v>
      </c>
      <c r="C362" s="1" t="n">
        <v>45875</v>
      </c>
      <c r="D362" t="inlineStr">
        <is>
          <t>SÖDERMANLANDS LÄN</t>
        </is>
      </c>
      <c r="E362" t="inlineStr">
        <is>
          <t>FLEN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9373-2021</t>
        </is>
      </c>
      <c r="B363" s="1" t="n">
        <v>44250</v>
      </c>
      <c r="C363" s="1" t="n">
        <v>45875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9237-2021</t>
        </is>
      </c>
      <c r="B364" s="1" t="n">
        <v>44250</v>
      </c>
      <c r="C364" s="1" t="n">
        <v>45875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9634-2021</t>
        </is>
      </c>
      <c r="B365" s="1" t="n">
        <v>44252</v>
      </c>
      <c r="C365" s="1" t="n">
        <v>45875</v>
      </c>
      <c r="D365" t="inlineStr">
        <is>
          <t>SÖDERMANLANDS LÄN</t>
        </is>
      </c>
      <c r="E365" t="inlineStr">
        <is>
          <t>FLEN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9674-2021</t>
        </is>
      </c>
      <c r="B366" s="1" t="n">
        <v>44252</v>
      </c>
      <c r="C366" s="1" t="n">
        <v>45875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10607-2021</t>
        </is>
      </c>
      <c r="B367" s="1" t="n">
        <v>44258</v>
      </c>
      <c r="C367" s="1" t="n">
        <v>45875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10980-2021</t>
        </is>
      </c>
      <c r="B368" s="1" t="n">
        <v>44260</v>
      </c>
      <c r="C368" s="1" t="n">
        <v>45875</v>
      </c>
      <c r="D368" t="inlineStr">
        <is>
          <t>SÖDERMANLANDS LÄN</t>
        </is>
      </c>
      <c r="E368" t="inlineStr">
        <is>
          <t>FLEN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11030-2021</t>
        </is>
      </c>
      <c r="B369" s="1" t="n">
        <v>44260</v>
      </c>
      <c r="C369" s="1" t="n">
        <v>45875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</v>
      </c>
      <c r="C370" s="1" t="n">
        <v>45875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11288-2021</t>
        </is>
      </c>
      <c r="B371" s="1" t="n">
        <v>44263</v>
      </c>
      <c r="C371" s="1" t="n">
        <v>45875</v>
      </c>
      <c r="D371" t="inlineStr">
        <is>
          <t>SÖDERMANLANDS LÄN</t>
        </is>
      </c>
      <c r="E371" t="inlineStr">
        <is>
          <t>FLEN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11302-2021</t>
        </is>
      </c>
      <c r="B372" s="1" t="n">
        <v>44263</v>
      </c>
      <c r="C372" s="1" t="n">
        <v>45875</v>
      </c>
      <c r="D372" t="inlineStr">
        <is>
          <t>SÖDERMANLANDS LÄN</t>
        </is>
      </c>
      <c r="E372" t="inlineStr">
        <is>
          <t>FLEN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11731-2021</t>
        </is>
      </c>
      <c r="B373" s="1" t="n">
        <v>44265</v>
      </c>
      <c r="C373" s="1" t="n">
        <v>45875</v>
      </c>
      <c r="D373" t="inlineStr">
        <is>
          <t>SÖDERMANLANDS LÄN</t>
        </is>
      </c>
      <c r="E373" t="inlineStr">
        <is>
          <t>FLEN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12774-2021</t>
        </is>
      </c>
      <c r="B374" s="1" t="n">
        <v>44270</v>
      </c>
      <c r="C374" s="1" t="n">
        <v>45875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14973-2021</t>
        </is>
      </c>
      <c r="B375" s="1" t="n">
        <v>44281</v>
      </c>
      <c r="C375" s="1" t="n">
        <v>45875</v>
      </c>
      <c r="D375" t="inlineStr">
        <is>
          <t>SÖDERMANLANDS LÄN</t>
        </is>
      </c>
      <c r="E375" t="inlineStr">
        <is>
          <t>FLEN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15062-2021</t>
        </is>
      </c>
      <c r="B376" s="1" t="n">
        <v>44281</v>
      </c>
      <c r="C376" s="1" t="n">
        <v>45875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15465-2021</t>
        </is>
      </c>
      <c r="B377" s="1" t="n">
        <v>44285</v>
      </c>
      <c r="C377" s="1" t="n">
        <v>45875</v>
      </c>
      <c r="D377" t="inlineStr">
        <is>
          <t>SÖDERMANLANDS LÄN</t>
        </is>
      </c>
      <c r="E377" t="inlineStr">
        <is>
          <t>FLEN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16281-2021</t>
        </is>
      </c>
      <c r="B378" s="1" t="n">
        <v>44292</v>
      </c>
      <c r="C378" s="1" t="n">
        <v>45875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16275-2021</t>
        </is>
      </c>
      <c r="B379" s="1" t="n">
        <v>44292</v>
      </c>
      <c r="C379" s="1" t="n">
        <v>45875</v>
      </c>
      <c r="D379" t="inlineStr">
        <is>
          <t>SÖDERMANLANDS LÄN</t>
        </is>
      </c>
      <c r="E379" t="inlineStr">
        <is>
          <t>FLEN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16276-2021</t>
        </is>
      </c>
      <c r="B380" s="1" t="n">
        <v>44292</v>
      </c>
      <c r="C380" s="1" t="n">
        <v>45875</v>
      </c>
      <c r="D380" t="inlineStr">
        <is>
          <t>SÖDERMANLANDS LÄN</t>
        </is>
      </c>
      <c r="E380" t="inlineStr">
        <is>
          <t>FLEN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16520-2021</t>
        </is>
      </c>
      <c r="B381" s="1" t="n">
        <v>44293</v>
      </c>
      <c r="C381" s="1" t="n">
        <v>45875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17203-2021</t>
        </is>
      </c>
      <c r="B382" s="1" t="n">
        <v>44296</v>
      </c>
      <c r="C382" s="1" t="n">
        <v>45875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17210-2021</t>
        </is>
      </c>
      <c r="B383" s="1" t="n">
        <v>44297</v>
      </c>
      <c r="C383" s="1" t="n">
        <v>45875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17222-2021</t>
        </is>
      </c>
      <c r="B384" s="1" t="n">
        <v>44297</v>
      </c>
      <c r="C384" s="1" t="n">
        <v>45875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17183-2021</t>
        </is>
      </c>
      <c r="B385" s="1" t="n">
        <v>44297</v>
      </c>
      <c r="C385" s="1" t="n">
        <v>45875</v>
      </c>
      <c r="D385" t="inlineStr">
        <is>
          <t>SÖDERMANLANDS LÄN</t>
        </is>
      </c>
      <c r="E385" t="inlineStr">
        <is>
          <t>FLEN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17985-2021</t>
        </is>
      </c>
      <c r="B386" s="1" t="n">
        <v>44301</v>
      </c>
      <c r="C386" s="1" t="n">
        <v>45875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17987-2021</t>
        </is>
      </c>
      <c r="B387" s="1" t="n">
        <v>44301</v>
      </c>
      <c r="C387" s="1" t="n">
        <v>45875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18053-2021</t>
        </is>
      </c>
      <c r="B388" s="1" t="n">
        <v>44302</v>
      </c>
      <c r="C388" s="1" t="n">
        <v>45875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18192-2021</t>
        </is>
      </c>
      <c r="B389" s="1" t="n">
        <v>44302</v>
      </c>
      <c r="C389" s="1" t="n">
        <v>45875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18185-2021</t>
        </is>
      </c>
      <c r="B390" s="1" t="n">
        <v>44302</v>
      </c>
      <c r="C390" s="1" t="n">
        <v>45875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18180-2021</t>
        </is>
      </c>
      <c r="B391" s="1" t="n">
        <v>44302</v>
      </c>
      <c r="C391" s="1" t="n">
        <v>45875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19072-2021</t>
        </is>
      </c>
      <c r="B392" s="1" t="n">
        <v>44307</v>
      </c>
      <c r="C392" s="1" t="n">
        <v>45875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19387-2021</t>
        </is>
      </c>
      <c r="B393" s="1" t="n">
        <v>44309</v>
      </c>
      <c r="C393" s="1" t="n">
        <v>45875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22011-2021</t>
        </is>
      </c>
      <c r="B394" s="1" t="n">
        <v>44323</v>
      </c>
      <c r="C394" s="1" t="n">
        <v>45875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22015-2021</t>
        </is>
      </c>
      <c r="B395" s="1" t="n">
        <v>44323</v>
      </c>
      <c r="C395" s="1" t="n">
        <v>45875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22020-2021</t>
        </is>
      </c>
      <c r="B396" s="1" t="n">
        <v>44323</v>
      </c>
      <c r="C396" s="1" t="n">
        <v>45875</v>
      </c>
      <c r="D396" t="inlineStr">
        <is>
          <t>SÖDERMANLANDS LÄN</t>
        </is>
      </c>
      <c r="E396" t="inlineStr">
        <is>
          <t>FLEN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23004-2021</t>
        </is>
      </c>
      <c r="B397" s="1" t="n">
        <v>44328</v>
      </c>
      <c r="C397" s="1" t="n">
        <v>45875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26011-2021</t>
        </is>
      </c>
      <c r="B398" s="1" t="n">
        <v>44344</v>
      </c>
      <c r="C398" s="1" t="n">
        <v>45875</v>
      </c>
      <c r="D398" t="inlineStr">
        <is>
          <t>SÖDERMANLANDS LÄN</t>
        </is>
      </c>
      <c r="E398" t="inlineStr">
        <is>
          <t>FLEN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27190-2021</t>
        </is>
      </c>
      <c r="B399" s="1" t="n">
        <v>44350</v>
      </c>
      <c r="C399" s="1" t="n">
        <v>45875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27184-2021</t>
        </is>
      </c>
      <c r="B400" s="1" t="n">
        <v>44350</v>
      </c>
      <c r="C400" s="1" t="n">
        <v>45875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29002-2021</t>
        </is>
      </c>
      <c r="B401" s="1" t="n">
        <v>44358</v>
      </c>
      <c r="C401" s="1" t="n">
        <v>45875</v>
      </c>
      <c r="D401" t="inlineStr">
        <is>
          <t>SÖDERMANLANDS LÄN</t>
        </is>
      </c>
      <c r="E401" t="inlineStr">
        <is>
          <t>FLEN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29234-2021</t>
        </is>
      </c>
      <c r="B402" s="1" t="n">
        <v>44360</v>
      </c>
      <c r="C402" s="1" t="n">
        <v>45875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29239-2021</t>
        </is>
      </c>
      <c r="B403" s="1" t="n">
        <v>44360</v>
      </c>
      <c r="C403" s="1" t="n">
        <v>45875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29236-2021</t>
        </is>
      </c>
      <c r="B404" s="1" t="n">
        <v>44360</v>
      </c>
      <c r="C404" s="1" t="n">
        <v>45875</v>
      </c>
      <c r="D404" t="inlineStr">
        <is>
          <t>SÖDERMANLANDS LÄN</t>
        </is>
      </c>
      <c r="E404" t="inlineStr">
        <is>
          <t>FLEN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29233-2021</t>
        </is>
      </c>
      <c r="B405" s="1" t="n">
        <v>44360</v>
      </c>
      <c r="C405" s="1" t="n">
        <v>45875</v>
      </c>
      <c r="D405" t="inlineStr">
        <is>
          <t>SÖDERMANLANDS LÄN</t>
        </is>
      </c>
      <c r="E405" t="inlineStr">
        <is>
          <t>FLEN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30847-2021</t>
        </is>
      </c>
      <c r="B406" s="1" t="n">
        <v>44365</v>
      </c>
      <c r="C406" s="1" t="n">
        <v>45875</v>
      </c>
      <c r="D406" t="inlineStr">
        <is>
          <t>SÖDERMANLANDS LÄN</t>
        </is>
      </c>
      <c r="E406" t="inlineStr">
        <is>
          <t>FLEN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30830-2021</t>
        </is>
      </c>
      <c r="B407" s="1" t="n">
        <v>44365</v>
      </c>
      <c r="C407" s="1" t="n">
        <v>45875</v>
      </c>
      <c r="D407" t="inlineStr">
        <is>
          <t>SÖDERMANLANDS LÄN</t>
        </is>
      </c>
      <c r="E407" t="inlineStr">
        <is>
          <t>FLEN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31131-2021</t>
        </is>
      </c>
      <c r="B408" s="1" t="n">
        <v>44365</v>
      </c>
      <c r="C408" s="1" t="n">
        <v>45875</v>
      </c>
      <c r="D408" t="inlineStr">
        <is>
          <t>SÖDERMANLANDS LÄN</t>
        </is>
      </c>
      <c r="E408" t="inlineStr">
        <is>
          <t>FLEN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32416-2021</t>
        </is>
      </c>
      <c r="B409" s="1" t="n">
        <v>44371</v>
      </c>
      <c r="C409" s="1" t="n">
        <v>45875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34088-2021</t>
        </is>
      </c>
      <c r="B410" s="1" t="n">
        <v>44378</v>
      </c>
      <c r="C410" s="1" t="n">
        <v>45875</v>
      </c>
      <c r="D410" t="inlineStr">
        <is>
          <t>SÖDERMANLANDS LÄN</t>
        </is>
      </c>
      <c r="E410" t="inlineStr">
        <is>
          <t>FLEN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34003-2021</t>
        </is>
      </c>
      <c r="B411" s="1" t="n">
        <v>44378</v>
      </c>
      <c r="C411" s="1" t="n">
        <v>45875</v>
      </c>
      <c r="D411" t="inlineStr">
        <is>
          <t>SÖDERMANLANDS LÄN</t>
        </is>
      </c>
      <c r="E411" t="inlineStr">
        <is>
          <t>FLEN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34675-2021</t>
        </is>
      </c>
      <c r="B412" s="1" t="n">
        <v>44379</v>
      </c>
      <c r="C412" s="1" t="n">
        <v>45875</v>
      </c>
      <c r="D412" t="inlineStr">
        <is>
          <t>SÖDERMANLANDS LÄN</t>
        </is>
      </c>
      <c r="E412" t="inlineStr">
        <is>
          <t>FLEN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34448-2021</t>
        </is>
      </c>
      <c r="B413" s="1" t="n">
        <v>44381</v>
      </c>
      <c r="C413" s="1" t="n">
        <v>45875</v>
      </c>
      <c r="D413" t="inlineStr">
        <is>
          <t>SÖDERMANLANDS LÄN</t>
        </is>
      </c>
      <c r="E413" t="inlineStr">
        <is>
          <t>FLEN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34447-2021</t>
        </is>
      </c>
      <c r="B414" s="1" t="n">
        <v>44381</v>
      </c>
      <c r="C414" s="1" t="n">
        <v>45875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35250-2021</t>
        </is>
      </c>
      <c r="B415" s="1" t="n">
        <v>44384</v>
      </c>
      <c r="C415" s="1" t="n">
        <v>45875</v>
      </c>
      <c r="D415" t="inlineStr">
        <is>
          <t>SÖDERMANLANDS LÄN</t>
        </is>
      </c>
      <c r="E415" t="inlineStr">
        <is>
          <t>FLEN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35257-2021</t>
        </is>
      </c>
      <c r="B416" s="1" t="n">
        <v>44384</v>
      </c>
      <c r="C416" s="1" t="n">
        <v>45875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35649-2021</t>
        </is>
      </c>
      <c r="B417" s="1" t="n">
        <v>44384</v>
      </c>
      <c r="C417" s="1" t="n">
        <v>45875</v>
      </c>
      <c r="D417" t="inlineStr">
        <is>
          <t>SÖDERMANLANDS LÄN</t>
        </is>
      </c>
      <c r="E417" t="inlineStr">
        <is>
          <t>FLEN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35714-2021</t>
        </is>
      </c>
      <c r="B418" s="1" t="n">
        <v>44386</v>
      </c>
      <c r="C418" s="1" t="n">
        <v>45875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36595-2021</t>
        </is>
      </c>
      <c r="B419" s="1" t="n">
        <v>44391</v>
      </c>
      <c r="C419" s="1" t="n">
        <v>45875</v>
      </c>
      <c r="D419" t="inlineStr">
        <is>
          <t>SÖDERMANLANDS LÄN</t>
        </is>
      </c>
      <c r="E419" t="inlineStr">
        <is>
          <t>FLEN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37385-2021</t>
        </is>
      </c>
      <c r="B420" s="1" t="n">
        <v>44398</v>
      </c>
      <c r="C420" s="1" t="n">
        <v>45875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38008-2021</t>
        </is>
      </c>
      <c r="B421" s="1" t="n">
        <v>44404</v>
      </c>
      <c r="C421" s="1" t="n">
        <v>45875</v>
      </c>
      <c r="D421" t="inlineStr">
        <is>
          <t>SÖDERMANLANDS LÄN</t>
        </is>
      </c>
      <c r="E421" t="inlineStr">
        <is>
          <t>FLEN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38842-2021</t>
        </is>
      </c>
      <c r="B422" s="1" t="n">
        <v>44411</v>
      </c>
      <c r="C422" s="1" t="n">
        <v>45875</v>
      </c>
      <c r="D422" t="inlineStr">
        <is>
          <t>SÖDERMANLANDS LÄN</t>
        </is>
      </c>
      <c r="E422" t="inlineStr">
        <is>
          <t>FLEN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39188-2021</t>
        </is>
      </c>
      <c r="B423" s="1" t="n">
        <v>44413</v>
      </c>
      <c r="C423" s="1" t="n">
        <v>45875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39513-2021</t>
        </is>
      </c>
      <c r="B424" s="1" t="n">
        <v>44414</v>
      </c>
      <c r="C424" s="1" t="n">
        <v>45875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39518-2021</t>
        </is>
      </c>
      <c r="B425" s="1" t="n">
        <v>44414</v>
      </c>
      <c r="C425" s="1" t="n">
        <v>45875</v>
      </c>
      <c r="D425" t="inlineStr">
        <is>
          <t>SÖDERMANLANDS LÄN</t>
        </is>
      </c>
      <c r="E425" t="inlineStr">
        <is>
          <t>FLEN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40796-2021</t>
        </is>
      </c>
      <c r="B426" s="1" t="n">
        <v>44421</v>
      </c>
      <c r="C426" s="1" t="n">
        <v>45875</v>
      </c>
      <c r="D426" t="inlineStr">
        <is>
          <t>SÖDERMANLANDS LÄN</t>
        </is>
      </c>
      <c r="E426" t="inlineStr">
        <is>
          <t>FLEN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40961-2021</t>
        </is>
      </c>
      <c r="B427" s="1" t="n">
        <v>44421</v>
      </c>
      <c r="C427" s="1" t="n">
        <v>45875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41148-2021</t>
        </is>
      </c>
      <c r="B428" s="1" t="n">
        <v>44423</v>
      </c>
      <c r="C428" s="1" t="n">
        <v>45875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41150-2021</t>
        </is>
      </c>
      <c r="B429" s="1" t="n">
        <v>44423</v>
      </c>
      <c r="C429" s="1" t="n">
        <v>45875</v>
      </c>
      <c r="D429" t="inlineStr">
        <is>
          <t>SÖDERMANLANDS LÄN</t>
        </is>
      </c>
      <c r="E429" t="inlineStr">
        <is>
          <t>FLEN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41597-2021</t>
        </is>
      </c>
      <c r="B430" s="1" t="n">
        <v>44425</v>
      </c>
      <c r="C430" s="1" t="n">
        <v>45875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41640-2021</t>
        </is>
      </c>
      <c r="B431" s="1" t="n">
        <v>44425</v>
      </c>
      <c r="C431" s="1" t="n">
        <v>45875</v>
      </c>
      <c r="D431" t="inlineStr">
        <is>
          <t>SÖDERMANLANDS LÄN</t>
        </is>
      </c>
      <c r="E431" t="inlineStr">
        <is>
          <t>FLEN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41658-2021</t>
        </is>
      </c>
      <c r="B432" s="1" t="n">
        <v>44425</v>
      </c>
      <c r="C432" s="1" t="n">
        <v>45875</v>
      </c>
      <c r="D432" t="inlineStr">
        <is>
          <t>SÖDERMANLANDS LÄN</t>
        </is>
      </c>
      <c r="E432" t="inlineStr">
        <is>
          <t>FLEN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41638-2021</t>
        </is>
      </c>
      <c r="B433" s="1" t="n">
        <v>44425</v>
      </c>
      <c r="C433" s="1" t="n">
        <v>45875</v>
      </c>
      <c r="D433" t="inlineStr">
        <is>
          <t>SÖDERMANLANDS LÄN</t>
        </is>
      </c>
      <c r="E433" t="inlineStr">
        <is>
          <t>FLEN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41709-2021</t>
        </is>
      </c>
      <c r="B434" s="1" t="n">
        <v>44425</v>
      </c>
      <c r="C434" s="1" t="n">
        <v>45875</v>
      </c>
      <c r="D434" t="inlineStr">
        <is>
          <t>SÖDERMANLANDS LÄN</t>
        </is>
      </c>
      <c r="E434" t="inlineStr">
        <is>
          <t>FLEN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41800-2021</t>
        </is>
      </c>
      <c r="B435" s="1" t="n">
        <v>44425</v>
      </c>
      <c r="C435" s="1" t="n">
        <v>45875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41894-2021</t>
        </is>
      </c>
      <c r="B436" s="1" t="n">
        <v>44425</v>
      </c>
      <c r="C436" s="1" t="n">
        <v>45875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42936-2021</t>
        </is>
      </c>
      <c r="B437" s="1" t="n">
        <v>44431</v>
      </c>
      <c r="C437" s="1" t="n">
        <v>45875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43394-2021</t>
        </is>
      </c>
      <c r="B438" s="1" t="n">
        <v>44432</v>
      </c>
      <c r="C438" s="1" t="n">
        <v>45875</v>
      </c>
      <c r="D438" t="inlineStr">
        <is>
          <t>SÖDERMANLANDS LÄN</t>
        </is>
      </c>
      <c r="E438" t="inlineStr">
        <is>
          <t>FLEN</t>
        </is>
      </c>
      <c r="G438" t="n">
        <v>14.4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43450-2021</t>
        </is>
      </c>
      <c r="B439" s="1" t="n">
        <v>44432</v>
      </c>
      <c r="C439" s="1" t="n">
        <v>45875</v>
      </c>
      <c r="D439" t="inlineStr">
        <is>
          <t>SÖDERMANLANDS LÄN</t>
        </is>
      </c>
      <c r="E439" t="inlineStr">
        <is>
          <t>FLEN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43640-2021</t>
        </is>
      </c>
      <c r="B440" s="1" t="n">
        <v>44433</v>
      </c>
      <c r="C440" s="1" t="n">
        <v>45875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43541-2021</t>
        </is>
      </c>
      <c r="B441" s="1" t="n">
        <v>44433</v>
      </c>
      <c r="C441" s="1" t="n">
        <v>45875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44359-2021</t>
        </is>
      </c>
      <c r="B442" s="1" t="n">
        <v>44435</v>
      </c>
      <c r="C442" s="1" t="n">
        <v>45875</v>
      </c>
      <c r="D442" t="inlineStr">
        <is>
          <t>SÖDERMANLANDS LÄN</t>
        </is>
      </c>
      <c r="E442" t="inlineStr">
        <is>
          <t>FLEN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45468-2021</t>
        </is>
      </c>
      <c r="B443" s="1" t="n">
        <v>44440</v>
      </c>
      <c r="C443" s="1" t="n">
        <v>45875</v>
      </c>
      <c r="D443" t="inlineStr">
        <is>
          <t>SÖDERMANLANDS LÄN</t>
        </is>
      </c>
      <c r="E443" t="inlineStr">
        <is>
          <t>FLEN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47609-2021</t>
        </is>
      </c>
      <c r="B444" s="1" t="n">
        <v>44448</v>
      </c>
      <c r="C444" s="1" t="n">
        <v>45875</v>
      </c>
      <c r="D444" t="inlineStr">
        <is>
          <t>SÖDERMANLANDS LÄN</t>
        </is>
      </c>
      <c r="E444" t="inlineStr">
        <is>
          <t>FLEN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47613-2021</t>
        </is>
      </c>
      <c r="B445" s="1" t="n">
        <v>44448</v>
      </c>
      <c r="C445" s="1" t="n">
        <v>45875</v>
      </c>
      <c r="D445" t="inlineStr">
        <is>
          <t>SÖDERMANLANDS LÄN</t>
        </is>
      </c>
      <c r="E445" t="inlineStr">
        <is>
          <t>FLEN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47644-2021</t>
        </is>
      </c>
      <c r="B446" s="1" t="n">
        <v>44448</v>
      </c>
      <c r="C446" s="1" t="n">
        <v>45875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47604-2021</t>
        </is>
      </c>
      <c r="B447" s="1" t="n">
        <v>44448</v>
      </c>
      <c r="C447" s="1" t="n">
        <v>45875</v>
      </c>
      <c r="D447" t="inlineStr">
        <is>
          <t>SÖDERMANLANDS LÄN</t>
        </is>
      </c>
      <c r="E447" t="inlineStr">
        <is>
          <t>FLEN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48166-2021</t>
        </is>
      </c>
      <c r="B448" s="1" t="n">
        <v>44449</v>
      </c>
      <c r="C448" s="1" t="n">
        <v>45875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48497-2021</t>
        </is>
      </c>
      <c r="B449" s="1" t="n">
        <v>44449</v>
      </c>
      <c r="C449" s="1" t="n">
        <v>45875</v>
      </c>
      <c r="D449" t="inlineStr">
        <is>
          <t>SÖDERMANLANDS LÄN</t>
        </is>
      </c>
      <c r="E449" t="inlineStr">
        <is>
          <t>FLEN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48298-2021</t>
        </is>
      </c>
      <c r="B450" s="1" t="n">
        <v>44450</v>
      </c>
      <c r="C450" s="1" t="n">
        <v>45875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48763-2021</t>
        </is>
      </c>
      <c r="B451" s="1" t="n">
        <v>44452</v>
      </c>
      <c r="C451" s="1" t="n">
        <v>45875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48925-2021</t>
        </is>
      </c>
      <c r="B452" s="1" t="n">
        <v>44452</v>
      </c>
      <c r="C452" s="1" t="n">
        <v>45875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49323-2021</t>
        </is>
      </c>
      <c r="B453" s="1" t="n">
        <v>44453</v>
      </c>
      <c r="C453" s="1" t="n">
        <v>45875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49275-2021</t>
        </is>
      </c>
      <c r="B454" s="1" t="n">
        <v>44453</v>
      </c>
      <c r="C454" s="1" t="n">
        <v>45875</v>
      </c>
      <c r="D454" t="inlineStr">
        <is>
          <t>SÖDERMANLANDS LÄN</t>
        </is>
      </c>
      <c r="E454" t="inlineStr">
        <is>
          <t>FLEN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49252-2021</t>
        </is>
      </c>
      <c r="B455" s="1" t="n">
        <v>44454</v>
      </c>
      <c r="C455" s="1" t="n">
        <v>45875</v>
      </c>
      <c r="D455" t="inlineStr">
        <is>
          <t>SÖDERMANLANDS LÄN</t>
        </is>
      </c>
      <c r="E455" t="inlineStr">
        <is>
          <t>FLEN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49569-2021</t>
        </is>
      </c>
      <c r="B456" s="1" t="n">
        <v>44455</v>
      </c>
      <c r="C456" s="1" t="n">
        <v>45875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50494-2021</t>
        </is>
      </c>
      <c r="B457" s="1" t="n">
        <v>44458</v>
      </c>
      <c r="C457" s="1" t="n">
        <v>45875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50500-2021</t>
        </is>
      </c>
      <c r="B458" s="1" t="n">
        <v>44458</v>
      </c>
      <c r="C458" s="1" t="n">
        <v>45875</v>
      </c>
      <c r="D458" t="inlineStr">
        <is>
          <t>SÖDERMANLANDS LÄN</t>
        </is>
      </c>
      <c r="E458" t="inlineStr">
        <is>
          <t>FLEN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50301-2021</t>
        </is>
      </c>
      <c r="B459" s="1" t="n">
        <v>44459</v>
      </c>
      <c r="C459" s="1" t="n">
        <v>45875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50799-2021</t>
        </is>
      </c>
      <c r="B460" s="1" t="n">
        <v>44459</v>
      </c>
      <c r="C460" s="1" t="n">
        <v>45875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50796-2021</t>
        </is>
      </c>
      <c r="B461" s="1" t="n">
        <v>44459</v>
      </c>
      <c r="C461" s="1" t="n">
        <v>45875</v>
      </c>
      <c r="D461" t="inlineStr">
        <is>
          <t>SÖDERMANLANDS LÄN</t>
        </is>
      </c>
      <c r="E461" t="inlineStr">
        <is>
          <t>FLEN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52541-2021</t>
        </is>
      </c>
      <c r="B462" s="1" t="n">
        <v>44463</v>
      </c>
      <c r="C462" s="1" t="n">
        <v>45875</v>
      </c>
      <c r="D462" t="inlineStr">
        <is>
          <t>SÖDERMANLANDS LÄN</t>
        </is>
      </c>
      <c r="E462" t="inlineStr">
        <is>
          <t>FLEN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52519-2021</t>
        </is>
      </c>
      <c r="B463" s="1" t="n">
        <v>44463</v>
      </c>
      <c r="C463" s="1" t="n">
        <v>45875</v>
      </c>
      <c r="D463" t="inlineStr">
        <is>
          <t>SÖDERMANLANDS LÄN</t>
        </is>
      </c>
      <c r="E463" t="inlineStr">
        <is>
          <t>FLEN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52563-2021</t>
        </is>
      </c>
      <c r="B464" s="1" t="n">
        <v>44463</v>
      </c>
      <c r="C464" s="1" t="n">
        <v>45875</v>
      </c>
      <c r="D464" t="inlineStr">
        <is>
          <t>SÖDERMANLANDS LÄN</t>
        </is>
      </c>
      <c r="E464" t="inlineStr">
        <is>
          <t>FLEN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52500-2021</t>
        </is>
      </c>
      <c r="B465" s="1" t="n">
        <v>44463</v>
      </c>
      <c r="C465" s="1" t="n">
        <v>45875</v>
      </c>
      <c r="D465" t="inlineStr">
        <is>
          <t>SÖDERMANLANDS LÄN</t>
        </is>
      </c>
      <c r="E465" t="inlineStr">
        <is>
          <t>FLEN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52546-2021</t>
        </is>
      </c>
      <c r="B466" s="1" t="n">
        <v>44463</v>
      </c>
      <c r="C466" s="1" t="n">
        <v>45875</v>
      </c>
      <c r="D466" t="inlineStr">
        <is>
          <t>SÖDERMANLANDS LÄN</t>
        </is>
      </c>
      <c r="E466" t="inlineStr">
        <is>
          <t>FLEN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52534-2021</t>
        </is>
      </c>
      <c r="B467" s="1" t="n">
        <v>44463</v>
      </c>
      <c r="C467" s="1" t="n">
        <v>45875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52692-2021</t>
        </is>
      </c>
      <c r="B468" s="1" t="n">
        <v>44466</v>
      </c>
      <c r="C468" s="1" t="n">
        <v>45875</v>
      </c>
      <c r="D468" t="inlineStr">
        <is>
          <t>SÖDERMANLANDS LÄN</t>
        </is>
      </c>
      <c r="E468" t="inlineStr">
        <is>
          <t>FLEN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53608-2021</t>
        </is>
      </c>
      <c r="B469" s="1" t="n">
        <v>44469</v>
      </c>
      <c r="C469" s="1" t="n">
        <v>45875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53930-2021</t>
        </is>
      </c>
      <c r="B470" s="1" t="n">
        <v>44469</v>
      </c>
      <c r="C470" s="1" t="n">
        <v>45875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54179-2021</t>
        </is>
      </c>
      <c r="B471" s="1" t="n">
        <v>44470</v>
      </c>
      <c r="C471" s="1" t="n">
        <v>45875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54325-2021</t>
        </is>
      </c>
      <c r="B472" s="1" t="n">
        <v>44472</v>
      </c>
      <c r="C472" s="1" t="n">
        <v>45875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54645-2021</t>
        </is>
      </c>
      <c r="B473" s="1" t="n">
        <v>44473</v>
      </c>
      <c r="C473" s="1" t="n">
        <v>45875</v>
      </c>
      <c r="D473" t="inlineStr">
        <is>
          <t>SÖDERMANLANDS LÄN</t>
        </is>
      </c>
      <c r="E473" t="inlineStr">
        <is>
          <t>FLEN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54666-2021</t>
        </is>
      </c>
      <c r="B474" s="1" t="n">
        <v>44473</v>
      </c>
      <c r="C474" s="1" t="n">
        <v>45875</v>
      </c>
      <c r="D474" t="inlineStr">
        <is>
          <t>SÖDERMANLANDS LÄN</t>
        </is>
      </c>
      <c r="E474" t="inlineStr">
        <is>
          <t>FLEN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57753-2021</t>
        </is>
      </c>
      <c r="B475" s="1" t="n">
        <v>44484</v>
      </c>
      <c r="C475" s="1" t="n">
        <v>45875</v>
      </c>
      <c r="D475" t="inlineStr">
        <is>
          <t>SÖDERMANLANDS LÄN</t>
        </is>
      </c>
      <c r="E475" t="inlineStr">
        <is>
          <t>FLEN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58299-2021</t>
        </is>
      </c>
      <c r="B476" s="1" t="n">
        <v>44487</v>
      </c>
      <c r="C476" s="1" t="n">
        <v>45875</v>
      </c>
      <c r="D476" t="inlineStr">
        <is>
          <t>SÖDERMANLANDS LÄN</t>
        </is>
      </c>
      <c r="E476" t="inlineStr">
        <is>
          <t>FLEN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59405-2021</t>
        </is>
      </c>
      <c r="B477" s="1" t="n">
        <v>44490</v>
      </c>
      <c r="C477" s="1" t="n">
        <v>45875</v>
      </c>
      <c r="D477" t="inlineStr">
        <is>
          <t>SÖDERMANLANDS LÄN</t>
        </is>
      </c>
      <c r="E477" t="inlineStr">
        <is>
          <t>FLEN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60069-2021</t>
        </is>
      </c>
      <c r="B478" s="1" t="n">
        <v>44495</v>
      </c>
      <c r="C478" s="1" t="n">
        <v>45875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60077-2021</t>
        </is>
      </c>
      <c r="B479" s="1" t="n">
        <v>44495</v>
      </c>
      <c r="C479" s="1" t="n">
        <v>45875</v>
      </c>
      <c r="D479" t="inlineStr">
        <is>
          <t>SÖDERMANLANDS LÄN</t>
        </is>
      </c>
      <c r="E479" t="inlineStr">
        <is>
          <t>FLEN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60255-2021</t>
        </is>
      </c>
      <c r="B480" s="1" t="n">
        <v>44495</v>
      </c>
      <c r="C480" s="1" t="n">
        <v>45875</v>
      </c>
      <c r="D480" t="inlineStr">
        <is>
          <t>SÖDERMANLANDS LÄN</t>
        </is>
      </c>
      <c r="E480" t="inlineStr">
        <is>
          <t>FLEN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60562-2021</t>
        </is>
      </c>
      <c r="B481" s="1" t="n">
        <v>44495</v>
      </c>
      <c r="C481" s="1" t="n">
        <v>45875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62223-2021</t>
        </is>
      </c>
      <c r="B482" s="1" t="n">
        <v>44501</v>
      </c>
      <c r="C482" s="1" t="n">
        <v>45875</v>
      </c>
      <c r="D482" t="inlineStr">
        <is>
          <t>SÖDERMANLANDS LÄN</t>
        </is>
      </c>
      <c r="E482" t="inlineStr">
        <is>
          <t>FLEN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63444-2021</t>
        </is>
      </c>
      <c r="B483" s="1" t="n">
        <v>44508</v>
      </c>
      <c r="C483" s="1" t="n">
        <v>45875</v>
      </c>
      <c r="D483" t="inlineStr">
        <is>
          <t>SÖDERMANLANDS LÄN</t>
        </is>
      </c>
      <c r="E483" t="inlineStr">
        <is>
          <t>FLEN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64060-2021</t>
        </is>
      </c>
      <c r="B484" s="1" t="n">
        <v>44508</v>
      </c>
      <c r="C484" s="1" t="n">
        <v>45875</v>
      </c>
      <c r="D484" t="inlineStr">
        <is>
          <t>SÖDERMANLANDS LÄN</t>
        </is>
      </c>
      <c r="E484" t="inlineStr">
        <is>
          <t>FLEN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64330-2021</t>
        </is>
      </c>
      <c r="B485" s="1" t="n">
        <v>44511</v>
      </c>
      <c r="C485" s="1" t="n">
        <v>45875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65869-2021</t>
        </is>
      </c>
      <c r="B486" s="1" t="n">
        <v>44517</v>
      </c>
      <c r="C486" s="1" t="n">
        <v>45875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66230-2021</t>
        </is>
      </c>
      <c r="B487" s="1" t="n">
        <v>44518</v>
      </c>
      <c r="C487" s="1" t="n">
        <v>45875</v>
      </c>
      <c r="D487" t="inlineStr">
        <is>
          <t>SÖDERMANLANDS LÄN</t>
        </is>
      </c>
      <c r="E487" t="inlineStr">
        <is>
          <t>FLEN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66334-2021</t>
        </is>
      </c>
      <c r="B488" s="1" t="n">
        <v>44518</v>
      </c>
      <c r="C488" s="1" t="n">
        <v>45875</v>
      </c>
      <c r="D488" t="inlineStr">
        <is>
          <t>SÖDERMANLANDS LÄN</t>
        </is>
      </c>
      <c r="E488" t="inlineStr">
        <is>
          <t>FLEN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66337-2021</t>
        </is>
      </c>
      <c r="B489" s="1" t="n">
        <v>44518</v>
      </c>
      <c r="C489" s="1" t="n">
        <v>45875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66867-2021</t>
        </is>
      </c>
      <c r="B490" s="1" t="n">
        <v>44522</v>
      </c>
      <c r="C490" s="1" t="n">
        <v>45875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66979-2021</t>
        </is>
      </c>
      <c r="B491" s="1" t="n">
        <v>44522</v>
      </c>
      <c r="C491" s="1" t="n">
        <v>45875</v>
      </c>
      <c r="D491" t="inlineStr">
        <is>
          <t>SÖDERMANLANDS LÄN</t>
        </is>
      </c>
      <c r="E491" t="inlineStr">
        <is>
          <t>FLEN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67464-2021</t>
        </is>
      </c>
      <c r="B492" s="1" t="n">
        <v>44524</v>
      </c>
      <c r="C492" s="1" t="n">
        <v>45875</v>
      </c>
      <c r="D492" t="inlineStr">
        <is>
          <t>SÖDERMANLANDS LÄN</t>
        </is>
      </c>
      <c r="E492" t="inlineStr">
        <is>
          <t>FLEN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69588-2021</t>
        </is>
      </c>
      <c r="B493" s="1" t="n">
        <v>44531</v>
      </c>
      <c r="C493" s="1" t="n">
        <v>45875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70215-2021</t>
        </is>
      </c>
      <c r="B494" s="1" t="n">
        <v>44535</v>
      </c>
      <c r="C494" s="1" t="n">
        <v>45875</v>
      </c>
      <c r="D494" t="inlineStr">
        <is>
          <t>SÖDERMANLANDS LÄN</t>
        </is>
      </c>
      <c r="E494" t="inlineStr">
        <is>
          <t>FLEN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70701-2021</t>
        </is>
      </c>
      <c r="B495" s="1" t="n">
        <v>44536</v>
      </c>
      <c r="C495" s="1" t="n">
        <v>45875</v>
      </c>
      <c r="D495" t="inlineStr">
        <is>
          <t>SÖDERMANLANDS LÄN</t>
        </is>
      </c>
      <c r="E495" t="inlineStr">
        <is>
          <t>FLEN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72314-2021</t>
        </is>
      </c>
      <c r="B496" s="1" t="n">
        <v>44544</v>
      </c>
      <c r="C496" s="1" t="n">
        <v>45875</v>
      </c>
      <c r="D496" t="inlineStr">
        <is>
          <t>SÖDERMANLANDS LÄN</t>
        </is>
      </c>
      <c r="E496" t="inlineStr">
        <is>
          <t>FLEN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73919-2021</t>
        </is>
      </c>
      <c r="B497" s="1" t="n">
        <v>44553</v>
      </c>
      <c r="C497" s="1" t="n">
        <v>45875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476-2022</t>
        </is>
      </c>
      <c r="B498" s="1" t="n">
        <v>44566</v>
      </c>
      <c r="C498" s="1" t="n">
        <v>45875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550-2022</t>
        </is>
      </c>
      <c r="B499" s="1" t="n">
        <v>44566</v>
      </c>
      <c r="C499" s="1" t="n">
        <v>45875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985-2022</t>
        </is>
      </c>
      <c r="B500" s="1" t="n">
        <v>44571</v>
      </c>
      <c r="C500" s="1" t="n">
        <v>45875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1242-2022</t>
        </is>
      </c>
      <c r="B501" s="1" t="n">
        <v>44572</v>
      </c>
      <c r="C501" s="1" t="n">
        <v>45875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2204-2022</t>
        </is>
      </c>
      <c r="B502" s="1" t="n">
        <v>44578</v>
      </c>
      <c r="C502" s="1" t="n">
        <v>45875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2162-2022</t>
        </is>
      </c>
      <c r="B503" s="1" t="n">
        <v>44578</v>
      </c>
      <c r="C503" s="1" t="n">
        <v>45875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2496-2022</t>
        </is>
      </c>
      <c r="B504" s="1" t="n">
        <v>44579</v>
      </c>
      <c r="C504" s="1" t="n">
        <v>45875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2734-2022</t>
        </is>
      </c>
      <c r="B505" s="1" t="n">
        <v>44580</v>
      </c>
      <c r="C505" s="1" t="n">
        <v>45875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2738-2022</t>
        </is>
      </c>
      <c r="B506" s="1" t="n">
        <v>44580</v>
      </c>
      <c r="C506" s="1" t="n">
        <v>45875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4065-2022</t>
        </is>
      </c>
      <c r="B507" s="1" t="n">
        <v>44588</v>
      </c>
      <c r="C507" s="1" t="n">
        <v>45875</v>
      </c>
      <c r="D507" t="inlineStr">
        <is>
          <t>SÖDERMANLANDS LÄN</t>
        </is>
      </c>
      <c r="E507" t="inlineStr">
        <is>
          <t>FLEN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4216-2022</t>
        </is>
      </c>
      <c r="B508" s="1" t="n">
        <v>44588</v>
      </c>
      <c r="C508" s="1" t="n">
        <v>45875</v>
      </c>
      <c r="D508" t="inlineStr">
        <is>
          <t>SÖDERMANLANDS LÄN</t>
        </is>
      </c>
      <c r="E508" t="inlineStr">
        <is>
          <t>FLEN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5260-2022</t>
        </is>
      </c>
      <c r="B509" s="1" t="n">
        <v>44594</v>
      </c>
      <c r="C509" s="1" t="n">
        <v>45875</v>
      </c>
      <c r="D509" t="inlineStr">
        <is>
          <t>SÖDERMANLANDS LÄN</t>
        </is>
      </c>
      <c r="E509" t="inlineStr">
        <is>
          <t>FLEN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5852-2022</t>
        </is>
      </c>
      <c r="B510" s="1" t="n">
        <v>44596</v>
      </c>
      <c r="C510" s="1" t="n">
        <v>45875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6725-2022</t>
        </is>
      </c>
      <c r="B511" s="1" t="n">
        <v>44602</v>
      </c>
      <c r="C511" s="1" t="n">
        <v>45875</v>
      </c>
      <c r="D511" t="inlineStr">
        <is>
          <t>SÖDERMANLANDS LÄN</t>
        </is>
      </c>
      <c r="E511" t="inlineStr">
        <is>
          <t>FLEN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7170-2022</t>
        </is>
      </c>
      <c r="B512" s="1" t="n">
        <v>44604</v>
      </c>
      <c r="C512" s="1" t="n">
        <v>45875</v>
      </c>
      <c r="D512" t="inlineStr">
        <is>
          <t>SÖDERMANLANDS LÄN</t>
        </is>
      </c>
      <c r="E512" t="inlineStr">
        <is>
          <t>FLEN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7242-2022</t>
        </is>
      </c>
      <c r="B513" s="1" t="n">
        <v>44606</v>
      </c>
      <c r="C513" s="1" t="n">
        <v>45875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7863-2022</t>
        </is>
      </c>
      <c r="B514" s="1" t="n">
        <v>44608</v>
      </c>
      <c r="C514" s="1" t="n">
        <v>45875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8301-2022</t>
        </is>
      </c>
      <c r="B515" s="1" t="n">
        <v>44610</v>
      </c>
      <c r="C515" s="1" t="n">
        <v>45875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8293-2022</t>
        </is>
      </c>
      <c r="B516" s="1" t="n">
        <v>44610</v>
      </c>
      <c r="C516" s="1" t="n">
        <v>45875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8793-2022</t>
        </is>
      </c>
      <c r="B517" s="1" t="n">
        <v>44614</v>
      </c>
      <c r="C517" s="1" t="n">
        <v>45875</v>
      </c>
      <c r="D517" t="inlineStr">
        <is>
          <t>SÖDERMANLANDS LÄN</t>
        </is>
      </c>
      <c r="E517" t="inlineStr">
        <is>
          <t>FLEN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8903-2022</t>
        </is>
      </c>
      <c r="B518" s="1" t="n">
        <v>44614</v>
      </c>
      <c r="C518" s="1" t="n">
        <v>45875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8990-2022</t>
        </is>
      </c>
      <c r="B519" s="1" t="n">
        <v>44614</v>
      </c>
      <c r="C519" s="1" t="n">
        <v>45875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9431-2022</t>
        </is>
      </c>
      <c r="B520" s="1" t="n">
        <v>44616</v>
      </c>
      <c r="C520" s="1" t="n">
        <v>45875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10738-2022</t>
        </is>
      </c>
      <c r="B521" s="1" t="n">
        <v>44624</v>
      </c>
      <c r="C521" s="1" t="n">
        <v>45875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10771-2022</t>
        </is>
      </c>
      <c r="B522" s="1" t="n">
        <v>44624</v>
      </c>
      <c r="C522" s="1" t="n">
        <v>45875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10828-2022</t>
        </is>
      </c>
      <c r="B523" s="1" t="n">
        <v>44624</v>
      </c>
      <c r="C523" s="1" t="n">
        <v>45875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10827-2022</t>
        </is>
      </c>
      <c r="B524" s="1" t="n">
        <v>44624</v>
      </c>
      <c r="C524" s="1" t="n">
        <v>45875</v>
      </c>
      <c r="D524" t="inlineStr">
        <is>
          <t>SÖDERMANLANDS LÄN</t>
        </is>
      </c>
      <c r="E524" t="inlineStr">
        <is>
          <t>FLEN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10745-2022</t>
        </is>
      </c>
      <c r="B525" s="1" t="n">
        <v>44624</v>
      </c>
      <c r="C525" s="1" t="n">
        <v>45875</v>
      </c>
      <c r="D525" t="inlineStr">
        <is>
          <t>SÖDERMANLANDS LÄN</t>
        </is>
      </c>
      <c r="E525" t="inlineStr">
        <is>
          <t>FLEN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12172-2022</t>
        </is>
      </c>
      <c r="B526" s="1" t="n">
        <v>44636</v>
      </c>
      <c r="C526" s="1" t="n">
        <v>45875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12116-2022</t>
        </is>
      </c>
      <c r="B527" s="1" t="n">
        <v>44636</v>
      </c>
      <c r="C527" s="1" t="n">
        <v>45875</v>
      </c>
      <c r="D527" t="inlineStr">
        <is>
          <t>SÖDERMANLANDS LÄN</t>
        </is>
      </c>
      <c r="E527" t="inlineStr">
        <is>
          <t>FLEN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12171-2022</t>
        </is>
      </c>
      <c r="B528" s="1" t="n">
        <v>44636</v>
      </c>
      <c r="C528" s="1" t="n">
        <v>45875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12174-2022</t>
        </is>
      </c>
      <c r="B529" s="1" t="n">
        <v>44636</v>
      </c>
      <c r="C529" s="1" t="n">
        <v>45875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12303-2022</t>
        </is>
      </c>
      <c r="B530" s="1" t="n">
        <v>44637</v>
      </c>
      <c r="C530" s="1" t="n">
        <v>45875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12608-2022</t>
        </is>
      </c>
      <c r="B531" s="1" t="n">
        <v>44640</v>
      </c>
      <c r="C531" s="1" t="n">
        <v>45875</v>
      </c>
      <c r="D531" t="inlineStr">
        <is>
          <t>SÖDERMANLANDS LÄN</t>
        </is>
      </c>
      <c r="E531" t="inlineStr">
        <is>
          <t>FLEN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13544-2022</t>
        </is>
      </c>
      <c r="B532" s="1" t="n">
        <v>44643</v>
      </c>
      <c r="C532" s="1" t="n">
        <v>45875</v>
      </c>
      <c r="D532" t="inlineStr">
        <is>
          <t>SÖDERMANLANDS LÄN</t>
        </is>
      </c>
      <c r="E532" t="inlineStr">
        <is>
          <t>FLEN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13529-2022</t>
        </is>
      </c>
      <c r="B533" s="1" t="n">
        <v>44643</v>
      </c>
      <c r="C533" s="1" t="n">
        <v>45875</v>
      </c>
      <c r="D533" t="inlineStr">
        <is>
          <t>SÖDERMANLANDS LÄN</t>
        </is>
      </c>
      <c r="E533" t="inlineStr">
        <is>
          <t>FLEN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13533-2022</t>
        </is>
      </c>
      <c r="B534" s="1" t="n">
        <v>44643</v>
      </c>
      <c r="C534" s="1" t="n">
        <v>45875</v>
      </c>
      <c r="D534" t="inlineStr">
        <is>
          <t>SÖDERMANLANDS LÄN</t>
        </is>
      </c>
      <c r="E534" t="inlineStr">
        <is>
          <t>FLEN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13587-2022</t>
        </is>
      </c>
      <c r="B535" s="1" t="n">
        <v>44648</v>
      </c>
      <c r="C535" s="1" t="n">
        <v>45875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16163-2022</t>
        </is>
      </c>
      <c r="B536" s="1" t="n">
        <v>44667</v>
      </c>
      <c r="C536" s="1" t="n">
        <v>45875</v>
      </c>
      <c r="D536" t="inlineStr">
        <is>
          <t>SÖDERMANLANDS LÄN</t>
        </is>
      </c>
      <c r="E536" t="inlineStr">
        <is>
          <t>FLEN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16396-2022</t>
        </is>
      </c>
      <c r="B537" s="1" t="n">
        <v>44671</v>
      </c>
      <c r="C537" s="1" t="n">
        <v>45875</v>
      </c>
      <c r="D537" t="inlineStr">
        <is>
          <t>SÖDERMANLANDS LÄN</t>
        </is>
      </c>
      <c r="E537" t="inlineStr">
        <is>
          <t>FLEN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16382-2022</t>
        </is>
      </c>
      <c r="B538" s="1" t="n">
        <v>44671</v>
      </c>
      <c r="C538" s="1" t="n">
        <v>45875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16937-2022</t>
        </is>
      </c>
      <c r="B539" s="1" t="n">
        <v>44676</v>
      </c>
      <c r="C539" s="1" t="n">
        <v>45875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17662-2022</t>
        </is>
      </c>
      <c r="B540" s="1" t="n">
        <v>44680</v>
      </c>
      <c r="C540" s="1" t="n">
        <v>45875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19994-2022</t>
        </is>
      </c>
      <c r="B541" s="1" t="n">
        <v>44697</v>
      </c>
      <c r="C541" s="1" t="n">
        <v>45875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20013-2022</t>
        </is>
      </c>
      <c r="B542" s="1" t="n">
        <v>44697</v>
      </c>
      <c r="C542" s="1" t="n">
        <v>45875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20791-2022</t>
        </is>
      </c>
      <c r="B543" s="1" t="n">
        <v>44701</v>
      </c>
      <c r="C543" s="1" t="n">
        <v>45875</v>
      </c>
      <c r="D543" t="inlineStr">
        <is>
          <t>SÖDERMANLANDS LÄN</t>
        </is>
      </c>
      <c r="E543" t="inlineStr">
        <is>
          <t>FLEN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21218-2022</t>
        </is>
      </c>
      <c r="B544" s="1" t="n">
        <v>44704</v>
      </c>
      <c r="C544" s="1" t="n">
        <v>45875</v>
      </c>
      <c r="D544" t="inlineStr">
        <is>
          <t>SÖDERMANLANDS LÄN</t>
        </is>
      </c>
      <c r="E544" t="inlineStr">
        <is>
          <t>FLEN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21351-2022</t>
        </is>
      </c>
      <c r="B545" s="1" t="n">
        <v>44705</v>
      </c>
      <c r="C545" s="1" t="n">
        <v>45875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22881-2022</t>
        </is>
      </c>
      <c r="B546" s="1" t="n">
        <v>44715</v>
      </c>
      <c r="C546" s="1" t="n">
        <v>45875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22883-2022</t>
        </is>
      </c>
      <c r="B547" s="1" t="n">
        <v>44715</v>
      </c>
      <c r="C547" s="1" t="n">
        <v>45875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23103-2022</t>
        </is>
      </c>
      <c r="B548" s="1" t="n">
        <v>44719</v>
      </c>
      <c r="C548" s="1" t="n">
        <v>45875</v>
      </c>
      <c r="D548" t="inlineStr">
        <is>
          <t>SÖDERMANLANDS LÄN</t>
        </is>
      </c>
      <c r="E548" t="inlineStr">
        <is>
          <t>FLEN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HYPERLINK("https://klasma.github.io/Logging_0482/knärot/A 23103-2022 karta knärot.png", "A 23103-2022")</f>
        <v/>
      </c>
      <c r="V548">
        <f>HYPERLINK("https://klasma.github.io/Logging_0482/klagomål/A 23103-2022 FSC-klagomål.docx", "A 23103-2022")</f>
        <v/>
      </c>
      <c r="W548">
        <f>HYPERLINK("https://klasma.github.io/Logging_0482/klagomålsmail/A 23103-2022 FSC-klagomål mail.docx", "A 23103-2022")</f>
        <v/>
      </c>
      <c r="X548">
        <f>HYPERLINK("https://klasma.github.io/Logging_0482/tillsyn/A 23103-2022 tillsynsbegäran.docx", "A 23103-2022")</f>
        <v/>
      </c>
      <c r="Y548">
        <f>HYPERLINK("https://klasma.github.io/Logging_0482/tillsynsmail/A 23103-2022 tillsynsbegäran mail.docx", "A 23103-2022")</f>
        <v/>
      </c>
    </row>
    <row r="549" ht="15" customHeight="1">
      <c r="A549" t="inlineStr">
        <is>
          <t>A 23294-2022</t>
        </is>
      </c>
      <c r="B549" s="1" t="n">
        <v>44720</v>
      </c>
      <c r="C549" s="1" t="n">
        <v>45875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23835-2022</t>
        </is>
      </c>
      <c r="B550" s="1" t="n">
        <v>44722</v>
      </c>
      <c r="C550" s="1" t="n">
        <v>45875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23859-2022</t>
        </is>
      </c>
      <c r="B551" s="1" t="n">
        <v>44722</v>
      </c>
      <c r="C551" s="1" t="n">
        <v>45875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23960-2022</t>
        </is>
      </c>
      <c r="B552" s="1" t="n">
        <v>44722</v>
      </c>
      <c r="C552" s="1" t="n">
        <v>45875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24037-2022</t>
        </is>
      </c>
      <c r="B553" s="1" t="n">
        <v>44724</v>
      </c>
      <c r="C553" s="1" t="n">
        <v>45875</v>
      </c>
      <c r="D553" t="inlineStr">
        <is>
          <t>SÖDERMANLANDS LÄN</t>
        </is>
      </c>
      <c r="E553" t="inlineStr">
        <is>
          <t>FLEN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24212-2022</t>
        </is>
      </c>
      <c r="B554" s="1" t="n">
        <v>44725</v>
      </c>
      <c r="C554" s="1" t="n">
        <v>45875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25823-2022</t>
        </is>
      </c>
      <c r="B555" s="1" t="n">
        <v>44733</v>
      </c>
      <c r="C555" s="1" t="n">
        <v>45875</v>
      </c>
      <c r="D555" t="inlineStr">
        <is>
          <t>SÖDERMANLANDS LÄN</t>
        </is>
      </c>
      <c r="E555" t="inlineStr">
        <is>
          <t>FLEN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26513-2022</t>
        </is>
      </c>
      <c r="B556" s="1" t="n">
        <v>44739</v>
      </c>
      <c r="C556" s="1" t="n">
        <v>45875</v>
      </c>
      <c r="D556" t="inlineStr">
        <is>
          <t>SÖDERMANLANDS LÄN</t>
        </is>
      </c>
      <c r="E556" t="inlineStr">
        <is>
          <t>FLEN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26663-2022</t>
        </is>
      </c>
      <c r="B557" s="1" t="n">
        <v>44739</v>
      </c>
      <c r="C557" s="1" t="n">
        <v>45875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27146-2022</t>
        </is>
      </c>
      <c r="B558" s="1" t="n">
        <v>44741</v>
      </c>
      <c r="C558" s="1" t="n">
        <v>45875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27512-2022</t>
        </is>
      </c>
      <c r="B559" s="1" t="n">
        <v>44742</v>
      </c>
      <c r="C559" s="1" t="n">
        <v>45875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27992-2022</t>
        </is>
      </c>
      <c r="B560" s="1" t="n">
        <v>44745</v>
      </c>
      <c r="C560" s="1" t="n">
        <v>45875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27991-2022</t>
        </is>
      </c>
      <c r="B561" s="1" t="n">
        <v>44745</v>
      </c>
      <c r="C561" s="1" t="n">
        <v>45875</v>
      </c>
      <c r="D561" t="inlineStr">
        <is>
          <t>SÖDERMANLANDS LÄN</t>
        </is>
      </c>
      <c r="E561" t="inlineStr">
        <is>
          <t>FLEN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28153-2022</t>
        </is>
      </c>
      <c r="B562" s="1" t="n">
        <v>44746</v>
      </c>
      <c r="C562" s="1" t="n">
        <v>45875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29367-2022</t>
        </is>
      </c>
      <c r="B563" s="1" t="n">
        <v>44752</v>
      </c>
      <c r="C563" s="1" t="n">
        <v>45875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29378-2022</t>
        </is>
      </c>
      <c r="B564" s="1" t="n">
        <v>44752</v>
      </c>
      <c r="C564" s="1" t="n">
        <v>45875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29384-2022</t>
        </is>
      </c>
      <c r="B565" s="1" t="n">
        <v>44752</v>
      </c>
      <c r="C565" s="1" t="n">
        <v>45875</v>
      </c>
      <c r="D565" t="inlineStr">
        <is>
          <t>SÖDERMANLANDS LÄN</t>
        </is>
      </c>
      <c r="E565" t="inlineStr">
        <is>
          <t>FLEN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29380-2022</t>
        </is>
      </c>
      <c r="B566" s="1" t="n">
        <v>44752</v>
      </c>
      <c r="C566" s="1" t="n">
        <v>45875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29389-2022</t>
        </is>
      </c>
      <c r="B567" s="1" t="n">
        <v>44753</v>
      </c>
      <c r="C567" s="1" t="n">
        <v>45875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30423-2022</t>
        </is>
      </c>
      <c r="B568" s="1" t="n">
        <v>44761</v>
      </c>
      <c r="C568" s="1" t="n">
        <v>45875</v>
      </c>
      <c r="D568" t="inlineStr">
        <is>
          <t>SÖDERMANLANDS LÄN</t>
        </is>
      </c>
      <c r="E568" t="inlineStr">
        <is>
          <t>FLEN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31079-2022</t>
        </is>
      </c>
      <c r="B569" s="1" t="n">
        <v>44769</v>
      </c>
      <c r="C569" s="1" t="n">
        <v>45875</v>
      </c>
      <c r="D569" t="inlineStr">
        <is>
          <t>SÖDERMANLANDS LÄN</t>
        </is>
      </c>
      <c r="E569" t="inlineStr">
        <is>
          <t>FLEN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31077-2022</t>
        </is>
      </c>
      <c r="B570" s="1" t="n">
        <v>44769</v>
      </c>
      <c r="C570" s="1" t="n">
        <v>45875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31083-2022</t>
        </is>
      </c>
      <c r="B571" s="1" t="n">
        <v>44769</v>
      </c>
      <c r="C571" s="1" t="n">
        <v>45875</v>
      </c>
      <c r="D571" t="inlineStr">
        <is>
          <t>SÖDERMANLANDS LÄN</t>
        </is>
      </c>
      <c r="E571" t="inlineStr">
        <is>
          <t>FLEN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31096-2022</t>
        </is>
      </c>
      <c r="B572" s="1" t="n">
        <v>44769</v>
      </c>
      <c r="C572" s="1" t="n">
        <v>45875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31068-2022</t>
        </is>
      </c>
      <c r="B573" s="1" t="n">
        <v>44769</v>
      </c>
      <c r="C573" s="1" t="n">
        <v>45875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31175-2022</t>
        </is>
      </c>
      <c r="B574" s="1" t="n">
        <v>44770</v>
      </c>
      <c r="C574" s="1" t="n">
        <v>45875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31427-2022</t>
        </is>
      </c>
      <c r="B575" s="1" t="n">
        <v>44774</v>
      </c>
      <c r="C575" s="1" t="n">
        <v>45875</v>
      </c>
      <c r="D575" t="inlineStr">
        <is>
          <t>SÖDERMANLANDS LÄN</t>
        </is>
      </c>
      <c r="E575" t="inlineStr">
        <is>
          <t>FLEN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32023-2022</t>
        </is>
      </c>
      <c r="B576" s="1" t="n">
        <v>44778</v>
      </c>
      <c r="C576" s="1" t="n">
        <v>45875</v>
      </c>
      <c r="D576" t="inlineStr">
        <is>
          <t>SÖDERMANLANDS LÄN</t>
        </is>
      </c>
      <c r="E576" t="inlineStr">
        <is>
          <t>FLEN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32098-2022</t>
        </is>
      </c>
      <c r="B577" s="1" t="n">
        <v>44778</v>
      </c>
      <c r="C577" s="1" t="n">
        <v>45875</v>
      </c>
      <c r="D577" t="inlineStr">
        <is>
          <t>SÖDERMANLANDS LÄN</t>
        </is>
      </c>
      <c r="E577" t="inlineStr">
        <is>
          <t>FLEN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32432-2022</t>
        </is>
      </c>
      <c r="B578" s="1" t="n">
        <v>44782</v>
      </c>
      <c r="C578" s="1" t="n">
        <v>45875</v>
      </c>
      <c r="D578" t="inlineStr">
        <is>
          <t>SÖDERMANLANDS LÄN</t>
        </is>
      </c>
      <c r="E578" t="inlineStr">
        <is>
          <t>FLEN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33101-2022</t>
        </is>
      </c>
      <c r="B579" s="1" t="n">
        <v>44785</v>
      </c>
      <c r="C579" s="1" t="n">
        <v>45875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33024-2022</t>
        </is>
      </c>
      <c r="B580" s="1" t="n">
        <v>44785</v>
      </c>
      <c r="C580" s="1" t="n">
        <v>45875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33107-2022</t>
        </is>
      </c>
      <c r="B581" s="1" t="n">
        <v>44785</v>
      </c>
      <c r="C581" s="1" t="n">
        <v>45875</v>
      </c>
      <c r="D581" t="inlineStr">
        <is>
          <t>SÖDERMANLANDS LÄN</t>
        </is>
      </c>
      <c r="E581" t="inlineStr">
        <is>
          <t>FLEN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33103-2022</t>
        </is>
      </c>
      <c r="B582" s="1" t="n">
        <v>44785</v>
      </c>
      <c r="C582" s="1" t="n">
        <v>45875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33110-2022</t>
        </is>
      </c>
      <c r="B583" s="1" t="n">
        <v>44785</v>
      </c>
      <c r="C583" s="1" t="n">
        <v>45875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34095-2022</t>
        </is>
      </c>
      <c r="B584" s="1" t="n">
        <v>44791</v>
      </c>
      <c r="C584" s="1" t="n">
        <v>45875</v>
      </c>
      <c r="D584" t="inlineStr">
        <is>
          <t>SÖDERMANLANDS LÄN</t>
        </is>
      </c>
      <c r="E584" t="inlineStr">
        <is>
          <t>FLEN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34598-2022</t>
        </is>
      </c>
      <c r="B585" s="1" t="n">
        <v>44795</v>
      </c>
      <c r="C585" s="1" t="n">
        <v>45875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34817-2022</t>
        </is>
      </c>
      <c r="B586" s="1" t="n">
        <v>44796</v>
      </c>
      <c r="C586" s="1" t="n">
        <v>45875</v>
      </c>
      <c r="D586" t="inlineStr">
        <is>
          <t>SÖDERMANLANDS LÄN</t>
        </is>
      </c>
      <c r="E586" t="inlineStr">
        <is>
          <t>FLEN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36202-2022</t>
        </is>
      </c>
      <c r="B587" s="1" t="n">
        <v>44803</v>
      </c>
      <c r="C587" s="1" t="n">
        <v>45875</v>
      </c>
      <c r="D587" t="inlineStr">
        <is>
          <t>SÖDERMANLANDS LÄN</t>
        </is>
      </c>
      <c r="E587" t="inlineStr">
        <is>
          <t>FLEN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37257-2022</t>
        </is>
      </c>
      <c r="B588" s="1" t="n">
        <v>44807</v>
      </c>
      <c r="C588" s="1" t="n">
        <v>45875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37256-2022</t>
        </is>
      </c>
      <c r="B589" s="1" t="n">
        <v>44807</v>
      </c>
      <c r="C589" s="1" t="n">
        <v>45875</v>
      </c>
      <c r="D589" t="inlineStr">
        <is>
          <t>SÖDERMANLANDS LÄN</t>
        </is>
      </c>
      <c r="E589" t="inlineStr">
        <is>
          <t>FLEN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38832-2022</t>
        </is>
      </c>
      <c r="B590" s="1" t="n">
        <v>44814</v>
      </c>
      <c r="C590" s="1" t="n">
        <v>45875</v>
      </c>
      <c r="D590" t="inlineStr">
        <is>
          <t>SÖDERMANLANDS LÄN</t>
        </is>
      </c>
      <c r="E590" t="inlineStr">
        <is>
          <t>FLEN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39787-2022</t>
        </is>
      </c>
      <c r="B591" s="1" t="n">
        <v>44817</v>
      </c>
      <c r="C591" s="1" t="n">
        <v>45875</v>
      </c>
      <c r="D591" t="inlineStr">
        <is>
          <t>SÖDERMANLANDS LÄN</t>
        </is>
      </c>
      <c r="E591" t="inlineStr">
        <is>
          <t>FLEN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39673-2022</t>
        </is>
      </c>
      <c r="B592" s="1" t="n">
        <v>44818</v>
      </c>
      <c r="C592" s="1" t="n">
        <v>45875</v>
      </c>
      <c r="D592" t="inlineStr">
        <is>
          <t>SÖDERMANLANDS LÄN</t>
        </is>
      </c>
      <c r="E592" t="inlineStr">
        <is>
          <t>FLEN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39671-2022</t>
        </is>
      </c>
      <c r="B593" s="1" t="n">
        <v>44818</v>
      </c>
      <c r="C593" s="1" t="n">
        <v>45875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40198-2022</t>
        </is>
      </c>
      <c r="B594" s="1" t="n">
        <v>44818</v>
      </c>
      <c r="C594" s="1" t="n">
        <v>45875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39891-2022</t>
        </is>
      </c>
      <c r="B595" s="1" t="n">
        <v>44819</v>
      </c>
      <c r="C595" s="1" t="n">
        <v>45875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40420-2022</t>
        </is>
      </c>
      <c r="B596" s="1" t="n">
        <v>44823</v>
      </c>
      <c r="C596" s="1" t="n">
        <v>45875</v>
      </c>
      <c r="D596" t="inlineStr">
        <is>
          <t>SÖDERMANLANDS LÄN</t>
        </is>
      </c>
      <c r="E596" t="inlineStr">
        <is>
          <t>FLEN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40680-2022</t>
        </is>
      </c>
      <c r="B597" s="1" t="n">
        <v>44824</v>
      </c>
      <c r="C597" s="1" t="n">
        <v>45875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41435-2022</t>
        </is>
      </c>
      <c r="B598" s="1" t="n">
        <v>44826</v>
      </c>
      <c r="C598" s="1" t="n">
        <v>45875</v>
      </c>
      <c r="D598" t="inlineStr">
        <is>
          <t>SÖDERMANLANDS LÄN</t>
        </is>
      </c>
      <c r="E598" t="inlineStr">
        <is>
          <t>FLEN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42177-2022</t>
        </is>
      </c>
      <c r="B599" s="1" t="n">
        <v>44830</v>
      </c>
      <c r="C599" s="1" t="n">
        <v>45875</v>
      </c>
      <c r="D599" t="inlineStr">
        <is>
          <t>SÖDERMANLANDS LÄN</t>
        </is>
      </c>
      <c r="E599" t="inlineStr">
        <is>
          <t>FLEN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43267-2022</t>
        </is>
      </c>
      <c r="B600" s="1" t="n">
        <v>44834</v>
      </c>
      <c r="C600" s="1" t="n">
        <v>45875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43930-2022</t>
        </is>
      </c>
      <c r="B601" s="1" t="n">
        <v>44837</v>
      </c>
      <c r="C601" s="1" t="n">
        <v>45875</v>
      </c>
      <c r="D601" t="inlineStr">
        <is>
          <t>SÖDERMANLANDS LÄN</t>
        </is>
      </c>
      <c r="E601" t="inlineStr">
        <is>
          <t>FLEN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44006-2022</t>
        </is>
      </c>
      <c r="B602" s="1" t="n">
        <v>44838</v>
      </c>
      <c r="C602" s="1" t="n">
        <v>45875</v>
      </c>
      <c r="D602" t="inlineStr">
        <is>
          <t>SÖDERMANLANDS LÄN</t>
        </is>
      </c>
      <c r="E602" t="inlineStr">
        <is>
          <t>FLEN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44592-2022</t>
        </is>
      </c>
      <c r="B603" s="1" t="n">
        <v>44838</v>
      </c>
      <c r="C603" s="1" t="n">
        <v>45875</v>
      </c>
      <c r="D603" t="inlineStr">
        <is>
          <t>SÖDERMANLANDS LÄN</t>
        </is>
      </c>
      <c r="E603" t="inlineStr">
        <is>
          <t>FLEN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44552-2022</t>
        </is>
      </c>
      <c r="B604" s="1" t="n">
        <v>44838</v>
      </c>
      <c r="C604" s="1" t="n">
        <v>45875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44172-2022</t>
        </is>
      </c>
      <c r="B605" s="1" t="n">
        <v>44839</v>
      </c>
      <c r="C605" s="1" t="n">
        <v>45875</v>
      </c>
      <c r="D605" t="inlineStr">
        <is>
          <t>SÖDERMANLANDS LÄN</t>
        </is>
      </c>
      <c r="E605" t="inlineStr">
        <is>
          <t>FLEN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44161-2022</t>
        </is>
      </c>
      <c r="B606" s="1" t="n">
        <v>44839</v>
      </c>
      <c r="C606" s="1" t="n">
        <v>45875</v>
      </c>
      <c r="D606" t="inlineStr">
        <is>
          <t>SÖDERMANLANDS LÄN</t>
        </is>
      </c>
      <c r="E606" t="inlineStr">
        <is>
          <t>FLEN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45594-2022</t>
        </is>
      </c>
      <c r="B607" s="1" t="n">
        <v>44841</v>
      </c>
      <c r="C607" s="1" t="n">
        <v>45875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46414-2022</t>
        </is>
      </c>
      <c r="B608" s="1" t="n">
        <v>44846</v>
      </c>
      <c r="C608" s="1" t="n">
        <v>45875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46401-2022</t>
        </is>
      </c>
      <c r="B609" s="1" t="n">
        <v>44846</v>
      </c>
      <c r="C609" s="1" t="n">
        <v>45875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46567-2022</t>
        </is>
      </c>
      <c r="B610" s="1" t="n">
        <v>44848</v>
      </c>
      <c r="C610" s="1" t="n">
        <v>45875</v>
      </c>
      <c r="D610" t="inlineStr">
        <is>
          <t>SÖDERMANLANDS LÄN</t>
        </is>
      </c>
      <c r="E610" t="inlineStr">
        <is>
          <t>FLEN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47187-2022</t>
        </is>
      </c>
      <c r="B611" s="1" t="n">
        <v>44848</v>
      </c>
      <c r="C611" s="1" t="n">
        <v>45875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47182-2022</t>
        </is>
      </c>
      <c r="B612" s="1" t="n">
        <v>44851</v>
      </c>
      <c r="C612" s="1" t="n">
        <v>45875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47055-2022</t>
        </is>
      </c>
      <c r="B613" s="1" t="n">
        <v>44852</v>
      </c>
      <c r="C613" s="1" t="n">
        <v>45875</v>
      </c>
      <c r="D613" t="inlineStr">
        <is>
          <t>SÖDERMANLANDS LÄN</t>
        </is>
      </c>
      <c r="E613" t="inlineStr">
        <is>
          <t>FLEN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47754-2022</t>
        </is>
      </c>
      <c r="B614" s="1" t="n">
        <v>44854</v>
      </c>
      <c r="C614" s="1" t="n">
        <v>45875</v>
      </c>
      <c r="D614" t="inlineStr">
        <is>
          <t>SÖDERMANLANDS LÄN</t>
        </is>
      </c>
      <c r="E614" t="inlineStr">
        <is>
          <t>FLEN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47759-2022</t>
        </is>
      </c>
      <c r="B615" s="1" t="n">
        <v>44854</v>
      </c>
      <c r="C615" s="1" t="n">
        <v>45875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47758-2022</t>
        </is>
      </c>
      <c r="B616" s="1" t="n">
        <v>44854</v>
      </c>
      <c r="C616" s="1" t="n">
        <v>45875</v>
      </c>
      <c r="D616" t="inlineStr">
        <is>
          <t>SÖDERMANLANDS LÄN</t>
        </is>
      </c>
      <c r="E616" t="inlineStr">
        <is>
          <t>FLEN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48774-2022</t>
        </is>
      </c>
      <c r="B617" s="1" t="n">
        <v>44855</v>
      </c>
      <c r="C617" s="1" t="n">
        <v>45875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48749-2022</t>
        </is>
      </c>
      <c r="B618" s="1" t="n">
        <v>44855</v>
      </c>
      <c r="C618" s="1" t="n">
        <v>45875</v>
      </c>
      <c r="D618" t="inlineStr">
        <is>
          <t>SÖDERMANLANDS LÄN</t>
        </is>
      </c>
      <c r="E618" t="inlineStr">
        <is>
          <t>FLEN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48791-2022</t>
        </is>
      </c>
      <c r="B619" s="1" t="n">
        <v>44855</v>
      </c>
      <c r="C619" s="1" t="n">
        <v>45875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48802-2022</t>
        </is>
      </c>
      <c r="B620" s="1" t="n">
        <v>44855</v>
      </c>
      <c r="C620" s="1" t="n">
        <v>45875</v>
      </c>
      <c r="D620" t="inlineStr">
        <is>
          <t>SÖDERMANLANDS LÄN</t>
        </is>
      </c>
      <c r="E620" t="inlineStr">
        <is>
          <t>FLEN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48785-2022</t>
        </is>
      </c>
      <c r="B621" s="1" t="n">
        <v>44859</v>
      </c>
      <c r="C621" s="1" t="n">
        <v>45875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48723-2022</t>
        </is>
      </c>
      <c r="B622" s="1" t="n">
        <v>44859</v>
      </c>
      <c r="C622" s="1" t="n">
        <v>45875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48826-2022</t>
        </is>
      </c>
      <c r="B623" s="1" t="n">
        <v>44859</v>
      </c>
      <c r="C623" s="1" t="n">
        <v>45875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49828-2022</t>
        </is>
      </c>
      <c r="B624" s="1" t="n">
        <v>44862</v>
      </c>
      <c r="C624" s="1" t="n">
        <v>45875</v>
      </c>
      <c r="D624" t="inlineStr">
        <is>
          <t>SÖDERMANLANDS LÄN</t>
        </is>
      </c>
      <c r="E624" t="inlineStr">
        <is>
          <t>FLEN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50731-2022</t>
        </is>
      </c>
      <c r="B625" s="1" t="n">
        <v>44862</v>
      </c>
      <c r="C625" s="1" t="n">
        <v>45875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50898-2022</t>
        </is>
      </c>
      <c r="B626" s="1" t="n">
        <v>44864</v>
      </c>
      <c r="C626" s="1" t="n">
        <v>45875</v>
      </c>
      <c r="D626" t="inlineStr">
        <is>
          <t>SÖDERMANLANDS LÄN</t>
        </is>
      </c>
      <c r="E626" t="inlineStr">
        <is>
          <t>FLEN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49939-2022</t>
        </is>
      </c>
      <c r="B627" s="1" t="n">
        <v>44865</v>
      </c>
      <c r="C627" s="1" t="n">
        <v>45875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51096-2022</t>
        </is>
      </c>
      <c r="B628" s="1" t="n">
        <v>44868</v>
      </c>
      <c r="C628" s="1" t="n">
        <v>45875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51327-2022</t>
        </is>
      </c>
      <c r="B629" s="1" t="n">
        <v>44868</v>
      </c>
      <c r="C629" s="1" t="n">
        <v>45875</v>
      </c>
      <c r="D629" t="inlineStr">
        <is>
          <t>SÖDERMANLANDS LÄN</t>
        </is>
      </c>
      <c r="E629" t="inlineStr">
        <is>
          <t>FLEN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51925-2022</t>
        </is>
      </c>
      <c r="B630" s="1" t="n">
        <v>44868</v>
      </c>
      <c r="C630" s="1" t="n">
        <v>45875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52257-2022</t>
        </is>
      </c>
      <c r="B631" s="1" t="n">
        <v>44869</v>
      </c>
      <c r="C631" s="1" t="n">
        <v>45875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51872-2022</t>
        </is>
      </c>
      <c r="B632" s="1" t="n">
        <v>44872</v>
      </c>
      <c r="C632" s="1" t="n">
        <v>45875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51881-2022</t>
        </is>
      </c>
      <c r="B633" s="1" t="n">
        <v>44872</v>
      </c>
      <c r="C633" s="1" t="n">
        <v>45875</v>
      </c>
      <c r="D633" t="inlineStr">
        <is>
          <t>SÖDERMANLANDS LÄN</t>
        </is>
      </c>
      <c r="E633" t="inlineStr">
        <is>
          <t>FLEN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52050-2022</t>
        </is>
      </c>
      <c r="B634" s="1" t="n">
        <v>44873</v>
      </c>
      <c r="C634" s="1" t="n">
        <v>45875</v>
      </c>
      <c r="D634" t="inlineStr">
        <is>
          <t>SÖDERMANLANDS LÄN</t>
        </is>
      </c>
      <c r="E634" t="inlineStr">
        <is>
          <t>FLEN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53371-2022</t>
        </is>
      </c>
      <c r="B635" s="1" t="n">
        <v>44879</v>
      </c>
      <c r="C635" s="1" t="n">
        <v>45875</v>
      </c>
      <c r="D635" t="inlineStr">
        <is>
          <t>SÖDERMANLANDS LÄN</t>
        </is>
      </c>
      <c r="E635" t="inlineStr">
        <is>
          <t>FLEN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54737-2022</t>
        </is>
      </c>
      <c r="B636" s="1" t="n">
        <v>44881</v>
      </c>
      <c r="C636" s="1" t="n">
        <v>45875</v>
      </c>
      <c r="D636" t="inlineStr">
        <is>
          <t>SÖDERMANLANDS LÄN</t>
        </is>
      </c>
      <c r="E636" t="inlineStr">
        <is>
          <t>FLEN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54736-2022</t>
        </is>
      </c>
      <c r="B637" s="1" t="n">
        <v>44883</v>
      </c>
      <c r="C637" s="1" t="n">
        <v>45875</v>
      </c>
      <c r="D637" t="inlineStr">
        <is>
          <t>SÖDERMANLANDS LÄN</t>
        </is>
      </c>
      <c r="E637" t="inlineStr">
        <is>
          <t>FLEN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54951-2022</t>
        </is>
      </c>
      <c r="B638" s="1" t="n">
        <v>44886</v>
      </c>
      <c r="C638" s="1" t="n">
        <v>45875</v>
      </c>
      <c r="D638" t="inlineStr">
        <is>
          <t>SÖDERMANLANDS LÄN</t>
        </is>
      </c>
      <c r="E638" t="inlineStr">
        <is>
          <t>FLEN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55081-2022</t>
        </is>
      </c>
      <c r="B639" s="1" t="n">
        <v>44886</v>
      </c>
      <c r="C639" s="1" t="n">
        <v>45875</v>
      </c>
      <c r="D639" t="inlineStr">
        <is>
          <t>SÖDERMANLANDS LÄN</t>
        </is>
      </c>
      <c r="E639" t="inlineStr">
        <is>
          <t>FLEN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55174-2022</t>
        </is>
      </c>
      <c r="B640" s="1" t="n">
        <v>44886</v>
      </c>
      <c r="C640" s="1" t="n">
        <v>45875</v>
      </c>
      <c r="D640" t="inlineStr">
        <is>
          <t>SÖDERMANLANDS LÄN</t>
        </is>
      </c>
      <c r="E640" t="inlineStr">
        <is>
          <t>FLEN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55171-2022</t>
        </is>
      </c>
      <c r="B641" s="1" t="n">
        <v>44886</v>
      </c>
      <c r="C641" s="1" t="n">
        <v>45875</v>
      </c>
      <c r="D641" t="inlineStr">
        <is>
          <t>SÖDERMANLANDS LÄN</t>
        </is>
      </c>
      <c r="E641" t="inlineStr">
        <is>
          <t>FLEN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55177-2022</t>
        </is>
      </c>
      <c r="B642" s="1" t="n">
        <v>44886</v>
      </c>
      <c r="C642" s="1" t="n">
        <v>45875</v>
      </c>
      <c r="D642" t="inlineStr">
        <is>
          <t>SÖDERMANLANDS LÄN</t>
        </is>
      </c>
      <c r="E642" t="inlineStr">
        <is>
          <t>FLEN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55445-2022</t>
        </is>
      </c>
      <c r="B643" s="1" t="n">
        <v>44887</v>
      </c>
      <c r="C643" s="1" t="n">
        <v>45875</v>
      </c>
      <c r="D643" t="inlineStr">
        <is>
          <t>SÖDERMANLANDS LÄN</t>
        </is>
      </c>
      <c r="E643" t="inlineStr">
        <is>
          <t>FLEN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56393-2022</t>
        </is>
      </c>
      <c r="B644" s="1" t="n">
        <v>44887</v>
      </c>
      <c r="C644" s="1" t="n">
        <v>45875</v>
      </c>
      <c r="D644" t="inlineStr">
        <is>
          <t>SÖDERMANLANDS LÄN</t>
        </is>
      </c>
      <c r="E644" t="inlineStr">
        <is>
          <t>FLEN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56497-2022</t>
        </is>
      </c>
      <c r="B645" s="1" t="n">
        <v>44887</v>
      </c>
      <c r="C645" s="1" t="n">
        <v>45875</v>
      </c>
      <c r="D645" t="inlineStr">
        <is>
          <t>SÖDERMANLANDS LÄN</t>
        </is>
      </c>
      <c r="E645" t="inlineStr">
        <is>
          <t>FLEN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56577-2022</t>
        </is>
      </c>
      <c r="B646" s="1" t="n">
        <v>44887</v>
      </c>
      <c r="C646" s="1" t="n">
        <v>45875</v>
      </c>
      <c r="D646" t="inlineStr">
        <is>
          <t>SÖDERMANLANDS LÄN</t>
        </is>
      </c>
      <c r="E646" t="inlineStr">
        <is>
          <t>FLEN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57032-2022</t>
        </is>
      </c>
      <c r="B647" s="1" t="n">
        <v>44895</v>
      </c>
      <c r="C647" s="1" t="n">
        <v>45875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57031-2022</t>
        </is>
      </c>
      <c r="B648" s="1" t="n">
        <v>44895</v>
      </c>
      <c r="C648" s="1" t="n">
        <v>45875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58692-2022</t>
        </is>
      </c>
      <c r="B649" s="1" t="n">
        <v>44895</v>
      </c>
      <c r="C649" s="1" t="n">
        <v>45875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58838-2022</t>
        </is>
      </c>
      <c r="B650" s="1" t="n">
        <v>44895</v>
      </c>
      <c r="C650" s="1" t="n">
        <v>45875</v>
      </c>
      <c r="D650" t="inlineStr">
        <is>
          <t>SÖDERMANLANDS LÄN</t>
        </is>
      </c>
      <c r="E650" t="inlineStr">
        <is>
          <t>FLEN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57353-2022</t>
        </is>
      </c>
      <c r="B651" s="1" t="n">
        <v>44896</v>
      </c>
      <c r="C651" s="1" t="n">
        <v>45875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57356-2022</t>
        </is>
      </c>
      <c r="B652" s="1" t="n">
        <v>44896</v>
      </c>
      <c r="C652" s="1" t="n">
        <v>45875</v>
      </c>
      <c r="D652" t="inlineStr">
        <is>
          <t>SÖDERMANLANDS LÄN</t>
        </is>
      </c>
      <c r="E652" t="inlineStr">
        <is>
          <t>FLEN</t>
        </is>
      </c>
      <c r="F652" t="inlineStr">
        <is>
          <t>Övriga statliga verk och myndigheter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59023-2022</t>
        </is>
      </c>
      <c r="B653" s="1" t="n">
        <v>44897</v>
      </c>
      <c r="C653" s="1" t="n">
        <v>45875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59258-2022</t>
        </is>
      </c>
      <c r="B654" s="1" t="n">
        <v>44897</v>
      </c>
      <c r="C654" s="1" t="n">
        <v>45875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59247-2022</t>
        </is>
      </c>
      <c r="B655" s="1" t="n">
        <v>44897</v>
      </c>
      <c r="C655" s="1" t="n">
        <v>45875</v>
      </c>
      <c r="D655" t="inlineStr">
        <is>
          <t>SÖDERMANLANDS LÄN</t>
        </is>
      </c>
      <c r="E655" t="inlineStr">
        <is>
          <t>FLEN</t>
        </is>
      </c>
      <c r="F655" t="inlineStr">
        <is>
          <t>Övriga statliga verk och myndigheter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57863-2022</t>
        </is>
      </c>
      <c r="B656" s="1" t="n">
        <v>44899</v>
      </c>
      <c r="C656" s="1" t="n">
        <v>45875</v>
      </c>
      <c r="D656" t="inlineStr">
        <is>
          <t>SÖDERMANLANDS LÄN</t>
        </is>
      </c>
      <c r="E656" t="inlineStr">
        <is>
          <t>FLEN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57862-2022</t>
        </is>
      </c>
      <c r="B657" s="1" t="n">
        <v>44899</v>
      </c>
      <c r="C657" s="1" t="n">
        <v>45875</v>
      </c>
      <c r="D657" t="inlineStr">
        <is>
          <t>SÖDERMANLANDS LÄN</t>
        </is>
      </c>
      <c r="E657" t="inlineStr">
        <is>
          <t>FLEN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59817-2022</t>
        </is>
      </c>
      <c r="B658" s="1" t="n">
        <v>44900</v>
      </c>
      <c r="C658" s="1" t="n">
        <v>45875</v>
      </c>
      <c r="D658" t="inlineStr">
        <is>
          <t>SÖDERMANLANDS LÄN</t>
        </is>
      </c>
      <c r="E658" t="inlineStr">
        <is>
          <t>FLEN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59819-2022</t>
        </is>
      </c>
      <c r="B659" s="1" t="n">
        <v>44900</v>
      </c>
      <c r="C659" s="1" t="n">
        <v>45875</v>
      </c>
      <c r="D659" t="inlineStr">
        <is>
          <t>SÖDERMANLANDS LÄN</t>
        </is>
      </c>
      <c r="E659" t="inlineStr">
        <is>
          <t>FLEN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58507-2022</t>
        </is>
      </c>
      <c r="B660" s="1" t="n">
        <v>44902</v>
      </c>
      <c r="C660" s="1" t="n">
        <v>45875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60574-2022</t>
        </is>
      </c>
      <c r="B661" s="1" t="n">
        <v>44904</v>
      </c>
      <c r="C661" s="1" t="n">
        <v>45875</v>
      </c>
      <c r="D661" t="inlineStr">
        <is>
          <t>SÖDERMANLANDS LÄN</t>
        </is>
      </c>
      <c r="E661" t="inlineStr">
        <is>
          <t>FLEN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59439-2022</t>
        </is>
      </c>
      <c r="B662" s="1" t="n">
        <v>44907</v>
      </c>
      <c r="C662" s="1" t="n">
        <v>45875</v>
      </c>
      <c r="D662" t="inlineStr">
        <is>
          <t>SÖDERMANLANDS LÄN</t>
        </is>
      </c>
      <c r="E662" t="inlineStr">
        <is>
          <t>FLEN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59599-2022</t>
        </is>
      </c>
      <c r="B663" s="1" t="n">
        <v>44907</v>
      </c>
      <c r="C663" s="1" t="n">
        <v>45875</v>
      </c>
      <c r="D663" t="inlineStr">
        <is>
          <t>SÖDERMANLANDS LÄN</t>
        </is>
      </c>
      <c r="E663" t="inlineStr">
        <is>
          <t>FLEN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59776-2022</t>
        </is>
      </c>
      <c r="B664" s="1" t="n">
        <v>44908</v>
      </c>
      <c r="C664" s="1" t="n">
        <v>45875</v>
      </c>
      <c r="D664" t="inlineStr">
        <is>
          <t>SÖDERMANLANDS LÄN</t>
        </is>
      </c>
      <c r="E664" t="inlineStr">
        <is>
          <t>FLEN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60034-2022</t>
        </is>
      </c>
      <c r="B665" s="1" t="n">
        <v>44909</v>
      </c>
      <c r="C665" s="1" t="n">
        <v>45875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60058-2022</t>
        </is>
      </c>
      <c r="B666" s="1" t="n">
        <v>44909</v>
      </c>
      <c r="C666" s="1" t="n">
        <v>45875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60048-2022</t>
        </is>
      </c>
      <c r="B667" s="1" t="n">
        <v>44909</v>
      </c>
      <c r="C667" s="1" t="n">
        <v>45875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60150-2022</t>
        </is>
      </c>
      <c r="B668" s="1" t="n">
        <v>44909</v>
      </c>
      <c r="C668" s="1" t="n">
        <v>45875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60609-2022</t>
        </is>
      </c>
      <c r="B669" s="1" t="n">
        <v>44911</v>
      </c>
      <c r="C669" s="1" t="n">
        <v>45875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61633-2022</t>
        </is>
      </c>
      <c r="B670" s="1" t="n">
        <v>44911</v>
      </c>
      <c r="C670" s="1" t="n">
        <v>45875</v>
      </c>
      <c r="D670" t="inlineStr">
        <is>
          <t>SÖDERMANLANDS LÄN</t>
        </is>
      </c>
      <c r="E670" t="inlineStr">
        <is>
          <t>FLEN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60937-2022</t>
        </is>
      </c>
      <c r="B671" s="1" t="n">
        <v>44914</v>
      </c>
      <c r="C671" s="1" t="n">
        <v>45875</v>
      </c>
      <c r="D671" t="inlineStr">
        <is>
          <t>SÖDERMANLANDS LÄN</t>
        </is>
      </c>
      <c r="E671" t="inlineStr">
        <is>
          <t>FLEN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61869-2022</t>
        </is>
      </c>
      <c r="B672" s="1" t="n">
        <v>44917</v>
      </c>
      <c r="C672" s="1" t="n">
        <v>45875</v>
      </c>
      <c r="D672" t="inlineStr">
        <is>
          <t>SÖDERMANLANDS LÄN</t>
        </is>
      </c>
      <c r="E672" t="inlineStr">
        <is>
          <t>FLEN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780-2023</t>
        </is>
      </c>
      <c r="B673" s="1" t="n">
        <v>44931</v>
      </c>
      <c r="C673" s="1" t="n">
        <v>45875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2391-2023</t>
        </is>
      </c>
      <c r="B674" s="1" t="n">
        <v>44942</v>
      </c>
      <c r="C674" s="1" t="n">
        <v>45875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2757-2023</t>
        </is>
      </c>
      <c r="B675" s="1" t="n">
        <v>44943</v>
      </c>
      <c r="C675" s="1" t="n">
        <v>45875</v>
      </c>
      <c r="D675" t="inlineStr">
        <is>
          <t>SÖDERMANLANDS LÄN</t>
        </is>
      </c>
      <c r="E675" t="inlineStr">
        <is>
          <t>FLEN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2759-2023</t>
        </is>
      </c>
      <c r="B676" s="1" t="n">
        <v>44943</v>
      </c>
      <c r="C676" s="1" t="n">
        <v>45875</v>
      </c>
      <c r="D676" t="inlineStr">
        <is>
          <t>SÖDERMANLANDS LÄN</t>
        </is>
      </c>
      <c r="E676" t="inlineStr">
        <is>
          <t>FLEN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3435-2023</t>
        </is>
      </c>
      <c r="B677" s="1" t="n">
        <v>44949</v>
      </c>
      <c r="C677" s="1" t="n">
        <v>45875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4259-2023</t>
        </is>
      </c>
      <c r="B678" s="1" t="n">
        <v>44953</v>
      </c>
      <c r="C678" s="1" t="n">
        <v>45875</v>
      </c>
      <c r="D678" t="inlineStr">
        <is>
          <t>SÖDERMANLANDS LÄN</t>
        </is>
      </c>
      <c r="E678" t="inlineStr">
        <is>
          <t>FLEN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4736-2023</t>
        </is>
      </c>
      <c r="B679" s="1" t="n">
        <v>44957</v>
      </c>
      <c r="C679" s="1" t="n">
        <v>45875</v>
      </c>
      <c r="D679" t="inlineStr">
        <is>
          <t>SÖDERMANLANDS LÄN</t>
        </is>
      </c>
      <c r="E679" t="inlineStr">
        <is>
          <t>FLEN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4742-2023</t>
        </is>
      </c>
      <c r="B680" s="1" t="n">
        <v>44957</v>
      </c>
      <c r="C680" s="1" t="n">
        <v>45875</v>
      </c>
      <c r="D680" t="inlineStr">
        <is>
          <t>SÖDERMANLANDS LÄN</t>
        </is>
      </c>
      <c r="E680" t="inlineStr">
        <is>
          <t>FLEN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4749-2023</t>
        </is>
      </c>
      <c r="B681" s="1" t="n">
        <v>44957</v>
      </c>
      <c r="C681" s="1" t="n">
        <v>45875</v>
      </c>
      <c r="D681" t="inlineStr">
        <is>
          <t>SÖDERMANLANDS LÄN</t>
        </is>
      </c>
      <c r="E681" t="inlineStr">
        <is>
          <t>FLEN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4923-2023</t>
        </is>
      </c>
      <c r="B682" s="1" t="n">
        <v>44958</v>
      </c>
      <c r="C682" s="1" t="n">
        <v>45875</v>
      </c>
      <c r="D682" t="inlineStr">
        <is>
          <t>SÖDERMANLANDS LÄN</t>
        </is>
      </c>
      <c r="E682" t="inlineStr">
        <is>
          <t>FLEN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4899-2023</t>
        </is>
      </c>
      <c r="B683" s="1" t="n">
        <v>44958</v>
      </c>
      <c r="C683" s="1" t="n">
        <v>45875</v>
      </c>
      <c r="D683" t="inlineStr">
        <is>
          <t>SÖDERMANLANDS LÄN</t>
        </is>
      </c>
      <c r="E683" t="inlineStr">
        <is>
          <t>FLEN</t>
        </is>
      </c>
      <c r="F683" t="inlineStr">
        <is>
          <t>Kyrkan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5109-2023</t>
        </is>
      </c>
      <c r="B684" s="1" t="n">
        <v>44958</v>
      </c>
      <c r="C684" s="1" t="n">
        <v>45875</v>
      </c>
      <c r="D684" t="inlineStr">
        <is>
          <t>SÖDERMANLANDS LÄN</t>
        </is>
      </c>
      <c r="E684" t="inlineStr">
        <is>
          <t>FLEN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5582-2023</t>
        </is>
      </c>
      <c r="B685" s="1" t="n">
        <v>44960</v>
      </c>
      <c r="C685" s="1" t="n">
        <v>45875</v>
      </c>
      <c r="D685" t="inlineStr">
        <is>
          <t>SÖDERMANLANDS LÄN</t>
        </is>
      </c>
      <c r="E685" t="inlineStr">
        <is>
          <t>FLEN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7399-2023</t>
        </is>
      </c>
      <c r="B686" s="1" t="n">
        <v>44966</v>
      </c>
      <c r="C686" s="1" t="n">
        <v>45875</v>
      </c>
      <c r="D686" t="inlineStr">
        <is>
          <t>SÖDERMANLANDS LÄN</t>
        </is>
      </c>
      <c r="E686" t="inlineStr">
        <is>
          <t>FLEN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7163-2023</t>
        </is>
      </c>
      <c r="B687" s="1" t="n">
        <v>44970</v>
      </c>
      <c r="C687" s="1" t="n">
        <v>45875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7194-2023</t>
        </is>
      </c>
      <c r="B688" s="1" t="n">
        <v>44970</v>
      </c>
      <c r="C688" s="1" t="n">
        <v>45875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7693-2023</t>
        </is>
      </c>
      <c r="B689" s="1" t="n">
        <v>44972</v>
      </c>
      <c r="C689" s="1" t="n">
        <v>45875</v>
      </c>
      <c r="D689" t="inlineStr">
        <is>
          <t>SÖDERMANLANDS LÄN</t>
        </is>
      </c>
      <c r="E689" t="inlineStr">
        <is>
          <t>FLEN</t>
        </is>
      </c>
      <c r="F689" t="inlineStr">
        <is>
          <t>Kommuner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8075-2023</t>
        </is>
      </c>
      <c r="B690" s="1" t="n">
        <v>44974</v>
      </c>
      <c r="C690" s="1" t="n">
        <v>45875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8042-2023</t>
        </is>
      </c>
      <c r="B691" s="1" t="n">
        <v>44974</v>
      </c>
      <c r="C691" s="1" t="n">
        <v>45875</v>
      </c>
      <c r="D691" t="inlineStr">
        <is>
          <t>SÖDERMANLANDS LÄN</t>
        </is>
      </c>
      <c r="E691" t="inlineStr">
        <is>
          <t>FLEN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8607-2023</t>
        </is>
      </c>
      <c r="B692" s="1" t="n">
        <v>44977</v>
      </c>
      <c r="C692" s="1" t="n">
        <v>45875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8588-2023</t>
        </is>
      </c>
      <c r="B693" s="1" t="n">
        <v>44977</v>
      </c>
      <c r="C693" s="1" t="n">
        <v>45875</v>
      </c>
      <c r="D693" t="inlineStr">
        <is>
          <t>SÖDERMANLANDS LÄN</t>
        </is>
      </c>
      <c r="E693" t="inlineStr">
        <is>
          <t>FLEN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8894-2023</t>
        </is>
      </c>
      <c r="B694" s="1" t="n">
        <v>44979</v>
      </c>
      <c r="C694" s="1" t="n">
        <v>45875</v>
      </c>
      <c r="D694" t="inlineStr">
        <is>
          <t>SÖDERMANLANDS LÄN</t>
        </is>
      </c>
      <c r="E694" t="inlineStr">
        <is>
          <t>FLEN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8891-2023</t>
        </is>
      </c>
      <c r="B695" s="1" t="n">
        <v>44979</v>
      </c>
      <c r="C695" s="1" t="n">
        <v>45875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8883-2023</t>
        </is>
      </c>
      <c r="B696" s="1" t="n">
        <v>44979</v>
      </c>
      <c r="C696" s="1" t="n">
        <v>45875</v>
      </c>
      <c r="D696" t="inlineStr">
        <is>
          <t>SÖDERMANLANDS LÄN</t>
        </is>
      </c>
      <c r="E696" t="inlineStr">
        <is>
          <t>FLEN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9889-2023</t>
        </is>
      </c>
      <c r="B697" s="1" t="n">
        <v>44979</v>
      </c>
      <c r="C697" s="1" t="n">
        <v>45875</v>
      </c>
      <c r="D697" t="inlineStr">
        <is>
          <t>SÖDERMANLANDS LÄN</t>
        </is>
      </c>
      <c r="E697" t="inlineStr">
        <is>
          <t>FLEN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9894-2023</t>
        </is>
      </c>
      <c r="B698" s="1" t="n">
        <v>44979</v>
      </c>
      <c r="C698" s="1" t="n">
        <v>45875</v>
      </c>
      <c r="D698" t="inlineStr">
        <is>
          <t>SÖDERMANLANDS LÄN</t>
        </is>
      </c>
      <c r="E698" t="inlineStr">
        <is>
          <t>FLEN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9257-2023</t>
        </is>
      </c>
      <c r="B699" s="1" t="n">
        <v>44980</v>
      </c>
      <c r="C699" s="1" t="n">
        <v>45875</v>
      </c>
      <c r="D699" t="inlineStr">
        <is>
          <t>SÖDERMANLANDS LÄN</t>
        </is>
      </c>
      <c r="E699" t="inlineStr">
        <is>
          <t>FLEN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9882-2023</t>
        </is>
      </c>
      <c r="B700" s="1" t="n">
        <v>44985</v>
      </c>
      <c r="C700" s="1" t="n">
        <v>45875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9941-2023</t>
        </is>
      </c>
      <c r="B701" s="1" t="n">
        <v>44985</v>
      </c>
      <c r="C701" s="1" t="n">
        <v>45875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10938-2023</t>
        </is>
      </c>
      <c r="B702" s="1" t="n">
        <v>44985</v>
      </c>
      <c r="C702" s="1" t="n">
        <v>45875</v>
      </c>
      <c r="D702" t="inlineStr">
        <is>
          <t>SÖDERMANLANDS LÄN</t>
        </is>
      </c>
      <c r="E702" t="inlineStr">
        <is>
          <t>FLEN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10110-2023</t>
        </is>
      </c>
      <c r="B703" s="1" t="n">
        <v>44986</v>
      </c>
      <c r="C703" s="1" t="n">
        <v>45875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10565-2023</t>
        </is>
      </c>
      <c r="B704" s="1" t="n">
        <v>44988</v>
      </c>
      <c r="C704" s="1" t="n">
        <v>45875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10886-2023</t>
        </is>
      </c>
      <c r="B705" s="1" t="n">
        <v>44991</v>
      </c>
      <c r="C705" s="1" t="n">
        <v>45875</v>
      </c>
      <c r="D705" t="inlineStr">
        <is>
          <t>SÖDERMANLANDS LÄN</t>
        </is>
      </c>
      <c r="E705" t="inlineStr">
        <is>
          <t>FLEN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11506-2023</t>
        </is>
      </c>
      <c r="B706" s="1" t="n">
        <v>44991</v>
      </c>
      <c r="C706" s="1" t="n">
        <v>45875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12912-2023</t>
        </is>
      </c>
      <c r="B707" s="1" t="n">
        <v>45001</v>
      </c>
      <c r="C707" s="1" t="n">
        <v>45875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12936-2023</t>
        </is>
      </c>
      <c r="B708" s="1" t="n">
        <v>45001</v>
      </c>
      <c r="C708" s="1" t="n">
        <v>45875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12908-2023</t>
        </is>
      </c>
      <c r="B709" s="1" t="n">
        <v>45001</v>
      </c>
      <c r="C709" s="1" t="n">
        <v>45875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13824-2023</t>
        </is>
      </c>
      <c r="B710" s="1" t="n">
        <v>45007</v>
      </c>
      <c r="C710" s="1" t="n">
        <v>45875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45875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45875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45875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45875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45875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45875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45875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45875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45875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45875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45875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45875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45875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45875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45875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45875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45875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45875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45875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45875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45875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45875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45875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45875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19150-2023</t>
        </is>
      </c>
      <c r="B735" s="1" t="n">
        <v>45048</v>
      </c>
      <c r="C735" s="1" t="n">
        <v>45875</v>
      </c>
      <c r="D735" t="inlineStr">
        <is>
          <t>SÖDERMANLANDS LÄN</t>
        </is>
      </c>
      <c r="E735" t="inlineStr">
        <is>
          <t>FLEN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19855-2023</t>
        </is>
      </c>
      <c r="B736" s="1" t="n">
        <v>45053</v>
      </c>
      <c r="C736" s="1" t="n">
        <v>45875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20462-2023</t>
        </is>
      </c>
      <c r="B737" s="1" t="n">
        <v>45056</v>
      </c>
      <c r="C737" s="1" t="n">
        <v>45875</v>
      </c>
      <c r="D737" t="inlineStr">
        <is>
          <t>SÖDERMANLANDS LÄN</t>
        </is>
      </c>
      <c r="E737" t="inlineStr">
        <is>
          <t>FLEN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20463-2023</t>
        </is>
      </c>
      <c r="B738" s="1" t="n">
        <v>45056</v>
      </c>
      <c r="C738" s="1" t="n">
        <v>45875</v>
      </c>
      <c r="D738" t="inlineStr">
        <is>
          <t>SÖDERMANLANDS LÄN</t>
        </is>
      </c>
      <c r="E738" t="inlineStr">
        <is>
          <t>FLEN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20980-2023</t>
        </is>
      </c>
      <c r="B739" s="1" t="n">
        <v>45056</v>
      </c>
      <c r="C739" s="1" t="n">
        <v>45875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21047-2023</t>
        </is>
      </c>
      <c r="B740" s="1" t="n">
        <v>45056</v>
      </c>
      <c r="C740" s="1" t="n">
        <v>45875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21036-2023</t>
        </is>
      </c>
      <c r="B741" s="1" t="n">
        <v>45056</v>
      </c>
      <c r="C741" s="1" t="n">
        <v>45875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21057-2023</t>
        </is>
      </c>
      <c r="B742" s="1" t="n">
        <v>45056</v>
      </c>
      <c r="C742" s="1" t="n">
        <v>45875</v>
      </c>
      <c r="D742" t="inlineStr">
        <is>
          <t>SÖDERMANLANDS LÄN</t>
        </is>
      </c>
      <c r="E742" t="inlineStr">
        <is>
          <t>FLEN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21167-2023</t>
        </is>
      </c>
      <c r="B743" s="1" t="n">
        <v>45057</v>
      </c>
      <c r="C743" s="1" t="n">
        <v>45875</v>
      </c>
      <c r="D743" t="inlineStr">
        <is>
          <t>SÖDERMANLANDS LÄN</t>
        </is>
      </c>
      <c r="E743" t="inlineStr">
        <is>
          <t>FLEN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21714-2023</t>
        </is>
      </c>
      <c r="B744" s="1" t="n">
        <v>45065</v>
      </c>
      <c r="C744" s="1" t="n">
        <v>45875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22028-2023</t>
        </is>
      </c>
      <c r="B745" s="1" t="n">
        <v>45066</v>
      </c>
      <c r="C745" s="1" t="n">
        <v>45875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21822-2023</t>
        </is>
      </c>
      <c r="B746" s="1" t="n">
        <v>45068</v>
      </c>
      <c r="C746" s="1" t="n">
        <v>45875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22101-2023</t>
        </is>
      </c>
      <c r="B747" s="1" t="n">
        <v>45068</v>
      </c>
      <c r="C747" s="1" t="n">
        <v>45875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22369-2023</t>
        </is>
      </c>
      <c r="B748" s="1" t="n">
        <v>45070</v>
      </c>
      <c r="C748" s="1" t="n">
        <v>45875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22365-2023</t>
        </is>
      </c>
      <c r="B749" s="1" t="n">
        <v>45070</v>
      </c>
      <c r="C749" s="1" t="n">
        <v>45875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22957-2023</t>
        </is>
      </c>
      <c r="B750" s="1" t="n">
        <v>45072</v>
      </c>
      <c r="C750" s="1" t="n">
        <v>45875</v>
      </c>
      <c r="D750" t="inlineStr">
        <is>
          <t>SÖDERMANLANDS LÄN</t>
        </is>
      </c>
      <c r="E750" t="inlineStr">
        <is>
          <t>FLEN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23650-2023</t>
        </is>
      </c>
      <c r="B751" s="1" t="n">
        <v>45073</v>
      </c>
      <c r="C751" s="1" t="n">
        <v>45875</v>
      </c>
      <c r="D751" t="inlineStr">
        <is>
          <t>SÖDERMANLANDS LÄN</t>
        </is>
      </c>
      <c r="E751" t="inlineStr">
        <is>
          <t>FLEN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23646-2023</t>
        </is>
      </c>
      <c r="B752" s="1" t="n">
        <v>45073</v>
      </c>
      <c r="C752" s="1" t="n">
        <v>45875</v>
      </c>
      <c r="D752" t="inlineStr">
        <is>
          <t>SÖDERMANLANDS LÄN</t>
        </is>
      </c>
      <c r="E752" t="inlineStr">
        <is>
          <t>FLEN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24123-2023</t>
        </is>
      </c>
      <c r="B753" s="1" t="n">
        <v>45079</v>
      </c>
      <c r="C753" s="1" t="n">
        <v>45875</v>
      </c>
      <c r="D753" t="inlineStr">
        <is>
          <t>SÖDERMANLANDS LÄN</t>
        </is>
      </c>
      <c r="E753" t="inlineStr">
        <is>
          <t>FLEN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25474-2023</t>
        </is>
      </c>
      <c r="B754" s="1" t="n">
        <v>45081</v>
      </c>
      <c r="C754" s="1" t="n">
        <v>45875</v>
      </c>
      <c r="D754" t="inlineStr">
        <is>
          <t>SÖDERMANLANDS LÄN</t>
        </is>
      </c>
      <c r="E754" t="inlineStr">
        <is>
          <t>FLEN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25467-2023</t>
        </is>
      </c>
      <c r="B755" s="1" t="n">
        <v>45081</v>
      </c>
      <c r="C755" s="1" t="n">
        <v>45875</v>
      </c>
      <c r="D755" t="inlineStr">
        <is>
          <t>SÖDERMANLANDS LÄN</t>
        </is>
      </c>
      <c r="E755" t="inlineStr">
        <is>
          <t>FLEN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24348-2023</t>
        </is>
      </c>
      <c r="B756" s="1" t="n">
        <v>45082</v>
      </c>
      <c r="C756" s="1" t="n">
        <v>45875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25605-2023</t>
        </is>
      </c>
      <c r="B757" s="1" t="n">
        <v>45089</v>
      </c>
      <c r="C757" s="1" t="n">
        <v>45875</v>
      </c>
      <c r="D757" t="inlineStr">
        <is>
          <t>SÖDERMANLANDS LÄN</t>
        </is>
      </c>
      <c r="E757" t="inlineStr">
        <is>
          <t>FLEN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26036-2023</t>
        </is>
      </c>
      <c r="B758" s="1" t="n">
        <v>45091</v>
      </c>
      <c r="C758" s="1" t="n">
        <v>45875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27724-2023</t>
        </is>
      </c>
      <c r="B759" s="1" t="n">
        <v>45097</v>
      </c>
      <c r="C759" s="1" t="n">
        <v>45875</v>
      </c>
      <c r="D759" t="inlineStr">
        <is>
          <t>SÖDERMANLANDS LÄN</t>
        </is>
      </c>
      <c r="E759" t="inlineStr">
        <is>
          <t>FLEN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27780-2023</t>
        </is>
      </c>
      <c r="B760" s="1" t="n">
        <v>45098</v>
      </c>
      <c r="C760" s="1" t="n">
        <v>45875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27849-2023</t>
        </is>
      </c>
      <c r="B761" s="1" t="n">
        <v>45098</v>
      </c>
      <c r="C761" s="1" t="n">
        <v>45875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28154-2023</t>
        </is>
      </c>
      <c r="B762" s="1" t="n">
        <v>45099</v>
      </c>
      <c r="C762" s="1" t="n">
        <v>45875</v>
      </c>
      <c r="D762" t="inlineStr">
        <is>
          <t>SÖDERMANLANDS LÄN</t>
        </is>
      </c>
      <c r="E762" t="inlineStr">
        <is>
          <t>FLEN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31007-2023</t>
        </is>
      </c>
      <c r="B763" s="1" t="n">
        <v>45103</v>
      </c>
      <c r="C763" s="1" t="n">
        <v>45875</v>
      </c>
      <c r="D763" t="inlineStr">
        <is>
          <t>SÖDERMANLANDS LÄN</t>
        </is>
      </c>
      <c r="E763" t="inlineStr">
        <is>
          <t>FLEN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HYPERLINK("https://klasma.github.io/Logging_0482/knärot/A 31007-2023 karta knärot.png", "A 31007-2023")</f>
        <v/>
      </c>
      <c r="V763">
        <f>HYPERLINK("https://klasma.github.io/Logging_0482/klagomål/A 31007-2023 FSC-klagomål.docx", "A 31007-2023")</f>
        <v/>
      </c>
      <c r="W763">
        <f>HYPERLINK("https://klasma.github.io/Logging_0482/klagomålsmail/A 31007-2023 FSC-klagomål mail.docx", "A 31007-2023")</f>
        <v/>
      </c>
      <c r="X763">
        <f>HYPERLINK("https://klasma.github.io/Logging_0482/tillsyn/A 31007-2023 tillsynsbegäran.docx", "A 31007-2023")</f>
        <v/>
      </c>
      <c r="Y763">
        <f>HYPERLINK("https://klasma.github.io/Logging_0482/tillsynsmail/A 31007-2023 tillsynsbegäran mail.docx", "A 31007-2023")</f>
        <v/>
      </c>
    </row>
    <row r="764" ht="15" customHeight="1">
      <c r="A764" t="inlineStr">
        <is>
          <t>A 28529-2023</t>
        </is>
      </c>
      <c r="B764" s="1" t="n">
        <v>45103</v>
      </c>
      <c r="C764" s="1" t="n">
        <v>45875</v>
      </c>
      <c r="D764" t="inlineStr">
        <is>
          <t>SÖDERMANLANDS LÄN</t>
        </is>
      </c>
      <c r="E764" t="inlineStr">
        <is>
          <t>FLEN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28928-2023</t>
        </is>
      </c>
      <c r="B765" s="1" t="n">
        <v>45104</v>
      </c>
      <c r="C765" s="1" t="n">
        <v>45875</v>
      </c>
      <c r="D765" t="inlineStr">
        <is>
          <t>SÖDERMANLANDS LÄN</t>
        </is>
      </c>
      <c r="E765" t="inlineStr">
        <is>
          <t>FLEN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28938-2023</t>
        </is>
      </c>
      <c r="B766" s="1" t="n">
        <v>45104</v>
      </c>
      <c r="C766" s="1" t="n">
        <v>45875</v>
      </c>
      <c r="D766" t="inlineStr">
        <is>
          <t>SÖDERMANLANDS LÄN</t>
        </is>
      </c>
      <c r="E766" t="inlineStr">
        <is>
          <t>FLEN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29186-2023</t>
        </is>
      </c>
      <c r="B767" s="1" t="n">
        <v>45105</v>
      </c>
      <c r="C767" s="1" t="n">
        <v>45875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29195-2023</t>
        </is>
      </c>
      <c r="B768" s="1" t="n">
        <v>45105</v>
      </c>
      <c r="C768" s="1" t="n">
        <v>45875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29245-2023</t>
        </is>
      </c>
      <c r="B769" s="1" t="n">
        <v>45105</v>
      </c>
      <c r="C769" s="1" t="n">
        <v>45875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29247-2023</t>
        </is>
      </c>
      <c r="B770" s="1" t="n">
        <v>45105</v>
      </c>
      <c r="C770" s="1" t="n">
        <v>45875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30250-2023</t>
        </is>
      </c>
      <c r="B771" s="1" t="n">
        <v>45110</v>
      </c>
      <c r="C771" s="1" t="n">
        <v>45875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32407-2023</t>
        </is>
      </c>
      <c r="B772" s="1" t="n">
        <v>45110</v>
      </c>
      <c r="C772" s="1" t="n">
        <v>45875</v>
      </c>
      <c r="D772" t="inlineStr">
        <is>
          <t>SÖDERMANLANDS LÄN</t>
        </is>
      </c>
      <c r="E772" t="inlineStr">
        <is>
          <t>FLEN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45875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45875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45875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45875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45875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45875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45875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45875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45875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45875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45875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45875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45875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45875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45875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45875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45875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45875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45875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45875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45875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45875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45875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45875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45875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45875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37441-2023</t>
        </is>
      </c>
      <c r="B799" s="1" t="n">
        <v>45156</v>
      </c>
      <c r="C799" s="1" t="n">
        <v>45875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37428-2023</t>
        </is>
      </c>
      <c r="B800" s="1" t="n">
        <v>45156</v>
      </c>
      <c r="C800" s="1" t="n">
        <v>45875</v>
      </c>
      <c r="D800" t="inlineStr">
        <is>
          <t>SÖDERMANLANDS LÄN</t>
        </is>
      </c>
      <c r="E800" t="inlineStr">
        <is>
          <t>FLEN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37646-2023</t>
        </is>
      </c>
      <c r="B801" s="1" t="n">
        <v>45159</v>
      </c>
      <c r="C801" s="1" t="n">
        <v>45875</v>
      </c>
      <c r="D801" t="inlineStr">
        <is>
          <t>SÖDERMANLANDS LÄN</t>
        </is>
      </c>
      <c r="E801" t="inlineStr">
        <is>
          <t>FLEN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37632-2023</t>
        </is>
      </c>
      <c r="B802" s="1" t="n">
        <v>45159</v>
      </c>
      <c r="C802" s="1" t="n">
        <v>45875</v>
      </c>
      <c r="D802" t="inlineStr">
        <is>
          <t>SÖDERMANLANDS LÄN</t>
        </is>
      </c>
      <c r="E802" t="inlineStr">
        <is>
          <t>FLEN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37910-2023</t>
        </is>
      </c>
      <c r="B803" s="1" t="n">
        <v>45160</v>
      </c>
      <c r="C803" s="1" t="n">
        <v>45875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37891-2023</t>
        </is>
      </c>
      <c r="B804" s="1" t="n">
        <v>45160</v>
      </c>
      <c r="C804" s="1" t="n">
        <v>45875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37945-2023</t>
        </is>
      </c>
      <c r="B805" s="1" t="n">
        <v>45160</v>
      </c>
      <c r="C805" s="1" t="n">
        <v>45875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37923-2023</t>
        </is>
      </c>
      <c r="B806" s="1" t="n">
        <v>45160</v>
      </c>
      <c r="C806" s="1" t="n">
        <v>45875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38135-2023</t>
        </is>
      </c>
      <c r="B807" s="1" t="n">
        <v>45161</v>
      </c>
      <c r="C807" s="1" t="n">
        <v>45875</v>
      </c>
      <c r="D807" t="inlineStr">
        <is>
          <t>SÖDERMANLANDS LÄN</t>
        </is>
      </c>
      <c r="E807" t="inlineStr">
        <is>
          <t>FLEN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38209-2023</t>
        </is>
      </c>
      <c r="B808" s="1" t="n">
        <v>45161</v>
      </c>
      <c r="C808" s="1" t="n">
        <v>45875</v>
      </c>
      <c r="D808" t="inlineStr">
        <is>
          <t>SÖDERMANLANDS LÄN</t>
        </is>
      </c>
      <c r="E808" t="inlineStr">
        <is>
          <t>FLEN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38217-2023</t>
        </is>
      </c>
      <c r="B809" s="1" t="n">
        <v>45161</v>
      </c>
      <c r="C809" s="1" t="n">
        <v>45875</v>
      </c>
      <c r="D809" t="inlineStr">
        <is>
          <t>SÖDERMANLANDS LÄN</t>
        </is>
      </c>
      <c r="E809" t="inlineStr">
        <is>
          <t>FLEN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38331-2023</t>
        </is>
      </c>
      <c r="B810" s="1" t="n">
        <v>45161</v>
      </c>
      <c r="C810" s="1" t="n">
        <v>45875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38514-2023</t>
        </is>
      </c>
      <c r="B811" s="1" t="n">
        <v>45162</v>
      </c>
      <c r="C811" s="1" t="n">
        <v>45875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39053-2023</t>
        </is>
      </c>
      <c r="B812" s="1" t="n">
        <v>45163</v>
      </c>
      <c r="C812" s="1" t="n">
        <v>45875</v>
      </c>
      <c r="D812" t="inlineStr">
        <is>
          <t>SÖDERMANLANDS LÄN</t>
        </is>
      </c>
      <c r="E812" t="inlineStr">
        <is>
          <t>FLEN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39036-2023</t>
        </is>
      </c>
      <c r="B813" s="1" t="n">
        <v>45163</v>
      </c>
      <c r="C813" s="1" t="n">
        <v>45875</v>
      </c>
      <c r="D813" t="inlineStr">
        <is>
          <t>SÖDERMANLANDS LÄN</t>
        </is>
      </c>
      <c r="E813" t="inlineStr">
        <is>
          <t>FLEN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38762-2023</t>
        </is>
      </c>
      <c r="B814" s="1" t="n">
        <v>45163</v>
      </c>
      <c r="C814" s="1" t="n">
        <v>45875</v>
      </c>
      <c r="D814" t="inlineStr">
        <is>
          <t>SÖDERMANLANDS LÄN</t>
        </is>
      </c>
      <c r="E814" t="inlineStr">
        <is>
          <t>FLEN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38753-2023</t>
        </is>
      </c>
      <c r="B815" s="1" t="n">
        <v>45163</v>
      </c>
      <c r="C815" s="1" t="n">
        <v>45875</v>
      </c>
      <c r="D815" t="inlineStr">
        <is>
          <t>SÖDERMANLANDS LÄN</t>
        </is>
      </c>
      <c r="E815" t="inlineStr">
        <is>
          <t>FLEN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39226-2023</t>
        </is>
      </c>
      <c r="B816" s="1" t="n">
        <v>45166</v>
      </c>
      <c r="C816" s="1" t="n">
        <v>45875</v>
      </c>
      <c r="D816" t="inlineStr">
        <is>
          <t>SÖDERMANLANDS LÄN</t>
        </is>
      </c>
      <c r="E816" t="inlineStr">
        <is>
          <t>FLEN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39343-2023</t>
        </is>
      </c>
      <c r="B817" s="1" t="n">
        <v>45166</v>
      </c>
      <c r="C817" s="1" t="n">
        <v>45875</v>
      </c>
      <c r="D817" t="inlineStr">
        <is>
          <t>SÖDERMANLANDS LÄN</t>
        </is>
      </c>
      <c r="E817" t="inlineStr">
        <is>
          <t>FLEN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39335-2023</t>
        </is>
      </c>
      <c r="B818" s="1" t="n">
        <v>45166</v>
      </c>
      <c r="C818" s="1" t="n">
        <v>45875</v>
      </c>
      <c r="D818" t="inlineStr">
        <is>
          <t>SÖDERMANLANDS LÄN</t>
        </is>
      </c>
      <c r="E818" t="inlineStr">
        <is>
          <t>FLEN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40877-2023</t>
        </is>
      </c>
      <c r="B819" s="1" t="n">
        <v>45168</v>
      </c>
      <c r="C819" s="1" t="n">
        <v>45875</v>
      </c>
      <c r="D819" t="inlineStr">
        <is>
          <t>SÖDERMANLANDS LÄN</t>
        </is>
      </c>
      <c r="E819" t="inlineStr">
        <is>
          <t>FLEN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40194-2023</t>
        </is>
      </c>
      <c r="B820" s="1" t="n">
        <v>45169</v>
      </c>
      <c r="C820" s="1" t="n">
        <v>45875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40286-2023</t>
        </is>
      </c>
      <c r="B821" s="1" t="n">
        <v>45169</v>
      </c>
      <c r="C821" s="1" t="n">
        <v>45875</v>
      </c>
      <c r="D821" t="inlineStr">
        <is>
          <t>SÖDERMANLANDS LÄN</t>
        </is>
      </c>
      <c r="E821" t="inlineStr">
        <is>
          <t>FLEN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40592-2023</t>
        </is>
      </c>
      <c r="B822" s="1" t="n">
        <v>45169</v>
      </c>
      <c r="C822" s="1" t="n">
        <v>45875</v>
      </c>
      <c r="D822" t="inlineStr">
        <is>
          <t>SÖDERMANLANDS LÄN</t>
        </is>
      </c>
      <c r="E822" t="inlineStr">
        <is>
          <t>FLEN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40729-2023</t>
        </is>
      </c>
      <c r="B823" s="1" t="n">
        <v>45170</v>
      </c>
      <c r="C823" s="1" t="n">
        <v>45875</v>
      </c>
      <c r="D823" t="inlineStr">
        <is>
          <t>SÖDERMANLANDS LÄN</t>
        </is>
      </c>
      <c r="E823" t="inlineStr">
        <is>
          <t>FLEN</t>
        </is>
      </c>
      <c r="F823" t="inlineStr">
        <is>
          <t>Kyrkan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41226-2023</t>
        </is>
      </c>
      <c r="B824" s="1" t="n">
        <v>45174</v>
      </c>
      <c r="C824" s="1" t="n">
        <v>45875</v>
      </c>
      <c r="D824" t="inlineStr">
        <is>
          <t>SÖDERMANLANDS LÄN</t>
        </is>
      </c>
      <c r="E824" t="inlineStr">
        <is>
          <t>FLEN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41630-2023</t>
        </is>
      </c>
      <c r="B825" s="1" t="n">
        <v>45175</v>
      </c>
      <c r="C825" s="1" t="n">
        <v>45875</v>
      </c>
      <c r="D825" t="inlineStr">
        <is>
          <t>SÖDERMANLANDS LÄN</t>
        </is>
      </c>
      <c r="E825" t="inlineStr">
        <is>
          <t>FLEN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41629-2023</t>
        </is>
      </c>
      <c r="B826" s="1" t="n">
        <v>45175</v>
      </c>
      <c r="C826" s="1" t="n">
        <v>45875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41806-2023</t>
        </is>
      </c>
      <c r="B827" s="1" t="n">
        <v>45176</v>
      </c>
      <c r="C827" s="1" t="n">
        <v>45875</v>
      </c>
      <c r="D827" t="inlineStr">
        <is>
          <t>SÖDERMANLANDS LÄN</t>
        </is>
      </c>
      <c r="E827" t="inlineStr">
        <is>
          <t>FLEN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42388-2023</t>
        </is>
      </c>
      <c r="B828" s="1" t="n">
        <v>45180</v>
      </c>
      <c r="C828" s="1" t="n">
        <v>45875</v>
      </c>
      <c r="D828" t="inlineStr">
        <is>
          <t>SÖDERMANLANDS LÄN</t>
        </is>
      </c>
      <c r="E828" t="inlineStr">
        <is>
          <t>FLEN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43042-2023</t>
        </is>
      </c>
      <c r="B829" s="1" t="n">
        <v>45182</v>
      </c>
      <c r="C829" s="1" t="n">
        <v>45875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43066-2023</t>
        </is>
      </c>
      <c r="B830" s="1" t="n">
        <v>45182</v>
      </c>
      <c r="C830" s="1" t="n">
        <v>45875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43008-2023</t>
        </is>
      </c>
      <c r="B831" s="1" t="n">
        <v>45182</v>
      </c>
      <c r="C831" s="1" t="n">
        <v>45875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43044-2023</t>
        </is>
      </c>
      <c r="B832" s="1" t="n">
        <v>45182</v>
      </c>
      <c r="C832" s="1" t="n">
        <v>45875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43050-2023</t>
        </is>
      </c>
      <c r="B833" s="1" t="n">
        <v>45182</v>
      </c>
      <c r="C833" s="1" t="n">
        <v>45875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44475-2023</t>
        </is>
      </c>
      <c r="B834" s="1" t="n">
        <v>45183</v>
      </c>
      <c r="C834" s="1" t="n">
        <v>45875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44480-2023</t>
        </is>
      </c>
      <c r="B835" s="1" t="n">
        <v>45183</v>
      </c>
      <c r="C835" s="1" t="n">
        <v>45875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44893-2023</t>
        </is>
      </c>
      <c r="B836" s="1" t="n">
        <v>45187</v>
      </c>
      <c r="C836" s="1" t="n">
        <v>45875</v>
      </c>
      <c r="D836" t="inlineStr">
        <is>
          <t>SÖDERMANLANDS LÄN</t>
        </is>
      </c>
      <c r="E836" t="inlineStr">
        <is>
          <t>FLEN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44895-2023</t>
        </is>
      </c>
      <c r="B837" s="1" t="n">
        <v>45187</v>
      </c>
      <c r="C837" s="1" t="n">
        <v>45875</v>
      </c>
      <c r="D837" t="inlineStr">
        <is>
          <t>SÖDERMANLANDS LÄN</t>
        </is>
      </c>
      <c r="E837" t="inlineStr">
        <is>
          <t>FLEN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44457-2023</t>
        </is>
      </c>
      <c r="B838" s="1" t="n">
        <v>45189</v>
      </c>
      <c r="C838" s="1" t="n">
        <v>45875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44468-2023</t>
        </is>
      </c>
      <c r="B839" s="1" t="n">
        <v>45189</v>
      </c>
      <c r="C839" s="1" t="n">
        <v>45875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45923-2023</t>
        </is>
      </c>
      <c r="B840" s="1" t="n">
        <v>45189</v>
      </c>
      <c r="C840" s="1" t="n">
        <v>45875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45107-2023</t>
        </is>
      </c>
      <c r="B841" s="1" t="n">
        <v>45191</v>
      </c>
      <c r="C841" s="1" t="n">
        <v>45875</v>
      </c>
      <c r="D841" t="inlineStr">
        <is>
          <t>SÖDERMANLANDS LÄN</t>
        </is>
      </c>
      <c r="E841" t="inlineStr">
        <is>
          <t>FLEN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45082-2023</t>
        </is>
      </c>
      <c r="B842" s="1" t="n">
        <v>45191</v>
      </c>
      <c r="C842" s="1" t="n">
        <v>45875</v>
      </c>
      <c r="D842" t="inlineStr">
        <is>
          <t>SÖDERMANLANDS LÄN</t>
        </is>
      </c>
      <c r="E842" t="inlineStr">
        <is>
          <t>FLEN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45137-2023</t>
        </is>
      </c>
      <c r="B843" s="1" t="n">
        <v>45191</v>
      </c>
      <c r="C843" s="1" t="n">
        <v>45875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46347-2023</t>
        </is>
      </c>
      <c r="B844" s="1" t="n">
        <v>45192</v>
      </c>
      <c r="C844" s="1" t="n">
        <v>45875</v>
      </c>
      <c r="D844" t="inlineStr">
        <is>
          <t>SÖDERMANLANDS LÄN</t>
        </is>
      </c>
      <c r="E844" t="inlineStr">
        <is>
          <t>FLEN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46360-2023</t>
        </is>
      </c>
      <c r="B845" s="1" t="n">
        <v>45193</v>
      </c>
      <c r="C845" s="1" t="n">
        <v>45875</v>
      </c>
      <c r="D845" t="inlineStr">
        <is>
          <t>SÖDERMANLANDS LÄN</t>
        </is>
      </c>
      <c r="E845" t="inlineStr">
        <is>
          <t>FLEN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46353-2023</t>
        </is>
      </c>
      <c r="B846" s="1" t="n">
        <v>45193</v>
      </c>
      <c r="C846" s="1" t="n">
        <v>45875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45878-2023</t>
        </is>
      </c>
      <c r="B847" s="1" t="n">
        <v>45195</v>
      </c>
      <c r="C847" s="1" t="n">
        <v>45875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45922-2023</t>
        </is>
      </c>
      <c r="B848" s="1" t="n">
        <v>45195</v>
      </c>
      <c r="C848" s="1" t="n">
        <v>45875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45875-2023</t>
        </is>
      </c>
      <c r="B849" s="1" t="n">
        <v>45195</v>
      </c>
      <c r="C849" s="1" t="n">
        <v>45875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46135-2023</t>
        </is>
      </c>
      <c r="B850" s="1" t="n">
        <v>45196</v>
      </c>
      <c r="C850" s="1" t="n">
        <v>45875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46115-2023</t>
        </is>
      </c>
      <c r="B851" s="1" t="n">
        <v>45196</v>
      </c>
      <c r="C851" s="1" t="n">
        <v>45875</v>
      </c>
      <c r="D851" t="inlineStr">
        <is>
          <t>SÖDERMANLANDS LÄN</t>
        </is>
      </c>
      <c r="E851" t="inlineStr">
        <is>
          <t>FLEN</t>
        </is>
      </c>
      <c r="F851" t="inlineStr">
        <is>
          <t>Kyrkan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46281-2023</t>
        </is>
      </c>
      <c r="B852" s="1" t="n">
        <v>45196</v>
      </c>
      <c r="C852" s="1" t="n">
        <v>45875</v>
      </c>
      <c r="D852" t="inlineStr">
        <is>
          <t>SÖDERMANLANDS LÄN</t>
        </is>
      </c>
      <c r="E852" t="inlineStr">
        <is>
          <t>FLEN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47060-2023</t>
        </is>
      </c>
      <c r="B853" s="1" t="n">
        <v>45201</v>
      </c>
      <c r="C853" s="1" t="n">
        <v>45875</v>
      </c>
      <c r="D853" t="inlineStr">
        <is>
          <t>SÖDERMANLANDS LÄN</t>
        </is>
      </c>
      <c r="E853" t="inlineStr">
        <is>
          <t>FLEN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47367-2023</t>
        </is>
      </c>
      <c r="B854" s="1" t="n">
        <v>45202</v>
      </c>
      <c r="C854" s="1" t="n">
        <v>45875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47413-2023</t>
        </is>
      </c>
      <c r="B855" s="1" t="n">
        <v>45202</v>
      </c>
      <c r="C855" s="1" t="n">
        <v>45875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48231-2023</t>
        </is>
      </c>
      <c r="B856" s="1" t="n">
        <v>45205</v>
      </c>
      <c r="C856" s="1" t="n">
        <v>45875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48377-2023</t>
        </is>
      </c>
      <c r="B857" s="1" t="n">
        <v>45205</v>
      </c>
      <c r="C857" s="1" t="n">
        <v>45875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48321-2023</t>
        </is>
      </c>
      <c r="B858" s="1" t="n">
        <v>45205</v>
      </c>
      <c r="C858" s="1" t="n">
        <v>45875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48851-2023</t>
        </is>
      </c>
      <c r="B859" s="1" t="n">
        <v>45209</v>
      </c>
      <c r="C859" s="1" t="n">
        <v>45875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48858-2023</t>
        </is>
      </c>
      <c r="B860" s="1" t="n">
        <v>45209</v>
      </c>
      <c r="C860" s="1" t="n">
        <v>45875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48848-2023</t>
        </is>
      </c>
      <c r="B861" s="1" t="n">
        <v>45209</v>
      </c>
      <c r="C861" s="1" t="n">
        <v>45875</v>
      </c>
      <c r="D861" t="inlineStr">
        <is>
          <t>SÖDERMANLANDS LÄN</t>
        </is>
      </c>
      <c r="E861" t="inlineStr">
        <is>
          <t>FLEN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48852-2023</t>
        </is>
      </c>
      <c r="B862" s="1" t="n">
        <v>45209</v>
      </c>
      <c r="C862" s="1" t="n">
        <v>45875</v>
      </c>
      <c r="D862" t="inlineStr">
        <is>
          <t>SÖDERMANLANDS LÄN</t>
        </is>
      </c>
      <c r="E862" t="inlineStr">
        <is>
          <t>FLEN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48864-2023</t>
        </is>
      </c>
      <c r="B863" s="1" t="n">
        <v>45209</v>
      </c>
      <c r="C863" s="1" t="n">
        <v>45875</v>
      </c>
      <c r="D863" t="inlineStr">
        <is>
          <t>SÖDERMANLANDS LÄN</t>
        </is>
      </c>
      <c r="E863" t="inlineStr">
        <is>
          <t>FLEN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48899-2023</t>
        </is>
      </c>
      <c r="B864" s="1" t="n">
        <v>45209</v>
      </c>
      <c r="C864" s="1" t="n">
        <v>45875</v>
      </c>
      <c r="D864" t="inlineStr">
        <is>
          <t>SÖDERMANLANDS LÄN</t>
        </is>
      </c>
      <c r="E864" t="inlineStr">
        <is>
          <t>FLEN</t>
        </is>
      </c>
      <c r="F864" t="inlineStr">
        <is>
          <t>Övriga statliga verk och myndigheter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49045-2023</t>
        </is>
      </c>
      <c r="B865" s="1" t="n">
        <v>45209</v>
      </c>
      <c r="C865" s="1" t="n">
        <v>45875</v>
      </c>
      <c r="D865" t="inlineStr">
        <is>
          <t>SÖDERMANLANDS LÄN</t>
        </is>
      </c>
      <c r="E865" t="inlineStr">
        <is>
          <t>FLEN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49807-2023</t>
        </is>
      </c>
      <c r="B866" s="1" t="n">
        <v>45211</v>
      </c>
      <c r="C866" s="1" t="n">
        <v>45875</v>
      </c>
      <c r="D866" t="inlineStr">
        <is>
          <t>SÖDERMANLANDS LÄN</t>
        </is>
      </c>
      <c r="E866" t="inlineStr">
        <is>
          <t>FLEN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49816-2023</t>
        </is>
      </c>
      <c r="B867" s="1" t="n">
        <v>45211</v>
      </c>
      <c r="C867" s="1" t="n">
        <v>45875</v>
      </c>
      <c r="D867" t="inlineStr">
        <is>
          <t>SÖDERMANLANDS LÄN</t>
        </is>
      </c>
      <c r="E867" t="inlineStr">
        <is>
          <t>FLEN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49811-2023</t>
        </is>
      </c>
      <c r="B868" s="1" t="n">
        <v>45211</v>
      </c>
      <c r="C868" s="1" t="n">
        <v>45875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49820-2023</t>
        </is>
      </c>
      <c r="B869" s="1" t="n">
        <v>45211</v>
      </c>
      <c r="C869" s="1" t="n">
        <v>45875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50949-2023</t>
        </is>
      </c>
      <c r="B870" s="1" t="n">
        <v>45211</v>
      </c>
      <c r="C870" s="1" t="n">
        <v>45875</v>
      </c>
      <c r="D870" t="inlineStr">
        <is>
          <t>SÖDERMANLANDS LÄN</t>
        </is>
      </c>
      <c r="E870" t="inlineStr">
        <is>
          <t>FLEN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50891-2023</t>
        </is>
      </c>
      <c r="B871" s="1" t="n">
        <v>45211</v>
      </c>
      <c r="C871" s="1" t="n">
        <v>45875</v>
      </c>
      <c r="D871" t="inlineStr">
        <is>
          <t>SÖDERMANLANDS LÄN</t>
        </is>
      </c>
      <c r="E871" t="inlineStr">
        <is>
          <t>FLEN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49716-2023</t>
        </is>
      </c>
      <c r="B872" s="1" t="n">
        <v>45212</v>
      </c>
      <c r="C872" s="1" t="n">
        <v>45875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49720-2023</t>
        </is>
      </c>
      <c r="B873" s="1" t="n">
        <v>45212</v>
      </c>
      <c r="C873" s="1" t="n">
        <v>45875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49890-2023</t>
        </is>
      </c>
      <c r="B874" s="1" t="n">
        <v>45213</v>
      </c>
      <c r="C874" s="1" t="n">
        <v>45875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49891-2023</t>
        </is>
      </c>
      <c r="B875" s="1" t="n">
        <v>45213</v>
      </c>
      <c r="C875" s="1" t="n">
        <v>45875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49915-2023</t>
        </is>
      </c>
      <c r="B876" s="1" t="n">
        <v>45214</v>
      </c>
      <c r="C876" s="1" t="n">
        <v>45875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49913-2023</t>
        </is>
      </c>
      <c r="B877" s="1" t="n">
        <v>45214</v>
      </c>
      <c r="C877" s="1" t="n">
        <v>45875</v>
      </c>
      <c r="D877" t="inlineStr">
        <is>
          <t>SÖDERMANLANDS LÄN</t>
        </is>
      </c>
      <c r="E877" t="inlineStr">
        <is>
          <t>FLEN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50028-2023</t>
        </is>
      </c>
      <c r="B878" s="1" t="n">
        <v>45215</v>
      </c>
      <c r="C878" s="1" t="n">
        <v>45875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50047-2023</t>
        </is>
      </c>
      <c r="B879" s="1" t="n">
        <v>45215</v>
      </c>
      <c r="C879" s="1" t="n">
        <v>45875</v>
      </c>
      <c r="D879" t="inlineStr">
        <is>
          <t>SÖDERMANLANDS LÄN</t>
        </is>
      </c>
      <c r="E879" t="inlineStr">
        <is>
          <t>FLEN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50358-2023</t>
        </is>
      </c>
      <c r="B880" s="1" t="n">
        <v>45216</v>
      </c>
      <c r="C880" s="1" t="n">
        <v>45875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50646-2023</t>
        </is>
      </c>
      <c r="B881" s="1" t="n">
        <v>45217</v>
      </c>
      <c r="C881" s="1" t="n">
        <v>45875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50869-2023</t>
        </is>
      </c>
      <c r="B882" s="1" t="n">
        <v>45218</v>
      </c>
      <c r="C882" s="1" t="n">
        <v>45875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52561-2023</t>
        </is>
      </c>
      <c r="B883" s="1" t="n">
        <v>45218</v>
      </c>
      <c r="C883" s="1" t="n">
        <v>45875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51768-2023</t>
        </is>
      </c>
      <c r="B884" s="1" t="n">
        <v>45222</v>
      </c>
      <c r="C884" s="1" t="n">
        <v>45875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51772-2023</t>
        </is>
      </c>
      <c r="B885" s="1" t="n">
        <v>45222</v>
      </c>
      <c r="C885" s="1" t="n">
        <v>45875</v>
      </c>
      <c r="D885" t="inlineStr">
        <is>
          <t>SÖDERMANLANDS LÄN</t>
        </is>
      </c>
      <c r="E885" t="inlineStr">
        <is>
          <t>FLEN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51773-2023</t>
        </is>
      </c>
      <c r="B886" s="1" t="n">
        <v>45222</v>
      </c>
      <c r="C886" s="1" t="n">
        <v>45875</v>
      </c>
      <c r="D886" t="inlineStr">
        <is>
          <t>SÖDERMANLANDS LÄN</t>
        </is>
      </c>
      <c r="E886" t="inlineStr">
        <is>
          <t>FLEN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52353-2023</t>
        </is>
      </c>
      <c r="B887" s="1" t="n">
        <v>45224</v>
      </c>
      <c r="C887" s="1" t="n">
        <v>45875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52463-2023</t>
        </is>
      </c>
      <c r="B888" s="1" t="n">
        <v>45225</v>
      </c>
      <c r="C888" s="1" t="n">
        <v>45875</v>
      </c>
      <c r="D888" t="inlineStr">
        <is>
          <t>SÖDERMANLANDS LÄN</t>
        </is>
      </c>
      <c r="E888" t="inlineStr">
        <is>
          <t>FLEN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52474-2023</t>
        </is>
      </c>
      <c r="B889" s="1" t="n">
        <v>45225</v>
      </c>
      <c r="C889" s="1" t="n">
        <v>45875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52472-2023</t>
        </is>
      </c>
      <c r="B890" s="1" t="n">
        <v>45225</v>
      </c>
      <c r="C890" s="1" t="n">
        <v>45875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52496-2023</t>
        </is>
      </c>
      <c r="B891" s="1" t="n">
        <v>45225</v>
      </c>
      <c r="C891" s="1" t="n">
        <v>45875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52481-2023</t>
        </is>
      </c>
      <c r="B892" s="1" t="n">
        <v>45225</v>
      </c>
      <c r="C892" s="1" t="n">
        <v>45875</v>
      </c>
      <c r="D892" t="inlineStr">
        <is>
          <t>SÖDERMANLANDS LÄN</t>
        </is>
      </c>
      <c r="E892" t="inlineStr">
        <is>
          <t>FLEN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54340-2023</t>
        </is>
      </c>
      <c r="B893" s="1" t="n">
        <v>45225</v>
      </c>
      <c r="C893" s="1" t="n">
        <v>45875</v>
      </c>
      <c r="D893" t="inlineStr">
        <is>
          <t>SÖDERMANLANDS LÄN</t>
        </is>
      </c>
      <c r="E893" t="inlineStr">
        <is>
          <t>FLEN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52980-2023</t>
        </is>
      </c>
      <c r="B894" s="1" t="n">
        <v>45226</v>
      </c>
      <c r="C894" s="1" t="n">
        <v>45875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53119-2023</t>
        </is>
      </c>
      <c r="B895" s="1" t="n">
        <v>45228</v>
      </c>
      <c r="C895" s="1" t="n">
        <v>45875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53121-2023</t>
        </is>
      </c>
      <c r="B896" s="1" t="n">
        <v>45228</v>
      </c>
      <c r="C896" s="1" t="n">
        <v>45875</v>
      </c>
      <c r="D896" t="inlineStr">
        <is>
          <t>SÖDERMANLANDS LÄN</t>
        </is>
      </c>
      <c r="E896" t="inlineStr">
        <is>
          <t>FLEN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53509-2023</t>
        </is>
      </c>
      <c r="B897" s="1" t="n">
        <v>45230</v>
      </c>
      <c r="C897" s="1" t="n">
        <v>45875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53513-2023</t>
        </is>
      </c>
      <c r="B898" s="1" t="n">
        <v>45230</v>
      </c>
      <c r="C898" s="1" t="n">
        <v>45875</v>
      </c>
      <c r="D898" t="inlineStr">
        <is>
          <t>SÖDERMANLANDS LÄN</t>
        </is>
      </c>
      <c r="E898" t="inlineStr">
        <is>
          <t>FLEN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53518-2023</t>
        </is>
      </c>
      <c r="B899" s="1" t="n">
        <v>45230</v>
      </c>
      <c r="C899" s="1" t="n">
        <v>45875</v>
      </c>
      <c r="D899" t="inlineStr">
        <is>
          <t>SÖDERMANLANDS LÄN</t>
        </is>
      </c>
      <c r="E899" t="inlineStr">
        <is>
          <t>FLEN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53590-2023</t>
        </is>
      </c>
      <c r="B900" s="1" t="n">
        <v>45230</v>
      </c>
      <c r="C900" s="1" t="n">
        <v>45875</v>
      </c>
      <c r="D900" t="inlineStr">
        <is>
          <t>SÖDERMANLANDS LÄN</t>
        </is>
      </c>
      <c r="E900" t="inlineStr">
        <is>
          <t>FLEN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53837-2023</t>
        </is>
      </c>
      <c r="B901" s="1" t="n">
        <v>45230</v>
      </c>
      <c r="C901" s="1" t="n">
        <v>45875</v>
      </c>
      <c r="D901" t="inlineStr">
        <is>
          <t>SÖDERMANLANDS LÄN</t>
        </is>
      </c>
      <c r="E901" t="inlineStr">
        <is>
          <t>FLEN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53517-2023</t>
        </is>
      </c>
      <c r="B902" s="1" t="n">
        <v>45230</v>
      </c>
      <c r="C902" s="1" t="n">
        <v>45875</v>
      </c>
      <c r="D902" t="inlineStr">
        <is>
          <t>SÖDERMANLANDS LÄN</t>
        </is>
      </c>
      <c r="E902" t="inlineStr">
        <is>
          <t>FLEN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53507-2023</t>
        </is>
      </c>
      <c r="B903" s="1" t="n">
        <v>45230</v>
      </c>
      <c r="C903" s="1" t="n">
        <v>45875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53779-2023</t>
        </is>
      </c>
      <c r="B904" s="1" t="n">
        <v>45231</v>
      </c>
      <c r="C904" s="1" t="n">
        <v>45875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53896-2023</t>
        </is>
      </c>
      <c r="B905" s="1" t="n">
        <v>45231</v>
      </c>
      <c r="C905" s="1" t="n">
        <v>45875</v>
      </c>
      <c r="D905" t="inlineStr">
        <is>
          <t>SÖDERMANLANDS LÄN</t>
        </is>
      </c>
      <c r="E905" t="inlineStr">
        <is>
          <t>FLEN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55452-2023</t>
        </is>
      </c>
      <c r="B906" s="1" t="n">
        <v>45231</v>
      </c>
      <c r="C906" s="1" t="n">
        <v>45875</v>
      </c>
      <c r="D906" t="inlineStr">
        <is>
          <t>SÖDERMANLANDS LÄN</t>
        </is>
      </c>
      <c r="E906" t="inlineStr">
        <is>
          <t>FLEN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55211-2023</t>
        </is>
      </c>
      <c r="B907" s="1" t="n">
        <v>45231</v>
      </c>
      <c r="C907" s="1" t="n">
        <v>45875</v>
      </c>
      <c r="D907" t="inlineStr">
        <is>
          <t>SÖDERMANLANDS LÄN</t>
        </is>
      </c>
      <c r="E907" t="inlineStr">
        <is>
          <t>FLEN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55260-2023</t>
        </is>
      </c>
      <c r="B908" s="1" t="n">
        <v>45237</v>
      </c>
      <c r="C908" s="1" t="n">
        <v>45875</v>
      </c>
      <c r="D908" t="inlineStr">
        <is>
          <t>SÖDERMANLANDS LÄN</t>
        </is>
      </c>
      <c r="E908" t="inlineStr">
        <is>
          <t>FLEN</t>
        </is>
      </c>
      <c r="G908" t="n">
        <v>17.1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55228-2023</t>
        </is>
      </c>
      <c r="B909" s="1" t="n">
        <v>45237</v>
      </c>
      <c r="C909" s="1" t="n">
        <v>45875</v>
      </c>
      <c r="D909" t="inlineStr">
        <is>
          <t>SÖDERMANLANDS LÄN</t>
        </is>
      </c>
      <c r="E909" t="inlineStr">
        <is>
          <t>FLEN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55748-2023</t>
        </is>
      </c>
      <c r="B910" s="1" t="n">
        <v>45239</v>
      </c>
      <c r="C910" s="1" t="n">
        <v>45875</v>
      </c>
      <c r="D910" t="inlineStr">
        <is>
          <t>SÖDERMANLANDS LÄN</t>
        </is>
      </c>
      <c r="E910" t="inlineStr">
        <is>
          <t>FLEN</t>
        </is>
      </c>
      <c r="F910" t="inlineStr">
        <is>
          <t>Kyrkan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57130-2023</t>
        </is>
      </c>
      <c r="B911" s="1" t="n">
        <v>45239</v>
      </c>
      <c r="C911" s="1" t="n">
        <v>45875</v>
      </c>
      <c r="D911" t="inlineStr">
        <is>
          <t>SÖDERMANLANDS LÄN</t>
        </is>
      </c>
      <c r="E911" t="inlineStr">
        <is>
          <t>FLEN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HYPERLINK("https://klasma.github.io/Logging_0482/knärot/A 57130-2023 karta knärot.png", "A 57130-2023")</f>
        <v/>
      </c>
      <c r="V911">
        <f>HYPERLINK("https://klasma.github.io/Logging_0482/klagomål/A 57130-2023 FSC-klagomål.docx", "A 57130-2023")</f>
        <v/>
      </c>
      <c r="W911">
        <f>HYPERLINK("https://klasma.github.io/Logging_0482/klagomålsmail/A 57130-2023 FSC-klagomål mail.docx", "A 57130-2023")</f>
        <v/>
      </c>
      <c r="X911">
        <f>HYPERLINK("https://klasma.github.io/Logging_0482/tillsyn/A 57130-2023 tillsynsbegäran.docx", "A 57130-2023")</f>
        <v/>
      </c>
      <c r="Y911">
        <f>HYPERLINK("https://klasma.github.io/Logging_0482/tillsynsmail/A 57130-2023 tillsynsbegäran mail.docx", "A 57130-2023")</f>
        <v/>
      </c>
    </row>
    <row r="912" ht="15" customHeight="1">
      <c r="A912" t="inlineStr">
        <is>
          <t>A 56869-2023</t>
        </is>
      </c>
      <c r="B912" s="1" t="n">
        <v>45239</v>
      </c>
      <c r="C912" s="1" t="n">
        <v>45875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56030-2023</t>
        </is>
      </c>
      <c r="B913" s="1" t="n">
        <v>45240</v>
      </c>
      <c r="C913" s="1" t="n">
        <v>45875</v>
      </c>
      <c r="D913" t="inlineStr">
        <is>
          <t>SÖDERMANLANDS LÄN</t>
        </is>
      </c>
      <c r="E913" t="inlineStr">
        <is>
          <t>FLEN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56534-2023</t>
        </is>
      </c>
      <c r="B914" s="1" t="n">
        <v>45243</v>
      </c>
      <c r="C914" s="1" t="n">
        <v>45875</v>
      </c>
      <c r="D914" t="inlineStr">
        <is>
          <t>SÖDERMANLANDS LÄN</t>
        </is>
      </c>
      <c r="E914" t="inlineStr">
        <is>
          <t>FLEN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57527-2023</t>
        </is>
      </c>
      <c r="B915" s="1" t="n">
        <v>45243</v>
      </c>
      <c r="C915" s="1" t="n">
        <v>45875</v>
      </c>
      <c r="D915" t="inlineStr">
        <is>
          <t>SÖDERMANLANDS LÄN</t>
        </is>
      </c>
      <c r="E915" t="inlineStr">
        <is>
          <t>FLEN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57005-2023</t>
        </is>
      </c>
      <c r="B916" s="1" t="n">
        <v>45244</v>
      </c>
      <c r="C916" s="1" t="n">
        <v>45875</v>
      </c>
      <c r="D916" t="inlineStr">
        <is>
          <t>SÖDERMANLANDS LÄN</t>
        </is>
      </c>
      <c r="E916" t="inlineStr">
        <is>
          <t>FLEN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57046-2023</t>
        </is>
      </c>
      <c r="B917" s="1" t="n">
        <v>45244</v>
      </c>
      <c r="C917" s="1" t="n">
        <v>45875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56835-2023</t>
        </is>
      </c>
      <c r="B918" s="1" t="n">
        <v>45244</v>
      </c>
      <c r="C918" s="1" t="n">
        <v>45875</v>
      </c>
      <c r="D918" t="inlineStr">
        <is>
          <t>SÖDERMANLANDS LÄN</t>
        </is>
      </c>
      <c r="E918" t="inlineStr">
        <is>
          <t>FLEN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56991-2023</t>
        </is>
      </c>
      <c r="B919" s="1" t="n">
        <v>45244</v>
      </c>
      <c r="C919" s="1" t="n">
        <v>45875</v>
      </c>
      <c r="D919" t="inlineStr">
        <is>
          <t>SÖDERMANLANDS LÄN</t>
        </is>
      </c>
      <c r="E919" t="inlineStr">
        <is>
          <t>FLEN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57003-2023</t>
        </is>
      </c>
      <c r="B920" s="1" t="n">
        <v>45244</v>
      </c>
      <c r="C920" s="1" t="n">
        <v>45875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57044-2023</t>
        </is>
      </c>
      <c r="B921" s="1" t="n">
        <v>45244</v>
      </c>
      <c r="C921" s="1" t="n">
        <v>45875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56996-2023</t>
        </is>
      </c>
      <c r="B922" s="1" t="n">
        <v>45244</v>
      </c>
      <c r="C922" s="1" t="n">
        <v>45875</v>
      </c>
      <c r="D922" t="inlineStr">
        <is>
          <t>SÖDERMANLANDS LÄN</t>
        </is>
      </c>
      <c r="E922" t="inlineStr">
        <is>
          <t>FLEN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58265-2023</t>
        </is>
      </c>
      <c r="B923" s="1" t="n">
        <v>45250</v>
      </c>
      <c r="C923" s="1" t="n">
        <v>45875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58926-2023</t>
        </is>
      </c>
      <c r="B924" s="1" t="n">
        <v>45250</v>
      </c>
      <c r="C924" s="1" t="n">
        <v>45875</v>
      </c>
      <c r="D924" t="inlineStr">
        <is>
          <t>SÖDERMANLANDS LÄN</t>
        </is>
      </c>
      <c r="E924" t="inlineStr">
        <is>
          <t>FLEN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58294-2023</t>
        </is>
      </c>
      <c r="B925" s="1" t="n">
        <v>45250</v>
      </c>
      <c r="C925" s="1" t="n">
        <v>45875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58364-2023</t>
        </is>
      </c>
      <c r="B926" s="1" t="n">
        <v>45250</v>
      </c>
      <c r="C926" s="1" t="n">
        <v>45875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58267-2023</t>
        </is>
      </c>
      <c r="B927" s="1" t="n">
        <v>45250</v>
      </c>
      <c r="C927" s="1" t="n">
        <v>45875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58887-2023</t>
        </is>
      </c>
      <c r="B928" s="1" t="n">
        <v>45250</v>
      </c>
      <c r="C928" s="1" t="n">
        <v>45875</v>
      </c>
      <c r="D928" t="inlineStr">
        <is>
          <t>SÖDERMANLANDS LÄN</t>
        </is>
      </c>
      <c r="E928" t="inlineStr">
        <is>
          <t>FLEN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58377-2023</t>
        </is>
      </c>
      <c r="B929" s="1" t="n">
        <v>45250</v>
      </c>
      <c r="C929" s="1" t="n">
        <v>45875</v>
      </c>
      <c r="D929" t="inlineStr">
        <is>
          <t>SÖDERMANLANDS LÄN</t>
        </is>
      </c>
      <c r="E929" t="inlineStr">
        <is>
          <t>FLEN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58922-2023</t>
        </is>
      </c>
      <c r="B930" s="1" t="n">
        <v>45250</v>
      </c>
      <c r="C930" s="1" t="n">
        <v>45875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58635-2023</t>
        </is>
      </c>
      <c r="B931" s="1" t="n">
        <v>45251</v>
      </c>
      <c r="C931" s="1" t="n">
        <v>45875</v>
      </c>
      <c r="D931" t="inlineStr">
        <is>
          <t>SÖDERMANLANDS LÄN</t>
        </is>
      </c>
      <c r="E931" t="inlineStr">
        <is>
          <t>FLEN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59051-2023</t>
        </is>
      </c>
      <c r="B932" s="1" t="n">
        <v>45252</v>
      </c>
      <c r="C932" s="1" t="n">
        <v>45875</v>
      </c>
      <c r="D932" t="inlineStr">
        <is>
          <t>SÖDERMANLANDS LÄN</t>
        </is>
      </c>
      <c r="E932" t="inlineStr">
        <is>
          <t>FLEN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59135-2023</t>
        </is>
      </c>
      <c r="B933" s="1" t="n">
        <v>45253</v>
      </c>
      <c r="C933" s="1" t="n">
        <v>45875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59693-2023</t>
        </is>
      </c>
      <c r="B934" s="1" t="n">
        <v>45256</v>
      </c>
      <c r="C934" s="1" t="n">
        <v>45875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59690-2023</t>
        </is>
      </c>
      <c r="B935" s="1" t="n">
        <v>45256</v>
      </c>
      <c r="C935" s="1" t="n">
        <v>45875</v>
      </c>
      <c r="D935" t="inlineStr">
        <is>
          <t>SÖDERMANLANDS LÄN</t>
        </is>
      </c>
      <c r="E935" t="inlineStr">
        <is>
          <t>FLEN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59691-2023</t>
        </is>
      </c>
      <c r="B936" s="1" t="n">
        <v>45256</v>
      </c>
      <c r="C936" s="1" t="n">
        <v>45875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59779-2023</t>
        </is>
      </c>
      <c r="B937" s="1" t="n">
        <v>45257</v>
      </c>
      <c r="C937" s="1" t="n">
        <v>45875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60615-2023</t>
        </is>
      </c>
      <c r="B938" s="1" t="n">
        <v>45260</v>
      </c>
      <c r="C938" s="1" t="n">
        <v>45875</v>
      </c>
      <c r="D938" t="inlineStr">
        <is>
          <t>SÖDERMANLANDS LÄN</t>
        </is>
      </c>
      <c r="E938" t="inlineStr">
        <is>
          <t>FLEN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60613-2023</t>
        </is>
      </c>
      <c r="B939" s="1" t="n">
        <v>45260</v>
      </c>
      <c r="C939" s="1" t="n">
        <v>45875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60685-2023</t>
        </is>
      </c>
      <c r="B940" s="1" t="n">
        <v>45260</v>
      </c>
      <c r="C940" s="1" t="n">
        <v>45875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61892-2023</t>
        </is>
      </c>
      <c r="B941" s="1" t="n">
        <v>45264</v>
      </c>
      <c r="C941" s="1" t="n">
        <v>45875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61899-2023</t>
        </is>
      </c>
      <c r="B942" s="1" t="n">
        <v>45264</v>
      </c>
      <c r="C942" s="1" t="n">
        <v>45875</v>
      </c>
      <c r="D942" t="inlineStr">
        <is>
          <t>SÖDERMANLANDS LÄN</t>
        </is>
      </c>
      <c r="E942" t="inlineStr">
        <is>
          <t>FLEN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61951-2023</t>
        </is>
      </c>
      <c r="B943" s="1" t="n">
        <v>45266</v>
      </c>
      <c r="C943" s="1" t="n">
        <v>45875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62517-2023</t>
        </is>
      </c>
      <c r="B944" s="1" t="n">
        <v>45268</v>
      </c>
      <c r="C944" s="1" t="n">
        <v>45875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62515-2023</t>
        </is>
      </c>
      <c r="B945" s="1" t="n">
        <v>45268</v>
      </c>
      <c r="C945" s="1" t="n">
        <v>45875</v>
      </c>
      <c r="D945" t="inlineStr">
        <is>
          <t>SÖDERMANLANDS LÄN</t>
        </is>
      </c>
      <c r="E945" t="inlineStr">
        <is>
          <t>FLEN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62579-2023</t>
        </is>
      </c>
      <c r="B946" s="1" t="n">
        <v>45270</v>
      </c>
      <c r="C946" s="1" t="n">
        <v>45875</v>
      </c>
      <c r="D946" t="inlineStr">
        <is>
          <t>SÖDERMANLANDS LÄN</t>
        </is>
      </c>
      <c r="E946" t="inlineStr">
        <is>
          <t>FLEN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62763-2023</t>
        </is>
      </c>
      <c r="B947" s="1" t="n">
        <v>45271</v>
      </c>
      <c r="C947" s="1" t="n">
        <v>45875</v>
      </c>
      <c r="D947" t="inlineStr">
        <is>
          <t>SÖDERMANLANDS LÄN</t>
        </is>
      </c>
      <c r="E947" t="inlineStr">
        <is>
          <t>FLEN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63016-2023</t>
        </is>
      </c>
      <c r="B948" s="1" t="n">
        <v>45272</v>
      </c>
      <c r="C948" s="1" t="n">
        <v>45875</v>
      </c>
      <c r="D948" t="inlineStr">
        <is>
          <t>SÖDERMANLANDS LÄN</t>
        </is>
      </c>
      <c r="E948" t="inlineStr">
        <is>
          <t>FLEN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63185-2023</t>
        </is>
      </c>
      <c r="B949" s="1" t="n">
        <v>45272</v>
      </c>
      <c r="C949" s="1" t="n">
        <v>45875</v>
      </c>
      <c r="D949" t="inlineStr">
        <is>
          <t>SÖDERMANLANDS LÄN</t>
        </is>
      </c>
      <c r="E949" t="inlineStr">
        <is>
          <t>FLEN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63919-2023</t>
        </is>
      </c>
      <c r="B950" s="1" t="n">
        <v>45278</v>
      </c>
      <c r="C950" s="1" t="n">
        <v>45875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64480-2023</t>
        </is>
      </c>
      <c r="B951" s="1" t="n">
        <v>45280</v>
      </c>
      <c r="C951" s="1" t="n">
        <v>45875</v>
      </c>
      <c r="D951" t="inlineStr">
        <is>
          <t>SÖDERMANLANDS LÄN</t>
        </is>
      </c>
      <c r="E951" t="inlineStr">
        <is>
          <t>FLEN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537-2024</t>
        </is>
      </c>
      <c r="B952" s="1" t="n">
        <v>45299</v>
      </c>
      <c r="C952" s="1" t="n">
        <v>45875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541-2024</t>
        </is>
      </c>
      <c r="B953" s="1" t="n">
        <v>45299</v>
      </c>
      <c r="C953" s="1" t="n">
        <v>45875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545-2024</t>
        </is>
      </c>
      <c r="B954" s="1" t="n">
        <v>45299</v>
      </c>
      <c r="C954" s="1" t="n">
        <v>45875</v>
      </c>
      <c r="D954" t="inlineStr">
        <is>
          <t>SÖDERMANLANDS LÄN</t>
        </is>
      </c>
      <c r="E954" t="inlineStr">
        <is>
          <t>FLEN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543-2024</t>
        </is>
      </c>
      <c r="B955" s="1" t="n">
        <v>45299</v>
      </c>
      <c r="C955" s="1" t="n">
        <v>45875</v>
      </c>
      <c r="D955" t="inlineStr">
        <is>
          <t>SÖDERMANLANDS LÄN</t>
        </is>
      </c>
      <c r="E955" t="inlineStr">
        <is>
          <t>FLEN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1230-2024</t>
        </is>
      </c>
      <c r="B956" s="1" t="n">
        <v>45302</v>
      </c>
      <c r="C956" s="1" t="n">
        <v>45875</v>
      </c>
      <c r="D956" t="inlineStr">
        <is>
          <t>SÖDERMANLANDS LÄN</t>
        </is>
      </c>
      <c r="E956" t="inlineStr">
        <is>
          <t>FLEN</t>
        </is>
      </c>
      <c r="F956" t="inlineStr">
        <is>
          <t>Kyrkan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1329-2024</t>
        </is>
      </c>
      <c r="B957" s="1" t="n">
        <v>45303</v>
      </c>
      <c r="C957" s="1" t="n">
        <v>45875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1307-2024</t>
        </is>
      </c>
      <c r="B958" s="1" t="n">
        <v>45303</v>
      </c>
      <c r="C958" s="1" t="n">
        <v>45875</v>
      </c>
      <c r="D958" t="inlineStr">
        <is>
          <t>SÖDERMANLANDS LÄN</t>
        </is>
      </c>
      <c r="E958" t="inlineStr">
        <is>
          <t>FLEN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1575-2024</t>
        </is>
      </c>
      <c r="B959" s="1" t="n">
        <v>45306</v>
      </c>
      <c r="C959" s="1" t="n">
        <v>45875</v>
      </c>
      <c r="D959" t="inlineStr">
        <is>
          <t>SÖDERMANLANDS LÄN</t>
        </is>
      </c>
      <c r="E959" t="inlineStr">
        <is>
          <t>FLEN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2087-2024</t>
        </is>
      </c>
      <c r="B960" s="1" t="n">
        <v>45309</v>
      </c>
      <c r="C960" s="1" t="n">
        <v>45875</v>
      </c>
      <c r="D960" t="inlineStr">
        <is>
          <t>SÖDERMANLANDS LÄN</t>
        </is>
      </c>
      <c r="E960" t="inlineStr">
        <is>
          <t>FLEN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2447-2024</t>
        </is>
      </c>
      <c r="B961" s="1" t="n">
        <v>45311</v>
      </c>
      <c r="C961" s="1" t="n">
        <v>45875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2449-2024</t>
        </is>
      </c>
      <c r="B962" s="1" t="n">
        <v>45311</v>
      </c>
      <c r="C962" s="1" t="n">
        <v>45875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2448-2024</t>
        </is>
      </c>
      <c r="B963" s="1" t="n">
        <v>45311</v>
      </c>
      <c r="C963" s="1" t="n">
        <v>45875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2564-2024</t>
        </is>
      </c>
      <c r="B964" s="1" t="n">
        <v>45313</v>
      </c>
      <c r="C964" s="1" t="n">
        <v>45875</v>
      </c>
      <c r="D964" t="inlineStr">
        <is>
          <t>SÖDERMANLANDS LÄN</t>
        </is>
      </c>
      <c r="E964" t="inlineStr">
        <is>
          <t>FLEN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2696-2024</t>
        </is>
      </c>
      <c r="B965" s="1" t="n">
        <v>45314</v>
      </c>
      <c r="C965" s="1" t="n">
        <v>45875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2901-2024</t>
        </is>
      </c>
      <c r="B966" s="1" t="n">
        <v>45315</v>
      </c>
      <c r="C966" s="1" t="n">
        <v>45875</v>
      </c>
      <c r="D966" t="inlineStr">
        <is>
          <t>SÖDERMANLANDS LÄN</t>
        </is>
      </c>
      <c r="E966" t="inlineStr">
        <is>
          <t>FLEN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2930-2024</t>
        </is>
      </c>
      <c r="B967" s="1" t="n">
        <v>45315</v>
      </c>
      <c r="C967" s="1" t="n">
        <v>45875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2968-2024</t>
        </is>
      </c>
      <c r="B968" s="1" t="n">
        <v>45315</v>
      </c>
      <c r="C968" s="1" t="n">
        <v>45875</v>
      </c>
      <c r="D968" t="inlineStr">
        <is>
          <t>SÖDERMANLANDS LÄN</t>
        </is>
      </c>
      <c r="E968" t="inlineStr">
        <is>
          <t>FLEN</t>
        </is>
      </c>
      <c r="F968" t="inlineStr">
        <is>
          <t>Kyrkan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3568-2024</t>
        </is>
      </c>
      <c r="B969" s="1" t="n">
        <v>45320</v>
      </c>
      <c r="C969" s="1" t="n">
        <v>45875</v>
      </c>
      <c r="D969" t="inlineStr">
        <is>
          <t>SÖDERMANLANDS LÄN</t>
        </is>
      </c>
      <c r="E969" t="inlineStr">
        <is>
          <t>FLEN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3648-2024</t>
        </is>
      </c>
      <c r="B970" s="1" t="n">
        <v>45321</v>
      </c>
      <c r="C970" s="1" t="n">
        <v>45875</v>
      </c>
      <c r="D970" t="inlineStr">
        <is>
          <t>SÖDERMANLANDS LÄN</t>
        </is>
      </c>
      <c r="E970" t="inlineStr">
        <is>
          <t>FLEN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3774-2024</t>
        </is>
      </c>
      <c r="B971" s="1" t="n">
        <v>45321</v>
      </c>
      <c r="C971" s="1" t="n">
        <v>45875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3798-2024</t>
        </is>
      </c>
      <c r="B972" s="1" t="n">
        <v>45321</v>
      </c>
      <c r="C972" s="1" t="n">
        <v>45875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3926-2024</t>
        </is>
      </c>
      <c r="B973" s="1" t="n">
        <v>45322</v>
      </c>
      <c r="C973" s="1" t="n">
        <v>45875</v>
      </c>
      <c r="D973" t="inlineStr">
        <is>
          <t>SÖDERMANLANDS LÄN</t>
        </is>
      </c>
      <c r="E973" t="inlineStr">
        <is>
          <t>FLEN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3909-2024</t>
        </is>
      </c>
      <c r="B974" s="1" t="n">
        <v>45322</v>
      </c>
      <c r="C974" s="1" t="n">
        <v>45875</v>
      </c>
      <c r="D974" t="inlineStr">
        <is>
          <t>SÖDERMANLANDS LÄN</t>
        </is>
      </c>
      <c r="E974" t="inlineStr">
        <is>
          <t>FLEN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4143-2024</t>
        </is>
      </c>
      <c r="B975" s="1" t="n">
        <v>45323</v>
      </c>
      <c r="C975" s="1" t="n">
        <v>45875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4015-2024</t>
        </is>
      </c>
      <c r="B976" s="1" t="n">
        <v>45323</v>
      </c>
      <c r="C976" s="1" t="n">
        <v>45875</v>
      </c>
      <c r="D976" t="inlineStr">
        <is>
          <t>SÖDERMANLANDS LÄN</t>
        </is>
      </c>
      <c r="E976" t="inlineStr">
        <is>
          <t>FLEN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4147-2024</t>
        </is>
      </c>
      <c r="B977" s="1" t="n">
        <v>45323</v>
      </c>
      <c r="C977" s="1" t="n">
        <v>45875</v>
      </c>
      <c r="D977" t="inlineStr">
        <is>
          <t>SÖDERMANLANDS LÄN</t>
        </is>
      </c>
      <c r="E977" t="inlineStr">
        <is>
          <t>FLEN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4451-2024</t>
        </is>
      </c>
      <c r="B978" s="1" t="n">
        <v>45327</v>
      </c>
      <c r="C978" s="1" t="n">
        <v>45875</v>
      </c>
      <c r="D978" t="inlineStr">
        <is>
          <t>SÖDERMANLANDS LÄN</t>
        </is>
      </c>
      <c r="E978" t="inlineStr">
        <is>
          <t>FLEN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4536-2024</t>
        </is>
      </c>
      <c r="B979" s="1" t="n">
        <v>45327</v>
      </c>
      <c r="C979" s="1" t="n">
        <v>45875</v>
      </c>
      <c r="D979" t="inlineStr">
        <is>
          <t>SÖDERMANLANDS LÄN</t>
        </is>
      </c>
      <c r="E979" t="inlineStr">
        <is>
          <t>FLEN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4657-2024</t>
        </is>
      </c>
      <c r="B980" s="1" t="n">
        <v>45328</v>
      </c>
      <c r="C980" s="1" t="n">
        <v>45875</v>
      </c>
      <c r="D980" t="inlineStr">
        <is>
          <t>SÖDERMANLANDS LÄN</t>
        </is>
      </c>
      <c r="E980" t="inlineStr">
        <is>
          <t>FLEN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4724-2024</t>
        </is>
      </c>
      <c r="B981" s="1" t="n">
        <v>45328</v>
      </c>
      <c r="C981" s="1" t="n">
        <v>45875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4778-2024</t>
        </is>
      </c>
      <c r="B982" s="1" t="n">
        <v>45328</v>
      </c>
      <c r="C982" s="1" t="n">
        <v>45875</v>
      </c>
      <c r="D982" t="inlineStr">
        <is>
          <t>SÖDERMANLANDS LÄN</t>
        </is>
      </c>
      <c r="E982" t="inlineStr">
        <is>
          <t>FLEN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5160-2024</t>
        </is>
      </c>
      <c r="B983" s="1" t="n">
        <v>45330</v>
      </c>
      <c r="C983" s="1" t="n">
        <v>45875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5194-2024</t>
        </is>
      </c>
      <c r="B984" s="1" t="n">
        <v>45330</v>
      </c>
      <c r="C984" s="1" t="n">
        <v>45875</v>
      </c>
      <c r="D984" t="inlineStr">
        <is>
          <t>SÖDERMANLANDS LÄN</t>
        </is>
      </c>
      <c r="E984" t="inlineStr">
        <is>
          <t>FLEN</t>
        </is>
      </c>
      <c r="F984" t="inlineStr">
        <is>
          <t>Övriga statliga verk och myndigheter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5331-2024</t>
        </is>
      </c>
      <c r="B985" s="1" t="n">
        <v>45331</v>
      </c>
      <c r="C985" s="1" t="n">
        <v>45875</v>
      </c>
      <c r="D985" t="inlineStr">
        <is>
          <t>SÖDERMANLANDS LÄN</t>
        </is>
      </c>
      <c r="E985" t="inlineStr">
        <is>
          <t>FLEN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5960-2024</t>
        </is>
      </c>
      <c r="B986" s="1" t="n">
        <v>45336</v>
      </c>
      <c r="C986" s="1" t="n">
        <v>45875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6104-2024</t>
        </is>
      </c>
      <c r="B987" s="1" t="n">
        <v>45337</v>
      </c>
      <c r="C987" s="1" t="n">
        <v>45875</v>
      </c>
      <c r="D987" t="inlineStr">
        <is>
          <t>SÖDERMANLANDS LÄN</t>
        </is>
      </c>
      <c r="E987" t="inlineStr">
        <is>
          <t>FLEN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6109-2024</t>
        </is>
      </c>
      <c r="B988" s="1" t="n">
        <v>45337</v>
      </c>
      <c r="C988" s="1" t="n">
        <v>45875</v>
      </c>
      <c r="D988" t="inlineStr">
        <is>
          <t>SÖDERMANLANDS LÄN</t>
        </is>
      </c>
      <c r="E988" t="inlineStr">
        <is>
          <t>FLEN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6530-2024</t>
        </is>
      </c>
      <c r="B989" s="1" t="n">
        <v>45341</v>
      </c>
      <c r="C989" s="1" t="n">
        <v>45875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6964-2024</t>
        </is>
      </c>
      <c r="B990" s="1" t="n">
        <v>45343</v>
      </c>
      <c r="C990" s="1" t="n">
        <v>45875</v>
      </c>
      <c r="D990" t="inlineStr">
        <is>
          <t>SÖDERMANLANDS LÄN</t>
        </is>
      </c>
      <c r="E990" t="inlineStr">
        <is>
          <t>FLEN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6982-2024</t>
        </is>
      </c>
      <c r="B991" s="1" t="n">
        <v>45343</v>
      </c>
      <c r="C991" s="1" t="n">
        <v>45875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7380-2024</t>
        </is>
      </c>
      <c r="B992" s="1" t="n">
        <v>45345</v>
      </c>
      <c r="C992" s="1" t="n">
        <v>45875</v>
      </c>
      <c r="D992" t="inlineStr">
        <is>
          <t>SÖDERMANLANDS LÄN</t>
        </is>
      </c>
      <c r="E992" t="inlineStr">
        <is>
          <t>FLEN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7376-2024</t>
        </is>
      </c>
      <c r="B993" s="1" t="n">
        <v>45345</v>
      </c>
      <c r="C993" s="1" t="n">
        <v>45875</v>
      </c>
      <c r="D993" t="inlineStr">
        <is>
          <t>SÖDERMANLANDS LÄN</t>
        </is>
      </c>
      <c r="E993" t="inlineStr">
        <is>
          <t>FLEN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7378-2024</t>
        </is>
      </c>
      <c r="B994" s="1" t="n">
        <v>45345</v>
      </c>
      <c r="C994" s="1" t="n">
        <v>45875</v>
      </c>
      <c r="D994" t="inlineStr">
        <is>
          <t>SÖDERMANLANDS LÄN</t>
        </is>
      </c>
      <c r="E994" t="inlineStr">
        <is>
          <t>FLEN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7381-2024</t>
        </is>
      </c>
      <c r="B995" s="1" t="n">
        <v>45345</v>
      </c>
      <c r="C995" s="1" t="n">
        <v>45875</v>
      </c>
      <c r="D995" t="inlineStr">
        <is>
          <t>SÖDERMANLANDS LÄN</t>
        </is>
      </c>
      <c r="E995" t="inlineStr">
        <is>
          <t>FLEN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7526-2024</t>
        </is>
      </c>
      <c r="B996" s="1" t="n">
        <v>45348</v>
      </c>
      <c r="C996" s="1" t="n">
        <v>45875</v>
      </c>
      <c r="D996" t="inlineStr">
        <is>
          <t>SÖDERMANLANDS LÄN</t>
        </is>
      </c>
      <c r="E996" t="inlineStr">
        <is>
          <t>FLEN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7960-2024</t>
        </is>
      </c>
      <c r="B997" s="1" t="n">
        <v>45350</v>
      </c>
      <c r="C997" s="1" t="n">
        <v>45875</v>
      </c>
      <c r="D997" t="inlineStr">
        <is>
          <t>SÖDERMANLANDS LÄN</t>
        </is>
      </c>
      <c r="E997" t="inlineStr">
        <is>
          <t>FLEN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7968-2024</t>
        </is>
      </c>
      <c r="B998" s="1" t="n">
        <v>45350</v>
      </c>
      <c r="C998" s="1" t="n">
        <v>45875</v>
      </c>
      <c r="D998" t="inlineStr">
        <is>
          <t>SÖDERMANLANDS LÄN</t>
        </is>
      </c>
      <c r="E998" t="inlineStr">
        <is>
          <t>FLEN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7951-2024</t>
        </is>
      </c>
      <c r="B999" s="1" t="n">
        <v>45350</v>
      </c>
      <c r="C999" s="1" t="n">
        <v>45875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9147-2024</t>
        </is>
      </c>
      <c r="B1000" s="1" t="n">
        <v>45358</v>
      </c>
      <c r="C1000" s="1" t="n">
        <v>45875</v>
      </c>
      <c r="D1000" t="inlineStr">
        <is>
          <t>SÖDERMANLANDS LÄN</t>
        </is>
      </c>
      <c r="E1000" t="inlineStr">
        <is>
          <t>FLEN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10256-2024</t>
        </is>
      </c>
      <c r="B1001" s="1" t="n">
        <v>45365</v>
      </c>
      <c r="C1001" s="1" t="n">
        <v>45875</v>
      </c>
      <c r="D1001" t="inlineStr">
        <is>
          <t>SÖDERMANLANDS LÄN</t>
        </is>
      </c>
      <c r="E1001" t="inlineStr">
        <is>
          <t>FLEN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12277-2024</t>
        </is>
      </c>
      <c r="B1002" s="1" t="n">
        <v>45378</v>
      </c>
      <c r="C1002" s="1" t="n">
        <v>45875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13233-2024</t>
        </is>
      </c>
      <c r="B1003" s="1" t="n">
        <v>45386</v>
      </c>
      <c r="C1003" s="1" t="n">
        <v>45875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14638-2024</t>
        </is>
      </c>
      <c r="B1004" s="1" t="n">
        <v>45397</v>
      </c>
      <c r="C1004" s="1" t="n">
        <v>45875</v>
      </c>
      <c r="D1004" t="inlineStr">
        <is>
          <t>SÖDERMANLANDS LÄN</t>
        </is>
      </c>
      <c r="E1004" t="inlineStr">
        <is>
          <t>FLEN</t>
        </is>
      </c>
      <c r="G1004" t="n">
        <v>20.7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14859-2024</t>
        </is>
      </c>
      <c r="B1005" s="1" t="n">
        <v>45398</v>
      </c>
      <c r="C1005" s="1" t="n">
        <v>45875</v>
      </c>
      <c r="D1005" t="inlineStr">
        <is>
          <t>SÖDERMANLANDS LÄN</t>
        </is>
      </c>
      <c r="E1005" t="inlineStr">
        <is>
          <t>FLEN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45875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45875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45875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45875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45875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45875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45875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45875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45875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45875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45875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45875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45875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45875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45875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45875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45875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45875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45875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45875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45875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45875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45875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45875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45875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45875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45875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45875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45875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45875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45875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45875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45875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45875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45875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45875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45875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45875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45875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45875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45875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45875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45875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45875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45875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45875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45875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45875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45875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45875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45875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45875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45875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45875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45875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45875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45875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45875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45875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45875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45875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45875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45875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45875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45875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45875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45875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45875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45875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45875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45875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45875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45875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45875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45875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45875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45875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45875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45875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45875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45875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45875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45875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45875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45875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45875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45875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45875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45875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45875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45875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45875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45875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45875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45875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45875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45875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45875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45875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45875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45875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45875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45875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45875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45875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45875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45875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45875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45875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45875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45875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45875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45875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45875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45875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45875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45875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45875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45875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45875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45875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45875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45875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45875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45875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45875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45875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45875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45875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45875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45875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45875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45875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45875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45875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45875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45875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45875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45875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45875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45875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45875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45875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45875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45875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45875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45875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45875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45875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45875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45875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45875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45875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45875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45875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45875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45875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45875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45875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45875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45875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45875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45875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45875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45875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45875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45875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45875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45875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45875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45875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45875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45875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45875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45875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45875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45875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45875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45875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45875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45875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45875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45875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45875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45875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45875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34438-2025</t>
        </is>
      </c>
      <c r="B1192" s="1" t="n">
        <v>45845</v>
      </c>
      <c r="C1192" s="1" t="n">
        <v>45875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35078-2025</t>
        </is>
      </c>
      <c r="B1193" s="1" t="n">
        <v>45852</v>
      </c>
      <c r="C1193" s="1" t="n">
        <v>45875</v>
      </c>
      <c r="D1193" t="inlineStr">
        <is>
          <t>SÖDERMANLANDS LÄN</t>
        </is>
      </c>
      <c r="E1193" t="inlineStr">
        <is>
          <t>FLEN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36453-2025</t>
        </is>
      </c>
      <c r="B1194" s="1" t="n">
        <v>45869</v>
      </c>
      <c r="C1194" s="1" t="n">
        <v>45875</v>
      </c>
      <c r="D1194" t="inlineStr">
        <is>
          <t>SÖDERMANLANDS LÄN</t>
        </is>
      </c>
      <c r="E1194" t="inlineStr">
        <is>
          <t>FLEN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36454-2025</t>
        </is>
      </c>
      <c r="B1195" s="1" t="n">
        <v>45869</v>
      </c>
      <c r="C1195" s="1" t="n">
        <v>45875</v>
      </c>
      <c r="D1195" t="inlineStr">
        <is>
          <t>SÖDERMANLANDS LÄN</t>
        </is>
      </c>
      <c r="E1195" t="inlineStr">
        <is>
          <t>FLEN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36455-2025</t>
        </is>
      </c>
      <c r="B1196" s="1" t="n">
        <v>45869</v>
      </c>
      <c r="C1196" s="1" t="n">
        <v>45875</v>
      </c>
      <c r="D1196" t="inlineStr">
        <is>
          <t>SÖDERMANLANDS LÄN</t>
        </is>
      </c>
      <c r="E1196" t="inlineStr">
        <is>
          <t>FLEN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2025-08-06T20:03:02Z</dcterms:created>
  <dcterms:modified xmlns:dcterms="http://purl.org/dc/terms/" xmlns:xsi="http://www.w3.org/2001/XMLSchema-instance" xsi:type="dcterms:W3CDTF">2025-08-06T20:03:03Z</dcterms:modified>
</cp:coreProperties>
</file>