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45362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45362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45362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45362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45362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45362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45362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45362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45362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45362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  <c r="Z11">
        <f>HYPERLINK("https://klasma.github.io/Logging_0482/fåglar/A 6402-2019 prioriterade fågelarter.docx",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45362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45362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45362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45362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45362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45362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45362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45362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  <c r="Z19">
        <f>HYPERLINK("https://klasma.github.io/Logging_0482/fåglar/A 41793-2020 prioriterade fågelarter.docx",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45362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45362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45362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45362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45362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45362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45362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45362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45362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45362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45362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45362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45362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45362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45362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45362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45362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7939-2024</t>
        </is>
      </c>
      <c r="B37" s="1" t="n">
        <v>45350</v>
      </c>
      <c r="C37" s="1" t="n">
        <v>45362</v>
      </c>
      <c r="D37" t="inlineStr">
        <is>
          <t>SÖDERMANLANDS LÄN</t>
        </is>
      </c>
      <c r="E37" t="inlineStr">
        <is>
          <t>FLEN</t>
        </is>
      </c>
      <c r="G37" t="n">
        <v>11.5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Grovticka</t>
        </is>
      </c>
      <c r="S37">
        <f>HYPERLINK("https://klasma.github.io/Logging_0482/artfynd/A 7939-2024 artfynd.xlsx", "A 7939-2024")</f>
        <v/>
      </c>
      <c r="T37">
        <f>HYPERLINK("https://klasma.github.io/Logging_0482/kartor/A 7939-2024 karta.png", "A 7939-2024")</f>
        <v/>
      </c>
      <c r="V37">
        <f>HYPERLINK("https://klasma.github.io/Logging_0482/klagomål/A 7939-2024 FSC-klagomål.docx", "A 7939-2024")</f>
        <v/>
      </c>
      <c r="W37">
        <f>HYPERLINK("https://klasma.github.io/Logging_0482/klagomålsmail/A 7939-2024 FSC-klagomål mail.docx", "A 7939-2024")</f>
        <v/>
      </c>
      <c r="X37">
        <f>HYPERLINK("https://klasma.github.io/Logging_0482/tillsyn/A 7939-2024 tillsynsbegäran.docx", "A 7939-2024")</f>
        <v/>
      </c>
      <c r="Y37">
        <f>HYPERLINK("https://klasma.github.io/Logging_0482/tillsynsmail/A 7939-2024 tillsynsbegäran mail.docx", "A 7939-2024")</f>
        <v/>
      </c>
    </row>
    <row r="38" ht="15" customHeight="1">
      <c r="A38" t="inlineStr">
        <is>
          <t>A 45505-2018</t>
        </is>
      </c>
      <c r="B38" s="1" t="n">
        <v>43363</v>
      </c>
      <c r="C38" s="1" t="n">
        <v>45362</v>
      </c>
      <c r="D38" t="inlineStr">
        <is>
          <t>SÖDERMANLANDS LÄN</t>
        </is>
      </c>
      <c r="E38" t="inlineStr">
        <is>
          <t>FLEN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HYPERLINK("https://klasma.github.io/Logging_0482/artfynd/A 45505-2018 artfynd.xlsx", "A 45505-2018")</f>
        <v/>
      </c>
      <c r="T38">
        <f>HYPERLINK("https://klasma.github.io/Logging_0482/kartor/A 45505-2018 karta.png", "A 45505-2018")</f>
        <v/>
      </c>
      <c r="V38">
        <f>HYPERLINK("https://klasma.github.io/Logging_0482/klagomål/A 45505-2018 FSC-klagomål.docx", "A 45505-2018")</f>
        <v/>
      </c>
      <c r="W38">
        <f>HYPERLINK("https://klasma.github.io/Logging_0482/klagomålsmail/A 45505-2018 FSC-klagomål mail.docx", "A 45505-2018")</f>
        <v/>
      </c>
      <c r="X38">
        <f>HYPERLINK("https://klasma.github.io/Logging_0482/tillsyn/A 45505-2018 tillsynsbegäran.docx", "A 45505-2018")</f>
        <v/>
      </c>
      <c r="Y38">
        <f>HYPERLINK("https://klasma.github.io/Logging_0482/tillsynsmail/A 45505-2018 tillsynsbegäran mail.docx", "A 45505-2018")</f>
        <v/>
      </c>
    </row>
    <row r="39" ht="15" customHeight="1">
      <c r="A39" t="inlineStr">
        <is>
          <t>A 18548-2019</t>
        </is>
      </c>
      <c r="B39" s="1" t="n">
        <v>43558</v>
      </c>
      <c r="C39" s="1" t="n">
        <v>45362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HYPERLINK("https://klasma.github.io/Logging_0482/artfynd/A 18548-2019 artfynd.xlsx", "A 18548-2019")</f>
        <v/>
      </c>
      <c r="T39">
        <f>HYPERLINK("https://klasma.github.io/Logging_0482/kartor/A 18548-2019 karta.png", "A 18548-2019")</f>
        <v/>
      </c>
      <c r="V39">
        <f>HYPERLINK("https://klasma.github.io/Logging_0482/klagomål/A 18548-2019 FSC-klagomål.docx", "A 18548-2019")</f>
        <v/>
      </c>
      <c r="W39">
        <f>HYPERLINK("https://klasma.github.io/Logging_0482/klagomålsmail/A 18548-2019 FSC-klagomål mail.docx", "A 18548-2019")</f>
        <v/>
      </c>
      <c r="X39">
        <f>HYPERLINK("https://klasma.github.io/Logging_0482/tillsyn/A 18548-2019 tillsynsbegäran.docx", "A 18548-2019")</f>
        <v/>
      </c>
      <c r="Y39">
        <f>HYPERLINK("https://klasma.github.io/Logging_0482/tillsynsmail/A 18548-2019 tillsynsbegäran mail.docx", "A 18548-2019")</f>
        <v/>
      </c>
    </row>
    <row r="40" ht="15" customHeight="1">
      <c r="A40" t="inlineStr">
        <is>
          <t>A 35023-2019</t>
        </is>
      </c>
      <c r="B40" s="1" t="n">
        <v>43661</v>
      </c>
      <c r="C40" s="1" t="n">
        <v>45362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12.1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HYPERLINK("https://klasma.github.io/Logging_0482/artfynd/A 35023-2019 artfynd.xlsx", "A 35023-2019")</f>
        <v/>
      </c>
      <c r="T40">
        <f>HYPERLINK("https://klasma.github.io/Logging_0482/kartor/A 35023-2019 karta.png", "A 35023-2019")</f>
        <v/>
      </c>
      <c r="V40">
        <f>HYPERLINK("https://klasma.github.io/Logging_0482/klagomål/A 35023-2019 FSC-klagomål.docx", "A 35023-2019")</f>
        <v/>
      </c>
      <c r="W40">
        <f>HYPERLINK("https://klasma.github.io/Logging_0482/klagomålsmail/A 35023-2019 FSC-klagomål mail.docx", "A 35023-2019")</f>
        <v/>
      </c>
      <c r="X40">
        <f>HYPERLINK("https://klasma.github.io/Logging_0482/tillsyn/A 35023-2019 tillsynsbegäran.docx", "A 35023-2019")</f>
        <v/>
      </c>
      <c r="Y40">
        <f>HYPERLINK("https://klasma.github.io/Logging_0482/tillsynsmail/A 35023-2019 tillsynsbegäran mail.docx", "A 35023-2019")</f>
        <v/>
      </c>
    </row>
    <row r="41" ht="15" customHeight="1">
      <c r="A41" t="inlineStr">
        <is>
          <t>A 39446-2019</t>
        </is>
      </c>
      <c r="B41" s="1" t="n">
        <v>43691</v>
      </c>
      <c r="C41" s="1" t="n">
        <v>45362</v>
      </c>
      <c r="D41" t="inlineStr">
        <is>
          <t>SÖDERMANLANDS LÄN</t>
        </is>
      </c>
      <c r="E41" t="inlineStr">
        <is>
          <t>FLEN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HYPERLINK("https://klasma.github.io/Logging_0482/artfynd/A 39446-2019 artfynd.xlsx", "A 39446-2019")</f>
        <v/>
      </c>
      <c r="T41">
        <f>HYPERLINK("https://klasma.github.io/Logging_0482/kartor/A 39446-2019 karta.png", "A 39446-2019")</f>
        <v/>
      </c>
      <c r="V41">
        <f>HYPERLINK("https://klasma.github.io/Logging_0482/klagomål/A 39446-2019 FSC-klagomål.docx", "A 39446-2019")</f>
        <v/>
      </c>
      <c r="W41">
        <f>HYPERLINK("https://klasma.github.io/Logging_0482/klagomålsmail/A 39446-2019 FSC-klagomål mail.docx", "A 39446-2019")</f>
        <v/>
      </c>
      <c r="X41">
        <f>HYPERLINK("https://klasma.github.io/Logging_0482/tillsyn/A 39446-2019 tillsynsbegäran.docx", "A 39446-2019")</f>
        <v/>
      </c>
      <c r="Y41">
        <f>HYPERLINK("https://klasma.github.io/Logging_0482/tillsynsmail/A 39446-2019 tillsynsbegäran mail.docx", "A 39446-2019")</f>
        <v/>
      </c>
    </row>
    <row r="42" ht="15" customHeight="1">
      <c r="A42" t="inlineStr">
        <is>
          <t>A 43329-2019</t>
        </is>
      </c>
      <c r="B42" s="1" t="n">
        <v>43703</v>
      </c>
      <c r="C42" s="1" t="n">
        <v>45362</v>
      </c>
      <c r="D42" t="inlineStr">
        <is>
          <t>SÖDERMANLANDS LÄN</t>
        </is>
      </c>
      <c r="E42" t="inlineStr">
        <is>
          <t>FLEN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HYPERLINK("https://klasma.github.io/Logging_0482/artfynd/A 43329-2019 artfynd.xlsx", "A 43329-2019")</f>
        <v/>
      </c>
      <c r="T42">
        <f>HYPERLINK("https://klasma.github.io/Logging_0482/kartor/A 43329-2019 karta.png", "A 43329-2019")</f>
        <v/>
      </c>
      <c r="U42">
        <f>HYPERLINK("https://klasma.github.io/Logging_0482/knärot/A 43329-2019 karta knärot.png", "A 43329-2019")</f>
        <v/>
      </c>
      <c r="V42">
        <f>HYPERLINK("https://klasma.github.io/Logging_0482/klagomål/A 43329-2019 FSC-klagomål.docx", "A 43329-2019")</f>
        <v/>
      </c>
      <c r="W42">
        <f>HYPERLINK("https://klasma.github.io/Logging_0482/klagomålsmail/A 43329-2019 FSC-klagomål mail.docx", "A 43329-2019")</f>
        <v/>
      </c>
      <c r="X42">
        <f>HYPERLINK("https://klasma.github.io/Logging_0482/tillsyn/A 43329-2019 tillsynsbegäran.docx", "A 43329-2019")</f>
        <v/>
      </c>
      <c r="Y42">
        <f>HYPERLINK("https://klasma.github.io/Logging_0482/tillsynsmail/A 43329-2019 tillsynsbegäran mail.docx", "A 43329-2019")</f>
        <v/>
      </c>
    </row>
    <row r="43" ht="15" customHeight="1">
      <c r="A43" t="inlineStr">
        <is>
          <t>A 43369-2019</t>
        </is>
      </c>
      <c r="B43" s="1" t="n">
        <v>43703</v>
      </c>
      <c r="C43" s="1" t="n">
        <v>45362</v>
      </c>
      <c r="D43" t="inlineStr">
        <is>
          <t>SÖDERMANLANDS LÄN</t>
        </is>
      </c>
      <c r="E43" t="inlineStr">
        <is>
          <t>FLEN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Fyrflikig jordstjärna</t>
        </is>
      </c>
      <c r="S43">
        <f>HYPERLINK("https://klasma.github.io/Logging_0482/artfynd/A 43369-2019 artfynd.xlsx", "A 43369-2019")</f>
        <v/>
      </c>
      <c r="T43">
        <f>HYPERLINK("https://klasma.github.io/Logging_0482/kartor/A 43369-2019 karta.png", "A 43369-2019")</f>
        <v/>
      </c>
      <c r="V43">
        <f>HYPERLINK("https://klasma.github.io/Logging_0482/klagomål/A 43369-2019 FSC-klagomål.docx", "A 43369-2019")</f>
        <v/>
      </c>
      <c r="W43">
        <f>HYPERLINK("https://klasma.github.io/Logging_0482/klagomålsmail/A 43369-2019 FSC-klagomål mail.docx", "A 43369-2019")</f>
        <v/>
      </c>
      <c r="X43">
        <f>HYPERLINK("https://klasma.github.io/Logging_0482/tillsyn/A 43369-2019 tillsynsbegäran.docx", "A 43369-2019")</f>
        <v/>
      </c>
      <c r="Y43">
        <f>HYPERLINK("https://klasma.github.io/Logging_0482/tillsynsmail/A 43369-2019 tillsynsbegäran mail.docx", "A 43369-2019")</f>
        <v/>
      </c>
    </row>
    <row r="44" ht="15" customHeight="1">
      <c r="A44" t="inlineStr">
        <is>
          <t>A 54418-2019</t>
        </is>
      </c>
      <c r="B44" s="1" t="n">
        <v>43747</v>
      </c>
      <c r="C44" s="1" t="n">
        <v>45362</v>
      </c>
      <c r="D44" t="inlineStr">
        <is>
          <t>SÖDERMANLANDS LÄN</t>
        </is>
      </c>
      <c r="E44" t="inlineStr">
        <is>
          <t>FLEN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Svedjenäva</t>
        </is>
      </c>
      <c r="S44">
        <f>HYPERLINK("https://klasma.github.io/Logging_0482/artfynd/A 54418-2019 artfynd.xlsx", "A 54418-2019")</f>
        <v/>
      </c>
      <c r="T44">
        <f>HYPERLINK("https://klasma.github.io/Logging_0482/kartor/A 54418-2019 karta.png", "A 54418-2019")</f>
        <v/>
      </c>
      <c r="V44">
        <f>HYPERLINK("https://klasma.github.io/Logging_0482/klagomål/A 54418-2019 FSC-klagomål.docx", "A 54418-2019")</f>
        <v/>
      </c>
      <c r="W44">
        <f>HYPERLINK("https://klasma.github.io/Logging_0482/klagomålsmail/A 54418-2019 FSC-klagomål mail.docx", "A 54418-2019")</f>
        <v/>
      </c>
      <c r="X44">
        <f>HYPERLINK("https://klasma.github.io/Logging_0482/tillsyn/A 54418-2019 tillsynsbegäran.docx", "A 54418-2019")</f>
        <v/>
      </c>
      <c r="Y44">
        <f>HYPERLINK("https://klasma.github.io/Logging_0482/tillsynsmail/A 54418-2019 tillsynsbegäran mail.docx", "A 54418-2019")</f>
        <v/>
      </c>
    </row>
    <row r="45" ht="15" customHeight="1">
      <c r="A45" t="inlineStr">
        <is>
          <t>A 55376-2019</t>
        </is>
      </c>
      <c r="B45" s="1" t="n">
        <v>43754</v>
      </c>
      <c r="C45" s="1" t="n">
        <v>45362</v>
      </c>
      <c r="D45" t="inlineStr">
        <is>
          <t>SÖDERMANLANDS LÄN</t>
        </is>
      </c>
      <c r="E45" t="inlineStr">
        <is>
          <t>FLEN</t>
        </is>
      </c>
      <c r="G45" t="n">
        <v>6.5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Skogshare</t>
        </is>
      </c>
      <c r="S45">
        <f>HYPERLINK("https://klasma.github.io/Logging_0482/artfynd/A 55376-2019 artfynd.xlsx", "A 55376-2019")</f>
        <v/>
      </c>
      <c r="T45">
        <f>HYPERLINK("https://klasma.github.io/Logging_0482/kartor/A 55376-2019 karta.png", "A 55376-2019")</f>
        <v/>
      </c>
      <c r="V45">
        <f>HYPERLINK("https://klasma.github.io/Logging_0482/klagomål/A 55376-2019 FSC-klagomål.docx", "A 55376-2019")</f>
        <v/>
      </c>
      <c r="W45">
        <f>HYPERLINK("https://klasma.github.io/Logging_0482/klagomålsmail/A 55376-2019 FSC-klagomål mail.docx", "A 55376-2019")</f>
        <v/>
      </c>
      <c r="X45">
        <f>HYPERLINK("https://klasma.github.io/Logging_0482/tillsyn/A 55376-2019 tillsynsbegäran.docx", "A 55376-2019")</f>
        <v/>
      </c>
      <c r="Y45">
        <f>HYPERLINK("https://klasma.github.io/Logging_0482/tillsynsmail/A 55376-2019 tillsynsbegäran mail.docx", "A 55376-2019")</f>
        <v/>
      </c>
    </row>
    <row r="46" ht="15" customHeight="1">
      <c r="A46" t="inlineStr">
        <is>
          <t>A 60216-2019</t>
        </is>
      </c>
      <c r="B46" s="1" t="n">
        <v>43776</v>
      </c>
      <c r="C46" s="1" t="n">
        <v>45362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HYPERLINK("https://klasma.github.io/Logging_0482/artfynd/A 60216-2019 artfynd.xlsx", "A 60216-2019")</f>
        <v/>
      </c>
      <c r="T46">
        <f>HYPERLINK("https://klasma.github.io/Logging_0482/kartor/A 60216-2019 karta.png", "A 60216-2019")</f>
        <v/>
      </c>
      <c r="V46">
        <f>HYPERLINK("https://klasma.github.io/Logging_0482/klagomål/A 60216-2019 FSC-klagomål.docx", "A 60216-2019")</f>
        <v/>
      </c>
      <c r="W46">
        <f>HYPERLINK("https://klasma.github.io/Logging_0482/klagomålsmail/A 60216-2019 FSC-klagomål mail.docx", "A 60216-2019")</f>
        <v/>
      </c>
      <c r="X46">
        <f>HYPERLINK("https://klasma.github.io/Logging_0482/tillsyn/A 60216-2019 tillsynsbegäran.docx", "A 60216-2019")</f>
        <v/>
      </c>
      <c r="Y46">
        <f>HYPERLINK("https://klasma.github.io/Logging_0482/tillsynsmail/A 60216-2019 tillsynsbegäran mail.docx", "A 60216-2019")</f>
        <v/>
      </c>
    </row>
    <row r="47" ht="15" customHeight="1">
      <c r="A47" t="inlineStr">
        <is>
          <t>A 4372-2020</t>
        </is>
      </c>
      <c r="B47" s="1" t="n">
        <v>43858</v>
      </c>
      <c r="C47" s="1" t="n">
        <v>45362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Svedjenäva</t>
        </is>
      </c>
      <c r="S47">
        <f>HYPERLINK("https://klasma.github.io/Logging_0482/artfynd/A 4372-2020 artfynd.xlsx", "A 4372-2020")</f>
        <v/>
      </c>
      <c r="T47">
        <f>HYPERLINK("https://klasma.github.io/Logging_0482/kartor/A 4372-2020 karta.png", "A 4372-2020")</f>
        <v/>
      </c>
      <c r="V47">
        <f>HYPERLINK("https://klasma.github.io/Logging_0482/klagomål/A 4372-2020 FSC-klagomål.docx", "A 4372-2020")</f>
        <v/>
      </c>
      <c r="W47">
        <f>HYPERLINK("https://klasma.github.io/Logging_0482/klagomålsmail/A 4372-2020 FSC-klagomål mail.docx", "A 4372-2020")</f>
        <v/>
      </c>
      <c r="X47">
        <f>HYPERLINK("https://klasma.github.io/Logging_0482/tillsyn/A 4372-2020 tillsynsbegäran.docx", "A 4372-2020")</f>
        <v/>
      </c>
      <c r="Y47">
        <f>HYPERLINK("https://klasma.github.io/Logging_0482/tillsynsmail/A 4372-2020 tillsynsbegäran mail.docx", "A 4372-2020")</f>
        <v/>
      </c>
    </row>
    <row r="48" ht="15" customHeight="1">
      <c r="A48" t="inlineStr">
        <is>
          <t>A 5210-2020</t>
        </is>
      </c>
      <c r="B48" s="1" t="n">
        <v>43860</v>
      </c>
      <c r="C48" s="1" t="n">
        <v>45362</v>
      </c>
      <c r="D48" t="inlineStr">
        <is>
          <t>SÖDERMANLANDS LÄN</t>
        </is>
      </c>
      <c r="E48" t="inlineStr">
        <is>
          <t>FLEN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5210-2020 artfynd.xlsx", "A 5210-2020")</f>
        <v/>
      </c>
      <c r="T48">
        <f>HYPERLINK("https://klasma.github.io/Logging_0482/kartor/A 5210-2020 karta.png", "A 5210-2020")</f>
        <v/>
      </c>
      <c r="V48">
        <f>HYPERLINK("https://klasma.github.io/Logging_0482/klagomål/A 5210-2020 FSC-klagomål.docx", "A 5210-2020")</f>
        <v/>
      </c>
      <c r="W48">
        <f>HYPERLINK("https://klasma.github.io/Logging_0482/klagomålsmail/A 5210-2020 FSC-klagomål mail.docx", "A 5210-2020")</f>
        <v/>
      </c>
      <c r="X48">
        <f>HYPERLINK("https://klasma.github.io/Logging_0482/tillsyn/A 5210-2020 tillsynsbegäran.docx", "A 5210-2020")</f>
        <v/>
      </c>
      <c r="Y48">
        <f>HYPERLINK("https://klasma.github.io/Logging_0482/tillsynsmail/A 5210-2020 tillsynsbegäran mail.docx", "A 5210-2020")</f>
        <v/>
      </c>
    </row>
    <row r="49" ht="15" customHeight="1">
      <c r="A49" t="inlineStr">
        <is>
          <t>A 20001-2020</t>
        </is>
      </c>
      <c r="B49" s="1" t="n">
        <v>43943</v>
      </c>
      <c r="C49" s="1" t="n">
        <v>45362</v>
      </c>
      <c r="D49" t="inlineStr">
        <is>
          <t>SÖDERMANLANDS LÄN</t>
        </is>
      </c>
      <c r="E49" t="inlineStr">
        <is>
          <t>FLEN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20001-2020 artfynd.xlsx", "A 20001-2020")</f>
        <v/>
      </c>
      <c r="T49">
        <f>HYPERLINK("https://klasma.github.io/Logging_0482/kartor/A 20001-2020 karta.png", "A 20001-2020")</f>
        <v/>
      </c>
      <c r="V49">
        <f>HYPERLINK("https://klasma.github.io/Logging_0482/klagomål/A 20001-2020 FSC-klagomål.docx", "A 20001-2020")</f>
        <v/>
      </c>
      <c r="W49">
        <f>HYPERLINK("https://klasma.github.io/Logging_0482/klagomålsmail/A 20001-2020 FSC-klagomål mail.docx", "A 20001-2020")</f>
        <v/>
      </c>
      <c r="X49">
        <f>HYPERLINK("https://klasma.github.io/Logging_0482/tillsyn/A 20001-2020 tillsynsbegäran.docx", "A 20001-2020")</f>
        <v/>
      </c>
      <c r="Y49">
        <f>HYPERLINK("https://klasma.github.io/Logging_0482/tillsynsmail/A 20001-2020 tillsynsbegäran mail.docx", "A 20001-2020")</f>
        <v/>
      </c>
    </row>
    <row r="50" ht="15" customHeight="1">
      <c r="A50" t="inlineStr">
        <is>
          <t>A 21704-2020</t>
        </is>
      </c>
      <c r="B50" s="1" t="n">
        <v>43957</v>
      </c>
      <c r="C50" s="1" t="n">
        <v>45362</v>
      </c>
      <c r="D50" t="inlineStr">
        <is>
          <t>SÖDERMANLANDS LÄN</t>
        </is>
      </c>
      <c r="E50" t="inlineStr">
        <is>
          <t>FLEN</t>
        </is>
      </c>
      <c r="G50" t="n">
        <v>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HYPERLINK("https://klasma.github.io/Logging_0482/artfynd/A 21704-2020 artfynd.xlsx", "A 21704-2020")</f>
        <v/>
      </c>
      <c r="T50">
        <f>HYPERLINK("https://klasma.github.io/Logging_0482/kartor/A 21704-2020 karta.png", "A 21704-2020")</f>
        <v/>
      </c>
      <c r="V50">
        <f>HYPERLINK("https://klasma.github.io/Logging_0482/klagomål/A 21704-2020 FSC-klagomål.docx", "A 21704-2020")</f>
        <v/>
      </c>
      <c r="W50">
        <f>HYPERLINK("https://klasma.github.io/Logging_0482/klagomålsmail/A 21704-2020 FSC-klagomål mail.docx", "A 21704-2020")</f>
        <v/>
      </c>
      <c r="X50">
        <f>HYPERLINK("https://klasma.github.io/Logging_0482/tillsyn/A 21704-2020 tillsynsbegäran.docx", "A 21704-2020")</f>
        <v/>
      </c>
      <c r="Y50">
        <f>HYPERLINK("https://klasma.github.io/Logging_0482/tillsynsmail/A 21704-2020 tillsynsbegäran mail.docx", "A 21704-2020")</f>
        <v/>
      </c>
      <c r="Z50">
        <f>HYPERLINK("https://klasma.github.io/Logging_0482/fåglar/A 21704-2020 prioriterade fågelarter.docx", "A 21704-2020")</f>
        <v/>
      </c>
    </row>
    <row r="51" ht="15" customHeight="1">
      <c r="A51" t="inlineStr">
        <is>
          <t>A 31870-2020</t>
        </is>
      </c>
      <c r="B51" s="1" t="n">
        <v>44014</v>
      </c>
      <c r="C51" s="1" t="n">
        <v>45362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10.1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HYPERLINK("https://klasma.github.io/Logging_0482/artfynd/A 31870-2020 artfynd.xlsx", "A 31870-2020")</f>
        <v/>
      </c>
      <c r="T51">
        <f>HYPERLINK("https://klasma.github.io/Logging_0482/kartor/A 31870-2020 karta.png", "A 31870-2020")</f>
        <v/>
      </c>
      <c r="V51">
        <f>HYPERLINK("https://klasma.github.io/Logging_0482/klagomål/A 31870-2020 FSC-klagomål.docx", "A 31870-2020")</f>
        <v/>
      </c>
      <c r="W51">
        <f>HYPERLINK("https://klasma.github.io/Logging_0482/klagomålsmail/A 31870-2020 FSC-klagomål mail.docx", "A 31870-2020")</f>
        <v/>
      </c>
      <c r="X51">
        <f>HYPERLINK("https://klasma.github.io/Logging_0482/tillsyn/A 31870-2020 tillsynsbegäran.docx", "A 31870-2020")</f>
        <v/>
      </c>
      <c r="Y51">
        <f>HYPERLINK("https://klasma.github.io/Logging_0482/tillsynsmail/A 31870-2020 tillsynsbegäran mail.docx", "A 31870-2020")</f>
        <v/>
      </c>
    </row>
    <row r="52" ht="15" customHeight="1">
      <c r="A52" t="inlineStr">
        <is>
          <t>A 55009-2020</t>
        </is>
      </c>
      <c r="B52" s="1" t="n">
        <v>44127</v>
      </c>
      <c r="C52" s="1" t="n">
        <v>45362</v>
      </c>
      <c r="D52" t="inlineStr">
        <is>
          <t>SÖDERMANLANDS LÄN</t>
        </is>
      </c>
      <c r="E52" t="inlineStr">
        <is>
          <t>FLEN</t>
        </is>
      </c>
      <c r="G52" t="n">
        <v>26.6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55009-2020 artfynd.xlsx", "A 55009-2020")</f>
        <v/>
      </c>
      <c r="T52">
        <f>HYPERLINK("https://klasma.github.io/Logging_0482/kartor/A 55009-2020 karta.png", "A 55009-2020")</f>
        <v/>
      </c>
      <c r="V52">
        <f>HYPERLINK("https://klasma.github.io/Logging_0482/klagomål/A 55009-2020 FSC-klagomål.docx", "A 55009-2020")</f>
        <v/>
      </c>
      <c r="W52">
        <f>HYPERLINK("https://klasma.github.io/Logging_0482/klagomålsmail/A 55009-2020 FSC-klagomål mail.docx", "A 55009-2020")</f>
        <v/>
      </c>
      <c r="X52">
        <f>HYPERLINK("https://klasma.github.io/Logging_0482/tillsyn/A 55009-2020 tillsynsbegäran.docx", "A 55009-2020")</f>
        <v/>
      </c>
      <c r="Y52">
        <f>HYPERLINK("https://klasma.github.io/Logging_0482/tillsynsmail/A 55009-2020 tillsynsbegäran mail.docx", "A 55009-2020")</f>
        <v/>
      </c>
    </row>
    <row r="53" ht="15" customHeight="1">
      <c r="A53" t="inlineStr">
        <is>
          <t>A 37347-2021</t>
        </is>
      </c>
      <c r="B53" s="1" t="n">
        <v>44397</v>
      </c>
      <c r="C53" s="1" t="n">
        <v>45362</v>
      </c>
      <c r="D53" t="inlineStr">
        <is>
          <t>SÖDERMANLANDS LÄN</t>
        </is>
      </c>
      <c r="E53" t="inlineStr">
        <is>
          <t>FLEN</t>
        </is>
      </c>
      <c r="F53" t="inlineStr">
        <is>
          <t>Övriga statliga verk och myndigheter</t>
        </is>
      </c>
      <c r="G53" t="n">
        <v>5.9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snok</t>
        </is>
      </c>
      <c r="S53">
        <f>HYPERLINK("https://klasma.github.io/Logging_0482/artfynd/A 37347-2021 artfynd.xlsx", "A 37347-2021")</f>
        <v/>
      </c>
      <c r="T53">
        <f>HYPERLINK("https://klasma.github.io/Logging_0482/kartor/A 37347-2021 karta.png", "A 37347-2021")</f>
        <v/>
      </c>
      <c r="V53">
        <f>HYPERLINK("https://klasma.github.io/Logging_0482/klagomål/A 37347-2021 FSC-klagomål.docx", "A 37347-2021")</f>
        <v/>
      </c>
      <c r="W53">
        <f>HYPERLINK("https://klasma.github.io/Logging_0482/klagomålsmail/A 37347-2021 FSC-klagomål mail.docx", "A 37347-2021")</f>
        <v/>
      </c>
      <c r="X53">
        <f>HYPERLINK("https://klasma.github.io/Logging_0482/tillsyn/A 37347-2021 tillsynsbegäran.docx", "A 37347-2021")</f>
        <v/>
      </c>
      <c r="Y53">
        <f>HYPERLINK("https://klasma.github.io/Logging_0482/tillsynsmail/A 37347-2021 tillsynsbegäran mail.docx", "A 37347-2021")</f>
        <v/>
      </c>
    </row>
    <row r="54" ht="15" customHeight="1">
      <c r="A54" t="inlineStr">
        <is>
          <t>A 55092-2021</t>
        </is>
      </c>
      <c r="B54" s="1" t="n">
        <v>44474</v>
      </c>
      <c r="C54" s="1" t="n">
        <v>45362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HYPERLINK("https://klasma.github.io/Logging_0482/artfynd/A 55092-2021 artfynd.xlsx", "A 55092-2021")</f>
        <v/>
      </c>
      <c r="T54">
        <f>HYPERLINK("https://klasma.github.io/Logging_0482/kartor/A 55092-2021 karta.png", "A 55092-2021")</f>
        <v/>
      </c>
      <c r="V54">
        <f>HYPERLINK("https://klasma.github.io/Logging_0482/klagomål/A 55092-2021 FSC-klagomål.docx", "A 55092-2021")</f>
        <v/>
      </c>
      <c r="W54">
        <f>HYPERLINK("https://klasma.github.io/Logging_0482/klagomålsmail/A 55092-2021 FSC-klagomål mail.docx", "A 55092-2021")</f>
        <v/>
      </c>
      <c r="X54">
        <f>HYPERLINK("https://klasma.github.io/Logging_0482/tillsyn/A 55092-2021 tillsynsbegäran.docx", "A 55092-2021")</f>
        <v/>
      </c>
      <c r="Y54">
        <f>HYPERLINK("https://klasma.github.io/Logging_0482/tillsynsmail/A 55092-2021 tillsynsbegäran mail.docx", "A 55092-2021")</f>
        <v/>
      </c>
    </row>
    <row r="55" ht="15" customHeight="1">
      <c r="A55" t="inlineStr">
        <is>
          <t>A 57766-2021</t>
        </is>
      </c>
      <c r="B55" s="1" t="n">
        <v>44484</v>
      </c>
      <c r="C55" s="1" t="n">
        <v>45362</v>
      </c>
      <c r="D55" t="inlineStr">
        <is>
          <t>SÖDERMANLANDS LÄN</t>
        </is>
      </c>
      <c r="E55" t="inlineStr">
        <is>
          <t>FLEN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57766-2021 artfynd.xlsx", "A 57766-2021")</f>
        <v/>
      </c>
      <c r="T55">
        <f>HYPERLINK("https://klasma.github.io/Logging_0482/kartor/A 57766-2021 karta.png", "A 57766-2021")</f>
        <v/>
      </c>
      <c r="V55">
        <f>HYPERLINK("https://klasma.github.io/Logging_0482/klagomål/A 57766-2021 FSC-klagomål.docx", "A 57766-2021")</f>
        <v/>
      </c>
      <c r="W55">
        <f>HYPERLINK("https://klasma.github.io/Logging_0482/klagomålsmail/A 57766-2021 FSC-klagomål mail.docx", "A 57766-2021")</f>
        <v/>
      </c>
      <c r="X55">
        <f>HYPERLINK("https://klasma.github.io/Logging_0482/tillsyn/A 57766-2021 tillsynsbegäran.docx", "A 57766-2021")</f>
        <v/>
      </c>
      <c r="Y55">
        <f>HYPERLINK("https://klasma.github.io/Logging_0482/tillsynsmail/A 57766-2021 tillsynsbegäran mail.docx", "A 57766-2021")</f>
        <v/>
      </c>
    </row>
    <row r="56" ht="15" customHeight="1">
      <c r="A56" t="inlineStr">
        <is>
          <t>A 62355-2021</t>
        </is>
      </c>
      <c r="B56" s="1" t="n">
        <v>44503</v>
      </c>
      <c r="C56" s="1" t="n">
        <v>45362</v>
      </c>
      <c r="D56" t="inlineStr">
        <is>
          <t>SÖDERMANLANDS LÄN</t>
        </is>
      </c>
      <c r="E56" t="inlineStr">
        <is>
          <t>FLEN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62355-2021 artfynd.xlsx", "A 62355-2021")</f>
        <v/>
      </c>
      <c r="T56">
        <f>HYPERLINK("https://klasma.github.io/Logging_0482/kartor/A 62355-2021 karta.png", "A 62355-2021")</f>
        <v/>
      </c>
      <c r="V56">
        <f>HYPERLINK("https://klasma.github.io/Logging_0482/klagomål/A 62355-2021 FSC-klagomål.docx", "A 62355-2021")</f>
        <v/>
      </c>
      <c r="W56">
        <f>HYPERLINK("https://klasma.github.io/Logging_0482/klagomålsmail/A 62355-2021 FSC-klagomål mail.docx", "A 62355-2021")</f>
        <v/>
      </c>
      <c r="X56">
        <f>HYPERLINK("https://klasma.github.io/Logging_0482/tillsyn/A 62355-2021 tillsynsbegäran.docx", "A 62355-2021")</f>
        <v/>
      </c>
      <c r="Y56">
        <f>HYPERLINK("https://klasma.github.io/Logging_0482/tillsynsmail/A 62355-2021 tillsynsbegäran mail.docx", "A 62355-2021")</f>
        <v/>
      </c>
    </row>
    <row r="57" ht="15" customHeight="1">
      <c r="A57" t="inlineStr">
        <is>
          <t>A 62535-2021</t>
        </is>
      </c>
      <c r="B57" s="1" t="n">
        <v>44503</v>
      </c>
      <c r="C57" s="1" t="n">
        <v>45362</v>
      </c>
      <c r="D57" t="inlineStr">
        <is>
          <t>SÖDERMANLANDS LÄN</t>
        </is>
      </c>
      <c r="E57" t="inlineStr">
        <is>
          <t>FLEN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HYPERLINK("https://klasma.github.io/Logging_0482/artfynd/A 62535-2021 artfynd.xlsx", "A 62535-2021")</f>
        <v/>
      </c>
      <c r="T57">
        <f>HYPERLINK("https://klasma.github.io/Logging_0482/kartor/A 62535-2021 karta.png", "A 62535-2021")</f>
        <v/>
      </c>
      <c r="V57">
        <f>HYPERLINK("https://klasma.github.io/Logging_0482/klagomål/A 62535-2021 FSC-klagomål.docx", "A 62535-2021")</f>
        <v/>
      </c>
      <c r="W57">
        <f>HYPERLINK("https://klasma.github.io/Logging_0482/klagomålsmail/A 62535-2021 FSC-klagomål mail.docx", "A 62535-2021")</f>
        <v/>
      </c>
      <c r="X57">
        <f>HYPERLINK("https://klasma.github.io/Logging_0482/tillsyn/A 62535-2021 tillsynsbegäran.docx", "A 62535-2021")</f>
        <v/>
      </c>
      <c r="Y57">
        <f>HYPERLINK("https://klasma.github.io/Logging_0482/tillsynsmail/A 62535-2021 tillsynsbegäran mail.docx", "A 62535-2021")</f>
        <v/>
      </c>
    </row>
    <row r="58" ht="15" customHeight="1">
      <c r="A58" t="inlineStr">
        <is>
          <t>A 70039-2021</t>
        </is>
      </c>
      <c r="B58" s="1" t="n">
        <v>44533</v>
      </c>
      <c r="C58" s="1" t="n">
        <v>45362</v>
      </c>
      <c r="D58" t="inlineStr">
        <is>
          <t>SÖDERMANLANDS LÄN</t>
        </is>
      </c>
      <c r="E58" t="inlineStr">
        <is>
          <t>FLEN</t>
        </is>
      </c>
      <c r="G58" t="n">
        <v>6.7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70039-2021 artfynd.xlsx", "A 70039-2021")</f>
        <v/>
      </c>
      <c r="T58">
        <f>HYPERLINK("https://klasma.github.io/Logging_0482/kartor/A 70039-2021 karta.png", "A 70039-2021")</f>
        <v/>
      </c>
      <c r="V58">
        <f>HYPERLINK("https://klasma.github.io/Logging_0482/klagomål/A 70039-2021 FSC-klagomål.docx", "A 70039-2021")</f>
        <v/>
      </c>
      <c r="W58">
        <f>HYPERLINK("https://klasma.github.io/Logging_0482/klagomålsmail/A 70039-2021 FSC-klagomål mail.docx", "A 70039-2021")</f>
        <v/>
      </c>
      <c r="X58">
        <f>HYPERLINK("https://klasma.github.io/Logging_0482/tillsyn/A 70039-2021 tillsynsbegäran.docx", "A 70039-2021")</f>
        <v/>
      </c>
      <c r="Y58">
        <f>HYPERLINK("https://klasma.github.io/Logging_0482/tillsynsmail/A 70039-2021 tillsynsbegäran mail.docx", "A 70039-2021")</f>
        <v/>
      </c>
    </row>
    <row r="59" ht="15" customHeight="1">
      <c r="A59" t="inlineStr">
        <is>
          <t>A 73923-2021</t>
        </is>
      </c>
      <c r="B59" s="1" t="n">
        <v>44553</v>
      </c>
      <c r="C59" s="1" t="n">
        <v>45362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HYPERLINK("https://klasma.github.io/Logging_0482/artfynd/A 73923-2021 artfynd.xlsx", "A 73923-2021")</f>
        <v/>
      </c>
      <c r="T59">
        <f>HYPERLINK("https://klasma.github.io/Logging_0482/kartor/A 73923-2021 karta.png", "A 73923-2021")</f>
        <v/>
      </c>
      <c r="V59">
        <f>HYPERLINK("https://klasma.github.io/Logging_0482/klagomål/A 73923-2021 FSC-klagomål.docx", "A 73923-2021")</f>
        <v/>
      </c>
      <c r="W59">
        <f>HYPERLINK("https://klasma.github.io/Logging_0482/klagomålsmail/A 73923-2021 FSC-klagomål mail.docx", "A 73923-2021")</f>
        <v/>
      </c>
      <c r="X59">
        <f>HYPERLINK("https://klasma.github.io/Logging_0482/tillsyn/A 73923-2021 tillsynsbegäran.docx", "A 73923-2021")</f>
        <v/>
      </c>
      <c r="Y59">
        <f>HYPERLINK("https://klasma.github.io/Logging_0482/tillsynsmail/A 73923-2021 tillsynsbegäran mail.docx", "A 73923-2021")</f>
        <v/>
      </c>
    </row>
    <row r="60" ht="15" customHeight="1">
      <c r="A60" t="inlineStr">
        <is>
          <t>A 7883-2022</t>
        </is>
      </c>
      <c r="B60" s="1" t="n">
        <v>44608</v>
      </c>
      <c r="C60" s="1" t="n">
        <v>45362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HYPERLINK("https://klasma.github.io/Logging_0482/artfynd/A 7883-2022 artfynd.xlsx", "A 7883-2022")</f>
        <v/>
      </c>
      <c r="T60">
        <f>HYPERLINK("https://klasma.github.io/Logging_0482/kartor/A 7883-2022 karta.png", "A 7883-2022")</f>
        <v/>
      </c>
      <c r="V60">
        <f>HYPERLINK("https://klasma.github.io/Logging_0482/klagomål/A 7883-2022 FSC-klagomål.docx", "A 7883-2022")</f>
        <v/>
      </c>
      <c r="W60">
        <f>HYPERLINK("https://klasma.github.io/Logging_0482/klagomålsmail/A 7883-2022 FSC-klagomål mail.docx", "A 7883-2022")</f>
        <v/>
      </c>
      <c r="X60">
        <f>HYPERLINK("https://klasma.github.io/Logging_0482/tillsyn/A 7883-2022 tillsynsbegäran.docx", "A 7883-2022")</f>
        <v/>
      </c>
      <c r="Y60">
        <f>HYPERLINK("https://klasma.github.io/Logging_0482/tillsynsmail/A 7883-2022 tillsynsbegäran mail.docx", "A 7883-2022")</f>
        <v/>
      </c>
    </row>
    <row r="61" ht="15" customHeight="1">
      <c r="A61" t="inlineStr">
        <is>
          <t>A 10789-2022</t>
        </is>
      </c>
      <c r="B61" s="1" t="n">
        <v>44624</v>
      </c>
      <c r="C61" s="1" t="n">
        <v>45362</v>
      </c>
      <c r="D61" t="inlineStr">
        <is>
          <t>SÖDERMANLANDS LÄN</t>
        </is>
      </c>
      <c r="E61" t="inlineStr">
        <is>
          <t>FLEN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HYPERLINK("https://klasma.github.io/Logging_0482/artfynd/A 10789-2022 artfynd.xlsx", "A 10789-2022")</f>
        <v/>
      </c>
      <c r="T61">
        <f>HYPERLINK("https://klasma.github.io/Logging_0482/kartor/A 10789-2022 karta.png", "A 10789-2022")</f>
        <v/>
      </c>
      <c r="V61">
        <f>HYPERLINK("https://klasma.github.io/Logging_0482/klagomål/A 10789-2022 FSC-klagomål.docx", "A 10789-2022")</f>
        <v/>
      </c>
      <c r="W61">
        <f>HYPERLINK("https://klasma.github.io/Logging_0482/klagomålsmail/A 10789-2022 FSC-klagomål mail.docx", "A 10789-2022")</f>
        <v/>
      </c>
      <c r="X61">
        <f>HYPERLINK("https://klasma.github.io/Logging_0482/tillsyn/A 10789-2022 tillsynsbegäran.docx", "A 10789-2022")</f>
        <v/>
      </c>
      <c r="Y61">
        <f>HYPERLINK("https://klasma.github.io/Logging_0482/tillsynsmail/A 10789-2022 tillsynsbegäran mail.docx", "A 10789-2022")</f>
        <v/>
      </c>
    </row>
    <row r="62" ht="15" customHeight="1">
      <c r="A62" t="inlineStr">
        <is>
          <t>A 10770-2022</t>
        </is>
      </c>
      <c r="B62" s="1" t="n">
        <v>44624</v>
      </c>
      <c r="C62" s="1" t="n">
        <v>45362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10770-2022 artfynd.xlsx", "A 10770-2022")</f>
        <v/>
      </c>
      <c r="T62">
        <f>HYPERLINK("https://klasma.github.io/Logging_0482/kartor/A 10770-2022 karta.png", "A 10770-2022")</f>
        <v/>
      </c>
      <c r="V62">
        <f>HYPERLINK("https://klasma.github.io/Logging_0482/klagomål/A 10770-2022 FSC-klagomål.docx", "A 10770-2022")</f>
        <v/>
      </c>
      <c r="W62">
        <f>HYPERLINK("https://klasma.github.io/Logging_0482/klagomålsmail/A 10770-2022 FSC-klagomål mail.docx", "A 10770-2022")</f>
        <v/>
      </c>
      <c r="X62">
        <f>HYPERLINK("https://klasma.github.io/Logging_0482/tillsyn/A 10770-2022 tillsynsbegäran.docx", "A 10770-2022")</f>
        <v/>
      </c>
      <c r="Y62">
        <f>HYPERLINK("https://klasma.github.io/Logging_0482/tillsynsmail/A 10770-2022 tillsynsbegäran mail.docx", "A 10770-2022")</f>
        <v/>
      </c>
    </row>
    <row r="63" ht="15" customHeight="1">
      <c r="A63" t="inlineStr">
        <is>
          <t>A 12371-2022</t>
        </is>
      </c>
      <c r="B63" s="1" t="n">
        <v>44637</v>
      </c>
      <c r="C63" s="1" t="n">
        <v>45362</v>
      </c>
      <c r="D63" t="inlineStr">
        <is>
          <t>SÖDERMANLANDS LÄN</t>
        </is>
      </c>
      <c r="E63" t="inlineStr">
        <is>
          <t>FLEN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12371-2022 artfynd.xlsx", "A 12371-2022")</f>
        <v/>
      </c>
      <c r="T63">
        <f>HYPERLINK("https://klasma.github.io/Logging_0482/kartor/A 12371-2022 karta.png", "A 12371-2022")</f>
        <v/>
      </c>
      <c r="V63">
        <f>HYPERLINK("https://klasma.github.io/Logging_0482/klagomål/A 12371-2022 FSC-klagomål.docx", "A 12371-2022")</f>
        <v/>
      </c>
      <c r="W63">
        <f>HYPERLINK("https://klasma.github.io/Logging_0482/klagomålsmail/A 12371-2022 FSC-klagomål mail.docx", "A 12371-2022")</f>
        <v/>
      </c>
      <c r="X63">
        <f>HYPERLINK("https://klasma.github.io/Logging_0482/tillsyn/A 12371-2022 tillsynsbegäran.docx", "A 12371-2022")</f>
        <v/>
      </c>
      <c r="Y63">
        <f>HYPERLINK("https://klasma.github.io/Logging_0482/tillsynsmail/A 12371-2022 tillsynsbegäran mail.docx", "A 12371-2022")</f>
        <v/>
      </c>
    </row>
    <row r="64" ht="15" customHeight="1">
      <c r="A64" t="inlineStr">
        <is>
          <t>A 26245-2022</t>
        </is>
      </c>
      <c r="B64" s="1" t="n">
        <v>44735</v>
      </c>
      <c r="C64" s="1" t="n">
        <v>45362</v>
      </c>
      <c r="D64" t="inlineStr">
        <is>
          <t>SÖDERMANLANDS LÄN</t>
        </is>
      </c>
      <c r="E64" t="inlineStr">
        <is>
          <t>FLEN</t>
        </is>
      </c>
      <c r="G64" t="n">
        <v>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HYPERLINK("https://klasma.github.io/Logging_0482/artfynd/A 26245-2022 artfynd.xlsx", "A 26245-2022")</f>
        <v/>
      </c>
      <c r="T64">
        <f>HYPERLINK("https://klasma.github.io/Logging_0482/kartor/A 26245-2022 karta.png", "A 26245-2022")</f>
        <v/>
      </c>
      <c r="V64">
        <f>HYPERLINK("https://klasma.github.io/Logging_0482/klagomål/A 26245-2022 FSC-klagomål.docx", "A 26245-2022")</f>
        <v/>
      </c>
      <c r="W64">
        <f>HYPERLINK("https://klasma.github.io/Logging_0482/klagomålsmail/A 26245-2022 FSC-klagomål mail.docx", "A 26245-2022")</f>
        <v/>
      </c>
      <c r="X64">
        <f>HYPERLINK("https://klasma.github.io/Logging_0482/tillsyn/A 26245-2022 tillsynsbegäran.docx", "A 26245-2022")</f>
        <v/>
      </c>
      <c r="Y64">
        <f>HYPERLINK("https://klasma.github.io/Logging_0482/tillsynsmail/A 26245-2022 tillsynsbegäran mail.docx", "A 26245-2022")</f>
        <v/>
      </c>
    </row>
    <row r="65" ht="15" customHeight="1">
      <c r="A65" t="inlineStr">
        <is>
          <t>A 34498-2022</t>
        </is>
      </c>
      <c r="B65" s="1" t="n">
        <v>44792</v>
      </c>
      <c r="C65" s="1" t="n">
        <v>45362</v>
      </c>
      <c r="D65" t="inlineStr">
        <is>
          <t>SÖDERMANLANDS LÄN</t>
        </is>
      </c>
      <c r="E65" t="inlineStr">
        <is>
          <t>FLEN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34498-2022 artfynd.xlsx", "A 34498-2022")</f>
        <v/>
      </c>
      <c r="T65">
        <f>HYPERLINK("https://klasma.github.io/Logging_0482/kartor/A 34498-2022 karta.png", "A 34498-2022")</f>
        <v/>
      </c>
      <c r="V65">
        <f>HYPERLINK("https://klasma.github.io/Logging_0482/klagomål/A 34498-2022 FSC-klagomål.docx", "A 34498-2022")</f>
        <v/>
      </c>
      <c r="W65">
        <f>HYPERLINK("https://klasma.github.io/Logging_0482/klagomålsmail/A 34498-2022 FSC-klagomål mail.docx", "A 34498-2022")</f>
        <v/>
      </c>
      <c r="X65">
        <f>HYPERLINK("https://klasma.github.io/Logging_0482/tillsyn/A 34498-2022 tillsynsbegäran.docx", "A 34498-2022")</f>
        <v/>
      </c>
      <c r="Y65">
        <f>HYPERLINK("https://klasma.github.io/Logging_0482/tillsynsmail/A 34498-2022 tillsynsbegäran mail.docx", "A 34498-2022")</f>
        <v/>
      </c>
    </row>
    <row r="66" ht="15" customHeight="1">
      <c r="A66" t="inlineStr">
        <is>
          <t>A 35278-2022</t>
        </is>
      </c>
      <c r="B66" s="1" t="n">
        <v>44798</v>
      </c>
      <c r="C66" s="1" t="n">
        <v>45362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HYPERLINK("https://klasma.github.io/Logging_0482/artfynd/A 35278-2022 artfynd.xlsx", "A 35278-2022")</f>
        <v/>
      </c>
      <c r="T66">
        <f>HYPERLINK("https://klasma.github.io/Logging_0482/kartor/A 35278-2022 karta.png", "A 35278-2022")</f>
        <v/>
      </c>
      <c r="V66">
        <f>HYPERLINK("https://klasma.github.io/Logging_0482/klagomål/A 35278-2022 FSC-klagomål.docx", "A 35278-2022")</f>
        <v/>
      </c>
      <c r="W66">
        <f>HYPERLINK("https://klasma.github.io/Logging_0482/klagomålsmail/A 35278-2022 FSC-klagomål mail.docx", "A 35278-2022")</f>
        <v/>
      </c>
      <c r="X66">
        <f>HYPERLINK("https://klasma.github.io/Logging_0482/tillsyn/A 35278-2022 tillsynsbegäran.docx", "A 35278-2022")</f>
        <v/>
      </c>
      <c r="Y66">
        <f>HYPERLINK("https://klasma.github.io/Logging_0482/tillsynsmail/A 35278-2022 tillsynsbegäran mail.docx", "A 35278-2022")</f>
        <v/>
      </c>
    </row>
    <row r="67" ht="15" customHeight="1">
      <c r="A67" t="inlineStr">
        <is>
          <t>A 47756-2022</t>
        </is>
      </c>
      <c r="B67" s="1" t="n">
        <v>44854</v>
      </c>
      <c r="C67" s="1" t="n">
        <v>45362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47756-2022 artfynd.xlsx", "A 47756-2022")</f>
        <v/>
      </c>
      <c r="T67">
        <f>HYPERLINK("https://klasma.github.io/Logging_0482/kartor/A 47756-2022 karta.png", "A 47756-2022")</f>
        <v/>
      </c>
      <c r="V67">
        <f>HYPERLINK("https://klasma.github.io/Logging_0482/klagomål/A 47756-2022 FSC-klagomål.docx", "A 47756-2022")</f>
        <v/>
      </c>
      <c r="W67">
        <f>HYPERLINK("https://klasma.github.io/Logging_0482/klagomålsmail/A 47756-2022 FSC-klagomål mail.docx", "A 47756-2022")</f>
        <v/>
      </c>
      <c r="X67">
        <f>HYPERLINK("https://klasma.github.io/Logging_0482/tillsyn/A 47756-2022 tillsynsbegäran.docx", "A 47756-2022")</f>
        <v/>
      </c>
      <c r="Y67">
        <f>HYPERLINK("https://klasma.github.io/Logging_0482/tillsynsmail/A 47756-2022 tillsynsbegäran mail.docx", "A 47756-2022")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45362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60591-2022</t>
        </is>
      </c>
      <c r="B69" s="1" t="n">
        <v>44911</v>
      </c>
      <c r="C69" s="1" t="n">
        <v>45362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HYPERLINK("https://klasma.github.io/Logging_0482/artfynd/A 60591-2022 artfynd.xlsx", "A 60591-2022")</f>
        <v/>
      </c>
      <c r="T69">
        <f>HYPERLINK("https://klasma.github.io/Logging_0482/kartor/A 60591-2022 karta.png", "A 60591-2022")</f>
        <v/>
      </c>
      <c r="V69">
        <f>HYPERLINK("https://klasma.github.io/Logging_0482/klagomål/A 60591-2022 FSC-klagomål.docx", "A 60591-2022")</f>
        <v/>
      </c>
      <c r="W69">
        <f>HYPERLINK("https://klasma.github.io/Logging_0482/klagomålsmail/A 60591-2022 FSC-klagomål mail.docx", "A 60591-2022")</f>
        <v/>
      </c>
      <c r="X69">
        <f>HYPERLINK("https://klasma.github.io/Logging_0482/tillsyn/A 60591-2022 tillsynsbegäran.docx", "A 60591-2022")</f>
        <v/>
      </c>
      <c r="Y69">
        <f>HYPERLINK("https://klasma.github.io/Logging_0482/tillsynsmail/A 60591-2022 tillsynsbegäran mail.docx", "A 60591-2022")</f>
        <v/>
      </c>
    </row>
    <row r="70" ht="15" customHeight="1">
      <c r="A70" t="inlineStr">
        <is>
          <t>A 882-2023</t>
        </is>
      </c>
      <c r="B70" s="1" t="n">
        <v>44931</v>
      </c>
      <c r="C70" s="1" t="n">
        <v>45362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Aspvedgnagare</t>
        </is>
      </c>
      <c r="S70">
        <f>HYPERLINK("https://klasma.github.io/Logging_0482/artfynd/A 882-2023 artfynd.xlsx", "A 882-2023")</f>
        <v/>
      </c>
      <c r="T70">
        <f>HYPERLINK("https://klasma.github.io/Logging_0482/kartor/A 882-2023 karta.png", "A 882-2023")</f>
        <v/>
      </c>
      <c r="V70">
        <f>HYPERLINK("https://klasma.github.io/Logging_0482/klagomål/A 882-2023 FSC-klagomål.docx", "A 882-2023")</f>
        <v/>
      </c>
      <c r="W70">
        <f>HYPERLINK("https://klasma.github.io/Logging_0482/klagomålsmail/A 882-2023 FSC-klagomål mail.docx", "A 882-2023")</f>
        <v/>
      </c>
      <c r="X70">
        <f>HYPERLINK("https://klasma.github.io/Logging_0482/tillsyn/A 882-2023 tillsynsbegäran.docx", "A 882-2023")</f>
        <v/>
      </c>
      <c r="Y70">
        <f>HYPERLINK("https://klasma.github.io/Logging_0482/tillsynsmail/A 882-2023 tillsynsbegäran mail.docx", "A 882-2023")</f>
        <v/>
      </c>
    </row>
    <row r="71" ht="15" customHeight="1">
      <c r="A71" t="inlineStr">
        <is>
          <t>A 4551-2023</t>
        </is>
      </c>
      <c r="B71" s="1" t="n">
        <v>44956</v>
      </c>
      <c r="C71" s="1" t="n">
        <v>45362</v>
      </c>
      <c r="D71" t="inlineStr">
        <is>
          <t>SÖDERMANLANDS LÄN</t>
        </is>
      </c>
      <c r="E71" t="inlineStr">
        <is>
          <t>FLEN</t>
        </is>
      </c>
      <c r="G71" t="n">
        <v>6.6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HYPERLINK("https://klasma.github.io/Logging_0482/artfynd/A 4551-2023 artfynd.xlsx", "A 4551-2023")</f>
        <v/>
      </c>
      <c r="T71">
        <f>HYPERLINK("https://klasma.github.io/Logging_0482/kartor/A 4551-2023 karta.png", "A 4551-2023")</f>
        <v/>
      </c>
      <c r="V71">
        <f>HYPERLINK("https://klasma.github.io/Logging_0482/klagomål/A 4551-2023 FSC-klagomål.docx", "A 4551-2023")</f>
        <v/>
      </c>
      <c r="W71">
        <f>HYPERLINK("https://klasma.github.io/Logging_0482/klagomålsmail/A 4551-2023 FSC-klagomål mail.docx", "A 4551-2023")</f>
        <v/>
      </c>
      <c r="X71">
        <f>HYPERLINK("https://klasma.github.io/Logging_0482/tillsyn/A 4551-2023 tillsynsbegäran.docx", "A 4551-2023")</f>
        <v/>
      </c>
      <c r="Y71">
        <f>HYPERLINK("https://klasma.github.io/Logging_0482/tillsynsmail/A 4551-2023 tillsynsbegäran mail.docx", "A 4551-2023")</f>
        <v/>
      </c>
    </row>
    <row r="72" ht="15" customHeight="1">
      <c r="A72" t="inlineStr">
        <is>
          <t>A 4699-2023</t>
        </is>
      </c>
      <c r="B72" s="1" t="n">
        <v>44957</v>
      </c>
      <c r="C72" s="1" t="n">
        <v>45362</v>
      </c>
      <c r="D72" t="inlineStr">
        <is>
          <t>SÖDERMANLANDS LÄN</t>
        </is>
      </c>
      <c r="E72" t="inlineStr">
        <is>
          <t>FLEN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4699-2023 artfynd.xlsx", "A 4699-2023")</f>
        <v/>
      </c>
      <c r="T72">
        <f>HYPERLINK("https://klasma.github.io/Logging_0482/kartor/A 4699-2023 karta.png", "A 4699-2023")</f>
        <v/>
      </c>
      <c r="V72">
        <f>HYPERLINK("https://klasma.github.io/Logging_0482/klagomål/A 4699-2023 FSC-klagomål.docx", "A 4699-2023")</f>
        <v/>
      </c>
      <c r="W72">
        <f>HYPERLINK("https://klasma.github.io/Logging_0482/klagomålsmail/A 4699-2023 FSC-klagomål mail.docx", "A 4699-2023")</f>
        <v/>
      </c>
      <c r="X72">
        <f>HYPERLINK("https://klasma.github.io/Logging_0482/tillsyn/A 4699-2023 tillsynsbegäran.docx", "A 4699-2023")</f>
        <v/>
      </c>
      <c r="Y72">
        <f>HYPERLINK("https://klasma.github.io/Logging_0482/tillsynsmail/A 4699-2023 tillsynsbegäran mail.docx", "A 4699-2023")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45362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10107-2023</t>
        </is>
      </c>
      <c r="B74" s="1" t="n">
        <v>44986</v>
      </c>
      <c r="C74" s="1" t="n">
        <v>45362</v>
      </c>
      <c r="D74" t="inlineStr">
        <is>
          <t>SÖDERMANLANDS LÄN</t>
        </is>
      </c>
      <c r="E74" t="inlineStr">
        <is>
          <t>FLEN</t>
        </is>
      </c>
      <c r="G74" t="n">
        <v>21.1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HYPERLINK("https://klasma.github.io/Logging_0482/artfynd/A 10107-2023 artfynd.xlsx", "A 10107-2023")</f>
        <v/>
      </c>
      <c r="T74">
        <f>HYPERLINK("https://klasma.github.io/Logging_0482/kartor/A 10107-2023 karta.png", "A 10107-2023")</f>
        <v/>
      </c>
      <c r="V74">
        <f>HYPERLINK("https://klasma.github.io/Logging_0482/klagomål/A 10107-2023 FSC-klagomål.docx", "A 10107-2023")</f>
        <v/>
      </c>
      <c r="W74">
        <f>HYPERLINK("https://klasma.github.io/Logging_0482/klagomålsmail/A 10107-2023 FSC-klagomål mail.docx", "A 10107-2023")</f>
        <v/>
      </c>
      <c r="X74">
        <f>HYPERLINK("https://klasma.github.io/Logging_0482/tillsyn/A 10107-2023 tillsynsbegäran.docx", "A 10107-2023")</f>
        <v/>
      </c>
      <c r="Y74">
        <f>HYPERLINK("https://klasma.github.io/Logging_0482/tillsynsmail/A 10107-2023 tillsynsbegäran mail.docx", "A 10107-2023")</f>
        <v/>
      </c>
    </row>
    <row r="75" ht="15" customHeight="1">
      <c r="A75" t="inlineStr">
        <is>
          <t>A 37317-2023</t>
        </is>
      </c>
      <c r="B75" s="1" t="n">
        <v>45156</v>
      </c>
      <c r="C75" s="1" t="n">
        <v>45362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HYPERLINK("https://klasma.github.io/Logging_0482/artfynd/A 37317-2023 artfynd.xlsx", "A 37317-2023")</f>
        <v/>
      </c>
      <c r="T75">
        <f>HYPERLINK("https://klasma.github.io/Logging_0482/kartor/A 37317-2023 karta.png", "A 37317-2023")</f>
        <v/>
      </c>
      <c r="V75">
        <f>HYPERLINK("https://klasma.github.io/Logging_0482/klagomål/A 37317-2023 FSC-klagomål.docx", "A 37317-2023")</f>
        <v/>
      </c>
      <c r="W75">
        <f>HYPERLINK("https://klasma.github.io/Logging_0482/klagomålsmail/A 37317-2023 FSC-klagomål mail.docx", "A 37317-2023")</f>
        <v/>
      </c>
      <c r="X75">
        <f>HYPERLINK("https://klasma.github.io/Logging_0482/tillsyn/A 37317-2023 tillsynsbegäran.docx", "A 37317-2023")</f>
        <v/>
      </c>
      <c r="Y75">
        <f>HYPERLINK("https://klasma.github.io/Logging_0482/tillsynsmail/A 37317-2023 tillsynsbegäran mail.docx", "A 37317-2023")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45362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48896-2023</t>
        </is>
      </c>
      <c r="B77" s="1" t="n">
        <v>45209</v>
      </c>
      <c r="C77" s="1" t="n">
        <v>45362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48896-2023 artfynd.xlsx", "A 48896-2023")</f>
        <v/>
      </c>
      <c r="T77">
        <f>HYPERLINK("https://klasma.github.io/Logging_0482/kartor/A 48896-2023 karta.png", "A 48896-2023")</f>
        <v/>
      </c>
      <c r="V77">
        <f>HYPERLINK("https://klasma.github.io/Logging_0482/klagomål/A 48896-2023 FSC-klagomål.docx", "A 48896-2023")</f>
        <v/>
      </c>
      <c r="W77">
        <f>HYPERLINK("https://klasma.github.io/Logging_0482/klagomålsmail/A 48896-2023 FSC-klagomål mail.docx", "A 48896-2023")</f>
        <v/>
      </c>
      <c r="X77">
        <f>HYPERLINK("https://klasma.github.io/Logging_0482/tillsyn/A 48896-2023 tillsynsbegäran.docx", "A 48896-2023")</f>
        <v/>
      </c>
      <c r="Y77">
        <f>HYPERLINK("https://klasma.github.io/Logging_0482/tillsynsmail/A 48896-2023 tillsynsbegäran mail.docx", "A 48896-2023")</f>
        <v/>
      </c>
    </row>
    <row r="78" ht="15" customHeight="1">
      <c r="A78" t="inlineStr">
        <is>
          <t>A 49808-2023</t>
        </is>
      </c>
      <c r="B78" s="1" t="n">
        <v>45212</v>
      </c>
      <c r="C78" s="1" t="n">
        <v>45362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49808-2023 artfynd.xlsx", "A 49808-2023")</f>
        <v/>
      </c>
      <c r="T78">
        <f>HYPERLINK("https://klasma.github.io/Logging_0482/kartor/A 49808-2023 karta.png", "A 49808-2023")</f>
        <v/>
      </c>
      <c r="V78">
        <f>HYPERLINK("https://klasma.github.io/Logging_0482/klagomål/A 49808-2023 FSC-klagomål.docx", "A 49808-2023")</f>
        <v/>
      </c>
      <c r="W78">
        <f>HYPERLINK("https://klasma.github.io/Logging_0482/klagomålsmail/A 49808-2023 FSC-klagomål mail.docx", "A 49808-2023")</f>
        <v/>
      </c>
      <c r="X78">
        <f>HYPERLINK("https://klasma.github.io/Logging_0482/tillsyn/A 49808-2023 tillsynsbegäran.docx", "A 49808-2023")</f>
        <v/>
      </c>
      <c r="Y78">
        <f>HYPERLINK("https://klasma.github.io/Logging_0482/tillsynsmail/A 49808-2023 tillsynsbegäran mail.docx", "A 49808-2023")</f>
        <v/>
      </c>
    </row>
    <row r="79" ht="15" customHeight="1">
      <c r="A79" t="inlineStr">
        <is>
          <t>A 52858-2023</t>
        </is>
      </c>
      <c r="B79" s="1" t="n">
        <v>45219</v>
      </c>
      <c r="C79" s="1" t="n">
        <v>45362</v>
      </c>
      <c r="D79" t="inlineStr">
        <is>
          <t>SÖDERMANLANDS LÄN</t>
        </is>
      </c>
      <c r="E79" t="inlineStr">
        <is>
          <t>FLEN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52858-2023 artfynd.xlsx", "A 52858-2023")</f>
        <v/>
      </c>
      <c r="T79">
        <f>HYPERLINK("https://klasma.github.io/Logging_0482/kartor/A 52858-2023 karta.png", "A 52858-2023")</f>
        <v/>
      </c>
      <c r="V79">
        <f>HYPERLINK("https://klasma.github.io/Logging_0482/klagomål/A 52858-2023 FSC-klagomål.docx", "A 52858-2023")</f>
        <v/>
      </c>
      <c r="W79">
        <f>HYPERLINK("https://klasma.github.io/Logging_0482/klagomålsmail/A 52858-2023 FSC-klagomål mail.docx", "A 52858-2023")</f>
        <v/>
      </c>
      <c r="X79">
        <f>HYPERLINK("https://klasma.github.io/Logging_0482/tillsyn/A 52858-2023 tillsynsbegäran.docx", "A 52858-2023")</f>
        <v/>
      </c>
      <c r="Y79">
        <f>HYPERLINK("https://klasma.github.io/Logging_0482/tillsynsmail/A 52858-2023 tillsynsbegäran mail.docx", "A 52858-2023")</f>
        <v/>
      </c>
    </row>
    <row r="80" ht="15" customHeight="1">
      <c r="A80" t="inlineStr">
        <is>
          <t>A 4154-2024</t>
        </is>
      </c>
      <c r="B80" s="1" t="n">
        <v>45323</v>
      </c>
      <c r="C80" s="1" t="n">
        <v>45362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Vippärt</t>
        </is>
      </c>
      <c r="S80">
        <f>HYPERLINK("https://klasma.github.io/Logging_0482/artfynd/A 4154-2024 artfynd.xlsx", "A 4154-2024")</f>
        <v/>
      </c>
      <c r="T80">
        <f>HYPERLINK("https://klasma.github.io/Logging_0482/kartor/A 4154-2024 karta.png", "A 4154-2024")</f>
        <v/>
      </c>
      <c r="V80">
        <f>HYPERLINK("https://klasma.github.io/Logging_0482/klagomål/A 4154-2024 FSC-klagomål.docx", "A 4154-2024")</f>
        <v/>
      </c>
      <c r="W80">
        <f>HYPERLINK("https://klasma.github.io/Logging_0482/klagomålsmail/A 4154-2024 FSC-klagomål mail.docx", "A 4154-2024")</f>
        <v/>
      </c>
      <c r="X80">
        <f>HYPERLINK("https://klasma.github.io/Logging_0482/tillsyn/A 4154-2024 tillsynsbegäran.docx", "A 4154-2024")</f>
        <v/>
      </c>
      <c r="Y80">
        <f>HYPERLINK("https://klasma.github.io/Logging_0482/tillsynsmail/A 4154-2024 tillsynsbegäran mail.docx", "A 4154-2024")</f>
        <v/>
      </c>
    </row>
    <row r="81" ht="15" customHeight="1">
      <c r="A81" t="inlineStr">
        <is>
          <t>A 6097-2024</t>
        </is>
      </c>
      <c r="B81" s="1" t="n">
        <v>45337</v>
      </c>
      <c r="C81" s="1" t="n">
        <v>45362</v>
      </c>
      <c r="D81" t="inlineStr">
        <is>
          <t>SÖDERMANLANDS LÄN</t>
        </is>
      </c>
      <c r="E81" t="inlineStr">
        <is>
          <t>FLEN</t>
        </is>
      </c>
      <c r="G81" t="n">
        <v>28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HYPERLINK("https://klasma.github.io/Logging_0482/artfynd/A 6097-2024 artfynd.xlsx", "A 6097-2024")</f>
        <v/>
      </c>
      <c r="T81">
        <f>HYPERLINK("https://klasma.github.io/Logging_0482/kartor/A 6097-2024 karta.png", "A 6097-2024")</f>
        <v/>
      </c>
      <c r="V81">
        <f>HYPERLINK("https://klasma.github.io/Logging_0482/klagomål/A 6097-2024 FSC-klagomål.docx", "A 6097-2024")</f>
        <v/>
      </c>
      <c r="W81">
        <f>HYPERLINK("https://klasma.github.io/Logging_0482/klagomålsmail/A 6097-2024 FSC-klagomål mail.docx", "A 6097-2024")</f>
        <v/>
      </c>
      <c r="X81">
        <f>HYPERLINK("https://klasma.github.io/Logging_0482/tillsyn/A 6097-2024 tillsynsbegäran.docx", "A 6097-2024")</f>
        <v/>
      </c>
      <c r="Y81">
        <f>HYPERLINK("https://klasma.github.io/Logging_0482/tillsynsmail/A 6097-2024 tillsynsbegäran mail.docx", "A 6097-2024")</f>
        <v/>
      </c>
    </row>
    <row r="82" ht="15" customHeight="1">
      <c r="A82" t="inlineStr">
        <is>
          <t>A 7973-2024</t>
        </is>
      </c>
      <c r="B82" s="1" t="n">
        <v>45350</v>
      </c>
      <c r="C82" s="1" t="n">
        <v>45362</v>
      </c>
      <c r="D82" t="inlineStr">
        <is>
          <t>SÖDERMANLANDS LÄN</t>
        </is>
      </c>
      <c r="E82" t="inlineStr">
        <is>
          <t>FLEN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Vippärt</t>
        </is>
      </c>
      <c r="S82">
        <f>HYPERLINK("https://klasma.github.io/Logging_0482/artfynd/A 7973-2024 artfynd.xlsx", "A 7973-2024")</f>
        <v/>
      </c>
      <c r="T82">
        <f>HYPERLINK("https://klasma.github.io/Logging_0482/kartor/A 7973-2024 karta.png", "A 7973-2024")</f>
        <v/>
      </c>
      <c r="V82">
        <f>HYPERLINK("https://klasma.github.io/Logging_0482/klagomål/A 7973-2024 FSC-klagomål.docx", "A 7973-2024")</f>
        <v/>
      </c>
      <c r="W82">
        <f>HYPERLINK("https://klasma.github.io/Logging_0482/klagomålsmail/A 7973-2024 FSC-klagomål mail.docx", "A 7973-2024")</f>
        <v/>
      </c>
      <c r="X82">
        <f>HYPERLINK("https://klasma.github.io/Logging_0482/tillsyn/A 7973-2024 tillsynsbegäran.docx", "A 7973-2024")</f>
        <v/>
      </c>
      <c r="Y82">
        <f>HYPERLINK("https://klasma.github.io/Logging_0482/tillsynsmail/A 7973-2024 tillsynsbegäran mail.docx", "A 7973-2024")</f>
        <v/>
      </c>
    </row>
    <row r="83" ht="15" customHeight="1">
      <c r="A83" t="inlineStr">
        <is>
          <t>A 35316-2018</t>
        </is>
      </c>
      <c r="B83" s="1" t="n">
        <v>43324</v>
      </c>
      <c r="C83" s="1" t="n">
        <v>45362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37594-2018</t>
        </is>
      </c>
      <c r="B84" s="1" t="n">
        <v>43334</v>
      </c>
      <c r="C84" s="1" t="n">
        <v>45362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41385-2018</t>
        </is>
      </c>
      <c r="B85" s="1" t="n">
        <v>43347</v>
      </c>
      <c r="C85" s="1" t="n">
        <v>45362</v>
      </c>
      <c r="D85" t="inlineStr">
        <is>
          <t>SÖDERMANLANDS LÄN</t>
        </is>
      </c>
      <c r="E85" t="inlineStr">
        <is>
          <t>FLEN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41479-2018</t>
        </is>
      </c>
      <c r="B86" s="1" t="n">
        <v>43347</v>
      </c>
      <c r="C86" s="1" t="n">
        <v>45362</v>
      </c>
      <c r="D86" t="inlineStr">
        <is>
          <t>SÖDERMANLANDS LÄN</t>
        </is>
      </c>
      <c r="E86" t="inlineStr">
        <is>
          <t>FLEN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41549-2018</t>
        </is>
      </c>
      <c r="B87" s="1" t="n">
        <v>43347</v>
      </c>
      <c r="C87" s="1" t="n">
        <v>45362</v>
      </c>
      <c r="D87" t="inlineStr">
        <is>
          <t>SÖDERMANLANDS LÄN</t>
        </is>
      </c>
      <c r="E87" t="inlineStr">
        <is>
          <t>FLEN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41412-2018</t>
        </is>
      </c>
      <c r="B88" s="1" t="n">
        <v>43347</v>
      </c>
      <c r="C88" s="1" t="n">
        <v>45362</v>
      </c>
      <c r="D88" t="inlineStr">
        <is>
          <t>SÖDERMANLANDS LÄN</t>
        </is>
      </c>
      <c r="E88" t="inlineStr">
        <is>
          <t>FLEN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41400-2018</t>
        </is>
      </c>
      <c r="B89" s="1" t="n">
        <v>43347</v>
      </c>
      <c r="C89" s="1" t="n">
        <v>45362</v>
      </c>
      <c r="D89" t="inlineStr">
        <is>
          <t>SÖDERMANLANDS LÄN</t>
        </is>
      </c>
      <c r="E89" t="inlineStr">
        <is>
          <t>FLEN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44784-2018</t>
        </is>
      </c>
      <c r="B90" s="1" t="n">
        <v>43357</v>
      </c>
      <c r="C90" s="1" t="n">
        <v>45362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47304-2018</t>
        </is>
      </c>
      <c r="B91" s="1" t="n">
        <v>43368</v>
      </c>
      <c r="C91" s="1" t="n">
        <v>45362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47611-2018</t>
        </is>
      </c>
      <c r="B92" s="1" t="n">
        <v>43368</v>
      </c>
      <c r="C92" s="1" t="n">
        <v>45362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48634-2018</t>
        </is>
      </c>
      <c r="B93" s="1" t="n">
        <v>43370</v>
      </c>
      <c r="C93" s="1" t="n">
        <v>45362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49041-2018</t>
        </is>
      </c>
      <c r="B94" s="1" t="n">
        <v>43371</v>
      </c>
      <c r="C94" s="1" t="n">
        <v>45362</v>
      </c>
      <c r="D94" t="inlineStr">
        <is>
          <t>SÖDERMANLANDS LÄN</t>
        </is>
      </c>
      <c r="E94" t="inlineStr">
        <is>
          <t>FLEN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49513-2018</t>
        </is>
      </c>
      <c r="B95" s="1" t="n">
        <v>43374</v>
      </c>
      <c r="C95" s="1" t="n">
        <v>45362</v>
      </c>
      <c r="D95" t="inlineStr">
        <is>
          <t>SÖDERMANLANDS LÄN</t>
        </is>
      </c>
      <c r="E95" t="inlineStr">
        <is>
          <t>FLEN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52300-2018</t>
        </is>
      </c>
      <c r="B96" s="1" t="n">
        <v>43388</v>
      </c>
      <c r="C96" s="1" t="n">
        <v>45362</v>
      </c>
      <c r="D96" t="inlineStr">
        <is>
          <t>SÖDERMANLANDS LÄN</t>
        </is>
      </c>
      <c r="E96" t="inlineStr">
        <is>
          <t>FLEN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53568-2018</t>
        </is>
      </c>
      <c r="B97" s="1" t="n">
        <v>43388</v>
      </c>
      <c r="C97" s="1" t="n">
        <v>45362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56602-2018</t>
        </is>
      </c>
      <c r="B98" s="1" t="n">
        <v>43395</v>
      </c>
      <c r="C98" s="1" t="n">
        <v>45362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57760-2018</t>
        </is>
      </c>
      <c r="B99" s="1" t="n">
        <v>43397</v>
      </c>
      <c r="C99" s="1" t="n">
        <v>45362</v>
      </c>
      <c r="D99" t="inlineStr">
        <is>
          <t>SÖDERMANLANDS LÄN</t>
        </is>
      </c>
      <c r="E99" t="inlineStr">
        <is>
          <t>FLEN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57452-2018</t>
        </is>
      </c>
      <c r="B100" s="1" t="n">
        <v>43404</v>
      </c>
      <c r="C100" s="1" t="n">
        <v>45362</v>
      </c>
      <c r="D100" t="inlineStr">
        <is>
          <t>SÖDERMANLANDS LÄN</t>
        </is>
      </c>
      <c r="E100" t="inlineStr">
        <is>
          <t>FLEN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58752-2018</t>
        </is>
      </c>
      <c r="B101" s="1" t="n">
        <v>43410</v>
      </c>
      <c r="C101" s="1" t="n">
        <v>45362</v>
      </c>
      <c r="D101" t="inlineStr">
        <is>
          <t>SÖDERMANLANDS LÄN</t>
        </is>
      </c>
      <c r="E101" t="inlineStr">
        <is>
          <t>FLEN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60069-2018</t>
        </is>
      </c>
      <c r="B102" s="1" t="n">
        <v>43412</v>
      </c>
      <c r="C102" s="1" t="n">
        <v>45362</v>
      </c>
      <c r="D102" t="inlineStr">
        <is>
          <t>SÖDERMANLANDS LÄN</t>
        </is>
      </c>
      <c r="E102" t="inlineStr">
        <is>
          <t>FLEN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61211-2018</t>
        </is>
      </c>
      <c r="B103" s="1" t="n">
        <v>43423</v>
      </c>
      <c r="C103" s="1" t="n">
        <v>45362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61404-2018</t>
        </is>
      </c>
      <c r="B104" s="1" t="n">
        <v>43424</v>
      </c>
      <c r="C104" s="1" t="n">
        <v>45362</v>
      </c>
      <c r="D104" t="inlineStr">
        <is>
          <t>SÖDERMANLANDS LÄN</t>
        </is>
      </c>
      <c r="E104" t="inlineStr">
        <is>
          <t>FLEN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62559-2018</t>
        </is>
      </c>
      <c r="B105" s="1" t="n">
        <v>43426</v>
      </c>
      <c r="C105" s="1" t="n">
        <v>45362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62534-2018</t>
        </is>
      </c>
      <c r="B106" s="1" t="n">
        <v>43426</v>
      </c>
      <c r="C106" s="1" t="n">
        <v>45362</v>
      </c>
      <c r="D106" t="inlineStr">
        <is>
          <t>SÖDERMANLANDS LÄN</t>
        </is>
      </c>
      <c r="E106" t="inlineStr">
        <is>
          <t>FLEN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62558-2018</t>
        </is>
      </c>
      <c r="B107" s="1" t="n">
        <v>43426</v>
      </c>
      <c r="C107" s="1" t="n">
        <v>45362</v>
      </c>
      <c r="D107" t="inlineStr">
        <is>
          <t>SÖDERMANLANDS LÄN</t>
        </is>
      </c>
      <c r="E107" t="inlineStr">
        <is>
          <t>FLEN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66862-2018</t>
        </is>
      </c>
      <c r="B108" s="1" t="n">
        <v>43431</v>
      </c>
      <c r="C108" s="1" t="n">
        <v>45362</v>
      </c>
      <c r="D108" t="inlineStr">
        <is>
          <t>SÖDERMANLANDS LÄN</t>
        </is>
      </c>
      <c r="E108" t="inlineStr">
        <is>
          <t>FLEN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67010-2018</t>
        </is>
      </c>
      <c r="B109" s="1" t="n">
        <v>43431</v>
      </c>
      <c r="C109" s="1" t="n">
        <v>45362</v>
      </c>
      <c r="D109" t="inlineStr">
        <is>
          <t>SÖDERMANLANDS LÄN</t>
        </is>
      </c>
      <c r="E109" t="inlineStr">
        <is>
          <t>FLEN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65759-2018</t>
        </is>
      </c>
      <c r="B110" s="1" t="n">
        <v>43433</v>
      </c>
      <c r="C110" s="1" t="n">
        <v>45362</v>
      </c>
      <c r="D110" t="inlineStr">
        <is>
          <t>SÖDERMANLANDS LÄN</t>
        </is>
      </c>
      <c r="E110" t="inlineStr">
        <is>
          <t>FLEN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66433-2018</t>
        </is>
      </c>
      <c r="B111" s="1" t="n">
        <v>43437</v>
      </c>
      <c r="C111" s="1" t="n">
        <v>45362</v>
      </c>
      <c r="D111" t="inlineStr">
        <is>
          <t>SÖDERMANLANDS LÄN</t>
        </is>
      </c>
      <c r="E111" t="inlineStr">
        <is>
          <t>FLEN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68736-2018</t>
        </is>
      </c>
      <c r="B112" s="1" t="n">
        <v>43444</v>
      </c>
      <c r="C112" s="1" t="n">
        <v>45362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69529-2018</t>
        </is>
      </c>
      <c r="B113" s="1" t="n">
        <v>43446</v>
      </c>
      <c r="C113" s="1" t="n">
        <v>45362</v>
      </c>
      <c r="D113" t="inlineStr">
        <is>
          <t>SÖDERMANLANDS LÄN</t>
        </is>
      </c>
      <c r="E113" t="inlineStr">
        <is>
          <t>FLEN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70409-2018</t>
        </is>
      </c>
      <c r="B114" s="1" t="n">
        <v>43450</v>
      </c>
      <c r="C114" s="1" t="n">
        <v>45362</v>
      </c>
      <c r="D114" t="inlineStr">
        <is>
          <t>SÖDERMANLANDS LÄN</t>
        </is>
      </c>
      <c r="E114" t="inlineStr">
        <is>
          <t>FLEN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72283-2018</t>
        </is>
      </c>
      <c r="B115" s="1" t="n">
        <v>43455</v>
      </c>
      <c r="C115" s="1" t="n">
        <v>45362</v>
      </c>
      <c r="D115" t="inlineStr">
        <is>
          <t>SÖDERMANLANDS LÄN</t>
        </is>
      </c>
      <c r="E115" t="inlineStr">
        <is>
          <t>FLEN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1050-2019</t>
        </is>
      </c>
      <c r="B116" s="1" t="n">
        <v>43472</v>
      </c>
      <c r="C116" s="1" t="n">
        <v>45362</v>
      </c>
      <c r="D116" t="inlineStr">
        <is>
          <t>SÖDERMANLANDS LÄN</t>
        </is>
      </c>
      <c r="E116" t="inlineStr">
        <is>
          <t>FLEN</t>
        </is>
      </c>
      <c r="G116" t="n">
        <v>22.5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2586-2019</t>
        </is>
      </c>
      <c r="B117" s="1" t="n">
        <v>43476</v>
      </c>
      <c r="C117" s="1" t="n">
        <v>45362</v>
      </c>
      <c r="D117" t="inlineStr">
        <is>
          <t>SÖDERMANLANDS LÄN</t>
        </is>
      </c>
      <c r="E117" t="inlineStr">
        <is>
          <t>FLEN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4195-2019</t>
        </is>
      </c>
      <c r="B118" s="1" t="n">
        <v>43483</v>
      </c>
      <c r="C118" s="1" t="n">
        <v>45362</v>
      </c>
      <c r="D118" t="inlineStr">
        <is>
          <t>SÖDERMANLANDS LÄN</t>
        </is>
      </c>
      <c r="E118" t="inlineStr">
        <is>
          <t>FLEN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7215-2019</t>
        </is>
      </c>
      <c r="B119" s="1" t="n">
        <v>43490</v>
      </c>
      <c r="C119" s="1" t="n">
        <v>45362</v>
      </c>
      <c r="D119" t="inlineStr">
        <is>
          <t>SÖDERMANLANDS LÄN</t>
        </is>
      </c>
      <c r="E119" t="inlineStr">
        <is>
          <t>FLEN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7773-2019</t>
        </is>
      </c>
      <c r="B120" s="1" t="n">
        <v>43494</v>
      </c>
      <c r="C120" s="1" t="n">
        <v>45362</v>
      </c>
      <c r="D120" t="inlineStr">
        <is>
          <t>SÖDERMANLANDS LÄN</t>
        </is>
      </c>
      <c r="E120" t="inlineStr">
        <is>
          <t>FLEN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6989-2019</t>
        </is>
      </c>
      <c r="B121" s="1" t="n">
        <v>43495</v>
      </c>
      <c r="C121" s="1" t="n">
        <v>45362</v>
      </c>
      <c r="D121" t="inlineStr">
        <is>
          <t>SÖDERMANLANDS LÄN</t>
        </is>
      </c>
      <c r="E121" t="inlineStr">
        <is>
          <t>FLEN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7548-2019</t>
        </is>
      </c>
      <c r="B122" s="1" t="n">
        <v>43497</v>
      </c>
      <c r="C122" s="1" t="n">
        <v>45362</v>
      </c>
      <c r="D122" t="inlineStr">
        <is>
          <t>SÖDERMANLANDS LÄN</t>
        </is>
      </c>
      <c r="E122" t="inlineStr">
        <is>
          <t>FLEN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8621-2019</t>
        </is>
      </c>
      <c r="B123" s="1" t="n">
        <v>43503</v>
      </c>
      <c r="C123" s="1" t="n">
        <v>45362</v>
      </c>
      <c r="D123" t="inlineStr">
        <is>
          <t>SÖDERMANLANDS LÄN</t>
        </is>
      </c>
      <c r="E123" t="inlineStr">
        <is>
          <t>FLEN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10716-2019</t>
        </is>
      </c>
      <c r="B124" s="1" t="n">
        <v>43514</v>
      </c>
      <c r="C124" s="1" t="n">
        <v>45362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12228-2019</t>
        </is>
      </c>
      <c r="B125" s="1" t="n">
        <v>43522</v>
      </c>
      <c r="C125" s="1" t="n">
        <v>45362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12227-2019</t>
        </is>
      </c>
      <c r="B126" s="1" t="n">
        <v>43522</v>
      </c>
      <c r="C126" s="1" t="n">
        <v>45362</v>
      </c>
      <c r="D126" t="inlineStr">
        <is>
          <t>SÖDERMANLANDS LÄN</t>
        </is>
      </c>
      <c r="E126" t="inlineStr">
        <is>
          <t>FLEN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13641-2019</t>
        </is>
      </c>
      <c r="B127" s="1" t="n">
        <v>43530</v>
      </c>
      <c r="C127" s="1" t="n">
        <v>45362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13476-2019</t>
        </is>
      </c>
      <c r="B128" s="1" t="n">
        <v>43530</v>
      </c>
      <c r="C128" s="1" t="n">
        <v>45362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14503-2019</t>
        </is>
      </c>
      <c r="B129" s="1" t="n">
        <v>43535</v>
      </c>
      <c r="C129" s="1" t="n">
        <v>45362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15110-2019</t>
        </is>
      </c>
      <c r="B130" s="1" t="n">
        <v>43538</v>
      </c>
      <c r="C130" s="1" t="n">
        <v>45362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15573-2019</t>
        </is>
      </c>
      <c r="B131" s="1" t="n">
        <v>43539</v>
      </c>
      <c r="C131" s="1" t="n">
        <v>45362</v>
      </c>
      <c r="D131" t="inlineStr">
        <is>
          <t>SÖDERMANLANDS LÄN</t>
        </is>
      </c>
      <c r="E131" t="inlineStr">
        <is>
          <t>FLEN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15575-2019</t>
        </is>
      </c>
      <c r="B132" s="1" t="n">
        <v>43539</v>
      </c>
      <c r="C132" s="1" t="n">
        <v>45362</v>
      </c>
      <c r="D132" t="inlineStr">
        <is>
          <t>SÖDERMANLANDS LÄN</t>
        </is>
      </c>
      <c r="E132" t="inlineStr">
        <is>
          <t>FLEN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16152-2019</t>
        </is>
      </c>
      <c r="B133" s="1" t="n">
        <v>43544</v>
      </c>
      <c r="C133" s="1" t="n">
        <v>45362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17302-2019</t>
        </is>
      </c>
      <c r="B134" s="1" t="n">
        <v>43551</v>
      </c>
      <c r="C134" s="1" t="n">
        <v>45362</v>
      </c>
      <c r="D134" t="inlineStr">
        <is>
          <t>SÖDERMANLANDS LÄN</t>
        </is>
      </c>
      <c r="E134" t="inlineStr">
        <is>
          <t>FLEN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18391-2019</t>
        </is>
      </c>
      <c r="B135" s="1" t="n">
        <v>43558</v>
      </c>
      <c r="C135" s="1" t="n">
        <v>45362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45362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45362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45362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45362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45362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45362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45362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45362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45362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45362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45362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45362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45362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45362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45362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32889-2019</t>
        </is>
      </c>
      <c r="B151" s="1" t="n">
        <v>43643</v>
      </c>
      <c r="C151" s="1" t="n">
        <v>45362</v>
      </c>
      <c r="D151" t="inlineStr">
        <is>
          <t>SÖDERMANLANDS LÄN</t>
        </is>
      </c>
      <c r="E151" t="inlineStr">
        <is>
          <t>FLEN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45362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45362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45362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45362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45362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45362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45362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45362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45362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45362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45362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45362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45362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45362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45362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45362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45362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45362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45362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45362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45362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45362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45362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45362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45362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45362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45362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45362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45362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45362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45362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45362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45362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45362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45362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45362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45362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45362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45362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45362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45362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45362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45362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45362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45362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45362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45362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45362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45362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45362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45362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45362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45362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45362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45362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45362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45362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45362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45362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45362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45362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45362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45362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45362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45362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45362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45362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45362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45362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45362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45362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45362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45362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45362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45362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45362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45362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45362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45362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45362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45362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45362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45362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45362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45362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45362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14229-2020</t>
        </is>
      </c>
      <c r="B238" s="1" t="n">
        <v>43907</v>
      </c>
      <c r="C238" s="1" t="n">
        <v>45362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45362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45362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45362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45362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45362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45362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45362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45362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45362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45362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45362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45362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45362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45362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45362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45362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45362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45362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45362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45362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45362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45362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45362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45362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45362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45362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45362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45362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45362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45362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45362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45362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45362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45362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45362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45362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45362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45362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45362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45362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45362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45362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45362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45362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45362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45362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45362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45362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45362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45362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45362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45362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45362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45362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45362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45362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45362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45362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45347-2020</t>
        </is>
      </c>
      <c r="B297" s="1" t="n">
        <v>44085</v>
      </c>
      <c r="C297" s="1" t="n">
        <v>45362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45362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47401-2020</t>
        </is>
      </c>
      <c r="B299" s="1" t="n">
        <v>44097</v>
      </c>
      <c r="C299" s="1" t="n">
        <v>45362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47669-2020</t>
        </is>
      </c>
      <c r="B300" s="1" t="n">
        <v>44098</v>
      </c>
      <c r="C300" s="1" t="n">
        <v>45362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47681-2020</t>
        </is>
      </c>
      <c r="B301" s="1" t="n">
        <v>44098</v>
      </c>
      <c r="C301" s="1" t="n">
        <v>45362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48869-2020</t>
        </is>
      </c>
      <c r="B302" s="1" t="n">
        <v>44104</v>
      </c>
      <c r="C302" s="1" t="n">
        <v>45362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51315-2020</t>
        </is>
      </c>
      <c r="B303" s="1" t="n">
        <v>44106</v>
      </c>
      <c r="C303" s="1" t="n">
        <v>45362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51836-2020</t>
        </is>
      </c>
      <c r="B304" s="1" t="n">
        <v>44109</v>
      </c>
      <c r="C304" s="1" t="n">
        <v>45362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51933-2020</t>
        </is>
      </c>
      <c r="B305" s="1" t="n">
        <v>44109</v>
      </c>
      <c r="C305" s="1" t="n">
        <v>45362</v>
      </c>
      <c r="D305" t="inlineStr">
        <is>
          <t>SÖDERMANLANDS LÄN</t>
        </is>
      </c>
      <c r="E305" t="inlineStr">
        <is>
          <t>FLEN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50467-2020</t>
        </is>
      </c>
      <c r="B306" s="1" t="n">
        <v>44110</v>
      </c>
      <c r="C306" s="1" t="n">
        <v>45362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51864-2020</t>
        </is>
      </c>
      <c r="B307" s="1" t="n">
        <v>44113</v>
      </c>
      <c r="C307" s="1" t="n">
        <v>45362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53424-2020</t>
        </is>
      </c>
      <c r="B308" s="1" t="n">
        <v>44123</v>
      </c>
      <c r="C308" s="1" t="n">
        <v>45362</v>
      </c>
      <c r="D308" t="inlineStr">
        <is>
          <t>SÖDERMANLANDS LÄN</t>
        </is>
      </c>
      <c r="E308" t="inlineStr">
        <is>
          <t>FLEN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54919-2020</t>
        </is>
      </c>
      <c r="B309" s="1" t="n">
        <v>44127</v>
      </c>
      <c r="C309" s="1" t="n">
        <v>45362</v>
      </c>
      <c r="D309" t="inlineStr">
        <is>
          <t>SÖDERMANLANDS LÄN</t>
        </is>
      </c>
      <c r="E309" t="inlineStr">
        <is>
          <t>FLEN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54918-2020</t>
        </is>
      </c>
      <c r="B310" s="1" t="n">
        <v>44127</v>
      </c>
      <c r="C310" s="1" t="n">
        <v>45362</v>
      </c>
      <c r="D310" t="inlineStr">
        <is>
          <t>SÖDERMANLANDS LÄN</t>
        </is>
      </c>
      <c r="E310" t="inlineStr">
        <is>
          <t>FLEN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56930-2020</t>
        </is>
      </c>
      <c r="B311" s="1" t="n">
        <v>44138</v>
      </c>
      <c r="C311" s="1" t="n">
        <v>45362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56863-2020</t>
        </is>
      </c>
      <c r="B312" s="1" t="n">
        <v>44138</v>
      </c>
      <c r="C312" s="1" t="n">
        <v>45362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57165-2020</t>
        </is>
      </c>
      <c r="B313" s="1" t="n">
        <v>44138</v>
      </c>
      <c r="C313" s="1" t="n">
        <v>45362</v>
      </c>
      <c r="D313" t="inlineStr">
        <is>
          <t>SÖDERMANLANDS LÄN</t>
        </is>
      </c>
      <c r="E313" t="inlineStr">
        <is>
          <t>FLEN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57173-2020</t>
        </is>
      </c>
      <c r="B314" s="1" t="n">
        <v>44138</v>
      </c>
      <c r="C314" s="1" t="n">
        <v>45362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45362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45362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45362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45362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45362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45362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45362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45362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45362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45362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45362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45362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45362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45362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45362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45362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45362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45362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45362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45362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45362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45362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45362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45362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45362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45362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45362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45362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45362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8176-2021</t>
        </is>
      </c>
      <c r="B344" s="1" t="n">
        <v>44242</v>
      </c>
      <c r="C344" s="1" t="n">
        <v>45362</v>
      </c>
      <c r="D344" t="inlineStr">
        <is>
          <t>SÖDERMANLANDS LÄN</t>
        </is>
      </c>
      <c r="E344" t="inlineStr">
        <is>
          <t>FLEN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HYPERLINK("https://klasma.github.io/Logging_0482/knärot/A 8176-2021 karta knärot.png", "A 8176-2021")</f>
        <v/>
      </c>
      <c r="V344">
        <f>HYPERLINK("https://klasma.github.io/Logging_0482/klagomål/A 8176-2021 FSC-klagomål.docx", "A 8176-2021")</f>
        <v/>
      </c>
      <c r="W344">
        <f>HYPERLINK("https://klasma.github.io/Logging_0482/klagomålsmail/A 8176-2021 FSC-klagomål mail.docx", "A 8176-2021")</f>
        <v/>
      </c>
      <c r="X344">
        <f>HYPERLINK("https://klasma.github.io/Logging_0482/tillsyn/A 8176-2021 tillsynsbegäran.docx", "A 8176-2021")</f>
        <v/>
      </c>
      <c r="Y344">
        <f>HYPERLINK("https://klasma.github.io/Logging_0482/tillsynsmail/A 8176-2021 tillsynsbegäran mail.docx", "A 8176-2021")</f>
        <v/>
      </c>
    </row>
    <row r="345" ht="15" customHeight="1">
      <c r="A345" t="inlineStr">
        <is>
          <t>A 8762-2021</t>
        </is>
      </c>
      <c r="B345" s="1" t="n">
        <v>44246</v>
      </c>
      <c r="C345" s="1" t="n">
        <v>45362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45362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45362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45362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45362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45362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45362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45362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45362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45362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45362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45362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45362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45362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45362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45362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45362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45362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45362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45362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45362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45362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45362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45362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45362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45362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45362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45362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45362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45362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45362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45362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45362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45362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45362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45362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45362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45362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45362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45362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45362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45362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45362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45362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45362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45362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45362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45362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45362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45362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45362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45362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45362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45362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45362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45362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45362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45362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45362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45362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45362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45362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45362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45362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45362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45362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45362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45362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45362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45362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45362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45362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45362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45362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45362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45362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45362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45362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45362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45362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45362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45362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45362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45362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45362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45362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45362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45362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45362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45362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45362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45362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48520-2021</t>
        </is>
      </c>
      <c r="B437" s="1" t="n">
        <v>44449</v>
      </c>
      <c r="C437" s="1" t="n">
        <v>45362</v>
      </c>
      <c r="D437" t="inlineStr">
        <is>
          <t>SÖDERMANLANDS LÄN</t>
        </is>
      </c>
      <c r="E437" t="inlineStr">
        <is>
          <t>FLEN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48298-2021</t>
        </is>
      </c>
      <c r="B438" s="1" t="n">
        <v>44450</v>
      </c>
      <c r="C438" s="1" t="n">
        <v>45362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48763-2021</t>
        </is>
      </c>
      <c r="B439" s="1" t="n">
        <v>44452</v>
      </c>
      <c r="C439" s="1" t="n">
        <v>45362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48925-2021</t>
        </is>
      </c>
      <c r="B440" s="1" t="n">
        <v>44452</v>
      </c>
      <c r="C440" s="1" t="n">
        <v>45362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49323-2021</t>
        </is>
      </c>
      <c r="B441" s="1" t="n">
        <v>44453</v>
      </c>
      <c r="C441" s="1" t="n">
        <v>45362</v>
      </c>
      <c r="D441" t="inlineStr">
        <is>
          <t>SÖDERMANLANDS LÄN</t>
        </is>
      </c>
      <c r="E441" t="inlineStr">
        <is>
          <t>FLEN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49275-2021</t>
        </is>
      </c>
      <c r="B442" s="1" t="n">
        <v>44453</v>
      </c>
      <c r="C442" s="1" t="n">
        <v>45362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49252-2021</t>
        </is>
      </c>
      <c r="B443" s="1" t="n">
        <v>44454</v>
      </c>
      <c r="C443" s="1" t="n">
        <v>45362</v>
      </c>
      <c r="D443" t="inlineStr">
        <is>
          <t>SÖDERMANLANDS LÄN</t>
        </is>
      </c>
      <c r="E443" t="inlineStr">
        <is>
          <t>FLEN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49255-2021</t>
        </is>
      </c>
      <c r="B444" s="1" t="n">
        <v>44454</v>
      </c>
      <c r="C444" s="1" t="n">
        <v>45362</v>
      </c>
      <c r="D444" t="inlineStr">
        <is>
          <t>SÖDERMANLANDS LÄN</t>
        </is>
      </c>
      <c r="E444" t="inlineStr">
        <is>
          <t>FLEN</t>
        </is>
      </c>
      <c r="G444" t="n">
        <v>15.6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49569-2021</t>
        </is>
      </c>
      <c r="B445" s="1" t="n">
        <v>44455</v>
      </c>
      <c r="C445" s="1" t="n">
        <v>45362</v>
      </c>
      <c r="D445" t="inlineStr">
        <is>
          <t>SÖDERMANLANDS LÄN</t>
        </is>
      </c>
      <c r="E445" t="inlineStr">
        <is>
          <t>FLEN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50494-2021</t>
        </is>
      </c>
      <c r="B446" s="1" t="n">
        <v>44458</v>
      </c>
      <c r="C446" s="1" t="n">
        <v>45362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50500-2021</t>
        </is>
      </c>
      <c r="B447" s="1" t="n">
        <v>44458</v>
      </c>
      <c r="C447" s="1" t="n">
        <v>45362</v>
      </c>
      <c r="D447" t="inlineStr">
        <is>
          <t>SÖDERMANLANDS LÄN</t>
        </is>
      </c>
      <c r="E447" t="inlineStr">
        <is>
          <t>FLEN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50301-2021</t>
        </is>
      </c>
      <c r="B448" s="1" t="n">
        <v>44459</v>
      </c>
      <c r="C448" s="1" t="n">
        <v>45362</v>
      </c>
      <c r="D448" t="inlineStr">
        <is>
          <t>SÖDERMANLANDS LÄN</t>
        </is>
      </c>
      <c r="E448" t="inlineStr">
        <is>
          <t>FLEN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50799-2021</t>
        </is>
      </c>
      <c r="B449" s="1" t="n">
        <v>44459</v>
      </c>
      <c r="C449" s="1" t="n">
        <v>45362</v>
      </c>
      <c r="D449" t="inlineStr">
        <is>
          <t>SÖDERMANLANDS LÄN</t>
        </is>
      </c>
      <c r="E449" t="inlineStr">
        <is>
          <t>FLEN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50796-2021</t>
        </is>
      </c>
      <c r="B450" s="1" t="n">
        <v>44459</v>
      </c>
      <c r="C450" s="1" t="n">
        <v>45362</v>
      </c>
      <c r="D450" t="inlineStr">
        <is>
          <t>SÖDERMANLANDS LÄN</t>
        </is>
      </c>
      <c r="E450" t="inlineStr">
        <is>
          <t>FLEN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52541-2021</t>
        </is>
      </c>
      <c r="B451" s="1" t="n">
        <v>44463</v>
      </c>
      <c r="C451" s="1" t="n">
        <v>45362</v>
      </c>
      <c r="D451" t="inlineStr">
        <is>
          <t>SÖDERMANLANDS LÄN</t>
        </is>
      </c>
      <c r="E451" t="inlineStr">
        <is>
          <t>FLEN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52519-2021</t>
        </is>
      </c>
      <c r="B452" s="1" t="n">
        <v>44463</v>
      </c>
      <c r="C452" s="1" t="n">
        <v>45362</v>
      </c>
      <c r="D452" t="inlineStr">
        <is>
          <t>SÖDERMANLANDS LÄN</t>
        </is>
      </c>
      <c r="E452" t="inlineStr">
        <is>
          <t>FLEN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52563-2021</t>
        </is>
      </c>
      <c r="B453" s="1" t="n">
        <v>44463</v>
      </c>
      <c r="C453" s="1" t="n">
        <v>45362</v>
      </c>
      <c r="D453" t="inlineStr">
        <is>
          <t>SÖDERMANLANDS LÄN</t>
        </is>
      </c>
      <c r="E453" t="inlineStr">
        <is>
          <t>FLEN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52500-2021</t>
        </is>
      </c>
      <c r="B454" s="1" t="n">
        <v>44463</v>
      </c>
      <c r="C454" s="1" t="n">
        <v>45362</v>
      </c>
      <c r="D454" t="inlineStr">
        <is>
          <t>SÖDERMANLANDS LÄN</t>
        </is>
      </c>
      <c r="E454" t="inlineStr">
        <is>
          <t>FLEN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52546-2021</t>
        </is>
      </c>
      <c r="B455" s="1" t="n">
        <v>44463</v>
      </c>
      <c r="C455" s="1" t="n">
        <v>45362</v>
      </c>
      <c r="D455" t="inlineStr">
        <is>
          <t>SÖDERMANLANDS LÄN</t>
        </is>
      </c>
      <c r="E455" t="inlineStr">
        <is>
          <t>FLEN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52534-2021</t>
        </is>
      </c>
      <c r="B456" s="1" t="n">
        <v>44463</v>
      </c>
      <c r="C456" s="1" t="n">
        <v>45362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52692-2021</t>
        </is>
      </c>
      <c r="B457" s="1" t="n">
        <v>44466</v>
      </c>
      <c r="C457" s="1" t="n">
        <v>45362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53608-2021</t>
        </is>
      </c>
      <c r="B458" s="1" t="n">
        <v>44469</v>
      </c>
      <c r="C458" s="1" t="n">
        <v>45362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53930-2021</t>
        </is>
      </c>
      <c r="B459" s="1" t="n">
        <v>44469</v>
      </c>
      <c r="C459" s="1" t="n">
        <v>45362</v>
      </c>
      <c r="D459" t="inlineStr">
        <is>
          <t>SÖDERMANLANDS LÄN</t>
        </is>
      </c>
      <c r="E459" t="inlineStr">
        <is>
          <t>FLEN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54179-2021</t>
        </is>
      </c>
      <c r="B460" s="1" t="n">
        <v>44470</v>
      </c>
      <c r="C460" s="1" t="n">
        <v>45362</v>
      </c>
      <c r="D460" t="inlineStr">
        <is>
          <t>SÖDERMANLANDS LÄN</t>
        </is>
      </c>
      <c r="E460" t="inlineStr">
        <is>
          <t>FLEN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54325-2021</t>
        </is>
      </c>
      <c r="B461" s="1" t="n">
        <v>44472</v>
      </c>
      <c r="C461" s="1" t="n">
        <v>45362</v>
      </c>
      <c r="D461" t="inlineStr">
        <is>
          <t>SÖDERMANLANDS LÄN</t>
        </is>
      </c>
      <c r="E461" t="inlineStr">
        <is>
          <t>FLEN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54645-2021</t>
        </is>
      </c>
      <c r="B462" s="1" t="n">
        <v>44473</v>
      </c>
      <c r="C462" s="1" t="n">
        <v>45362</v>
      </c>
      <c r="D462" t="inlineStr">
        <is>
          <t>SÖDERMANLANDS LÄN</t>
        </is>
      </c>
      <c r="E462" t="inlineStr">
        <is>
          <t>FLEN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54666-2021</t>
        </is>
      </c>
      <c r="B463" s="1" t="n">
        <v>44473</v>
      </c>
      <c r="C463" s="1" t="n">
        <v>45362</v>
      </c>
      <c r="D463" t="inlineStr">
        <is>
          <t>SÖDERMANLANDS LÄN</t>
        </is>
      </c>
      <c r="E463" t="inlineStr">
        <is>
          <t>FLEN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57753-2021</t>
        </is>
      </c>
      <c r="B464" s="1" t="n">
        <v>44484</v>
      </c>
      <c r="C464" s="1" t="n">
        <v>45362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58299-2021</t>
        </is>
      </c>
      <c r="B465" s="1" t="n">
        <v>44487</v>
      </c>
      <c r="C465" s="1" t="n">
        <v>45362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59405-2021</t>
        </is>
      </c>
      <c r="B466" s="1" t="n">
        <v>44490</v>
      </c>
      <c r="C466" s="1" t="n">
        <v>45362</v>
      </c>
      <c r="D466" t="inlineStr">
        <is>
          <t>SÖDERMANLANDS LÄN</t>
        </is>
      </c>
      <c r="E466" t="inlineStr">
        <is>
          <t>FLEN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60069-2021</t>
        </is>
      </c>
      <c r="B467" s="1" t="n">
        <v>44495</v>
      </c>
      <c r="C467" s="1" t="n">
        <v>45362</v>
      </c>
      <c r="D467" t="inlineStr">
        <is>
          <t>SÖDERMANLANDS LÄN</t>
        </is>
      </c>
      <c r="E467" t="inlineStr">
        <is>
          <t>FLEN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60077-2021</t>
        </is>
      </c>
      <c r="B468" s="1" t="n">
        <v>44495</v>
      </c>
      <c r="C468" s="1" t="n">
        <v>45362</v>
      </c>
      <c r="D468" t="inlineStr">
        <is>
          <t>SÖDERMANLANDS LÄN</t>
        </is>
      </c>
      <c r="E468" t="inlineStr">
        <is>
          <t>FLEN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60255-2021</t>
        </is>
      </c>
      <c r="B469" s="1" t="n">
        <v>44495</v>
      </c>
      <c r="C469" s="1" t="n">
        <v>45362</v>
      </c>
      <c r="D469" t="inlineStr">
        <is>
          <t>SÖDERMANLANDS LÄN</t>
        </is>
      </c>
      <c r="E469" t="inlineStr">
        <is>
          <t>FLEN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60562-2021</t>
        </is>
      </c>
      <c r="B470" s="1" t="n">
        <v>44495</v>
      </c>
      <c r="C470" s="1" t="n">
        <v>45362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62223-2021</t>
        </is>
      </c>
      <c r="B471" s="1" t="n">
        <v>44501</v>
      </c>
      <c r="C471" s="1" t="n">
        <v>45362</v>
      </c>
      <c r="D471" t="inlineStr">
        <is>
          <t>SÖDERMANLANDS LÄN</t>
        </is>
      </c>
      <c r="E471" t="inlineStr">
        <is>
          <t>FLEN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63444-2021</t>
        </is>
      </c>
      <c r="B472" s="1" t="n">
        <v>44508</v>
      </c>
      <c r="C472" s="1" t="n">
        <v>45362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64060-2021</t>
        </is>
      </c>
      <c r="B473" s="1" t="n">
        <v>44508</v>
      </c>
      <c r="C473" s="1" t="n">
        <v>45362</v>
      </c>
      <c r="D473" t="inlineStr">
        <is>
          <t>SÖDERMANLANDS LÄN</t>
        </is>
      </c>
      <c r="E473" t="inlineStr">
        <is>
          <t>FLEN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64330-2021</t>
        </is>
      </c>
      <c r="B474" s="1" t="n">
        <v>44511</v>
      </c>
      <c r="C474" s="1" t="n">
        <v>45362</v>
      </c>
      <c r="D474" t="inlineStr">
        <is>
          <t>SÖDERMANLANDS LÄN</t>
        </is>
      </c>
      <c r="E474" t="inlineStr">
        <is>
          <t>FLEN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65869-2021</t>
        </is>
      </c>
      <c r="B475" s="1" t="n">
        <v>44517</v>
      </c>
      <c r="C475" s="1" t="n">
        <v>45362</v>
      </c>
      <c r="D475" t="inlineStr">
        <is>
          <t>SÖDERMANLANDS LÄN</t>
        </is>
      </c>
      <c r="E475" t="inlineStr">
        <is>
          <t>FLEN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45362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66334-2021</t>
        </is>
      </c>
      <c r="B477" s="1" t="n">
        <v>44518</v>
      </c>
      <c r="C477" s="1" t="n">
        <v>45362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66337-2021</t>
        </is>
      </c>
      <c r="B478" s="1" t="n">
        <v>44518</v>
      </c>
      <c r="C478" s="1" t="n">
        <v>45362</v>
      </c>
      <c r="D478" t="inlineStr">
        <is>
          <t>SÖDERMANLANDS LÄN</t>
        </is>
      </c>
      <c r="E478" t="inlineStr">
        <is>
          <t>FLEN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66867-2021</t>
        </is>
      </c>
      <c r="B479" s="1" t="n">
        <v>44522</v>
      </c>
      <c r="C479" s="1" t="n">
        <v>45362</v>
      </c>
      <c r="D479" t="inlineStr">
        <is>
          <t>SÖDERMANLANDS LÄN</t>
        </is>
      </c>
      <c r="E479" t="inlineStr">
        <is>
          <t>FLEN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66979-2021</t>
        </is>
      </c>
      <c r="B480" s="1" t="n">
        <v>44522</v>
      </c>
      <c r="C480" s="1" t="n">
        <v>45362</v>
      </c>
      <c r="D480" t="inlineStr">
        <is>
          <t>SÖDERMANLANDS LÄN</t>
        </is>
      </c>
      <c r="E480" t="inlineStr">
        <is>
          <t>FLEN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67464-2021</t>
        </is>
      </c>
      <c r="B481" s="1" t="n">
        <v>44524</v>
      </c>
      <c r="C481" s="1" t="n">
        <v>45362</v>
      </c>
      <c r="D481" t="inlineStr">
        <is>
          <t>SÖDERMANLANDS LÄN</t>
        </is>
      </c>
      <c r="E481" t="inlineStr">
        <is>
          <t>FLEN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69588-2021</t>
        </is>
      </c>
      <c r="B482" s="1" t="n">
        <v>44531</v>
      </c>
      <c r="C482" s="1" t="n">
        <v>45362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70215-2021</t>
        </is>
      </c>
      <c r="B483" s="1" t="n">
        <v>44535</v>
      </c>
      <c r="C483" s="1" t="n">
        <v>45362</v>
      </c>
      <c r="D483" t="inlineStr">
        <is>
          <t>SÖDERMANLANDS LÄN</t>
        </is>
      </c>
      <c r="E483" t="inlineStr">
        <is>
          <t>FLEN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70701-2021</t>
        </is>
      </c>
      <c r="B484" s="1" t="n">
        <v>44536</v>
      </c>
      <c r="C484" s="1" t="n">
        <v>45362</v>
      </c>
      <c r="D484" t="inlineStr">
        <is>
          <t>SÖDERMANLANDS LÄN</t>
        </is>
      </c>
      <c r="E484" t="inlineStr">
        <is>
          <t>FLEN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72314-2021</t>
        </is>
      </c>
      <c r="B485" s="1" t="n">
        <v>44544</v>
      </c>
      <c r="C485" s="1" t="n">
        <v>45362</v>
      </c>
      <c r="D485" t="inlineStr">
        <is>
          <t>SÖDERMANLANDS LÄN</t>
        </is>
      </c>
      <c r="E485" t="inlineStr">
        <is>
          <t>FLEN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73919-2021</t>
        </is>
      </c>
      <c r="B486" s="1" t="n">
        <v>44553</v>
      </c>
      <c r="C486" s="1" t="n">
        <v>45362</v>
      </c>
      <c r="D486" t="inlineStr">
        <is>
          <t>SÖDERMANLANDS LÄN</t>
        </is>
      </c>
      <c r="E486" t="inlineStr">
        <is>
          <t>FLEN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476-2022</t>
        </is>
      </c>
      <c r="B487" s="1" t="n">
        <v>44566</v>
      </c>
      <c r="C487" s="1" t="n">
        <v>45362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550-2022</t>
        </is>
      </c>
      <c r="B488" s="1" t="n">
        <v>44566</v>
      </c>
      <c r="C488" s="1" t="n">
        <v>45362</v>
      </c>
      <c r="D488" t="inlineStr">
        <is>
          <t>SÖDERMANLANDS LÄN</t>
        </is>
      </c>
      <c r="E488" t="inlineStr">
        <is>
          <t>FLEN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985-2022</t>
        </is>
      </c>
      <c r="B489" s="1" t="n">
        <v>44571</v>
      </c>
      <c r="C489" s="1" t="n">
        <v>45362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1242-2022</t>
        </is>
      </c>
      <c r="B490" s="1" t="n">
        <v>44572</v>
      </c>
      <c r="C490" s="1" t="n">
        <v>45362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2204-2022</t>
        </is>
      </c>
      <c r="B491" s="1" t="n">
        <v>44578</v>
      </c>
      <c r="C491" s="1" t="n">
        <v>45362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2162-2022</t>
        </is>
      </c>
      <c r="B492" s="1" t="n">
        <v>44578</v>
      </c>
      <c r="C492" s="1" t="n">
        <v>45362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2496-2022</t>
        </is>
      </c>
      <c r="B493" s="1" t="n">
        <v>44579</v>
      </c>
      <c r="C493" s="1" t="n">
        <v>45362</v>
      </c>
      <c r="D493" t="inlineStr">
        <is>
          <t>SÖDERMANLANDS LÄN</t>
        </is>
      </c>
      <c r="E493" t="inlineStr">
        <is>
          <t>FLEN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2734-2022</t>
        </is>
      </c>
      <c r="B494" s="1" t="n">
        <v>44580</v>
      </c>
      <c r="C494" s="1" t="n">
        <v>45362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2738-2022</t>
        </is>
      </c>
      <c r="B495" s="1" t="n">
        <v>44580</v>
      </c>
      <c r="C495" s="1" t="n">
        <v>45362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4065-2022</t>
        </is>
      </c>
      <c r="B496" s="1" t="n">
        <v>44588</v>
      </c>
      <c r="C496" s="1" t="n">
        <v>45362</v>
      </c>
      <c r="D496" t="inlineStr">
        <is>
          <t>SÖDERMANLANDS LÄN</t>
        </is>
      </c>
      <c r="E496" t="inlineStr">
        <is>
          <t>FLEN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4216-2022</t>
        </is>
      </c>
      <c r="B497" s="1" t="n">
        <v>44588</v>
      </c>
      <c r="C497" s="1" t="n">
        <v>45362</v>
      </c>
      <c r="D497" t="inlineStr">
        <is>
          <t>SÖDERMANLANDS LÄN</t>
        </is>
      </c>
      <c r="E497" t="inlineStr">
        <is>
          <t>FLEN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5260-2022</t>
        </is>
      </c>
      <c r="B498" s="1" t="n">
        <v>44594</v>
      </c>
      <c r="C498" s="1" t="n">
        <v>45362</v>
      </c>
      <c r="D498" t="inlineStr">
        <is>
          <t>SÖDERMANLANDS LÄN</t>
        </is>
      </c>
      <c r="E498" t="inlineStr">
        <is>
          <t>FLEN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5859-2022</t>
        </is>
      </c>
      <c r="B499" s="1" t="n">
        <v>44596</v>
      </c>
      <c r="C499" s="1" t="n">
        <v>45362</v>
      </c>
      <c r="D499" t="inlineStr">
        <is>
          <t>SÖDERMANLANDS LÄN</t>
        </is>
      </c>
      <c r="E499" t="inlineStr">
        <is>
          <t>FLEN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5852-2022</t>
        </is>
      </c>
      <c r="B500" s="1" t="n">
        <v>44596</v>
      </c>
      <c r="C500" s="1" t="n">
        <v>45362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6725-2022</t>
        </is>
      </c>
      <c r="B501" s="1" t="n">
        <v>44602</v>
      </c>
      <c r="C501" s="1" t="n">
        <v>45362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7170-2022</t>
        </is>
      </c>
      <c r="B502" s="1" t="n">
        <v>44604</v>
      </c>
      <c r="C502" s="1" t="n">
        <v>45362</v>
      </c>
      <c r="D502" t="inlineStr">
        <is>
          <t>SÖDERMANLANDS LÄN</t>
        </is>
      </c>
      <c r="E502" t="inlineStr">
        <is>
          <t>FLEN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7242-2022</t>
        </is>
      </c>
      <c r="B503" s="1" t="n">
        <v>44606</v>
      </c>
      <c r="C503" s="1" t="n">
        <v>45362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7863-2022</t>
        </is>
      </c>
      <c r="B504" s="1" t="n">
        <v>44608</v>
      </c>
      <c r="C504" s="1" t="n">
        <v>45362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8301-2022</t>
        </is>
      </c>
      <c r="B505" s="1" t="n">
        <v>44610</v>
      </c>
      <c r="C505" s="1" t="n">
        <v>45362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8293-2022</t>
        </is>
      </c>
      <c r="B506" s="1" t="n">
        <v>44610</v>
      </c>
      <c r="C506" s="1" t="n">
        <v>45362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8793-2022</t>
        </is>
      </c>
      <c r="B507" s="1" t="n">
        <v>44614</v>
      </c>
      <c r="C507" s="1" t="n">
        <v>45362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8903-2022</t>
        </is>
      </c>
      <c r="B508" s="1" t="n">
        <v>44614</v>
      </c>
      <c r="C508" s="1" t="n">
        <v>45362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8990-2022</t>
        </is>
      </c>
      <c r="B509" s="1" t="n">
        <v>44614</v>
      </c>
      <c r="C509" s="1" t="n">
        <v>45362</v>
      </c>
      <c r="D509" t="inlineStr">
        <is>
          <t>SÖDERMANLANDS LÄN</t>
        </is>
      </c>
      <c r="E509" t="inlineStr">
        <is>
          <t>FLEN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9431-2022</t>
        </is>
      </c>
      <c r="B510" s="1" t="n">
        <v>44616</v>
      </c>
      <c r="C510" s="1" t="n">
        <v>45362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10738-2022</t>
        </is>
      </c>
      <c r="B511" s="1" t="n">
        <v>44624</v>
      </c>
      <c r="C511" s="1" t="n">
        <v>45362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10771-2022</t>
        </is>
      </c>
      <c r="B512" s="1" t="n">
        <v>44624</v>
      </c>
      <c r="C512" s="1" t="n">
        <v>45362</v>
      </c>
      <c r="D512" t="inlineStr">
        <is>
          <t>SÖDERMANLANDS LÄN</t>
        </is>
      </c>
      <c r="E512" t="inlineStr">
        <is>
          <t>FLEN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10828-2022</t>
        </is>
      </c>
      <c r="B513" s="1" t="n">
        <v>44624</v>
      </c>
      <c r="C513" s="1" t="n">
        <v>45362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10827-2022</t>
        </is>
      </c>
      <c r="B514" s="1" t="n">
        <v>44624</v>
      </c>
      <c r="C514" s="1" t="n">
        <v>45362</v>
      </c>
      <c r="D514" t="inlineStr">
        <is>
          <t>SÖDERMANLANDS LÄN</t>
        </is>
      </c>
      <c r="E514" t="inlineStr">
        <is>
          <t>FLEN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10745-2022</t>
        </is>
      </c>
      <c r="B515" s="1" t="n">
        <v>44624</v>
      </c>
      <c r="C515" s="1" t="n">
        <v>45362</v>
      </c>
      <c r="D515" t="inlineStr">
        <is>
          <t>SÖDERMANLANDS LÄN</t>
        </is>
      </c>
      <c r="E515" t="inlineStr">
        <is>
          <t>FLEN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12172-2022</t>
        </is>
      </c>
      <c r="B516" s="1" t="n">
        <v>44636</v>
      </c>
      <c r="C516" s="1" t="n">
        <v>45362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12116-2022</t>
        </is>
      </c>
      <c r="B517" s="1" t="n">
        <v>44636</v>
      </c>
      <c r="C517" s="1" t="n">
        <v>45362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12171-2022</t>
        </is>
      </c>
      <c r="B518" s="1" t="n">
        <v>44636</v>
      </c>
      <c r="C518" s="1" t="n">
        <v>45362</v>
      </c>
      <c r="D518" t="inlineStr">
        <is>
          <t>SÖDERMANLANDS LÄN</t>
        </is>
      </c>
      <c r="E518" t="inlineStr">
        <is>
          <t>FLEN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12174-2022</t>
        </is>
      </c>
      <c r="B519" s="1" t="n">
        <v>44636</v>
      </c>
      <c r="C519" s="1" t="n">
        <v>45362</v>
      </c>
      <c r="D519" t="inlineStr">
        <is>
          <t>SÖDERMANLANDS LÄN</t>
        </is>
      </c>
      <c r="E519" t="inlineStr">
        <is>
          <t>FLEN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12306-2022</t>
        </is>
      </c>
      <c r="B520" s="1" t="n">
        <v>44637</v>
      </c>
      <c r="C520" s="1" t="n">
        <v>45362</v>
      </c>
      <c r="D520" t="inlineStr">
        <is>
          <t>SÖDERMANLANDS LÄN</t>
        </is>
      </c>
      <c r="E520" t="inlineStr">
        <is>
          <t>FLEN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12303-2022</t>
        </is>
      </c>
      <c r="B521" s="1" t="n">
        <v>44637</v>
      </c>
      <c r="C521" s="1" t="n">
        <v>45362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12608-2022</t>
        </is>
      </c>
      <c r="B522" s="1" t="n">
        <v>44640</v>
      </c>
      <c r="C522" s="1" t="n">
        <v>45362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13544-2022</t>
        </is>
      </c>
      <c r="B523" s="1" t="n">
        <v>44643</v>
      </c>
      <c r="C523" s="1" t="n">
        <v>45362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13529-2022</t>
        </is>
      </c>
      <c r="B524" s="1" t="n">
        <v>44643</v>
      </c>
      <c r="C524" s="1" t="n">
        <v>45362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13533-2022</t>
        </is>
      </c>
      <c r="B525" s="1" t="n">
        <v>44643</v>
      </c>
      <c r="C525" s="1" t="n">
        <v>45362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45362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16163-2022</t>
        </is>
      </c>
      <c r="B527" s="1" t="n">
        <v>44667</v>
      </c>
      <c r="C527" s="1" t="n">
        <v>45362</v>
      </c>
      <c r="D527" t="inlineStr">
        <is>
          <t>SÖDERMANLANDS LÄN</t>
        </is>
      </c>
      <c r="E527" t="inlineStr">
        <is>
          <t>FLEN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16396-2022</t>
        </is>
      </c>
      <c r="B528" s="1" t="n">
        <v>44671</v>
      </c>
      <c r="C528" s="1" t="n">
        <v>45362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16382-2022</t>
        </is>
      </c>
      <c r="B529" s="1" t="n">
        <v>44671</v>
      </c>
      <c r="C529" s="1" t="n">
        <v>45362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16937-2022</t>
        </is>
      </c>
      <c r="B530" s="1" t="n">
        <v>44676</v>
      </c>
      <c r="C530" s="1" t="n">
        <v>45362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17662-2022</t>
        </is>
      </c>
      <c r="B531" s="1" t="n">
        <v>44680</v>
      </c>
      <c r="C531" s="1" t="n">
        <v>45362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19994-2022</t>
        </is>
      </c>
      <c r="B532" s="1" t="n">
        <v>44697</v>
      </c>
      <c r="C532" s="1" t="n">
        <v>45362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20013-2022</t>
        </is>
      </c>
      <c r="B533" s="1" t="n">
        <v>44697</v>
      </c>
      <c r="C533" s="1" t="n">
        <v>45362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20791-2022</t>
        </is>
      </c>
      <c r="B534" s="1" t="n">
        <v>44701</v>
      </c>
      <c r="C534" s="1" t="n">
        <v>45362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21218-2022</t>
        </is>
      </c>
      <c r="B535" s="1" t="n">
        <v>44704</v>
      </c>
      <c r="C535" s="1" t="n">
        <v>45362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21351-2022</t>
        </is>
      </c>
      <c r="B536" s="1" t="n">
        <v>44705</v>
      </c>
      <c r="C536" s="1" t="n">
        <v>45362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22881-2022</t>
        </is>
      </c>
      <c r="B537" s="1" t="n">
        <v>44715</v>
      </c>
      <c r="C537" s="1" t="n">
        <v>45362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22883-2022</t>
        </is>
      </c>
      <c r="B538" s="1" t="n">
        <v>44715</v>
      </c>
      <c r="C538" s="1" t="n">
        <v>45362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23103-2022</t>
        </is>
      </c>
      <c r="B539" s="1" t="n">
        <v>44719</v>
      </c>
      <c r="C539" s="1" t="n">
        <v>45362</v>
      </c>
      <c r="D539" t="inlineStr">
        <is>
          <t>SÖDERMANLANDS LÄN</t>
        </is>
      </c>
      <c r="E539" t="inlineStr">
        <is>
          <t>FLEN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HYPERLINK("https://klasma.github.io/Logging_0482/knärot/A 23103-2022 karta knärot.png", "A 23103-2022")</f>
        <v/>
      </c>
      <c r="V539">
        <f>HYPERLINK("https://klasma.github.io/Logging_0482/klagomål/A 23103-2022 FSC-klagomål.docx", "A 23103-2022")</f>
        <v/>
      </c>
      <c r="W539">
        <f>HYPERLINK("https://klasma.github.io/Logging_0482/klagomålsmail/A 23103-2022 FSC-klagomål mail.docx", "A 23103-2022")</f>
        <v/>
      </c>
      <c r="X539">
        <f>HYPERLINK("https://klasma.github.io/Logging_0482/tillsyn/A 23103-2022 tillsynsbegäran.docx", "A 23103-2022")</f>
        <v/>
      </c>
      <c r="Y539">
        <f>HYPERLINK("https://klasma.github.io/Logging_0482/tillsynsmail/A 23103-2022 tillsynsbegäran mail.docx", "A 23103-2022")</f>
        <v/>
      </c>
    </row>
    <row r="540" ht="15" customHeight="1">
      <c r="A540" t="inlineStr">
        <is>
          <t>A 23294-2022</t>
        </is>
      </c>
      <c r="B540" s="1" t="n">
        <v>44720</v>
      </c>
      <c r="C540" s="1" t="n">
        <v>45362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23835-2022</t>
        </is>
      </c>
      <c r="B541" s="1" t="n">
        <v>44722</v>
      </c>
      <c r="C541" s="1" t="n">
        <v>45362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23859-2022</t>
        </is>
      </c>
      <c r="B542" s="1" t="n">
        <v>44722</v>
      </c>
      <c r="C542" s="1" t="n">
        <v>45362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23960-2022</t>
        </is>
      </c>
      <c r="B543" s="1" t="n">
        <v>44722</v>
      </c>
      <c r="C543" s="1" t="n">
        <v>45362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24037-2022</t>
        </is>
      </c>
      <c r="B544" s="1" t="n">
        <v>44724</v>
      </c>
      <c r="C544" s="1" t="n">
        <v>45362</v>
      </c>
      <c r="D544" t="inlineStr">
        <is>
          <t>SÖDERMANLANDS LÄN</t>
        </is>
      </c>
      <c r="E544" t="inlineStr">
        <is>
          <t>FLEN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24212-2022</t>
        </is>
      </c>
      <c r="B545" s="1" t="n">
        <v>44725</v>
      </c>
      <c r="C545" s="1" t="n">
        <v>45362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25823-2022</t>
        </is>
      </c>
      <c r="B546" s="1" t="n">
        <v>44733</v>
      </c>
      <c r="C546" s="1" t="n">
        <v>45362</v>
      </c>
      <c r="D546" t="inlineStr">
        <is>
          <t>SÖDERMANLANDS LÄN</t>
        </is>
      </c>
      <c r="E546" t="inlineStr">
        <is>
          <t>FLEN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26513-2022</t>
        </is>
      </c>
      <c r="B547" s="1" t="n">
        <v>44739</v>
      </c>
      <c r="C547" s="1" t="n">
        <v>45362</v>
      </c>
      <c r="D547" t="inlineStr">
        <is>
          <t>SÖDERMANLANDS LÄN</t>
        </is>
      </c>
      <c r="E547" t="inlineStr">
        <is>
          <t>FLEN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26663-2022</t>
        </is>
      </c>
      <c r="B548" s="1" t="n">
        <v>44739</v>
      </c>
      <c r="C548" s="1" t="n">
        <v>45362</v>
      </c>
      <c r="D548" t="inlineStr">
        <is>
          <t>SÖDERMANLANDS LÄN</t>
        </is>
      </c>
      <c r="E548" t="inlineStr">
        <is>
          <t>FLEN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27146-2022</t>
        </is>
      </c>
      <c r="B549" s="1" t="n">
        <v>44741</v>
      </c>
      <c r="C549" s="1" t="n">
        <v>45362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27512-2022</t>
        </is>
      </c>
      <c r="B550" s="1" t="n">
        <v>44742</v>
      </c>
      <c r="C550" s="1" t="n">
        <v>45362</v>
      </c>
      <c r="D550" t="inlineStr">
        <is>
          <t>SÖDERMANLANDS LÄN</t>
        </is>
      </c>
      <c r="E550" t="inlineStr">
        <is>
          <t>FLEN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27992-2022</t>
        </is>
      </c>
      <c r="B551" s="1" t="n">
        <v>44745</v>
      </c>
      <c r="C551" s="1" t="n">
        <v>45362</v>
      </c>
      <c r="D551" t="inlineStr">
        <is>
          <t>SÖDERMANLANDS LÄN</t>
        </is>
      </c>
      <c r="E551" t="inlineStr">
        <is>
          <t>FLEN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27991-2022</t>
        </is>
      </c>
      <c r="B552" s="1" t="n">
        <v>44745</v>
      </c>
      <c r="C552" s="1" t="n">
        <v>45362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28153-2022</t>
        </is>
      </c>
      <c r="B553" s="1" t="n">
        <v>44746</v>
      </c>
      <c r="C553" s="1" t="n">
        <v>45362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29367-2022</t>
        </is>
      </c>
      <c r="B554" s="1" t="n">
        <v>44752</v>
      </c>
      <c r="C554" s="1" t="n">
        <v>45362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29378-2022</t>
        </is>
      </c>
      <c r="B555" s="1" t="n">
        <v>44752</v>
      </c>
      <c r="C555" s="1" t="n">
        <v>45362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29384-2022</t>
        </is>
      </c>
      <c r="B556" s="1" t="n">
        <v>44752</v>
      </c>
      <c r="C556" s="1" t="n">
        <v>45362</v>
      </c>
      <c r="D556" t="inlineStr">
        <is>
          <t>SÖDERMANLANDS LÄN</t>
        </is>
      </c>
      <c r="E556" t="inlineStr">
        <is>
          <t>FLEN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29380-2022</t>
        </is>
      </c>
      <c r="B557" s="1" t="n">
        <v>44752</v>
      </c>
      <c r="C557" s="1" t="n">
        <v>45362</v>
      </c>
      <c r="D557" t="inlineStr">
        <is>
          <t>SÖDERMANLANDS LÄN</t>
        </is>
      </c>
      <c r="E557" t="inlineStr">
        <is>
          <t>FLEN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29389-2022</t>
        </is>
      </c>
      <c r="B558" s="1" t="n">
        <v>44753</v>
      </c>
      <c r="C558" s="1" t="n">
        <v>45362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30423-2022</t>
        </is>
      </c>
      <c r="B559" s="1" t="n">
        <v>44761</v>
      </c>
      <c r="C559" s="1" t="n">
        <v>45362</v>
      </c>
      <c r="D559" t="inlineStr">
        <is>
          <t>SÖDERMANLANDS LÄN</t>
        </is>
      </c>
      <c r="E559" t="inlineStr">
        <is>
          <t>FLEN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31079-2022</t>
        </is>
      </c>
      <c r="B560" s="1" t="n">
        <v>44769</v>
      </c>
      <c r="C560" s="1" t="n">
        <v>45362</v>
      </c>
      <c r="D560" t="inlineStr">
        <is>
          <t>SÖDERMANLANDS LÄN</t>
        </is>
      </c>
      <c r="E560" t="inlineStr">
        <is>
          <t>FLEN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31077-2022</t>
        </is>
      </c>
      <c r="B561" s="1" t="n">
        <v>44769</v>
      </c>
      <c r="C561" s="1" t="n">
        <v>45362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31083-2022</t>
        </is>
      </c>
      <c r="B562" s="1" t="n">
        <v>44769</v>
      </c>
      <c r="C562" s="1" t="n">
        <v>45362</v>
      </c>
      <c r="D562" t="inlineStr">
        <is>
          <t>SÖDERMANLANDS LÄN</t>
        </is>
      </c>
      <c r="E562" t="inlineStr">
        <is>
          <t>FLEN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31096-2022</t>
        </is>
      </c>
      <c r="B563" s="1" t="n">
        <v>44769</v>
      </c>
      <c r="C563" s="1" t="n">
        <v>45362</v>
      </c>
      <c r="D563" t="inlineStr">
        <is>
          <t>SÖDERMANLANDS LÄN</t>
        </is>
      </c>
      <c r="E563" t="inlineStr">
        <is>
          <t>FLEN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31068-2022</t>
        </is>
      </c>
      <c r="B564" s="1" t="n">
        <v>44769</v>
      </c>
      <c r="C564" s="1" t="n">
        <v>45362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31175-2022</t>
        </is>
      </c>
      <c r="B565" s="1" t="n">
        <v>44770</v>
      </c>
      <c r="C565" s="1" t="n">
        <v>45362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31238-2022</t>
        </is>
      </c>
      <c r="B566" s="1" t="n">
        <v>44771</v>
      </c>
      <c r="C566" s="1" t="n">
        <v>45362</v>
      </c>
      <c r="D566" t="inlineStr">
        <is>
          <t>SÖDERMANLANDS LÄN</t>
        </is>
      </c>
      <c r="E566" t="inlineStr">
        <is>
          <t>FLEN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45362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45362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45362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45362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45362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45362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45362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45362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45362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45362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45362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45362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45362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45362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45362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45362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45362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45362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45362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45362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45362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45362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45362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45362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45362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45362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45362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45362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44563-2022</t>
        </is>
      </c>
      <c r="B595" s="1" t="n">
        <v>44838</v>
      </c>
      <c r="C595" s="1" t="n">
        <v>45362</v>
      </c>
      <c r="D595" t="inlineStr">
        <is>
          <t>SÖDERMANLANDS LÄN</t>
        </is>
      </c>
      <c r="E595" t="inlineStr">
        <is>
          <t>FLEN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44592-2022</t>
        </is>
      </c>
      <c r="B596" s="1" t="n">
        <v>44838</v>
      </c>
      <c r="C596" s="1" t="n">
        <v>45362</v>
      </c>
      <c r="D596" t="inlineStr">
        <is>
          <t>SÖDERMANLANDS LÄN</t>
        </is>
      </c>
      <c r="E596" t="inlineStr">
        <is>
          <t>FLEN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44552-2022</t>
        </is>
      </c>
      <c r="B597" s="1" t="n">
        <v>44838</v>
      </c>
      <c r="C597" s="1" t="n">
        <v>45362</v>
      </c>
      <c r="D597" t="inlineStr">
        <is>
          <t>SÖDERMANLANDS LÄN</t>
        </is>
      </c>
      <c r="E597" t="inlineStr">
        <is>
          <t>FLEN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44172-2022</t>
        </is>
      </c>
      <c r="B598" s="1" t="n">
        <v>44839</v>
      </c>
      <c r="C598" s="1" t="n">
        <v>45362</v>
      </c>
      <c r="D598" t="inlineStr">
        <is>
          <t>SÖDERMANLANDS LÄN</t>
        </is>
      </c>
      <c r="E598" t="inlineStr">
        <is>
          <t>FLEN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44161-2022</t>
        </is>
      </c>
      <c r="B599" s="1" t="n">
        <v>44839</v>
      </c>
      <c r="C599" s="1" t="n">
        <v>45362</v>
      </c>
      <c r="D599" t="inlineStr">
        <is>
          <t>SÖDERMANLANDS LÄN</t>
        </is>
      </c>
      <c r="E599" t="inlineStr">
        <is>
          <t>FLEN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45594-2022</t>
        </is>
      </c>
      <c r="B600" s="1" t="n">
        <v>44841</v>
      </c>
      <c r="C600" s="1" t="n">
        <v>45362</v>
      </c>
      <c r="D600" t="inlineStr">
        <is>
          <t>SÖDERMANLANDS LÄN</t>
        </is>
      </c>
      <c r="E600" t="inlineStr">
        <is>
          <t>FLEN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46414-2022</t>
        </is>
      </c>
      <c r="B601" s="1" t="n">
        <v>44846</v>
      </c>
      <c r="C601" s="1" t="n">
        <v>45362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46401-2022</t>
        </is>
      </c>
      <c r="B602" s="1" t="n">
        <v>44846</v>
      </c>
      <c r="C602" s="1" t="n">
        <v>45362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46567-2022</t>
        </is>
      </c>
      <c r="B603" s="1" t="n">
        <v>44848</v>
      </c>
      <c r="C603" s="1" t="n">
        <v>45362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47187-2022</t>
        </is>
      </c>
      <c r="B604" s="1" t="n">
        <v>44848</v>
      </c>
      <c r="C604" s="1" t="n">
        <v>45362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47194-2022</t>
        </is>
      </c>
      <c r="B605" s="1" t="n">
        <v>44848</v>
      </c>
      <c r="C605" s="1" t="n">
        <v>45362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45362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45362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45362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45362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45362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45362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45362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45362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45362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45362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45362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45362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45362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45362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45362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45362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45362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45362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45362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45362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45362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45362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45362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45362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54724-2022</t>
        </is>
      </c>
      <c r="B630" s="1" t="n">
        <v>44881</v>
      </c>
      <c r="C630" s="1" t="n">
        <v>45362</v>
      </c>
      <c r="D630" t="inlineStr">
        <is>
          <t>SÖDERMANLANDS LÄN</t>
        </is>
      </c>
      <c r="E630" t="inlineStr">
        <is>
          <t>FLEN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54737-2022</t>
        </is>
      </c>
      <c r="B631" s="1" t="n">
        <v>44881</v>
      </c>
      <c r="C631" s="1" t="n">
        <v>45362</v>
      </c>
      <c r="D631" t="inlineStr">
        <is>
          <t>SÖDERMANLANDS LÄN</t>
        </is>
      </c>
      <c r="E631" t="inlineStr">
        <is>
          <t>FLEN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54736-2022</t>
        </is>
      </c>
      <c r="B632" s="1" t="n">
        <v>44883</v>
      </c>
      <c r="C632" s="1" t="n">
        <v>45362</v>
      </c>
      <c r="D632" t="inlineStr">
        <is>
          <t>SÖDERMANLANDS LÄN</t>
        </is>
      </c>
      <c r="E632" t="inlineStr">
        <is>
          <t>FLEN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54951-2022</t>
        </is>
      </c>
      <c r="B633" s="1" t="n">
        <v>44886</v>
      </c>
      <c r="C633" s="1" t="n">
        <v>45362</v>
      </c>
      <c r="D633" t="inlineStr">
        <is>
          <t>SÖDERMANLANDS LÄN</t>
        </is>
      </c>
      <c r="E633" t="inlineStr">
        <is>
          <t>FLEN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55081-2022</t>
        </is>
      </c>
      <c r="B634" s="1" t="n">
        <v>44886</v>
      </c>
      <c r="C634" s="1" t="n">
        <v>45362</v>
      </c>
      <c r="D634" t="inlineStr">
        <is>
          <t>SÖDERMANLANDS LÄN</t>
        </is>
      </c>
      <c r="E634" t="inlineStr">
        <is>
          <t>FLEN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55174-2022</t>
        </is>
      </c>
      <c r="B635" s="1" t="n">
        <v>44886</v>
      </c>
      <c r="C635" s="1" t="n">
        <v>45362</v>
      </c>
      <c r="D635" t="inlineStr">
        <is>
          <t>SÖDERMANLANDS LÄN</t>
        </is>
      </c>
      <c r="E635" t="inlineStr">
        <is>
          <t>FLEN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55171-2022</t>
        </is>
      </c>
      <c r="B636" s="1" t="n">
        <v>44886</v>
      </c>
      <c r="C636" s="1" t="n">
        <v>45362</v>
      </c>
      <c r="D636" t="inlineStr">
        <is>
          <t>SÖDERMANLANDS LÄN</t>
        </is>
      </c>
      <c r="E636" t="inlineStr">
        <is>
          <t>FLEN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55177-2022</t>
        </is>
      </c>
      <c r="B637" s="1" t="n">
        <v>44886</v>
      </c>
      <c r="C637" s="1" t="n">
        <v>45362</v>
      </c>
      <c r="D637" t="inlineStr">
        <is>
          <t>SÖDERMANLANDS LÄN</t>
        </is>
      </c>
      <c r="E637" t="inlineStr">
        <is>
          <t>FLEN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55445-2022</t>
        </is>
      </c>
      <c r="B638" s="1" t="n">
        <v>44887</v>
      </c>
      <c r="C638" s="1" t="n">
        <v>45362</v>
      </c>
      <c r="D638" t="inlineStr">
        <is>
          <t>SÖDERMANLANDS LÄN</t>
        </is>
      </c>
      <c r="E638" t="inlineStr">
        <is>
          <t>FLEN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56393-2022</t>
        </is>
      </c>
      <c r="B639" s="1" t="n">
        <v>44887</v>
      </c>
      <c r="C639" s="1" t="n">
        <v>45362</v>
      </c>
      <c r="D639" t="inlineStr">
        <is>
          <t>SÖDERMANLANDS LÄN</t>
        </is>
      </c>
      <c r="E639" t="inlineStr">
        <is>
          <t>FLEN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56497-2022</t>
        </is>
      </c>
      <c r="B640" s="1" t="n">
        <v>44887</v>
      </c>
      <c r="C640" s="1" t="n">
        <v>45362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56577-2022</t>
        </is>
      </c>
      <c r="B641" s="1" t="n">
        <v>44887</v>
      </c>
      <c r="C641" s="1" t="n">
        <v>45362</v>
      </c>
      <c r="D641" t="inlineStr">
        <is>
          <t>SÖDERMANLANDS LÄN</t>
        </is>
      </c>
      <c r="E641" t="inlineStr">
        <is>
          <t>FLEN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57032-2022</t>
        </is>
      </c>
      <c r="B642" s="1" t="n">
        <v>44895</v>
      </c>
      <c r="C642" s="1" t="n">
        <v>45362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57031-2022</t>
        </is>
      </c>
      <c r="B643" s="1" t="n">
        <v>44895</v>
      </c>
      <c r="C643" s="1" t="n">
        <v>45362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58692-2022</t>
        </is>
      </c>
      <c r="B644" s="1" t="n">
        <v>44895</v>
      </c>
      <c r="C644" s="1" t="n">
        <v>45362</v>
      </c>
      <c r="D644" t="inlineStr">
        <is>
          <t>SÖDERMANLANDS LÄN</t>
        </is>
      </c>
      <c r="E644" t="inlineStr">
        <is>
          <t>FLEN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58838-2022</t>
        </is>
      </c>
      <c r="B645" s="1" t="n">
        <v>44895</v>
      </c>
      <c r="C645" s="1" t="n">
        <v>45362</v>
      </c>
      <c r="D645" t="inlineStr">
        <is>
          <t>SÖDERMANLANDS LÄN</t>
        </is>
      </c>
      <c r="E645" t="inlineStr">
        <is>
          <t>FLEN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57353-2022</t>
        </is>
      </c>
      <c r="B646" s="1" t="n">
        <v>44896</v>
      </c>
      <c r="C646" s="1" t="n">
        <v>45362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57356-2022</t>
        </is>
      </c>
      <c r="B647" s="1" t="n">
        <v>44896</v>
      </c>
      <c r="C647" s="1" t="n">
        <v>45362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59023-2022</t>
        </is>
      </c>
      <c r="B648" s="1" t="n">
        <v>44897</v>
      </c>
      <c r="C648" s="1" t="n">
        <v>45362</v>
      </c>
      <c r="D648" t="inlineStr">
        <is>
          <t>SÖDERMANLANDS LÄN</t>
        </is>
      </c>
      <c r="E648" t="inlineStr">
        <is>
          <t>FLEN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59258-2022</t>
        </is>
      </c>
      <c r="B649" s="1" t="n">
        <v>44897</v>
      </c>
      <c r="C649" s="1" t="n">
        <v>45362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59247-2022</t>
        </is>
      </c>
      <c r="B650" s="1" t="n">
        <v>44897</v>
      </c>
      <c r="C650" s="1" t="n">
        <v>45362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59265-2022</t>
        </is>
      </c>
      <c r="B651" s="1" t="n">
        <v>44897</v>
      </c>
      <c r="C651" s="1" t="n">
        <v>45362</v>
      </c>
      <c r="D651" t="inlineStr">
        <is>
          <t>SÖDERMANLANDS LÄN</t>
        </is>
      </c>
      <c r="E651" t="inlineStr">
        <is>
          <t>FLEN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45362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45362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45362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45362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45362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45362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45362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45362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59607-2022</t>
        </is>
      </c>
      <c r="B660" s="1" t="n">
        <v>44907</v>
      </c>
      <c r="C660" s="1" t="n">
        <v>45362</v>
      </c>
      <c r="D660" t="inlineStr">
        <is>
          <t>SÖDERMANLANDS LÄN</t>
        </is>
      </c>
      <c r="E660" t="inlineStr">
        <is>
          <t>FLEN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59776-2022</t>
        </is>
      </c>
      <c r="B661" s="1" t="n">
        <v>44908</v>
      </c>
      <c r="C661" s="1" t="n">
        <v>45362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60034-2022</t>
        </is>
      </c>
      <c r="B662" s="1" t="n">
        <v>44909</v>
      </c>
      <c r="C662" s="1" t="n">
        <v>45362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60058-2022</t>
        </is>
      </c>
      <c r="B663" s="1" t="n">
        <v>44909</v>
      </c>
      <c r="C663" s="1" t="n">
        <v>45362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60048-2022</t>
        </is>
      </c>
      <c r="B664" s="1" t="n">
        <v>44909</v>
      </c>
      <c r="C664" s="1" t="n">
        <v>45362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60150-2022</t>
        </is>
      </c>
      <c r="B665" s="1" t="n">
        <v>44909</v>
      </c>
      <c r="C665" s="1" t="n">
        <v>45362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60609-2022</t>
        </is>
      </c>
      <c r="B666" s="1" t="n">
        <v>44911</v>
      </c>
      <c r="C666" s="1" t="n">
        <v>45362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61633-2022</t>
        </is>
      </c>
      <c r="B667" s="1" t="n">
        <v>44911</v>
      </c>
      <c r="C667" s="1" t="n">
        <v>45362</v>
      </c>
      <c r="D667" t="inlineStr">
        <is>
          <t>SÖDERMANLANDS LÄN</t>
        </is>
      </c>
      <c r="E667" t="inlineStr">
        <is>
          <t>FLEN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60937-2022</t>
        </is>
      </c>
      <c r="B668" s="1" t="n">
        <v>44914</v>
      </c>
      <c r="C668" s="1" t="n">
        <v>45362</v>
      </c>
      <c r="D668" t="inlineStr">
        <is>
          <t>SÖDERMANLANDS LÄN</t>
        </is>
      </c>
      <c r="E668" t="inlineStr">
        <is>
          <t>FLEN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61870-2022</t>
        </is>
      </c>
      <c r="B669" s="1" t="n">
        <v>44917</v>
      </c>
      <c r="C669" s="1" t="n">
        <v>45362</v>
      </c>
      <c r="D669" t="inlineStr">
        <is>
          <t>SÖDERMANLANDS LÄN</t>
        </is>
      </c>
      <c r="E669" t="inlineStr">
        <is>
          <t>FLEN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61869-2022</t>
        </is>
      </c>
      <c r="B670" s="1" t="n">
        <v>44917</v>
      </c>
      <c r="C670" s="1" t="n">
        <v>45362</v>
      </c>
      <c r="D670" t="inlineStr">
        <is>
          <t>SÖDERMANLANDS LÄN</t>
        </is>
      </c>
      <c r="E670" t="inlineStr">
        <is>
          <t>FLEN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780-2023</t>
        </is>
      </c>
      <c r="B671" s="1" t="n">
        <v>44931</v>
      </c>
      <c r="C671" s="1" t="n">
        <v>45362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2391-2023</t>
        </is>
      </c>
      <c r="B672" s="1" t="n">
        <v>44942</v>
      </c>
      <c r="C672" s="1" t="n">
        <v>45362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2757-2023</t>
        </is>
      </c>
      <c r="B673" s="1" t="n">
        <v>44943</v>
      </c>
      <c r="C673" s="1" t="n">
        <v>45362</v>
      </c>
      <c r="D673" t="inlineStr">
        <is>
          <t>SÖDERMANLANDS LÄN</t>
        </is>
      </c>
      <c r="E673" t="inlineStr">
        <is>
          <t>FLEN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2759-2023</t>
        </is>
      </c>
      <c r="B674" s="1" t="n">
        <v>44943</v>
      </c>
      <c r="C674" s="1" t="n">
        <v>45362</v>
      </c>
      <c r="D674" t="inlineStr">
        <is>
          <t>SÖDERMANLANDS LÄN</t>
        </is>
      </c>
      <c r="E674" t="inlineStr">
        <is>
          <t>FLEN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3435-2023</t>
        </is>
      </c>
      <c r="B675" s="1" t="n">
        <v>44949</v>
      </c>
      <c r="C675" s="1" t="n">
        <v>45362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4259-2023</t>
        </is>
      </c>
      <c r="B676" s="1" t="n">
        <v>44953</v>
      </c>
      <c r="C676" s="1" t="n">
        <v>45362</v>
      </c>
      <c r="D676" t="inlineStr">
        <is>
          <t>SÖDERMANLANDS LÄN</t>
        </is>
      </c>
      <c r="E676" t="inlineStr">
        <is>
          <t>FLEN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4736-2023</t>
        </is>
      </c>
      <c r="B677" s="1" t="n">
        <v>44957</v>
      </c>
      <c r="C677" s="1" t="n">
        <v>45362</v>
      </c>
      <c r="D677" t="inlineStr">
        <is>
          <t>SÖDERMANLANDS LÄN</t>
        </is>
      </c>
      <c r="E677" t="inlineStr">
        <is>
          <t>FLEN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4742-2023</t>
        </is>
      </c>
      <c r="B678" s="1" t="n">
        <v>44957</v>
      </c>
      <c r="C678" s="1" t="n">
        <v>45362</v>
      </c>
      <c r="D678" t="inlineStr">
        <is>
          <t>SÖDERMANLANDS LÄN</t>
        </is>
      </c>
      <c r="E678" t="inlineStr">
        <is>
          <t>FLEN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4749-2023</t>
        </is>
      </c>
      <c r="B679" s="1" t="n">
        <v>44957</v>
      </c>
      <c r="C679" s="1" t="n">
        <v>45362</v>
      </c>
      <c r="D679" t="inlineStr">
        <is>
          <t>SÖDERMANLANDS LÄN</t>
        </is>
      </c>
      <c r="E679" t="inlineStr">
        <is>
          <t>FLEN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4923-2023</t>
        </is>
      </c>
      <c r="B680" s="1" t="n">
        <v>44958</v>
      </c>
      <c r="C680" s="1" t="n">
        <v>45362</v>
      </c>
      <c r="D680" t="inlineStr">
        <is>
          <t>SÖDERMANLANDS LÄN</t>
        </is>
      </c>
      <c r="E680" t="inlineStr">
        <is>
          <t>FLEN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4899-2023</t>
        </is>
      </c>
      <c r="B681" s="1" t="n">
        <v>44958</v>
      </c>
      <c r="C681" s="1" t="n">
        <v>45362</v>
      </c>
      <c r="D681" t="inlineStr">
        <is>
          <t>SÖDERMANLANDS LÄN</t>
        </is>
      </c>
      <c r="E681" t="inlineStr">
        <is>
          <t>FLEN</t>
        </is>
      </c>
      <c r="F681" t="inlineStr">
        <is>
          <t>Kyrkan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5109-2023</t>
        </is>
      </c>
      <c r="B682" s="1" t="n">
        <v>44958</v>
      </c>
      <c r="C682" s="1" t="n">
        <v>45362</v>
      </c>
      <c r="D682" t="inlineStr">
        <is>
          <t>SÖDERMANLANDS LÄN</t>
        </is>
      </c>
      <c r="E682" t="inlineStr">
        <is>
          <t>FLEN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5582-2023</t>
        </is>
      </c>
      <c r="B683" s="1" t="n">
        <v>44960</v>
      </c>
      <c r="C683" s="1" t="n">
        <v>45362</v>
      </c>
      <c r="D683" t="inlineStr">
        <is>
          <t>SÖDERMANLANDS LÄN</t>
        </is>
      </c>
      <c r="E683" t="inlineStr">
        <is>
          <t>FLEN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7399-2023</t>
        </is>
      </c>
      <c r="B684" s="1" t="n">
        <v>44966</v>
      </c>
      <c r="C684" s="1" t="n">
        <v>45362</v>
      </c>
      <c r="D684" t="inlineStr">
        <is>
          <t>SÖDERMANLANDS LÄN</t>
        </is>
      </c>
      <c r="E684" t="inlineStr">
        <is>
          <t>FLEN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7163-2023</t>
        </is>
      </c>
      <c r="B685" s="1" t="n">
        <v>44970</v>
      </c>
      <c r="C685" s="1" t="n">
        <v>45362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7194-2023</t>
        </is>
      </c>
      <c r="B686" s="1" t="n">
        <v>44970</v>
      </c>
      <c r="C686" s="1" t="n">
        <v>45362</v>
      </c>
      <c r="D686" t="inlineStr">
        <is>
          <t>SÖDERMANLANDS LÄN</t>
        </is>
      </c>
      <c r="E686" t="inlineStr">
        <is>
          <t>FLEN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7693-2023</t>
        </is>
      </c>
      <c r="B687" s="1" t="n">
        <v>44972</v>
      </c>
      <c r="C687" s="1" t="n">
        <v>45362</v>
      </c>
      <c r="D687" t="inlineStr">
        <is>
          <t>SÖDERMANLANDS LÄN</t>
        </is>
      </c>
      <c r="E687" t="inlineStr">
        <is>
          <t>FLEN</t>
        </is>
      </c>
      <c r="F687" t="inlineStr">
        <is>
          <t>Kommuner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8075-2023</t>
        </is>
      </c>
      <c r="B688" s="1" t="n">
        <v>44974</v>
      </c>
      <c r="C688" s="1" t="n">
        <v>45362</v>
      </c>
      <c r="D688" t="inlineStr">
        <is>
          <t>SÖDERMANLANDS LÄN</t>
        </is>
      </c>
      <c r="E688" t="inlineStr">
        <is>
          <t>FLEN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8042-2023</t>
        </is>
      </c>
      <c r="B689" s="1" t="n">
        <v>44974</v>
      </c>
      <c r="C689" s="1" t="n">
        <v>45362</v>
      </c>
      <c r="D689" t="inlineStr">
        <is>
          <t>SÖDERMANLANDS LÄN</t>
        </is>
      </c>
      <c r="E689" t="inlineStr">
        <is>
          <t>FLEN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8607-2023</t>
        </is>
      </c>
      <c r="B690" s="1" t="n">
        <v>44977</v>
      </c>
      <c r="C690" s="1" t="n">
        <v>45362</v>
      </c>
      <c r="D690" t="inlineStr">
        <is>
          <t>SÖDERMANLANDS LÄN</t>
        </is>
      </c>
      <c r="E690" t="inlineStr">
        <is>
          <t>FLEN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8588-2023</t>
        </is>
      </c>
      <c r="B691" s="1" t="n">
        <v>44977</v>
      </c>
      <c r="C691" s="1" t="n">
        <v>45362</v>
      </c>
      <c r="D691" t="inlineStr">
        <is>
          <t>SÖDERMANLANDS LÄN</t>
        </is>
      </c>
      <c r="E691" t="inlineStr">
        <is>
          <t>FLEN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8894-2023</t>
        </is>
      </c>
      <c r="B692" s="1" t="n">
        <v>44979</v>
      </c>
      <c r="C692" s="1" t="n">
        <v>45362</v>
      </c>
      <c r="D692" t="inlineStr">
        <is>
          <t>SÖDERMANLANDS LÄN</t>
        </is>
      </c>
      <c r="E692" t="inlineStr">
        <is>
          <t>FLEN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8891-2023</t>
        </is>
      </c>
      <c r="B693" s="1" t="n">
        <v>44979</v>
      </c>
      <c r="C693" s="1" t="n">
        <v>45362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8883-2023</t>
        </is>
      </c>
      <c r="B694" s="1" t="n">
        <v>44979</v>
      </c>
      <c r="C694" s="1" t="n">
        <v>45362</v>
      </c>
      <c r="D694" t="inlineStr">
        <is>
          <t>SÖDERMANLANDS LÄN</t>
        </is>
      </c>
      <c r="E694" t="inlineStr">
        <is>
          <t>FLEN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9889-2023</t>
        </is>
      </c>
      <c r="B695" s="1" t="n">
        <v>44979</v>
      </c>
      <c r="C695" s="1" t="n">
        <v>45362</v>
      </c>
      <c r="D695" t="inlineStr">
        <is>
          <t>SÖDERMANLANDS LÄN</t>
        </is>
      </c>
      <c r="E695" t="inlineStr">
        <is>
          <t>FLEN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9894-2023</t>
        </is>
      </c>
      <c r="B696" s="1" t="n">
        <v>44979</v>
      </c>
      <c r="C696" s="1" t="n">
        <v>45362</v>
      </c>
      <c r="D696" t="inlineStr">
        <is>
          <t>SÖDERMANLANDS LÄN</t>
        </is>
      </c>
      <c r="E696" t="inlineStr">
        <is>
          <t>FLEN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9257-2023</t>
        </is>
      </c>
      <c r="B697" s="1" t="n">
        <v>44980</v>
      </c>
      <c r="C697" s="1" t="n">
        <v>45362</v>
      </c>
      <c r="D697" t="inlineStr">
        <is>
          <t>SÖDERMANLANDS LÄN</t>
        </is>
      </c>
      <c r="E697" t="inlineStr">
        <is>
          <t>FLEN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9882-2023</t>
        </is>
      </c>
      <c r="B698" s="1" t="n">
        <v>44985</v>
      </c>
      <c r="C698" s="1" t="n">
        <v>45362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9941-2023</t>
        </is>
      </c>
      <c r="B699" s="1" t="n">
        <v>44985</v>
      </c>
      <c r="C699" s="1" t="n">
        <v>45362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10938-2023</t>
        </is>
      </c>
      <c r="B700" s="1" t="n">
        <v>44985</v>
      </c>
      <c r="C700" s="1" t="n">
        <v>45362</v>
      </c>
      <c r="D700" t="inlineStr">
        <is>
          <t>SÖDERMANLANDS LÄN</t>
        </is>
      </c>
      <c r="E700" t="inlineStr">
        <is>
          <t>FLEN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10110-2023</t>
        </is>
      </c>
      <c r="B701" s="1" t="n">
        <v>44986</v>
      </c>
      <c r="C701" s="1" t="n">
        <v>45362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10565-2023</t>
        </is>
      </c>
      <c r="B702" s="1" t="n">
        <v>44988</v>
      </c>
      <c r="C702" s="1" t="n">
        <v>45362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10886-2023</t>
        </is>
      </c>
      <c r="B703" s="1" t="n">
        <v>44991</v>
      </c>
      <c r="C703" s="1" t="n">
        <v>45362</v>
      </c>
      <c r="D703" t="inlineStr">
        <is>
          <t>SÖDERMANLANDS LÄN</t>
        </is>
      </c>
      <c r="E703" t="inlineStr">
        <is>
          <t>FLEN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11506-2023</t>
        </is>
      </c>
      <c r="B704" s="1" t="n">
        <v>44991</v>
      </c>
      <c r="C704" s="1" t="n">
        <v>45362</v>
      </c>
      <c r="D704" t="inlineStr">
        <is>
          <t>SÖDERMANLANDS LÄN</t>
        </is>
      </c>
      <c r="E704" t="inlineStr">
        <is>
          <t>FLEN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12419-2023</t>
        </is>
      </c>
      <c r="B705" s="1" t="n">
        <v>44998</v>
      </c>
      <c r="C705" s="1" t="n">
        <v>45362</v>
      </c>
      <c r="D705" t="inlineStr">
        <is>
          <t>SÖDERMANLANDS LÄN</t>
        </is>
      </c>
      <c r="E705" t="inlineStr">
        <is>
          <t>FLEN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45362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45362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45362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45362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13858-2023</t>
        </is>
      </c>
      <c r="B710" s="1" t="n">
        <v>45007</v>
      </c>
      <c r="C710" s="1" t="n">
        <v>45362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13909-2023</t>
        </is>
      </c>
      <c r="B711" s="1" t="n">
        <v>45008</v>
      </c>
      <c r="C711" s="1" t="n">
        <v>45362</v>
      </c>
      <c r="D711" t="inlineStr">
        <is>
          <t>SÖDERMANLANDS LÄN</t>
        </is>
      </c>
      <c r="E711" t="inlineStr">
        <is>
          <t>FLEN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14412-2023</t>
        </is>
      </c>
      <c r="B712" s="1" t="n">
        <v>45012</v>
      </c>
      <c r="C712" s="1" t="n">
        <v>45362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14599-2023</t>
        </is>
      </c>
      <c r="B713" s="1" t="n">
        <v>45013</v>
      </c>
      <c r="C713" s="1" t="n">
        <v>45362</v>
      </c>
      <c r="D713" t="inlineStr">
        <is>
          <t>SÖDERMANLANDS LÄN</t>
        </is>
      </c>
      <c r="E713" t="inlineStr">
        <is>
          <t>FLEN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14749-2023</t>
        </is>
      </c>
      <c r="B714" s="1" t="n">
        <v>45014</v>
      </c>
      <c r="C714" s="1" t="n">
        <v>45362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14755-2023</t>
        </is>
      </c>
      <c r="B715" s="1" t="n">
        <v>45014</v>
      </c>
      <c r="C715" s="1" t="n">
        <v>45362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14826-2023</t>
        </is>
      </c>
      <c r="B716" s="1" t="n">
        <v>45014</v>
      </c>
      <c r="C716" s="1" t="n">
        <v>45362</v>
      </c>
      <c r="D716" t="inlineStr">
        <is>
          <t>SÖDERMANLANDS LÄN</t>
        </is>
      </c>
      <c r="E716" t="inlineStr">
        <is>
          <t>FLEN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15119-2023</t>
        </is>
      </c>
      <c r="B717" s="1" t="n">
        <v>45016</v>
      </c>
      <c r="C717" s="1" t="n">
        <v>45362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15897-2023</t>
        </is>
      </c>
      <c r="B718" s="1" t="n">
        <v>45022</v>
      </c>
      <c r="C718" s="1" t="n">
        <v>45362</v>
      </c>
      <c r="D718" t="inlineStr">
        <is>
          <t>SÖDERMANLANDS LÄN</t>
        </is>
      </c>
      <c r="E718" t="inlineStr">
        <is>
          <t>FLEN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15904-2023</t>
        </is>
      </c>
      <c r="B719" s="1" t="n">
        <v>45022</v>
      </c>
      <c r="C719" s="1" t="n">
        <v>45362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15900-2023</t>
        </is>
      </c>
      <c r="B720" s="1" t="n">
        <v>45022</v>
      </c>
      <c r="C720" s="1" t="n">
        <v>45362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16045-2023</t>
        </is>
      </c>
      <c r="B721" s="1" t="n">
        <v>45022</v>
      </c>
      <c r="C721" s="1" t="n">
        <v>45362</v>
      </c>
      <c r="D721" t="inlineStr">
        <is>
          <t>SÖDERMANLANDS LÄN</t>
        </is>
      </c>
      <c r="E721" t="inlineStr">
        <is>
          <t>FLEN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16399-2023</t>
        </is>
      </c>
      <c r="B722" s="1" t="n">
        <v>45029</v>
      </c>
      <c r="C722" s="1" t="n">
        <v>45362</v>
      </c>
      <c r="D722" t="inlineStr">
        <is>
          <t>SÖDERMANLANDS LÄN</t>
        </is>
      </c>
      <c r="E722" t="inlineStr">
        <is>
          <t>FLEN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16581-2023</t>
        </is>
      </c>
      <c r="B723" s="1" t="n">
        <v>45030</v>
      </c>
      <c r="C723" s="1" t="n">
        <v>45362</v>
      </c>
      <c r="D723" t="inlineStr">
        <is>
          <t>SÖDERMANLANDS LÄN</t>
        </is>
      </c>
      <c r="E723" t="inlineStr">
        <is>
          <t>FLEN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16582-2023</t>
        </is>
      </c>
      <c r="B724" s="1" t="n">
        <v>45030</v>
      </c>
      <c r="C724" s="1" t="n">
        <v>45362</v>
      </c>
      <c r="D724" t="inlineStr">
        <is>
          <t>SÖDERMANLANDS LÄN</t>
        </is>
      </c>
      <c r="E724" t="inlineStr">
        <is>
          <t>FLEN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16583-2023</t>
        </is>
      </c>
      <c r="B725" s="1" t="n">
        <v>45030</v>
      </c>
      <c r="C725" s="1" t="n">
        <v>45362</v>
      </c>
      <c r="D725" t="inlineStr">
        <is>
          <t>SÖDERMANLANDS LÄN</t>
        </is>
      </c>
      <c r="E725" t="inlineStr">
        <is>
          <t>FLEN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16580-2023</t>
        </is>
      </c>
      <c r="B726" s="1" t="n">
        <v>45030</v>
      </c>
      <c r="C726" s="1" t="n">
        <v>45362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17125-2023</t>
        </is>
      </c>
      <c r="B727" s="1" t="n">
        <v>45034</v>
      </c>
      <c r="C727" s="1" t="n">
        <v>45362</v>
      </c>
      <c r="D727" t="inlineStr">
        <is>
          <t>SÖDERMANLANDS LÄN</t>
        </is>
      </c>
      <c r="E727" t="inlineStr">
        <is>
          <t>FLEN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17655-2023</t>
        </is>
      </c>
      <c r="B728" s="1" t="n">
        <v>45036</v>
      </c>
      <c r="C728" s="1" t="n">
        <v>45362</v>
      </c>
      <c r="D728" t="inlineStr">
        <is>
          <t>SÖDERMANLANDS LÄN</t>
        </is>
      </c>
      <c r="E728" t="inlineStr">
        <is>
          <t>FLEN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17654-2023</t>
        </is>
      </c>
      <c r="B729" s="1" t="n">
        <v>45036</v>
      </c>
      <c r="C729" s="1" t="n">
        <v>45362</v>
      </c>
      <c r="D729" t="inlineStr">
        <is>
          <t>SÖDERMANLANDS LÄN</t>
        </is>
      </c>
      <c r="E729" t="inlineStr">
        <is>
          <t>FLEN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18083-2023</t>
        </is>
      </c>
      <c r="B730" s="1" t="n">
        <v>45039</v>
      </c>
      <c r="C730" s="1" t="n">
        <v>45362</v>
      </c>
      <c r="D730" t="inlineStr">
        <is>
          <t>SÖDERMANLANDS LÄN</t>
        </is>
      </c>
      <c r="E730" t="inlineStr">
        <is>
          <t>FLEN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18073-2023</t>
        </is>
      </c>
      <c r="B731" s="1" t="n">
        <v>45039</v>
      </c>
      <c r="C731" s="1" t="n">
        <v>45362</v>
      </c>
      <c r="D731" t="inlineStr">
        <is>
          <t>SÖDERMANLANDS LÄN</t>
        </is>
      </c>
      <c r="E731" t="inlineStr">
        <is>
          <t>FLEN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18102-2023</t>
        </is>
      </c>
      <c r="B732" s="1" t="n">
        <v>45039</v>
      </c>
      <c r="C732" s="1" t="n">
        <v>45362</v>
      </c>
      <c r="D732" t="inlineStr">
        <is>
          <t>SÖDERMANLANDS LÄN</t>
        </is>
      </c>
      <c r="E732" t="inlineStr">
        <is>
          <t>FLEN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18093-2023</t>
        </is>
      </c>
      <c r="B733" s="1" t="n">
        <v>45039</v>
      </c>
      <c r="C733" s="1" t="n">
        <v>45362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18511-2023</t>
        </is>
      </c>
      <c r="B734" s="1" t="n">
        <v>45041</v>
      </c>
      <c r="C734" s="1" t="n">
        <v>45362</v>
      </c>
      <c r="D734" t="inlineStr">
        <is>
          <t>SÖDERMANLANDS LÄN</t>
        </is>
      </c>
      <c r="E734" t="inlineStr">
        <is>
          <t>FLEN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18689-2023</t>
        </is>
      </c>
      <c r="B735" s="1" t="n">
        <v>45043</v>
      </c>
      <c r="C735" s="1" t="n">
        <v>45362</v>
      </c>
      <c r="D735" t="inlineStr">
        <is>
          <t>SÖDERMANLANDS LÄN</t>
        </is>
      </c>
      <c r="E735" t="inlineStr">
        <is>
          <t>FLEN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19150-2023</t>
        </is>
      </c>
      <c r="B736" s="1" t="n">
        <v>45048</v>
      </c>
      <c r="C736" s="1" t="n">
        <v>45362</v>
      </c>
      <c r="D736" t="inlineStr">
        <is>
          <t>SÖDERMANLANDS LÄN</t>
        </is>
      </c>
      <c r="E736" t="inlineStr">
        <is>
          <t>FLEN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19855-2023</t>
        </is>
      </c>
      <c r="B737" s="1" t="n">
        <v>45053</v>
      </c>
      <c r="C737" s="1" t="n">
        <v>45362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20462-2023</t>
        </is>
      </c>
      <c r="B738" s="1" t="n">
        <v>45056</v>
      </c>
      <c r="C738" s="1" t="n">
        <v>45362</v>
      </c>
      <c r="D738" t="inlineStr">
        <is>
          <t>SÖDERMANLANDS LÄN</t>
        </is>
      </c>
      <c r="E738" t="inlineStr">
        <is>
          <t>FLEN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20463-2023</t>
        </is>
      </c>
      <c r="B739" s="1" t="n">
        <v>45056</v>
      </c>
      <c r="C739" s="1" t="n">
        <v>45362</v>
      </c>
      <c r="D739" t="inlineStr">
        <is>
          <t>SÖDERMANLANDS LÄN</t>
        </is>
      </c>
      <c r="E739" t="inlineStr">
        <is>
          <t>FLEN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20980-2023</t>
        </is>
      </c>
      <c r="B740" s="1" t="n">
        <v>45056</v>
      </c>
      <c r="C740" s="1" t="n">
        <v>45362</v>
      </c>
      <c r="D740" t="inlineStr">
        <is>
          <t>SÖDERMANLANDS LÄN</t>
        </is>
      </c>
      <c r="E740" t="inlineStr">
        <is>
          <t>FLEN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21047-2023</t>
        </is>
      </c>
      <c r="B741" s="1" t="n">
        <v>45056</v>
      </c>
      <c r="C741" s="1" t="n">
        <v>45362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21036-2023</t>
        </is>
      </c>
      <c r="B742" s="1" t="n">
        <v>45056</v>
      </c>
      <c r="C742" s="1" t="n">
        <v>45362</v>
      </c>
      <c r="D742" t="inlineStr">
        <is>
          <t>SÖDERMANLANDS LÄN</t>
        </is>
      </c>
      <c r="E742" t="inlineStr">
        <is>
          <t>FLEN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21057-2023</t>
        </is>
      </c>
      <c r="B743" s="1" t="n">
        <v>45056</v>
      </c>
      <c r="C743" s="1" t="n">
        <v>45362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21167-2023</t>
        </is>
      </c>
      <c r="B744" s="1" t="n">
        <v>45057</v>
      </c>
      <c r="C744" s="1" t="n">
        <v>45362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21714-2023</t>
        </is>
      </c>
      <c r="B745" s="1" t="n">
        <v>45065</v>
      </c>
      <c r="C745" s="1" t="n">
        <v>45362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22028-2023</t>
        </is>
      </c>
      <c r="B746" s="1" t="n">
        <v>45066</v>
      </c>
      <c r="C746" s="1" t="n">
        <v>45362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21822-2023</t>
        </is>
      </c>
      <c r="B747" s="1" t="n">
        <v>45068</v>
      </c>
      <c r="C747" s="1" t="n">
        <v>45362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22101-2023</t>
        </is>
      </c>
      <c r="B748" s="1" t="n">
        <v>45068</v>
      </c>
      <c r="C748" s="1" t="n">
        <v>45362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22369-2023</t>
        </is>
      </c>
      <c r="B749" s="1" t="n">
        <v>45070</v>
      </c>
      <c r="C749" s="1" t="n">
        <v>45362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22365-2023</t>
        </is>
      </c>
      <c r="B750" s="1" t="n">
        <v>45070</v>
      </c>
      <c r="C750" s="1" t="n">
        <v>45362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22957-2023</t>
        </is>
      </c>
      <c r="B751" s="1" t="n">
        <v>45072</v>
      </c>
      <c r="C751" s="1" t="n">
        <v>45362</v>
      </c>
      <c r="D751" t="inlineStr">
        <is>
          <t>SÖDERMANLANDS LÄN</t>
        </is>
      </c>
      <c r="E751" t="inlineStr">
        <is>
          <t>FLEN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23650-2023</t>
        </is>
      </c>
      <c r="B752" s="1" t="n">
        <v>45073</v>
      </c>
      <c r="C752" s="1" t="n">
        <v>45362</v>
      </c>
      <c r="D752" t="inlineStr">
        <is>
          <t>SÖDERMANLANDS LÄN</t>
        </is>
      </c>
      <c r="E752" t="inlineStr">
        <is>
          <t>FLEN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23646-2023</t>
        </is>
      </c>
      <c r="B753" s="1" t="n">
        <v>45073</v>
      </c>
      <c r="C753" s="1" t="n">
        <v>45362</v>
      </c>
      <c r="D753" t="inlineStr">
        <is>
          <t>SÖDERMANLANDS LÄN</t>
        </is>
      </c>
      <c r="E753" t="inlineStr">
        <is>
          <t>FLEN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24123-2023</t>
        </is>
      </c>
      <c r="B754" s="1" t="n">
        <v>45079</v>
      </c>
      <c r="C754" s="1" t="n">
        <v>45362</v>
      </c>
      <c r="D754" t="inlineStr">
        <is>
          <t>SÖDERMANLANDS LÄN</t>
        </is>
      </c>
      <c r="E754" t="inlineStr">
        <is>
          <t>FLEN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25474-2023</t>
        </is>
      </c>
      <c r="B755" s="1" t="n">
        <v>45081</v>
      </c>
      <c r="C755" s="1" t="n">
        <v>45362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25467-2023</t>
        </is>
      </c>
      <c r="B756" s="1" t="n">
        <v>45081</v>
      </c>
      <c r="C756" s="1" t="n">
        <v>45362</v>
      </c>
      <c r="D756" t="inlineStr">
        <is>
          <t>SÖDERMANLANDS LÄN</t>
        </is>
      </c>
      <c r="E756" t="inlineStr">
        <is>
          <t>FLEN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24348-2023</t>
        </is>
      </c>
      <c r="B757" s="1" t="n">
        <v>45082</v>
      </c>
      <c r="C757" s="1" t="n">
        <v>45362</v>
      </c>
      <c r="D757" t="inlineStr">
        <is>
          <t>SÖDERMANLANDS LÄN</t>
        </is>
      </c>
      <c r="E757" t="inlineStr">
        <is>
          <t>FLEN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25605-2023</t>
        </is>
      </c>
      <c r="B758" s="1" t="n">
        <v>45089</v>
      </c>
      <c r="C758" s="1" t="n">
        <v>45362</v>
      </c>
      <c r="D758" t="inlineStr">
        <is>
          <t>SÖDERMANLANDS LÄN</t>
        </is>
      </c>
      <c r="E758" t="inlineStr">
        <is>
          <t>FLEN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26036-2023</t>
        </is>
      </c>
      <c r="B759" s="1" t="n">
        <v>45091</v>
      </c>
      <c r="C759" s="1" t="n">
        <v>45362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27724-2023</t>
        </is>
      </c>
      <c r="B760" s="1" t="n">
        <v>45097</v>
      </c>
      <c r="C760" s="1" t="n">
        <v>45362</v>
      </c>
      <c r="D760" t="inlineStr">
        <is>
          <t>SÖDERMANLANDS LÄN</t>
        </is>
      </c>
      <c r="E760" t="inlineStr">
        <is>
          <t>FLEN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27780-2023</t>
        </is>
      </c>
      <c r="B761" s="1" t="n">
        <v>45098</v>
      </c>
      <c r="C761" s="1" t="n">
        <v>45362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27849-2023</t>
        </is>
      </c>
      <c r="B762" s="1" t="n">
        <v>45098</v>
      </c>
      <c r="C762" s="1" t="n">
        <v>45362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28154-2023</t>
        </is>
      </c>
      <c r="B763" s="1" t="n">
        <v>45099</v>
      </c>
      <c r="C763" s="1" t="n">
        <v>45362</v>
      </c>
      <c r="D763" t="inlineStr">
        <is>
          <t>SÖDERMANLANDS LÄN</t>
        </is>
      </c>
      <c r="E763" t="inlineStr">
        <is>
          <t>FLEN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31007-2023</t>
        </is>
      </c>
      <c r="B764" s="1" t="n">
        <v>45103</v>
      </c>
      <c r="C764" s="1" t="n">
        <v>45362</v>
      </c>
      <c r="D764" t="inlineStr">
        <is>
          <t>SÖDERMANLANDS LÄN</t>
        </is>
      </c>
      <c r="E764" t="inlineStr">
        <is>
          <t>FLEN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HYPERLINK("https://klasma.github.io/Logging_0482/knärot/A 31007-2023 karta knärot.png", "A 31007-2023")</f>
        <v/>
      </c>
      <c r="V764">
        <f>HYPERLINK("https://klasma.github.io/Logging_0482/klagomål/A 31007-2023 FSC-klagomål.docx", "A 31007-2023")</f>
        <v/>
      </c>
      <c r="W764">
        <f>HYPERLINK("https://klasma.github.io/Logging_0482/klagomålsmail/A 31007-2023 FSC-klagomål mail.docx", "A 31007-2023")</f>
        <v/>
      </c>
      <c r="X764">
        <f>HYPERLINK("https://klasma.github.io/Logging_0482/tillsyn/A 31007-2023 tillsynsbegäran.docx", "A 31007-2023")</f>
        <v/>
      </c>
      <c r="Y764">
        <f>HYPERLINK("https://klasma.github.io/Logging_0482/tillsynsmail/A 31007-2023 tillsynsbegäran mail.docx", "A 31007-2023")</f>
        <v/>
      </c>
    </row>
    <row r="765" ht="15" customHeight="1">
      <c r="A765" t="inlineStr">
        <is>
          <t>A 28529-2023</t>
        </is>
      </c>
      <c r="B765" s="1" t="n">
        <v>45103</v>
      </c>
      <c r="C765" s="1" t="n">
        <v>45362</v>
      </c>
      <c r="D765" t="inlineStr">
        <is>
          <t>SÖDERMANLANDS LÄN</t>
        </is>
      </c>
      <c r="E765" t="inlineStr">
        <is>
          <t>FLEN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28928-2023</t>
        </is>
      </c>
      <c r="B766" s="1" t="n">
        <v>45104</v>
      </c>
      <c r="C766" s="1" t="n">
        <v>45362</v>
      </c>
      <c r="D766" t="inlineStr">
        <is>
          <t>SÖDERMANLANDS LÄN</t>
        </is>
      </c>
      <c r="E766" t="inlineStr">
        <is>
          <t>FLEN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28938-2023</t>
        </is>
      </c>
      <c r="B767" s="1" t="n">
        <v>45104</v>
      </c>
      <c r="C767" s="1" t="n">
        <v>45362</v>
      </c>
      <c r="D767" t="inlineStr">
        <is>
          <t>SÖDERMANLANDS LÄN</t>
        </is>
      </c>
      <c r="E767" t="inlineStr">
        <is>
          <t>FLEN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29186-2023</t>
        </is>
      </c>
      <c r="B768" s="1" t="n">
        <v>45105</v>
      </c>
      <c r="C768" s="1" t="n">
        <v>45362</v>
      </c>
      <c r="D768" t="inlineStr">
        <is>
          <t>SÖDERMANLANDS LÄN</t>
        </is>
      </c>
      <c r="E768" t="inlineStr">
        <is>
          <t>FLEN</t>
        </is>
      </c>
      <c r="F768" t="inlineStr">
        <is>
          <t>Övriga statliga verk och myndigheter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29195-2023</t>
        </is>
      </c>
      <c r="B769" s="1" t="n">
        <v>45105</v>
      </c>
      <c r="C769" s="1" t="n">
        <v>45362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29245-2023</t>
        </is>
      </c>
      <c r="B770" s="1" t="n">
        <v>45105</v>
      </c>
      <c r="C770" s="1" t="n">
        <v>45362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29247-2023</t>
        </is>
      </c>
      <c r="B771" s="1" t="n">
        <v>45105</v>
      </c>
      <c r="C771" s="1" t="n">
        <v>45362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30250-2023</t>
        </is>
      </c>
      <c r="B772" s="1" t="n">
        <v>45110</v>
      </c>
      <c r="C772" s="1" t="n">
        <v>45362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32407-2023</t>
        </is>
      </c>
      <c r="B773" s="1" t="n">
        <v>45110</v>
      </c>
      <c r="C773" s="1" t="n">
        <v>45362</v>
      </c>
      <c r="D773" t="inlineStr">
        <is>
          <t>SÖDERMANLANDS LÄN</t>
        </is>
      </c>
      <c r="E773" t="inlineStr">
        <is>
          <t>FLEN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30584-2023</t>
        </is>
      </c>
      <c r="B774" s="1" t="n">
        <v>45112</v>
      </c>
      <c r="C774" s="1" t="n">
        <v>45362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33010-2023</t>
        </is>
      </c>
      <c r="B775" s="1" t="n">
        <v>45113</v>
      </c>
      <c r="C775" s="1" t="n">
        <v>45362</v>
      </c>
      <c r="D775" t="inlineStr">
        <is>
          <t>SÖDERMANLANDS LÄN</t>
        </is>
      </c>
      <c r="E775" t="inlineStr">
        <is>
          <t>FLEN</t>
        </is>
      </c>
      <c r="F775" t="inlineStr">
        <is>
          <t>Övriga statliga verk och myndigheter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31217-2023</t>
        </is>
      </c>
      <c r="B776" s="1" t="n">
        <v>45114</v>
      </c>
      <c r="C776" s="1" t="n">
        <v>45362</v>
      </c>
      <c r="D776" t="inlineStr">
        <is>
          <t>SÖDERMANLANDS LÄN</t>
        </is>
      </c>
      <c r="E776" t="inlineStr">
        <is>
          <t>FLEN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31214-2023</t>
        </is>
      </c>
      <c r="B777" s="1" t="n">
        <v>45114</v>
      </c>
      <c r="C777" s="1" t="n">
        <v>45362</v>
      </c>
      <c r="D777" t="inlineStr">
        <is>
          <t>SÖDERMANLANDS LÄN</t>
        </is>
      </c>
      <c r="E777" t="inlineStr">
        <is>
          <t>FLEN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31352-2023</t>
        </is>
      </c>
      <c r="B778" s="1" t="n">
        <v>45114</v>
      </c>
      <c r="C778" s="1" t="n">
        <v>45362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33280-2023</t>
        </is>
      </c>
      <c r="B779" s="1" t="n">
        <v>45114</v>
      </c>
      <c r="C779" s="1" t="n">
        <v>45362</v>
      </c>
      <c r="D779" t="inlineStr">
        <is>
          <t>SÖDERMANLANDS LÄN</t>
        </is>
      </c>
      <c r="E779" t="inlineStr">
        <is>
          <t>FLEN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31796-2023</t>
        </is>
      </c>
      <c r="B780" s="1" t="n">
        <v>45118</v>
      </c>
      <c r="C780" s="1" t="n">
        <v>45362</v>
      </c>
      <c r="D780" t="inlineStr">
        <is>
          <t>SÖDERMANLANDS LÄN</t>
        </is>
      </c>
      <c r="E780" t="inlineStr">
        <is>
          <t>FLEN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33742-2023</t>
        </is>
      </c>
      <c r="B781" s="1" t="n">
        <v>45119</v>
      </c>
      <c r="C781" s="1" t="n">
        <v>45362</v>
      </c>
      <c r="D781" t="inlineStr">
        <is>
          <t>SÖDERMANLANDS LÄN</t>
        </is>
      </c>
      <c r="E781" t="inlineStr">
        <is>
          <t>FLEN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33908-2023</t>
        </is>
      </c>
      <c r="B782" s="1" t="n">
        <v>45121</v>
      </c>
      <c r="C782" s="1" t="n">
        <v>45362</v>
      </c>
      <c r="D782" t="inlineStr">
        <is>
          <t>SÖDERMANLANDS LÄN</t>
        </is>
      </c>
      <c r="E782" t="inlineStr">
        <is>
          <t>FLEN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33902-2023</t>
        </is>
      </c>
      <c r="B783" s="1" t="n">
        <v>45121</v>
      </c>
      <c r="C783" s="1" t="n">
        <v>45362</v>
      </c>
      <c r="D783" t="inlineStr">
        <is>
          <t>SÖDERMANLANDS LÄN</t>
        </is>
      </c>
      <c r="E783" t="inlineStr">
        <is>
          <t>FLEN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33907-2023</t>
        </is>
      </c>
      <c r="B784" s="1" t="n">
        <v>45121</v>
      </c>
      <c r="C784" s="1" t="n">
        <v>45362</v>
      </c>
      <c r="D784" t="inlineStr">
        <is>
          <t>SÖDERMANLANDS LÄN</t>
        </is>
      </c>
      <c r="E784" t="inlineStr">
        <is>
          <t>FLEN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34524-2023</t>
        </is>
      </c>
      <c r="B785" s="1" t="n">
        <v>45140</v>
      </c>
      <c r="C785" s="1" t="n">
        <v>45362</v>
      </c>
      <c r="D785" t="inlineStr">
        <is>
          <t>SÖDERMANLANDS LÄN</t>
        </is>
      </c>
      <c r="E785" t="inlineStr">
        <is>
          <t>FLEN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34612-2023</t>
        </is>
      </c>
      <c r="B786" s="1" t="n">
        <v>45140</v>
      </c>
      <c r="C786" s="1" t="n">
        <v>45362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34783-2023</t>
        </is>
      </c>
      <c r="B787" s="1" t="n">
        <v>45140</v>
      </c>
      <c r="C787" s="1" t="n">
        <v>45362</v>
      </c>
      <c r="D787" t="inlineStr">
        <is>
          <t>SÖDERMANLANDS LÄN</t>
        </is>
      </c>
      <c r="E787" t="inlineStr">
        <is>
          <t>FLEN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34823-2023</t>
        </is>
      </c>
      <c r="B788" s="1" t="n">
        <v>45140</v>
      </c>
      <c r="C788" s="1" t="n">
        <v>45362</v>
      </c>
      <c r="D788" t="inlineStr">
        <is>
          <t>SÖDERMANLANDS LÄN</t>
        </is>
      </c>
      <c r="E788" t="inlineStr">
        <is>
          <t>FLEN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34721-2023</t>
        </is>
      </c>
      <c r="B789" s="1" t="n">
        <v>45141</v>
      </c>
      <c r="C789" s="1" t="n">
        <v>45362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34734-2023</t>
        </is>
      </c>
      <c r="B790" s="1" t="n">
        <v>45141</v>
      </c>
      <c r="C790" s="1" t="n">
        <v>45362</v>
      </c>
      <c r="D790" t="inlineStr">
        <is>
          <t>SÖDERMANLANDS LÄN</t>
        </is>
      </c>
      <c r="E790" t="inlineStr">
        <is>
          <t>FLEN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34869-2023</t>
        </is>
      </c>
      <c r="B791" s="1" t="n">
        <v>45142</v>
      </c>
      <c r="C791" s="1" t="n">
        <v>45362</v>
      </c>
      <c r="D791" t="inlineStr">
        <is>
          <t>SÖDERMANLANDS LÄN</t>
        </is>
      </c>
      <c r="E791" t="inlineStr">
        <is>
          <t>FLEN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35583-2023</t>
        </is>
      </c>
      <c r="B792" s="1" t="n">
        <v>45147</v>
      </c>
      <c r="C792" s="1" t="n">
        <v>45362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35639-2023</t>
        </is>
      </c>
      <c r="B793" s="1" t="n">
        <v>45147</v>
      </c>
      <c r="C793" s="1" t="n">
        <v>45362</v>
      </c>
      <c r="D793" t="inlineStr">
        <is>
          <t>SÖDERMANLANDS LÄN</t>
        </is>
      </c>
      <c r="E793" t="inlineStr">
        <is>
          <t>FLEN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35600-2023</t>
        </is>
      </c>
      <c r="B794" s="1" t="n">
        <v>45147</v>
      </c>
      <c r="C794" s="1" t="n">
        <v>45362</v>
      </c>
      <c r="D794" t="inlineStr">
        <is>
          <t>SÖDERMANLANDS LÄN</t>
        </is>
      </c>
      <c r="E794" t="inlineStr">
        <is>
          <t>FLEN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35799-2023</t>
        </is>
      </c>
      <c r="B795" s="1" t="n">
        <v>45148</v>
      </c>
      <c r="C795" s="1" t="n">
        <v>45362</v>
      </c>
      <c r="D795" t="inlineStr">
        <is>
          <t>SÖDERMANLANDS LÄN</t>
        </is>
      </c>
      <c r="E795" t="inlineStr">
        <is>
          <t>FLEN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35820-2023</t>
        </is>
      </c>
      <c r="B796" s="1" t="n">
        <v>45148</v>
      </c>
      <c r="C796" s="1" t="n">
        <v>45362</v>
      </c>
      <c r="D796" t="inlineStr">
        <is>
          <t>SÖDERMANLANDS LÄN</t>
        </is>
      </c>
      <c r="E796" t="inlineStr">
        <is>
          <t>FLEN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35830-2023</t>
        </is>
      </c>
      <c r="B797" s="1" t="n">
        <v>45148</v>
      </c>
      <c r="C797" s="1" t="n">
        <v>45362</v>
      </c>
      <c r="D797" t="inlineStr">
        <is>
          <t>SÖDERMANLANDS LÄN</t>
        </is>
      </c>
      <c r="E797" t="inlineStr">
        <is>
          <t>FLEN</t>
        </is>
      </c>
      <c r="G797" t="n">
        <v>21.8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35794-2023</t>
        </is>
      </c>
      <c r="B798" s="1" t="n">
        <v>45148</v>
      </c>
      <c r="C798" s="1" t="n">
        <v>45362</v>
      </c>
      <c r="D798" t="inlineStr">
        <is>
          <t>SÖDERMANLANDS LÄN</t>
        </is>
      </c>
      <c r="E798" t="inlineStr">
        <is>
          <t>FLEN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36096-2023</t>
        </is>
      </c>
      <c r="B799" s="1" t="n">
        <v>45149</v>
      </c>
      <c r="C799" s="1" t="n">
        <v>45362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36934-2023</t>
        </is>
      </c>
      <c r="B800" s="1" t="n">
        <v>45154</v>
      </c>
      <c r="C800" s="1" t="n">
        <v>45362</v>
      </c>
      <c r="D800" t="inlineStr">
        <is>
          <t>SÖDERMANLANDS LÄN</t>
        </is>
      </c>
      <c r="E800" t="inlineStr">
        <is>
          <t>FLEN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37025-2023</t>
        </is>
      </c>
      <c r="B801" s="1" t="n">
        <v>45155</v>
      </c>
      <c r="C801" s="1" t="n">
        <v>45362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24.1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37441-2023</t>
        </is>
      </c>
      <c r="B802" s="1" t="n">
        <v>45156</v>
      </c>
      <c r="C802" s="1" t="n">
        <v>45362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37428-2023</t>
        </is>
      </c>
      <c r="B803" s="1" t="n">
        <v>45156</v>
      </c>
      <c r="C803" s="1" t="n">
        <v>45362</v>
      </c>
      <c r="D803" t="inlineStr">
        <is>
          <t>SÖDERMANLANDS LÄN</t>
        </is>
      </c>
      <c r="E803" t="inlineStr">
        <is>
          <t>FLEN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37646-2023</t>
        </is>
      </c>
      <c r="B804" s="1" t="n">
        <v>45159</v>
      </c>
      <c r="C804" s="1" t="n">
        <v>45362</v>
      </c>
      <c r="D804" t="inlineStr">
        <is>
          <t>SÖDERMANLANDS LÄN</t>
        </is>
      </c>
      <c r="E804" t="inlineStr">
        <is>
          <t>FLEN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37632-2023</t>
        </is>
      </c>
      <c r="B805" s="1" t="n">
        <v>45159</v>
      </c>
      <c r="C805" s="1" t="n">
        <v>45362</v>
      </c>
      <c r="D805" t="inlineStr">
        <is>
          <t>SÖDERMANLANDS LÄN</t>
        </is>
      </c>
      <c r="E805" t="inlineStr">
        <is>
          <t>FLEN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37910-2023</t>
        </is>
      </c>
      <c r="B806" s="1" t="n">
        <v>45160</v>
      </c>
      <c r="C806" s="1" t="n">
        <v>45362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37891-2023</t>
        </is>
      </c>
      <c r="B807" s="1" t="n">
        <v>45160</v>
      </c>
      <c r="C807" s="1" t="n">
        <v>45362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37945-2023</t>
        </is>
      </c>
      <c r="B808" s="1" t="n">
        <v>45160</v>
      </c>
      <c r="C808" s="1" t="n">
        <v>45362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37923-2023</t>
        </is>
      </c>
      <c r="B809" s="1" t="n">
        <v>45160</v>
      </c>
      <c r="C809" s="1" t="n">
        <v>45362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38135-2023</t>
        </is>
      </c>
      <c r="B810" s="1" t="n">
        <v>45161</v>
      </c>
      <c r="C810" s="1" t="n">
        <v>45362</v>
      </c>
      <c r="D810" t="inlineStr">
        <is>
          <t>SÖDERMANLANDS LÄN</t>
        </is>
      </c>
      <c r="E810" t="inlineStr">
        <is>
          <t>FLEN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38209-2023</t>
        </is>
      </c>
      <c r="B811" s="1" t="n">
        <v>45161</v>
      </c>
      <c r="C811" s="1" t="n">
        <v>45362</v>
      </c>
      <c r="D811" t="inlineStr">
        <is>
          <t>SÖDERMANLANDS LÄN</t>
        </is>
      </c>
      <c r="E811" t="inlineStr">
        <is>
          <t>FLEN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38217-2023</t>
        </is>
      </c>
      <c r="B812" s="1" t="n">
        <v>45161</v>
      </c>
      <c r="C812" s="1" t="n">
        <v>45362</v>
      </c>
      <c r="D812" t="inlineStr">
        <is>
          <t>SÖDERMANLANDS LÄN</t>
        </is>
      </c>
      <c r="E812" t="inlineStr">
        <is>
          <t>FLEN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38331-2023</t>
        </is>
      </c>
      <c r="B813" s="1" t="n">
        <v>45161</v>
      </c>
      <c r="C813" s="1" t="n">
        <v>45362</v>
      </c>
      <c r="D813" t="inlineStr">
        <is>
          <t>SÖDERMANLANDS LÄN</t>
        </is>
      </c>
      <c r="E813" t="inlineStr">
        <is>
          <t>FLEN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38514-2023</t>
        </is>
      </c>
      <c r="B814" s="1" t="n">
        <v>45162</v>
      </c>
      <c r="C814" s="1" t="n">
        <v>45362</v>
      </c>
      <c r="D814" t="inlineStr">
        <is>
          <t>SÖDERMANLANDS LÄN</t>
        </is>
      </c>
      <c r="E814" t="inlineStr">
        <is>
          <t>FLEN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39053-2023</t>
        </is>
      </c>
      <c r="B815" s="1" t="n">
        <v>45163</v>
      </c>
      <c r="C815" s="1" t="n">
        <v>45362</v>
      </c>
      <c r="D815" t="inlineStr">
        <is>
          <t>SÖDERMANLANDS LÄN</t>
        </is>
      </c>
      <c r="E815" t="inlineStr">
        <is>
          <t>FLEN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39036-2023</t>
        </is>
      </c>
      <c r="B816" s="1" t="n">
        <v>45163</v>
      </c>
      <c r="C816" s="1" t="n">
        <v>45362</v>
      </c>
      <c r="D816" t="inlineStr">
        <is>
          <t>SÖDERMANLANDS LÄN</t>
        </is>
      </c>
      <c r="E816" t="inlineStr">
        <is>
          <t>FLEN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38762-2023</t>
        </is>
      </c>
      <c r="B817" s="1" t="n">
        <v>45163</v>
      </c>
      <c r="C817" s="1" t="n">
        <v>45362</v>
      </c>
      <c r="D817" t="inlineStr">
        <is>
          <t>SÖDERMANLANDS LÄN</t>
        </is>
      </c>
      <c r="E817" t="inlineStr">
        <is>
          <t>FLEN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39590-2023</t>
        </is>
      </c>
      <c r="B818" s="1" t="n">
        <v>45163</v>
      </c>
      <c r="C818" s="1" t="n">
        <v>45362</v>
      </c>
      <c r="D818" t="inlineStr">
        <is>
          <t>SÖDERMANLANDS LÄN</t>
        </is>
      </c>
      <c r="E818" t="inlineStr">
        <is>
          <t>FLEN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38753-2023</t>
        </is>
      </c>
      <c r="B819" s="1" t="n">
        <v>45163</v>
      </c>
      <c r="C819" s="1" t="n">
        <v>45362</v>
      </c>
      <c r="D819" t="inlineStr">
        <is>
          <t>SÖDERMANLANDS LÄN</t>
        </is>
      </c>
      <c r="E819" t="inlineStr">
        <is>
          <t>FLEN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39226-2023</t>
        </is>
      </c>
      <c r="B820" s="1" t="n">
        <v>45166</v>
      </c>
      <c r="C820" s="1" t="n">
        <v>45362</v>
      </c>
      <c r="D820" t="inlineStr">
        <is>
          <t>SÖDERMANLANDS LÄN</t>
        </is>
      </c>
      <c r="E820" t="inlineStr">
        <is>
          <t>FLEN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39343-2023</t>
        </is>
      </c>
      <c r="B821" s="1" t="n">
        <v>45166</v>
      </c>
      <c r="C821" s="1" t="n">
        <v>45362</v>
      </c>
      <c r="D821" t="inlineStr">
        <is>
          <t>SÖDERMANLANDS LÄN</t>
        </is>
      </c>
      <c r="E821" t="inlineStr">
        <is>
          <t>FLEN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39335-2023</t>
        </is>
      </c>
      <c r="B822" s="1" t="n">
        <v>45166</v>
      </c>
      <c r="C822" s="1" t="n">
        <v>45362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40877-2023</t>
        </is>
      </c>
      <c r="B823" s="1" t="n">
        <v>45168</v>
      </c>
      <c r="C823" s="1" t="n">
        <v>45362</v>
      </c>
      <c r="D823" t="inlineStr">
        <is>
          <t>SÖDERMANLANDS LÄN</t>
        </is>
      </c>
      <c r="E823" t="inlineStr">
        <is>
          <t>FLEN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40194-2023</t>
        </is>
      </c>
      <c r="B824" s="1" t="n">
        <v>45169</v>
      </c>
      <c r="C824" s="1" t="n">
        <v>45362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40286-2023</t>
        </is>
      </c>
      <c r="B825" s="1" t="n">
        <v>45169</v>
      </c>
      <c r="C825" s="1" t="n">
        <v>45362</v>
      </c>
      <c r="D825" t="inlineStr">
        <is>
          <t>SÖDERMANLANDS LÄN</t>
        </is>
      </c>
      <c r="E825" t="inlineStr">
        <is>
          <t>FLEN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40592-2023</t>
        </is>
      </c>
      <c r="B826" s="1" t="n">
        <v>45169</v>
      </c>
      <c r="C826" s="1" t="n">
        <v>45362</v>
      </c>
      <c r="D826" t="inlineStr">
        <is>
          <t>SÖDERMANLANDS LÄN</t>
        </is>
      </c>
      <c r="E826" t="inlineStr">
        <is>
          <t>FLEN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40729-2023</t>
        </is>
      </c>
      <c r="B827" s="1" t="n">
        <v>45170</v>
      </c>
      <c r="C827" s="1" t="n">
        <v>45362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41226-2023</t>
        </is>
      </c>
      <c r="B828" s="1" t="n">
        <v>45174</v>
      </c>
      <c r="C828" s="1" t="n">
        <v>45362</v>
      </c>
      <c r="D828" t="inlineStr">
        <is>
          <t>SÖDERMANLANDS LÄN</t>
        </is>
      </c>
      <c r="E828" t="inlineStr">
        <is>
          <t>FLEN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41630-2023</t>
        </is>
      </c>
      <c r="B829" s="1" t="n">
        <v>45175</v>
      </c>
      <c r="C829" s="1" t="n">
        <v>45362</v>
      </c>
      <c r="D829" t="inlineStr">
        <is>
          <t>SÖDERMANLANDS LÄN</t>
        </is>
      </c>
      <c r="E829" t="inlineStr">
        <is>
          <t>FLEN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41629-2023</t>
        </is>
      </c>
      <c r="B830" s="1" t="n">
        <v>45175</v>
      </c>
      <c r="C830" s="1" t="n">
        <v>45362</v>
      </c>
      <c r="D830" t="inlineStr">
        <is>
          <t>SÖDERMANLANDS LÄN</t>
        </is>
      </c>
      <c r="E830" t="inlineStr">
        <is>
          <t>FLEN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41806-2023</t>
        </is>
      </c>
      <c r="B831" s="1" t="n">
        <v>45176</v>
      </c>
      <c r="C831" s="1" t="n">
        <v>45362</v>
      </c>
      <c r="D831" t="inlineStr">
        <is>
          <t>SÖDERMANLANDS LÄN</t>
        </is>
      </c>
      <c r="E831" t="inlineStr">
        <is>
          <t>FLEN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42388-2023</t>
        </is>
      </c>
      <c r="B832" s="1" t="n">
        <v>45180</v>
      </c>
      <c r="C832" s="1" t="n">
        <v>45362</v>
      </c>
      <c r="D832" t="inlineStr">
        <is>
          <t>SÖDERMANLANDS LÄN</t>
        </is>
      </c>
      <c r="E832" t="inlineStr">
        <is>
          <t>FLEN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43042-2023</t>
        </is>
      </c>
      <c r="B833" s="1" t="n">
        <v>45182</v>
      </c>
      <c r="C833" s="1" t="n">
        <v>45362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43066-2023</t>
        </is>
      </c>
      <c r="B834" s="1" t="n">
        <v>45182</v>
      </c>
      <c r="C834" s="1" t="n">
        <v>45362</v>
      </c>
      <c r="D834" t="inlineStr">
        <is>
          <t>SÖDERMANLANDS LÄN</t>
        </is>
      </c>
      <c r="E834" t="inlineStr">
        <is>
          <t>FLEN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43008-2023</t>
        </is>
      </c>
      <c r="B835" s="1" t="n">
        <v>45182</v>
      </c>
      <c r="C835" s="1" t="n">
        <v>45362</v>
      </c>
      <c r="D835" t="inlineStr">
        <is>
          <t>SÖDERMANLANDS LÄN</t>
        </is>
      </c>
      <c r="E835" t="inlineStr">
        <is>
          <t>FLEN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43044-2023</t>
        </is>
      </c>
      <c r="B836" s="1" t="n">
        <v>45182</v>
      </c>
      <c r="C836" s="1" t="n">
        <v>45362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43050-2023</t>
        </is>
      </c>
      <c r="B837" s="1" t="n">
        <v>45182</v>
      </c>
      <c r="C837" s="1" t="n">
        <v>45362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44475-2023</t>
        </is>
      </c>
      <c r="B838" s="1" t="n">
        <v>45183</v>
      </c>
      <c r="C838" s="1" t="n">
        <v>45362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44480-2023</t>
        </is>
      </c>
      <c r="B839" s="1" t="n">
        <v>45183</v>
      </c>
      <c r="C839" s="1" t="n">
        <v>45362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44893-2023</t>
        </is>
      </c>
      <c r="B840" s="1" t="n">
        <v>45187</v>
      </c>
      <c r="C840" s="1" t="n">
        <v>45362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44895-2023</t>
        </is>
      </c>
      <c r="B841" s="1" t="n">
        <v>45187</v>
      </c>
      <c r="C841" s="1" t="n">
        <v>45362</v>
      </c>
      <c r="D841" t="inlineStr">
        <is>
          <t>SÖDERMANLANDS LÄN</t>
        </is>
      </c>
      <c r="E841" t="inlineStr">
        <is>
          <t>FLEN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44457-2023</t>
        </is>
      </c>
      <c r="B842" s="1" t="n">
        <v>45189</v>
      </c>
      <c r="C842" s="1" t="n">
        <v>45362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44468-2023</t>
        </is>
      </c>
      <c r="B843" s="1" t="n">
        <v>45189</v>
      </c>
      <c r="C843" s="1" t="n">
        <v>45362</v>
      </c>
      <c r="D843" t="inlineStr">
        <is>
          <t>SÖDERMANLANDS LÄN</t>
        </is>
      </c>
      <c r="E843" t="inlineStr">
        <is>
          <t>FLEN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44476-2023</t>
        </is>
      </c>
      <c r="B844" s="1" t="n">
        <v>45189</v>
      </c>
      <c r="C844" s="1" t="n">
        <v>45362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45923-2023</t>
        </is>
      </c>
      <c r="B845" s="1" t="n">
        <v>45189</v>
      </c>
      <c r="C845" s="1" t="n">
        <v>45362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45107-2023</t>
        </is>
      </c>
      <c r="B846" s="1" t="n">
        <v>45191</v>
      </c>
      <c r="C846" s="1" t="n">
        <v>45362</v>
      </c>
      <c r="D846" t="inlineStr">
        <is>
          <t>SÖDERMANLANDS LÄN</t>
        </is>
      </c>
      <c r="E846" t="inlineStr">
        <is>
          <t>FLEN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45082-2023</t>
        </is>
      </c>
      <c r="B847" s="1" t="n">
        <v>45191</v>
      </c>
      <c r="C847" s="1" t="n">
        <v>45362</v>
      </c>
      <c r="D847" t="inlineStr">
        <is>
          <t>SÖDERMANLANDS LÄN</t>
        </is>
      </c>
      <c r="E847" t="inlineStr">
        <is>
          <t>FLEN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45137-2023</t>
        </is>
      </c>
      <c r="B848" s="1" t="n">
        <v>45191</v>
      </c>
      <c r="C848" s="1" t="n">
        <v>45362</v>
      </c>
      <c r="D848" t="inlineStr">
        <is>
          <t>SÖDERMANLANDS LÄN</t>
        </is>
      </c>
      <c r="E848" t="inlineStr">
        <is>
          <t>FLEN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46347-2023</t>
        </is>
      </c>
      <c r="B849" s="1" t="n">
        <v>45192</v>
      </c>
      <c r="C849" s="1" t="n">
        <v>45362</v>
      </c>
      <c r="D849" t="inlineStr">
        <is>
          <t>SÖDERMANLANDS LÄN</t>
        </is>
      </c>
      <c r="E849" t="inlineStr">
        <is>
          <t>FLEN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46360-2023</t>
        </is>
      </c>
      <c r="B850" s="1" t="n">
        <v>45193</v>
      </c>
      <c r="C850" s="1" t="n">
        <v>45362</v>
      </c>
      <c r="D850" t="inlineStr">
        <is>
          <t>SÖDERMANLANDS LÄN</t>
        </is>
      </c>
      <c r="E850" t="inlineStr">
        <is>
          <t>FLEN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46353-2023</t>
        </is>
      </c>
      <c r="B851" s="1" t="n">
        <v>45193</v>
      </c>
      <c r="C851" s="1" t="n">
        <v>45362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45878-2023</t>
        </is>
      </c>
      <c r="B852" s="1" t="n">
        <v>45195</v>
      </c>
      <c r="C852" s="1" t="n">
        <v>45362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45922-2023</t>
        </is>
      </c>
      <c r="B853" s="1" t="n">
        <v>45195</v>
      </c>
      <c r="C853" s="1" t="n">
        <v>45362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45875-2023</t>
        </is>
      </c>
      <c r="B854" s="1" t="n">
        <v>45195</v>
      </c>
      <c r="C854" s="1" t="n">
        <v>45362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46135-2023</t>
        </is>
      </c>
      <c r="B855" s="1" t="n">
        <v>45196</v>
      </c>
      <c r="C855" s="1" t="n">
        <v>45362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46115-2023</t>
        </is>
      </c>
      <c r="B856" s="1" t="n">
        <v>45196</v>
      </c>
      <c r="C856" s="1" t="n">
        <v>45362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46281-2023</t>
        </is>
      </c>
      <c r="B857" s="1" t="n">
        <v>45196</v>
      </c>
      <c r="C857" s="1" t="n">
        <v>45362</v>
      </c>
      <c r="D857" t="inlineStr">
        <is>
          <t>SÖDERMANLANDS LÄN</t>
        </is>
      </c>
      <c r="E857" t="inlineStr">
        <is>
          <t>FLEN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47060-2023</t>
        </is>
      </c>
      <c r="B858" s="1" t="n">
        <v>45201</v>
      </c>
      <c r="C858" s="1" t="n">
        <v>45362</v>
      </c>
      <c r="D858" t="inlineStr">
        <is>
          <t>SÖDERMANLANDS LÄN</t>
        </is>
      </c>
      <c r="E858" t="inlineStr">
        <is>
          <t>FLEN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47367-2023</t>
        </is>
      </c>
      <c r="B859" s="1" t="n">
        <v>45202</v>
      </c>
      <c r="C859" s="1" t="n">
        <v>45362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47413-2023</t>
        </is>
      </c>
      <c r="B860" s="1" t="n">
        <v>45202</v>
      </c>
      <c r="C860" s="1" t="n">
        <v>45362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48231-2023</t>
        </is>
      </c>
      <c r="B861" s="1" t="n">
        <v>45205</v>
      </c>
      <c r="C861" s="1" t="n">
        <v>45362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48377-2023</t>
        </is>
      </c>
      <c r="B862" s="1" t="n">
        <v>45205</v>
      </c>
      <c r="C862" s="1" t="n">
        <v>45362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48321-2023</t>
        </is>
      </c>
      <c r="B863" s="1" t="n">
        <v>45205</v>
      </c>
      <c r="C863" s="1" t="n">
        <v>45362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48851-2023</t>
        </is>
      </c>
      <c r="B864" s="1" t="n">
        <v>45209</v>
      </c>
      <c r="C864" s="1" t="n">
        <v>45362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48858-2023</t>
        </is>
      </c>
      <c r="B865" s="1" t="n">
        <v>45209</v>
      </c>
      <c r="C865" s="1" t="n">
        <v>45362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48848-2023</t>
        </is>
      </c>
      <c r="B866" s="1" t="n">
        <v>45209</v>
      </c>
      <c r="C866" s="1" t="n">
        <v>45362</v>
      </c>
      <c r="D866" t="inlineStr">
        <is>
          <t>SÖDERMANLANDS LÄN</t>
        </is>
      </c>
      <c r="E866" t="inlineStr">
        <is>
          <t>FLEN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48852-2023</t>
        </is>
      </c>
      <c r="B867" s="1" t="n">
        <v>45209</v>
      </c>
      <c r="C867" s="1" t="n">
        <v>45362</v>
      </c>
      <c r="D867" t="inlineStr">
        <is>
          <t>SÖDERMANLANDS LÄN</t>
        </is>
      </c>
      <c r="E867" t="inlineStr">
        <is>
          <t>FLEN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48864-2023</t>
        </is>
      </c>
      <c r="B868" s="1" t="n">
        <v>45209</v>
      </c>
      <c r="C868" s="1" t="n">
        <v>45362</v>
      </c>
      <c r="D868" t="inlineStr">
        <is>
          <t>SÖDERMANLANDS LÄN</t>
        </is>
      </c>
      <c r="E868" t="inlineStr">
        <is>
          <t>FLEN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48899-2023</t>
        </is>
      </c>
      <c r="B869" s="1" t="n">
        <v>45209</v>
      </c>
      <c r="C869" s="1" t="n">
        <v>45362</v>
      </c>
      <c r="D869" t="inlineStr">
        <is>
          <t>SÖDERMANLANDS LÄN</t>
        </is>
      </c>
      <c r="E869" t="inlineStr">
        <is>
          <t>FLEN</t>
        </is>
      </c>
      <c r="F869" t="inlineStr">
        <is>
          <t>Övriga statliga verk och myndigheter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49045-2023</t>
        </is>
      </c>
      <c r="B870" s="1" t="n">
        <v>45209</v>
      </c>
      <c r="C870" s="1" t="n">
        <v>45362</v>
      </c>
      <c r="D870" t="inlineStr">
        <is>
          <t>SÖDERMANLANDS LÄN</t>
        </is>
      </c>
      <c r="E870" t="inlineStr">
        <is>
          <t>FLEN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49807-2023</t>
        </is>
      </c>
      <c r="B871" s="1" t="n">
        <v>45211</v>
      </c>
      <c r="C871" s="1" t="n">
        <v>45362</v>
      </c>
      <c r="D871" t="inlineStr">
        <is>
          <t>SÖDERMANLANDS LÄN</t>
        </is>
      </c>
      <c r="E871" t="inlineStr">
        <is>
          <t>FLEN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49816-2023</t>
        </is>
      </c>
      <c r="B872" s="1" t="n">
        <v>45211</v>
      </c>
      <c r="C872" s="1" t="n">
        <v>45362</v>
      </c>
      <c r="D872" t="inlineStr">
        <is>
          <t>SÖDERMANLANDS LÄN</t>
        </is>
      </c>
      <c r="E872" t="inlineStr">
        <is>
          <t>FLEN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49811-2023</t>
        </is>
      </c>
      <c r="B873" s="1" t="n">
        <v>45211</v>
      </c>
      <c r="C873" s="1" t="n">
        <v>45362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49820-2023</t>
        </is>
      </c>
      <c r="B874" s="1" t="n">
        <v>45211</v>
      </c>
      <c r="C874" s="1" t="n">
        <v>45362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50949-2023</t>
        </is>
      </c>
      <c r="B875" s="1" t="n">
        <v>45211</v>
      </c>
      <c r="C875" s="1" t="n">
        <v>45362</v>
      </c>
      <c r="D875" t="inlineStr">
        <is>
          <t>SÖDERMANLANDS LÄN</t>
        </is>
      </c>
      <c r="E875" t="inlineStr">
        <is>
          <t>FLEN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50891-2023</t>
        </is>
      </c>
      <c r="B876" s="1" t="n">
        <v>45211</v>
      </c>
      <c r="C876" s="1" t="n">
        <v>45362</v>
      </c>
      <c r="D876" t="inlineStr">
        <is>
          <t>SÖDERMANLANDS LÄN</t>
        </is>
      </c>
      <c r="E876" t="inlineStr">
        <is>
          <t>FLEN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49716-2023</t>
        </is>
      </c>
      <c r="B877" s="1" t="n">
        <v>45212</v>
      </c>
      <c r="C877" s="1" t="n">
        <v>45362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49720-2023</t>
        </is>
      </c>
      <c r="B878" s="1" t="n">
        <v>45212</v>
      </c>
      <c r="C878" s="1" t="n">
        <v>45362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49890-2023</t>
        </is>
      </c>
      <c r="B879" s="1" t="n">
        <v>45213</v>
      </c>
      <c r="C879" s="1" t="n">
        <v>45362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49891-2023</t>
        </is>
      </c>
      <c r="B880" s="1" t="n">
        <v>45213</v>
      </c>
      <c r="C880" s="1" t="n">
        <v>45362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49915-2023</t>
        </is>
      </c>
      <c r="B881" s="1" t="n">
        <v>45214</v>
      </c>
      <c r="C881" s="1" t="n">
        <v>45362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49913-2023</t>
        </is>
      </c>
      <c r="B882" s="1" t="n">
        <v>45214</v>
      </c>
      <c r="C882" s="1" t="n">
        <v>45362</v>
      </c>
      <c r="D882" t="inlineStr">
        <is>
          <t>SÖDERMANLANDS LÄN</t>
        </is>
      </c>
      <c r="E882" t="inlineStr">
        <is>
          <t>FLEN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50028-2023</t>
        </is>
      </c>
      <c r="B883" s="1" t="n">
        <v>45215</v>
      </c>
      <c r="C883" s="1" t="n">
        <v>45362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50047-2023</t>
        </is>
      </c>
      <c r="B884" s="1" t="n">
        <v>45215</v>
      </c>
      <c r="C884" s="1" t="n">
        <v>45362</v>
      </c>
      <c r="D884" t="inlineStr">
        <is>
          <t>SÖDERMANLANDS LÄN</t>
        </is>
      </c>
      <c r="E884" t="inlineStr">
        <is>
          <t>FLEN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50358-2023</t>
        </is>
      </c>
      <c r="B885" s="1" t="n">
        <v>45216</v>
      </c>
      <c r="C885" s="1" t="n">
        <v>45362</v>
      </c>
      <c r="D885" t="inlineStr">
        <is>
          <t>SÖDERMANLANDS LÄN</t>
        </is>
      </c>
      <c r="E885" t="inlineStr">
        <is>
          <t>FLEN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50646-2023</t>
        </is>
      </c>
      <c r="B886" s="1" t="n">
        <v>45217</v>
      </c>
      <c r="C886" s="1" t="n">
        <v>45362</v>
      </c>
      <c r="D886" t="inlineStr">
        <is>
          <t>SÖDERMANLANDS LÄN</t>
        </is>
      </c>
      <c r="E886" t="inlineStr">
        <is>
          <t>FLEN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50869-2023</t>
        </is>
      </c>
      <c r="B887" s="1" t="n">
        <v>45218</v>
      </c>
      <c r="C887" s="1" t="n">
        <v>45362</v>
      </c>
      <c r="D887" t="inlineStr">
        <is>
          <t>SÖDERMANLANDS LÄN</t>
        </is>
      </c>
      <c r="E887" t="inlineStr">
        <is>
          <t>FLEN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52561-2023</t>
        </is>
      </c>
      <c r="B888" s="1" t="n">
        <v>45218</v>
      </c>
      <c r="C888" s="1" t="n">
        <v>45362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51768-2023</t>
        </is>
      </c>
      <c r="B889" s="1" t="n">
        <v>45222</v>
      </c>
      <c r="C889" s="1" t="n">
        <v>45362</v>
      </c>
      <c r="D889" t="inlineStr">
        <is>
          <t>SÖDERMANLANDS LÄN</t>
        </is>
      </c>
      <c r="E889" t="inlineStr">
        <is>
          <t>FLEN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51772-2023</t>
        </is>
      </c>
      <c r="B890" s="1" t="n">
        <v>45222</v>
      </c>
      <c r="C890" s="1" t="n">
        <v>45362</v>
      </c>
      <c r="D890" t="inlineStr">
        <is>
          <t>SÖDERMANLANDS LÄN</t>
        </is>
      </c>
      <c r="E890" t="inlineStr">
        <is>
          <t>FLEN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51773-2023</t>
        </is>
      </c>
      <c r="B891" s="1" t="n">
        <v>45222</v>
      </c>
      <c r="C891" s="1" t="n">
        <v>45362</v>
      </c>
      <c r="D891" t="inlineStr">
        <is>
          <t>SÖDERMANLANDS LÄN</t>
        </is>
      </c>
      <c r="E891" t="inlineStr">
        <is>
          <t>FLEN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53339-2023</t>
        </is>
      </c>
      <c r="B892" s="1" t="n">
        <v>45222</v>
      </c>
      <c r="C892" s="1" t="n">
        <v>45362</v>
      </c>
      <c r="D892" t="inlineStr">
        <is>
          <t>SÖDERMANLANDS LÄN</t>
        </is>
      </c>
      <c r="E892" t="inlineStr">
        <is>
          <t>FLEN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52353-2023</t>
        </is>
      </c>
      <c r="B893" s="1" t="n">
        <v>45224</v>
      </c>
      <c r="C893" s="1" t="n">
        <v>45362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52463-2023</t>
        </is>
      </c>
      <c r="B894" s="1" t="n">
        <v>45225</v>
      </c>
      <c r="C894" s="1" t="n">
        <v>45362</v>
      </c>
      <c r="D894" t="inlineStr">
        <is>
          <t>SÖDERMANLANDS LÄN</t>
        </is>
      </c>
      <c r="E894" t="inlineStr">
        <is>
          <t>FLEN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52474-2023</t>
        </is>
      </c>
      <c r="B895" s="1" t="n">
        <v>45225</v>
      </c>
      <c r="C895" s="1" t="n">
        <v>45362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52472-2023</t>
        </is>
      </c>
      <c r="B896" s="1" t="n">
        <v>45225</v>
      </c>
      <c r="C896" s="1" t="n">
        <v>45362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52496-2023</t>
        </is>
      </c>
      <c r="B897" s="1" t="n">
        <v>45225</v>
      </c>
      <c r="C897" s="1" t="n">
        <v>45362</v>
      </c>
      <c r="D897" t="inlineStr">
        <is>
          <t>SÖDERMANLANDS LÄN</t>
        </is>
      </c>
      <c r="E897" t="inlineStr">
        <is>
          <t>FLEN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52481-2023</t>
        </is>
      </c>
      <c r="B898" s="1" t="n">
        <v>45225</v>
      </c>
      <c r="C898" s="1" t="n">
        <v>45362</v>
      </c>
      <c r="D898" t="inlineStr">
        <is>
          <t>SÖDERMANLANDS LÄN</t>
        </is>
      </c>
      <c r="E898" t="inlineStr">
        <is>
          <t>FLEN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54340-2023</t>
        </is>
      </c>
      <c r="B899" s="1" t="n">
        <v>45225</v>
      </c>
      <c r="C899" s="1" t="n">
        <v>45362</v>
      </c>
      <c r="D899" t="inlineStr">
        <is>
          <t>SÖDERMANLANDS LÄN</t>
        </is>
      </c>
      <c r="E899" t="inlineStr">
        <is>
          <t>FLEN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52980-2023</t>
        </is>
      </c>
      <c r="B900" s="1" t="n">
        <v>45226</v>
      </c>
      <c r="C900" s="1" t="n">
        <v>45362</v>
      </c>
      <c r="D900" t="inlineStr">
        <is>
          <t>SÖDERMANLANDS LÄN</t>
        </is>
      </c>
      <c r="E900" t="inlineStr">
        <is>
          <t>FLEN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53119-2023</t>
        </is>
      </c>
      <c r="B901" s="1" t="n">
        <v>45228</v>
      </c>
      <c r="C901" s="1" t="n">
        <v>45362</v>
      </c>
      <c r="D901" t="inlineStr">
        <is>
          <t>SÖDERMANLANDS LÄN</t>
        </is>
      </c>
      <c r="E901" t="inlineStr">
        <is>
          <t>FLEN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53121-2023</t>
        </is>
      </c>
      <c r="B902" s="1" t="n">
        <v>45228</v>
      </c>
      <c r="C902" s="1" t="n">
        <v>45362</v>
      </c>
      <c r="D902" t="inlineStr">
        <is>
          <t>SÖDERMANLANDS LÄN</t>
        </is>
      </c>
      <c r="E902" t="inlineStr">
        <is>
          <t>FLEN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53509-2023</t>
        </is>
      </c>
      <c r="B903" s="1" t="n">
        <v>45230</v>
      </c>
      <c r="C903" s="1" t="n">
        <v>45362</v>
      </c>
      <c r="D903" t="inlineStr">
        <is>
          <t>SÖDERMANLANDS LÄN</t>
        </is>
      </c>
      <c r="E903" t="inlineStr">
        <is>
          <t>FLEN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53513-2023</t>
        </is>
      </c>
      <c r="B904" s="1" t="n">
        <v>45230</v>
      </c>
      <c r="C904" s="1" t="n">
        <v>45362</v>
      </c>
      <c r="D904" t="inlineStr">
        <is>
          <t>SÖDERMANLANDS LÄN</t>
        </is>
      </c>
      <c r="E904" t="inlineStr">
        <is>
          <t>FLEN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53518-2023</t>
        </is>
      </c>
      <c r="B905" s="1" t="n">
        <v>45230</v>
      </c>
      <c r="C905" s="1" t="n">
        <v>45362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53590-2023</t>
        </is>
      </c>
      <c r="B906" s="1" t="n">
        <v>45230</v>
      </c>
      <c r="C906" s="1" t="n">
        <v>45362</v>
      </c>
      <c r="D906" t="inlineStr">
        <is>
          <t>SÖDERMANLANDS LÄN</t>
        </is>
      </c>
      <c r="E906" t="inlineStr">
        <is>
          <t>FLEN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53837-2023</t>
        </is>
      </c>
      <c r="B907" s="1" t="n">
        <v>45230</v>
      </c>
      <c r="C907" s="1" t="n">
        <v>45362</v>
      </c>
      <c r="D907" t="inlineStr">
        <is>
          <t>SÖDERMANLANDS LÄN</t>
        </is>
      </c>
      <c r="E907" t="inlineStr">
        <is>
          <t>FLEN</t>
        </is>
      </c>
      <c r="G907" t="n">
        <v>13.6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53517-2023</t>
        </is>
      </c>
      <c r="B908" s="1" t="n">
        <v>45230</v>
      </c>
      <c r="C908" s="1" t="n">
        <v>45362</v>
      </c>
      <c r="D908" t="inlineStr">
        <is>
          <t>SÖDERMANLANDS LÄN</t>
        </is>
      </c>
      <c r="E908" t="inlineStr">
        <is>
          <t>FLEN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53507-2023</t>
        </is>
      </c>
      <c r="B909" s="1" t="n">
        <v>45230</v>
      </c>
      <c r="C909" s="1" t="n">
        <v>45362</v>
      </c>
      <c r="D909" t="inlineStr">
        <is>
          <t>SÖDERMANLANDS LÄN</t>
        </is>
      </c>
      <c r="E909" t="inlineStr">
        <is>
          <t>FLEN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53779-2023</t>
        </is>
      </c>
      <c r="B910" s="1" t="n">
        <v>45231</v>
      </c>
      <c r="C910" s="1" t="n">
        <v>45362</v>
      </c>
      <c r="D910" t="inlineStr">
        <is>
          <t>SÖDERMANLANDS LÄN</t>
        </is>
      </c>
      <c r="E910" t="inlineStr">
        <is>
          <t>FLEN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53896-2023</t>
        </is>
      </c>
      <c r="B911" s="1" t="n">
        <v>45231</v>
      </c>
      <c r="C911" s="1" t="n">
        <v>45362</v>
      </c>
      <c r="D911" t="inlineStr">
        <is>
          <t>SÖDERMANLANDS LÄN</t>
        </is>
      </c>
      <c r="E911" t="inlineStr">
        <is>
          <t>FLEN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55452-2023</t>
        </is>
      </c>
      <c r="B912" s="1" t="n">
        <v>45231</v>
      </c>
      <c r="C912" s="1" t="n">
        <v>45362</v>
      </c>
      <c r="D912" t="inlineStr">
        <is>
          <t>SÖDERMANLANDS LÄN</t>
        </is>
      </c>
      <c r="E912" t="inlineStr">
        <is>
          <t>FLEN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55211-2023</t>
        </is>
      </c>
      <c r="B913" s="1" t="n">
        <v>45231</v>
      </c>
      <c r="C913" s="1" t="n">
        <v>45362</v>
      </c>
      <c r="D913" t="inlineStr">
        <is>
          <t>SÖDERMANLANDS LÄN</t>
        </is>
      </c>
      <c r="E913" t="inlineStr">
        <is>
          <t>FLEN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55260-2023</t>
        </is>
      </c>
      <c r="B914" s="1" t="n">
        <v>45237</v>
      </c>
      <c r="C914" s="1" t="n">
        <v>45362</v>
      </c>
      <c r="D914" t="inlineStr">
        <is>
          <t>SÖDERMANLANDS LÄN</t>
        </is>
      </c>
      <c r="E914" t="inlineStr">
        <is>
          <t>FLEN</t>
        </is>
      </c>
      <c r="G914" t="n">
        <v>17.1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55228-2023</t>
        </is>
      </c>
      <c r="B915" s="1" t="n">
        <v>45237</v>
      </c>
      <c r="C915" s="1" t="n">
        <v>45362</v>
      </c>
      <c r="D915" t="inlineStr">
        <is>
          <t>SÖDERMANLANDS LÄN</t>
        </is>
      </c>
      <c r="E915" t="inlineStr">
        <is>
          <t>FLEN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55748-2023</t>
        </is>
      </c>
      <c r="B916" s="1" t="n">
        <v>45239</v>
      </c>
      <c r="C916" s="1" t="n">
        <v>45362</v>
      </c>
      <c r="D916" t="inlineStr">
        <is>
          <t>SÖDERMANLANDS LÄN</t>
        </is>
      </c>
      <c r="E916" t="inlineStr">
        <is>
          <t>FLEN</t>
        </is>
      </c>
      <c r="F916" t="inlineStr">
        <is>
          <t>Kyrkan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57130-2023</t>
        </is>
      </c>
      <c r="B917" s="1" t="n">
        <v>45239</v>
      </c>
      <c r="C917" s="1" t="n">
        <v>45362</v>
      </c>
      <c r="D917" t="inlineStr">
        <is>
          <t>SÖDERMANLANDS LÄN</t>
        </is>
      </c>
      <c r="E917" t="inlineStr">
        <is>
          <t>FLEN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HYPERLINK("https://klasma.github.io/Logging_0482/knärot/A 57130-2023 karta knärot.png", "A 57130-2023")</f>
        <v/>
      </c>
      <c r="V917">
        <f>HYPERLINK("https://klasma.github.io/Logging_0482/klagomål/A 57130-2023 FSC-klagomål.docx", "A 57130-2023")</f>
        <v/>
      </c>
      <c r="W917">
        <f>HYPERLINK("https://klasma.github.io/Logging_0482/klagomålsmail/A 57130-2023 FSC-klagomål mail.docx", "A 57130-2023")</f>
        <v/>
      </c>
      <c r="X917">
        <f>HYPERLINK("https://klasma.github.io/Logging_0482/tillsyn/A 57130-2023 tillsynsbegäran.docx", "A 57130-2023")</f>
        <v/>
      </c>
      <c r="Y917">
        <f>HYPERLINK("https://klasma.github.io/Logging_0482/tillsynsmail/A 57130-2023 tillsynsbegäran mail.docx", "A 57130-2023")</f>
        <v/>
      </c>
    </row>
    <row r="918" ht="15" customHeight="1">
      <c r="A918" t="inlineStr">
        <is>
          <t>A 56869-2023</t>
        </is>
      </c>
      <c r="B918" s="1" t="n">
        <v>45239</v>
      </c>
      <c r="C918" s="1" t="n">
        <v>45362</v>
      </c>
      <c r="D918" t="inlineStr">
        <is>
          <t>SÖDERMANLANDS LÄN</t>
        </is>
      </c>
      <c r="E918" t="inlineStr">
        <is>
          <t>FLEN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56030-2023</t>
        </is>
      </c>
      <c r="B919" s="1" t="n">
        <v>45240</v>
      </c>
      <c r="C919" s="1" t="n">
        <v>45362</v>
      </c>
      <c r="D919" t="inlineStr">
        <is>
          <t>SÖDERMANLANDS LÄN</t>
        </is>
      </c>
      <c r="E919" t="inlineStr">
        <is>
          <t>FLEN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56534-2023</t>
        </is>
      </c>
      <c r="B920" s="1" t="n">
        <v>45243</v>
      </c>
      <c r="C920" s="1" t="n">
        <v>45362</v>
      </c>
      <c r="D920" t="inlineStr">
        <is>
          <t>SÖDERMANLANDS LÄN</t>
        </is>
      </c>
      <c r="E920" t="inlineStr">
        <is>
          <t>FLEN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57527-2023</t>
        </is>
      </c>
      <c r="B921" s="1" t="n">
        <v>45243</v>
      </c>
      <c r="C921" s="1" t="n">
        <v>45362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57005-2023</t>
        </is>
      </c>
      <c r="B922" s="1" t="n">
        <v>45244</v>
      </c>
      <c r="C922" s="1" t="n">
        <v>45362</v>
      </c>
      <c r="D922" t="inlineStr">
        <is>
          <t>SÖDERMANLANDS LÄN</t>
        </is>
      </c>
      <c r="E922" t="inlineStr">
        <is>
          <t>FLEN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57046-2023</t>
        </is>
      </c>
      <c r="B923" s="1" t="n">
        <v>45244</v>
      </c>
      <c r="C923" s="1" t="n">
        <v>45362</v>
      </c>
      <c r="D923" t="inlineStr">
        <is>
          <t>SÖDERMANLANDS LÄN</t>
        </is>
      </c>
      <c r="E923" t="inlineStr">
        <is>
          <t>FLEN</t>
        </is>
      </c>
      <c r="F923" t="inlineStr">
        <is>
          <t>Övriga statliga verk och myndigheter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56835-2023</t>
        </is>
      </c>
      <c r="B924" s="1" t="n">
        <v>45244</v>
      </c>
      <c r="C924" s="1" t="n">
        <v>45362</v>
      </c>
      <c r="D924" t="inlineStr">
        <is>
          <t>SÖDERMANLANDS LÄN</t>
        </is>
      </c>
      <c r="E924" t="inlineStr">
        <is>
          <t>FLEN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56991-2023</t>
        </is>
      </c>
      <c r="B925" s="1" t="n">
        <v>45244</v>
      </c>
      <c r="C925" s="1" t="n">
        <v>45362</v>
      </c>
      <c r="D925" t="inlineStr">
        <is>
          <t>SÖDERMANLANDS LÄN</t>
        </is>
      </c>
      <c r="E925" t="inlineStr">
        <is>
          <t>FLEN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57003-2023</t>
        </is>
      </c>
      <c r="B926" s="1" t="n">
        <v>45244</v>
      </c>
      <c r="C926" s="1" t="n">
        <v>45362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57044-2023</t>
        </is>
      </c>
      <c r="B927" s="1" t="n">
        <v>45244</v>
      </c>
      <c r="C927" s="1" t="n">
        <v>45362</v>
      </c>
      <c r="D927" t="inlineStr">
        <is>
          <t>SÖDERMANLANDS LÄN</t>
        </is>
      </c>
      <c r="E927" t="inlineStr">
        <is>
          <t>FLEN</t>
        </is>
      </c>
      <c r="F927" t="inlineStr">
        <is>
          <t>Övriga statliga verk och myndigheter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56996-2023</t>
        </is>
      </c>
      <c r="B928" s="1" t="n">
        <v>45244</v>
      </c>
      <c r="C928" s="1" t="n">
        <v>45362</v>
      </c>
      <c r="D928" t="inlineStr">
        <is>
          <t>SÖDERMANLANDS LÄN</t>
        </is>
      </c>
      <c r="E928" t="inlineStr">
        <is>
          <t>FLEN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58265-2023</t>
        </is>
      </c>
      <c r="B929" s="1" t="n">
        <v>45250</v>
      </c>
      <c r="C929" s="1" t="n">
        <v>45362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58926-2023</t>
        </is>
      </c>
      <c r="B930" s="1" t="n">
        <v>45250</v>
      </c>
      <c r="C930" s="1" t="n">
        <v>45362</v>
      </c>
      <c r="D930" t="inlineStr">
        <is>
          <t>SÖDERMANLANDS LÄN</t>
        </is>
      </c>
      <c r="E930" t="inlineStr">
        <is>
          <t>FLEN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58294-2023</t>
        </is>
      </c>
      <c r="B931" s="1" t="n">
        <v>45250</v>
      </c>
      <c r="C931" s="1" t="n">
        <v>45362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58364-2023</t>
        </is>
      </c>
      <c r="B932" s="1" t="n">
        <v>45250</v>
      </c>
      <c r="C932" s="1" t="n">
        <v>45362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58267-2023</t>
        </is>
      </c>
      <c r="B933" s="1" t="n">
        <v>45250</v>
      </c>
      <c r="C933" s="1" t="n">
        <v>45362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58887-2023</t>
        </is>
      </c>
      <c r="B934" s="1" t="n">
        <v>45250</v>
      </c>
      <c r="C934" s="1" t="n">
        <v>45362</v>
      </c>
      <c r="D934" t="inlineStr">
        <is>
          <t>SÖDERMANLANDS LÄN</t>
        </is>
      </c>
      <c r="E934" t="inlineStr">
        <is>
          <t>FLEN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58377-2023</t>
        </is>
      </c>
      <c r="B935" s="1" t="n">
        <v>45250</v>
      </c>
      <c r="C935" s="1" t="n">
        <v>45362</v>
      </c>
      <c r="D935" t="inlineStr">
        <is>
          <t>SÖDERMANLANDS LÄN</t>
        </is>
      </c>
      <c r="E935" t="inlineStr">
        <is>
          <t>FLEN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58922-2023</t>
        </is>
      </c>
      <c r="B936" s="1" t="n">
        <v>45250</v>
      </c>
      <c r="C936" s="1" t="n">
        <v>45362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58635-2023</t>
        </is>
      </c>
      <c r="B937" s="1" t="n">
        <v>45251</v>
      </c>
      <c r="C937" s="1" t="n">
        <v>45362</v>
      </c>
      <c r="D937" t="inlineStr">
        <is>
          <t>SÖDERMANLANDS LÄN</t>
        </is>
      </c>
      <c r="E937" t="inlineStr">
        <is>
          <t>FLEN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59051-2023</t>
        </is>
      </c>
      <c r="B938" s="1" t="n">
        <v>45252</v>
      </c>
      <c r="C938" s="1" t="n">
        <v>45362</v>
      </c>
      <c r="D938" t="inlineStr">
        <is>
          <t>SÖDERMANLANDS LÄN</t>
        </is>
      </c>
      <c r="E938" t="inlineStr">
        <is>
          <t>FLEN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59135-2023</t>
        </is>
      </c>
      <c r="B939" s="1" t="n">
        <v>45253</v>
      </c>
      <c r="C939" s="1" t="n">
        <v>45362</v>
      </c>
      <c r="D939" t="inlineStr">
        <is>
          <t>SÖDERMANLANDS LÄN</t>
        </is>
      </c>
      <c r="E939" t="inlineStr">
        <is>
          <t>FLEN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59693-2023</t>
        </is>
      </c>
      <c r="B940" s="1" t="n">
        <v>45256</v>
      </c>
      <c r="C940" s="1" t="n">
        <v>45362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59690-2023</t>
        </is>
      </c>
      <c r="B941" s="1" t="n">
        <v>45256</v>
      </c>
      <c r="C941" s="1" t="n">
        <v>45362</v>
      </c>
      <c r="D941" t="inlineStr">
        <is>
          <t>SÖDERMANLANDS LÄN</t>
        </is>
      </c>
      <c r="E941" t="inlineStr">
        <is>
          <t>FLEN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59691-2023</t>
        </is>
      </c>
      <c r="B942" s="1" t="n">
        <v>45256</v>
      </c>
      <c r="C942" s="1" t="n">
        <v>45362</v>
      </c>
      <c r="D942" t="inlineStr">
        <is>
          <t>SÖDERMANLANDS LÄN</t>
        </is>
      </c>
      <c r="E942" t="inlineStr">
        <is>
          <t>FLEN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59779-2023</t>
        </is>
      </c>
      <c r="B943" s="1" t="n">
        <v>45257</v>
      </c>
      <c r="C943" s="1" t="n">
        <v>45362</v>
      </c>
      <c r="D943" t="inlineStr">
        <is>
          <t>SÖDERMANLANDS LÄN</t>
        </is>
      </c>
      <c r="E943" t="inlineStr">
        <is>
          <t>FLEN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60685-2023</t>
        </is>
      </c>
      <c r="B944" s="1" t="n">
        <v>45260</v>
      </c>
      <c r="C944" s="1" t="n">
        <v>45362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60615-2023</t>
        </is>
      </c>
      <c r="B945" s="1" t="n">
        <v>45260</v>
      </c>
      <c r="C945" s="1" t="n">
        <v>45362</v>
      </c>
      <c r="D945" t="inlineStr">
        <is>
          <t>SÖDERMANLANDS LÄN</t>
        </is>
      </c>
      <c r="E945" t="inlineStr">
        <is>
          <t>FLEN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60613-2023</t>
        </is>
      </c>
      <c r="B946" s="1" t="n">
        <v>45260</v>
      </c>
      <c r="C946" s="1" t="n">
        <v>45362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61892-2023</t>
        </is>
      </c>
      <c r="B947" s="1" t="n">
        <v>45264</v>
      </c>
      <c r="C947" s="1" t="n">
        <v>45362</v>
      </c>
      <c r="D947" t="inlineStr">
        <is>
          <t>SÖDERMANLANDS LÄN</t>
        </is>
      </c>
      <c r="E947" t="inlineStr">
        <is>
          <t>FLEN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61899-2023</t>
        </is>
      </c>
      <c r="B948" s="1" t="n">
        <v>45264</v>
      </c>
      <c r="C948" s="1" t="n">
        <v>45362</v>
      </c>
      <c r="D948" t="inlineStr">
        <is>
          <t>SÖDERMANLANDS LÄN</t>
        </is>
      </c>
      <c r="E948" t="inlineStr">
        <is>
          <t>FLEN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61951-2023</t>
        </is>
      </c>
      <c r="B949" s="1" t="n">
        <v>45266</v>
      </c>
      <c r="C949" s="1" t="n">
        <v>45362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62517-2023</t>
        </is>
      </c>
      <c r="B950" s="1" t="n">
        <v>45268</v>
      </c>
      <c r="C950" s="1" t="n">
        <v>45362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62515-2023</t>
        </is>
      </c>
      <c r="B951" s="1" t="n">
        <v>45268</v>
      </c>
      <c r="C951" s="1" t="n">
        <v>45362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62579-2023</t>
        </is>
      </c>
      <c r="B952" s="1" t="n">
        <v>45270</v>
      </c>
      <c r="C952" s="1" t="n">
        <v>45362</v>
      </c>
      <c r="D952" t="inlineStr">
        <is>
          <t>SÖDERMANLANDS LÄN</t>
        </is>
      </c>
      <c r="E952" t="inlineStr">
        <is>
          <t>FLEN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62763-2023</t>
        </is>
      </c>
      <c r="B953" s="1" t="n">
        <v>45271</v>
      </c>
      <c r="C953" s="1" t="n">
        <v>45362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63016-2023</t>
        </is>
      </c>
      <c r="B954" s="1" t="n">
        <v>45272</v>
      </c>
      <c r="C954" s="1" t="n">
        <v>45362</v>
      </c>
      <c r="D954" t="inlineStr">
        <is>
          <t>SÖDERMANLANDS LÄN</t>
        </is>
      </c>
      <c r="E954" t="inlineStr">
        <is>
          <t>FLEN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63185-2023</t>
        </is>
      </c>
      <c r="B955" s="1" t="n">
        <v>45272</v>
      </c>
      <c r="C955" s="1" t="n">
        <v>45362</v>
      </c>
      <c r="D955" t="inlineStr">
        <is>
          <t>SÖDERMANLANDS LÄN</t>
        </is>
      </c>
      <c r="E955" t="inlineStr">
        <is>
          <t>FLEN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63919-2023</t>
        </is>
      </c>
      <c r="B956" s="1" t="n">
        <v>45278</v>
      </c>
      <c r="C956" s="1" t="n">
        <v>45362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64480-2023</t>
        </is>
      </c>
      <c r="B957" s="1" t="n">
        <v>45280</v>
      </c>
      <c r="C957" s="1" t="n">
        <v>45362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543-2024</t>
        </is>
      </c>
      <c r="B958" s="1" t="n">
        <v>45299</v>
      </c>
      <c r="C958" s="1" t="n">
        <v>45362</v>
      </c>
      <c r="D958" t="inlineStr">
        <is>
          <t>SÖDERMANLANDS LÄN</t>
        </is>
      </c>
      <c r="E958" t="inlineStr">
        <is>
          <t>FLEN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537-2024</t>
        </is>
      </c>
      <c r="B959" s="1" t="n">
        <v>45299</v>
      </c>
      <c r="C959" s="1" t="n">
        <v>45362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541-2024</t>
        </is>
      </c>
      <c r="B960" s="1" t="n">
        <v>45299</v>
      </c>
      <c r="C960" s="1" t="n">
        <v>45362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545-2024</t>
        </is>
      </c>
      <c r="B961" s="1" t="n">
        <v>45299</v>
      </c>
      <c r="C961" s="1" t="n">
        <v>45362</v>
      </c>
      <c r="D961" t="inlineStr">
        <is>
          <t>SÖDERMANLANDS LÄN</t>
        </is>
      </c>
      <c r="E961" t="inlineStr">
        <is>
          <t>FLEN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1230-2024</t>
        </is>
      </c>
      <c r="B962" s="1" t="n">
        <v>45302</v>
      </c>
      <c r="C962" s="1" t="n">
        <v>45362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1329-2024</t>
        </is>
      </c>
      <c r="B963" s="1" t="n">
        <v>45303</v>
      </c>
      <c r="C963" s="1" t="n">
        <v>45362</v>
      </c>
      <c r="D963" t="inlineStr">
        <is>
          <t>SÖDERMANLANDS LÄN</t>
        </is>
      </c>
      <c r="E963" t="inlineStr">
        <is>
          <t>FLEN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1307-2024</t>
        </is>
      </c>
      <c r="B964" s="1" t="n">
        <v>45303</v>
      </c>
      <c r="C964" s="1" t="n">
        <v>45362</v>
      </c>
      <c r="D964" t="inlineStr">
        <is>
          <t>SÖDERMANLANDS LÄN</t>
        </is>
      </c>
      <c r="E964" t="inlineStr">
        <is>
          <t>FLEN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1575-2024</t>
        </is>
      </c>
      <c r="B965" s="1" t="n">
        <v>45306</v>
      </c>
      <c r="C965" s="1" t="n">
        <v>45362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2087-2024</t>
        </is>
      </c>
      <c r="B966" s="1" t="n">
        <v>45309</v>
      </c>
      <c r="C966" s="1" t="n">
        <v>45362</v>
      </c>
      <c r="D966" t="inlineStr">
        <is>
          <t>SÖDERMANLANDS LÄN</t>
        </is>
      </c>
      <c r="E966" t="inlineStr">
        <is>
          <t>FLEN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2447-2024</t>
        </is>
      </c>
      <c r="B967" s="1" t="n">
        <v>45311</v>
      </c>
      <c r="C967" s="1" t="n">
        <v>45362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2449-2024</t>
        </is>
      </c>
      <c r="B968" s="1" t="n">
        <v>45311</v>
      </c>
      <c r="C968" s="1" t="n">
        <v>45362</v>
      </c>
      <c r="D968" t="inlineStr">
        <is>
          <t>SÖDERMANLANDS LÄN</t>
        </is>
      </c>
      <c r="E968" t="inlineStr">
        <is>
          <t>FLEN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2448-2024</t>
        </is>
      </c>
      <c r="B969" s="1" t="n">
        <v>45311</v>
      </c>
      <c r="C969" s="1" t="n">
        <v>45362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2564-2024</t>
        </is>
      </c>
      <c r="B970" s="1" t="n">
        <v>45313</v>
      </c>
      <c r="C970" s="1" t="n">
        <v>45362</v>
      </c>
      <c r="D970" t="inlineStr">
        <is>
          <t>SÖDERMANLANDS LÄN</t>
        </is>
      </c>
      <c r="E970" t="inlineStr">
        <is>
          <t>FLEN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2696-2024</t>
        </is>
      </c>
      <c r="B971" s="1" t="n">
        <v>45314</v>
      </c>
      <c r="C971" s="1" t="n">
        <v>45362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2968-2024</t>
        </is>
      </c>
      <c r="B972" s="1" t="n">
        <v>45315</v>
      </c>
      <c r="C972" s="1" t="n">
        <v>45362</v>
      </c>
      <c r="D972" t="inlineStr">
        <is>
          <t>SÖDERMANLANDS LÄN</t>
        </is>
      </c>
      <c r="E972" t="inlineStr">
        <is>
          <t>FLEN</t>
        </is>
      </c>
      <c r="F972" t="inlineStr">
        <is>
          <t>Kyrkan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2901-2024</t>
        </is>
      </c>
      <c r="B973" s="1" t="n">
        <v>45315</v>
      </c>
      <c r="C973" s="1" t="n">
        <v>45362</v>
      </c>
      <c r="D973" t="inlineStr">
        <is>
          <t>SÖDERMANLANDS LÄN</t>
        </is>
      </c>
      <c r="E973" t="inlineStr">
        <is>
          <t>FLEN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2930-2024</t>
        </is>
      </c>
      <c r="B974" s="1" t="n">
        <v>45315</v>
      </c>
      <c r="C974" s="1" t="n">
        <v>45362</v>
      </c>
      <c r="D974" t="inlineStr">
        <is>
          <t>SÖDERMANLANDS LÄN</t>
        </is>
      </c>
      <c r="E974" t="inlineStr">
        <is>
          <t>FLEN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3568-2024</t>
        </is>
      </c>
      <c r="B975" s="1" t="n">
        <v>45320</v>
      </c>
      <c r="C975" s="1" t="n">
        <v>45362</v>
      </c>
      <c r="D975" t="inlineStr">
        <is>
          <t>SÖDERMANLANDS LÄN</t>
        </is>
      </c>
      <c r="E975" t="inlineStr">
        <is>
          <t>FLEN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3648-2024</t>
        </is>
      </c>
      <c r="B976" s="1" t="n">
        <v>45321</v>
      </c>
      <c r="C976" s="1" t="n">
        <v>45362</v>
      </c>
      <c r="D976" t="inlineStr">
        <is>
          <t>SÖDERMANLANDS LÄN</t>
        </is>
      </c>
      <c r="E976" t="inlineStr">
        <is>
          <t>FLEN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3774-2024</t>
        </is>
      </c>
      <c r="B977" s="1" t="n">
        <v>45321</v>
      </c>
      <c r="C977" s="1" t="n">
        <v>45362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3798-2024</t>
        </is>
      </c>
      <c r="B978" s="1" t="n">
        <v>45321</v>
      </c>
      <c r="C978" s="1" t="n">
        <v>45362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3909-2024</t>
        </is>
      </c>
      <c r="B979" s="1" t="n">
        <v>45322</v>
      </c>
      <c r="C979" s="1" t="n">
        <v>45362</v>
      </c>
      <c r="D979" t="inlineStr">
        <is>
          <t>SÖDERMANLANDS LÄN</t>
        </is>
      </c>
      <c r="E979" t="inlineStr">
        <is>
          <t>FLEN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3926-2024</t>
        </is>
      </c>
      <c r="B980" s="1" t="n">
        <v>45322</v>
      </c>
      <c r="C980" s="1" t="n">
        <v>45362</v>
      </c>
      <c r="D980" t="inlineStr">
        <is>
          <t>SÖDERMANLANDS LÄN</t>
        </is>
      </c>
      <c r="E980" t="inlineStr">
        <is>
          <t>FLEN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4015-2024</t>
        </is>
      </c>
      <c r="B981" s="1" t="n">
        <v>45323</v>
      </c>
      <c r="C981" s="1" t="n">
        <v>45362</v>
      </c>
      <c r="D981" t="inlineStr">
        <is>
          <t>SÖDERMANLANDS LÄN</t>
        </is>
      </c>
      <c r="E981" t="inlineStr">
        <is>
          <t>FLEN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4143-2024</t>
        </is>
      </c>
      <c r="B982" s="1" t="n">
        <v>45323</v>
      </c>
      <c r="C982" s="1" t="n">
        <v>45362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4147-2024</t>
        </is>
      </c>
      <c r="B983" s="1" t="n">
        <v>45323</v>
      </c>
      <c r="C983" s="1" t="n">
        <v>45362</v>
      </c>
      <c r="D983" t="inlineStr">
        <is>
          <t>SÖDERMANLANDS LÄN</t>
        </is>
      </c>
      <c r="E983" t="inlineStr">
        <is>
          <t>FLEN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4451-2024</t>
        </is>
      </c>
      <c r="B984" s="1" t="n">
        <v>45327</v>
      </c>
      <c r="C984" s="1" t="n">
        <v>45362</v>
      </c>
      <c r="D984" t="inlineStr">
        <is>
          <t>SÖDERMANLANDS LÄN</t>
        </is>
      </c>
      <c r="E984" t="inlineStr">
        <is>
          <t>FLEN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4536-2024</t>
        </is>
      </c>
      <c r="B985" s="1" t="n">
        <v>45327</v>
      </c>
      <c r="C985" s="1" t="n">
        <v>45362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4724-2024</t>
        </is>
      </c>
      <c r="B986" s="1" t="n">
        <v>45328</v>
      </c>
      <c r="C986" s="1" t="n">
        <v>45362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4657-2024</t>
        </is>
      </c>
      <c r="B987" s="1" t="n">
        <v>45328</v>
      </c>
      <c r="C987" s="1" t="n">
        <v>45362</v>
      </c>
      <c r="D987" t="inlineStr">
        <is>
          <t>SÖDERMANLANDS LÄN</t>
        </is>
      </c>
      <c r="E987" t="inlineStr">
        <is>
          <t>FLEN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4778-2024</t>
        </is>
      </c>
      <c r="B988" s="1" t="n">
        <v>45328</v>
      </c>
      <c r="C988" s="1" t="n">
        <v>45362</v>
      </c>
      <c r="D988" t="inlineStr">
        <is>
          <t>SÖDERMANLANDS LÄN</t>
        </is>
      </c>
      <c r="E988" t="inlineStr">
        <is>
          <t>FLEN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5160-2024</t>
        </is>
      </c>
      <c r="B989" s="1" t="n">
        <v>45330</v>
      </c>
      <c r="C989" s="1" t="n">
        <v>45362</v>
      </c>
      <c r="D989" t="inlineStr">
        <is>
          <t>SÖDERMANLANDS LÄN</t>
        </is>
      </c>
      <c r="E989" t="inlineStr">
        <is>
          <t>FLEN</t>
        </is>
      </c>
      <c r="F989" t="inlineStr">
        <is>
          <t>Övriga statliga verk och myndigheter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5194-2024</t>
        </is>
      </c>
      <c r="B990" s="1" t="n">
        <v>45330</v>
      </c>
      <c r="C990" s="1" t="n">
        <v>45362</v>
      </c>
      <c r="D990" t="inlineStr">
        <is>
          <t>SÖDERMANLANDS LÄN</t>
        </is>
      </c>
      <c r="E990" t="inlineStr">
        <is>
          <t>FLEN</t>
        </is>
      </c>
      <c r="F990" t="inlineStr">
        <is>
          <t>Övriga statliga verk och myndigheter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5331-2024</t>
        </is>
      </c>
      <c r="B991" s="1" t="n">
        <v>45331</v>
      </c>
      <c r="C991" s="1" t="n">
        <v>45362</v>
      </c>
      <c r="D991" t="inlineStr">
        <is>
          <t>SÖDERMANLANDS LÄN</t>
        </is>
      </c>
      <c r="E991" t="inlineStr">
        <is>
          <t>FLEN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6109-2024</t>
        </is>
      </c>
      <c r="B992" s="1" t="n">
        <v>45337</v>
      </c>
      <c r="C992" s="1" t="n">
        <v>45362</v>
      </c>
      <c r="D992" t="inlineStr">
        <is>
          <t>SÖDERMANLANDS LÄN</t>
        </is>
      </c>
      <c r="E992" t="inlineStr">
        <is>
          <t>FLEN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6104-2024</t>
        </is>
      </c>
      <c r="B993" s="1" t="n">
        <v>45337</v>
      </c>
      <c r="C993" s="1" t="n">
        <v>45362</v>
      </c>
      <c r="D993" t="inlineStr">
        <is>
          <t>SÖDERMANLANDS LÄN</t>
        </is>
      </c>
      <c r="E993" t="inlineStr">
        <is>
          <t>FLEN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6530-2024</t>
        </is>
      </c>
      <c r="B994" s="1" t="n">
        <v>45341</v>
      </c>
      <c r="C994" s="1" t="n">
        <v>45362</v>
      </c>
      <c r="D994" t="inlineStr">
        <is>
          <t>SÖDERMANLANDS LÄN</t>
        </is>
      </c>
      <c r="E994" t="inlineStr">
        <is>
          <t>FLEN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6964-2024</t>
        </is>
      </c>
      <c r="B995" s="1" t="n">
        <v>45343</v>
      </c>
      <c r="C995" s="1" t="n">
        <v>45362</v>
      </c>
      <c r="D995" t="inlineStr">
        <is>
          <t>SÖDERMANLANDS LÄN</t>
        </is>
      </c>
      <c r="E995" t="inlineStr">
        <is>
          <t>FLEN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6982-2024</t>
        </is>
      </c>
      <c r="B996" s="1" t="n">
        <v>45343</v>
      </c>
      <c r="C996" s="1" t="n">
        <v>45362</v>
      </c>
      <c r="D996" t="inlineStr">
        <is>
          <t>SÖDERMANLANDS LÄN</t>
        </is>
      </c>
      <c r="E996" t="inlineStr">
        <is>
          <t>FLEN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7378-2024</t>
        </is>
      </c>
      <c r="B997" s="1" t="n">
        <v>45345</v>
      </c>
      <c r="C997" s="1" t="n">
        <v>45362</v>
      </c>
      <c r="D997" t="inlineStr">
        <is>
          <t>SÖDERMANLANDS LÄN</t>
        </is>
      </c>
      <c r="E997" t="inlineStr">
        <is>
          <t>FLEN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7376-2024</t>
        </is>
      </c>
      <c r="B998" s="1" t="n">
        <v>45345</v>
      </c>
      <c r="C998" s="1" t="n">
        <v>45362</v>
      </c>
      <c r="D998" t="inlineStr">
        <is>
          <t>SÖDERMANLANDS LÄN</t>
        </is>
      </c>
      <c r="E998" t="inlineStr">
        <is>
          <t>FLEN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7380-2024</t>
        </is>
      </c>
      <c r="B999" s="1" t="n">
        <v>45345</v>
      </c>
      <c r="C999" s="1" t="n">
        <v>45362</v>
      </c>
      <c r="D999" t="inlineStr">
        <is>
          <t>SÖDERMANLANDS LÄN</t>
        </is>
      </c>
      <c r="E999" t="inlineStr">
        <is>
          <t>FLEN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7381-2024</t>
        </is>
      </c>
      <c r="B1000" s="1" t="n">
        <v>45345</v>
      </c>
      <c r="C1000" s="1" t="n">
        <v>45362</v>
      </c>
      <c r="D1000" t="inlineStr">
        <is>
          <t>SÖDERMANLANDS LÄN</t>
        </is>
      </c>
      <c r="E1000" t="inlineStr">
        <is>
          <t>FLEN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7526-2024</t>
        </is>
      </c>
      <c r="B1001" s="1" t="n">
        <v>45348</v>
      </c>
      <c r="C1001" s="1" t="n">
        <v>45362</v>
      </c>
      <c r="D1001" t="inlineStr">
        <is>
          <t>SÖDERMANLANDS LÄN</t>
        </is>
      </c>
      <c r="E1001" t="inlineStr">
        <is>
          <t>FLEN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7525-2024</t>
        </is>
      </c>
      <c r="B1002" s="1" t="n">
        <v>45348</v>
      </c>
      <c r="C1002" s="1" t="n">
        <v>45362</v>
      </c>
      <c r="D1002" t="inlineStr">
        <is>
          <t>SÖDERMANLANDS LÄN</t>
        </is>
      </c>
      <c r="E1002" t="inlineStr">
        <is>
          <t>FLEN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7951-2024</t>
        </is>
      </c>
      <c r="B1003" s="1" t="n">
        <v>45350</v>
      </c>
      <c r="C1003" s="1" t="n">
        <v>45362</v>
      </c>
      <c r="D1003" t="inlineStr">
        <is>
          <t>SÖDERMANLANDS LÄN</t>
        </is>
      </c>
      <c r="E1003" t="inlineStr">
        <is>
          <t>FLEN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7960-2024</t>
        </is>
      </c>
      <c r="B1004" s="1" t="n">
        <v>45350</v>
      </c>
      <c r="C1004" s="1" t="n">
        <v>45362</v>
      </c>
      <c r="D1004" t="inlineStr">
        <is>
          <t>SÖDERMANLANDS LÄN</t>
        </is>
      </c>
      <c r="E1004" t="inlineStr">
        <is>
          <t>FLEN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7968-2024</t>
        </is>
      </c>
      <c r="B1005" s="1" t="n">
        <v>45350</v>
      </c>
      <c r="C1005" s="1" t="n">
        <v>45362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9147-2024</t>
        </is>
      </c>
      <c r="B1006" s="1" t="n">
        <v>45358</v>
      </c>
      <c r="C1006" s="1" t="n">
        <v>45362</v>
      </c>
      <c r="D1006" t="inlineStr">
        <is>
          <t>SÖDERMANLANDS LÄN</t>
        </is>
      </c>
      <c r="E1006" t="inlineStr">
        <is>
          <t>FLEN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2024-03-11T13:56:09Z</dcterms:created>
  <dcterms:modified xmlns:dcterms="http://purl.org/dc/terms/" xmlns:xsi="http://www.w3.org/2001/XMLSchema-instance" xsi:type="dcterms:W3CDTF">2024-03-11T13:56:09Z</dcterms:modified>
</cp:coreProperties>
</file>