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46291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46291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46291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46291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46291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46291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46291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46291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46291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46291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46291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46291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46291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46291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46291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46291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46291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46291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46291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46291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46291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46291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46291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46291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46291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46291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46291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46291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46291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46291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46291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46291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46291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22839-2025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46291</v>
      </c>
      <c r="F54" t="inlineStr">
        <is>
          <t>SÖDERMANLANDS LÄN</t>
        </is>
      </c>
      <c r="G54" t="inlineStr">
        <is>
          <t>FLEN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Blåsippa
Ekbräken
Missne</t>
        </is>
      </c>
      <c r="W54">
        <f>HYPERLINK("https://klasma.github.io/Logging_0482/artfynd/A 22839-2025 artfynd.xlsx", "A 22839-2025")</f>
        <v/>
      </c>
      <c r="X54">
        <f>HYPERLINK("https://klasma.github.io/Logging_0482/kartor/A 22839-2025 karta.png", "A 22839-2025")</f>
        <v/>
      </c>
      <c r="Y54">
        <f>HYPERLINK("https://klasma.github.io/Logging_0482/kartor_geotiff/A 22839-2025 georefererad karta.tif", "A 22839-2025")</f>
        <v/>
      </c>
      <c r="AA54">
        <f>HYPERLINK("https://klasma.github.io/Logging_0482/klagomål/A 22839-2025 FSC-klagomål.docx", "A 22839-2025")</f>
        <v/>
      </c>
      <c r="AB54">
        <f>HYPERLINK("https://klasma.github.io/Logging_0482/klagomålsmail/A 22839-2025 FSC-klagomål mail.docx", "A 22839-2025")</f>
        <v/>
      </c>
      <c r="AC54">
        <f>HYPERLINK("https://klasma.github.io/Logging_0482/tillsyn/A 22839-2025 tillsynsbegäran.docx", "A 22839-2025")</f>
        <v/>
      </c>
      <c r="AD54">
        <f>HYPERLINK("https://klasma.github.io/Logging_0482/tillsynsmail/A 22839-2025 tillsynsbegäran mail.docx", "A 22839-2025")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46291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46291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46291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46291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46291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46291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46291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46291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46291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46291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46291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46291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46291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46291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46291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46291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46291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46291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46291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46291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46291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46291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46291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46291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46291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46291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46291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46291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46291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46291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46291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46291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46291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46291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46291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46291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46291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46291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46291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46291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46291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12056-2024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46291</v>
      </c>
      <c r="F97" t="inlineStr">
        <is>
          <t>SÖDERMANLANDS LÄN</t>
        </is>
      </c>
      <c r="G97" t="inlineStr">
        <is>
          <t>FLEN</t>
        </is>
      </c>
      <c r="I97" t="n">
        <v>8.4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Fjällig taggsvamp s.str.</t>
        </is>
      </c>
      <c r="W97">
        <f>HYPERLINK("https://klasma.github.io/Logging_0482/artfynd/A 12056-2024 artfynd.xlsx", "A 12056-2024")</f>
        <v/>
      </c>
      <c r="X97">
        <f>HYPERLINK("https://klasma.github.io/Logging_0482/kartor/A 12056-2024 karta.png", "A 12056-2024")</f>
        <v/>
      </c>
      <c r="Y97">
        <f>HYPERLINK("https://klasma.github.io/Logging_0482/kartor_geotiff/A 12056-2024 georefererad karta.tif", "A 12056-2024")</f>
        <v/>
      </c>
      <c r="AA97">
        <f>HYPERLINK("https://klasma.github.io/Logging_0482/klagomål/A 12056-2024 FSC-klagomål.docx", "A 12056-2024")</f>
        <v/>
      </c>
      <c r="AB97">
        <f>HYPERLINK("https://klasma.github.io/Logging_0482/klagomålsmail/A 12056-2024 FSC-klagomål mail.docx", "A 12056-2024")</f>
        <v/>
      </c>
      <c r="AC97">
        <f>HYPERLINK("https://klasma.github.io/Logging_0482/tillsyn/A 12056-2024 tillsynsbegäran.docx", "A 12056-2024")</f>
        <v/>
      </c>
      <c r="AD97">
        <f>HYPERLINK("https://klasma.github.io/Logging_0482/tillsynsmail/A 12056-2024 tillsynsbegäran mail.docx", "A 12056-2024")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46291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2043-2026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46291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Scharlakansvaxing</t>
        </is>
      </c>
      <c r="W99">
        <f>HYPERLINK("https://klasma.github.io/Logging_0482/artfynd/A 2043-2026 artfynd.xlsx", "A 2043-2026")</f>
        <v/>
      </c>
      <c r="X99">
        <f>HYPERLINK("https://klasma.github.io/Logging_0482/kartor/A 2043-2026 karta.png", "A 2043-2026")</f>
        <v/>
      </c>
      <c r="Y99">
        <f>HYPERLINK("https://klasma.github.io/Logging_0482/kartor_geotiff/A 2043-2026 georefererad karta.tif", "A 2043-2026")</f>
        <v/>
      </c>
      <c r="AA99">
        <f>HYPERLINK("https://klasma.github.io/Logging_0482/klagomål/A 2043-2026 FSC-klagomål.docx", "A 2043-2026")</f>
        <v/>
      </c>
      <c r="AB99">
        <f>HYPERLINK("https://klasma.github.io/Logging_0482/klagomålsmail/A 2043-2026 FSC-klagomål mail.docx", "A 2043-2026")</f>
        <v/>
      </c>
      <c r="AC99">
        <f>HYPERLINK("https://klasma.github.io/Logging_0482/tillsyn/A 2043-2026 tillsynsbegäran.docx", "A 2043-2026")</f>
        <v/>
      </c>
      <c r="AD99">
        <f>HYPERLINK("https://klasma.github.io/Logging_0482/tillsynsmail/A 2043-2026 tillsynsbegäran mail.docx", "A 2043-2026")</f>
        <v/>
      </c>
    </row>
    <row r="100" ht="15" customHeight="1">
      <c r="A100" t="inlineStr">
        <is>
          <t>A 2036-2026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46291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HYPERLINK("https://klasma.github.io/Logging_0482/artfynd/A 2036-2026 artfynd.xlsx", "A 2036-2026")</f>
        <v/>
      </c>
      <c r="X100">
        <f>HYPERLINK("https://klasma.github.io/Logging_0482/kartor/A 2036-2026 karta.png", "A 2036-2026")</f>
        <v/>
      </c>
      <c r="Y100">
        <f>HYPERLINK("https://klasma.github.io/Logging_0482/kartor_geotiff/A 2036-2026 georefererad karta.tif", "A 2036-2026")</f>
        <v/>
      </c>
      <c r="Z100">
        <f>HYPERLINK("https://klasma.github.io/Logging_0482/knärot/A 2036-2026 karta knärot.png", "A 2036-2026")</f>
        <v/>
      </c>
      <c r="AA100">
        <f>HYPERLINK("https://klasma.github.io/Logging_0482/klagomål/A 2036-2026 FSC-klagomål.docx", "A 2036-2026")</f>
        <v/>
      </c>
      <c r="AB100">
        <f>HYPERLINK("https://klasma.github.io/Logging_0482/klagomålsmail/A 2036-2026 FSC-klagomål mail.docx", "A 2036-2026")</f>
        <v/>
      </c>
      <c r="AC100">
        <f>HYPERLINK("https://klasma.github.io/Logging_0482/tillsyn/A 2036-2026 tillsynsbegäran.docx", "A 2036-2026")</f>
        <v/>
      </c>
      <c r="AD100">
        <f>HYPERLINK("https://klasma.github.io/Logging_0482/tillsynsmail/A 2036-2026 tillsynsbegäran mail.docx", "A 2036-2026")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46291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46291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46291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9446-2026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46291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9446-2026 artfynd.xlsx", "A 9446-2026")</f>
        <v/>
      </c>
      <c r="X104">
        <f>HYPERLINK("https://klasma.github.io/Logging_0482/kartor/A 9446-2026 karta.png", "A 9446-2026")</f>
        <v/>
      </c>
      <c r="Y104">
        <f>HYPERLINK("https://klasma.github.io/Logging_0482/kartor_geotiff/A 9446-2026 georefererad karta.tif", "A 9446-2026")</f>
        <v/>
      </c>
      <c r="AA104">
        <f>HYPERLINK("https://klasma.github.io/Logging_0482/klagomål/A 9446-2026 FSC-klagomål.docx", "A 9446-2026")</f>
        <v/>
      </c>
      <c r="AB104">
        <f>HYPERLINK("https://klasma.github.io/Logging_0482/klagomålsmail/A 9446-2026 FSC-klagomål mail.docx", "A 9446-2026")</f>
        <v/>
      </c>
      <c r="AC104">
        <f>HYPERLINK("https://klasma.github.io/Logging_0482/tillsyn/A 9446-2026 tillsynsbegäran.docx", "A 9446-2026")</f>
        <v/>
      </c>
      <c r="AD104">
        <f>HYPERLINK("https://klasma.github.io/Logging_0482/tillsynsmail/A 9446-2026 tillsynsbegäran mail.docx", "A 9446-2026")</f>
        <v/>
      </c>
    </row>
    <row r="105" ht="15" customHeight="1">
      <c r="A105" t="inlineStr">
        <is>
          <t>A 10999-2026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46079</v>
      </c>
      <c r="E105" s="1" t="n">
        <v>46291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10999-2026 artfynd.xlsx", "A 10999-2026")</f>
        <v/>
      </c>
      <c r="X105">
        <f>HYPERLINK("https://klasma.github.io/Logging_0482/kartor/A 10999-2026 karta.png", "A 10999-2026")</f>
        <v/>
      </c>
      <c r="Y105">
        <f>HYPERLINK("https://klasma.github.io/Logging_0482/kartor_geotiff/A 10999-2026 georefererad karta.tif", "A 10999-2026")</f>
        <v/>
      </c>
      <c r="AA105">
        <f>HYPERLINK("https://klasma.github.io/Logging_0482/klagomål/A 10999-2026 FSC-klagomål.docx", "A 10999-2026")</f>
        <v/>
      </c>
      <c r="AB105">
        <f>HYPERLINK("https://klasma.github.io/Logging_0482/klagomålsmail/A 10999-2026 FSC-klagomål mail.docx", "A 10999-2026")</f>
        <v/>
      </c>
      <c r="AC105">
        <f>HYPERLINK("https://klasma.github.io/Logging_0482/tillsyn/A 10999-2026 tillsynsbegäran.docx", "A 10999-2026")</f>
        <v/>
      </c>
      <c r="AD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46291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46291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46291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62535-2021 artfynd.xlsx", "A 62535-2021")</f>
        <v/>
      </c>
      <c r="X109">
        <f>HYPERLINK("https://klasma.github.io/Logging_0482/kartor/A 62535-2021 karta.png", "A 62535-2021")</f>
        <v/>
      </c>
      <c r="Y109">
        <f>HYPERLINK("https://klasma.github.io/Logging_0482/kartor_geotiff/A 62535-2021 georefererad karta.tif", "A 62535-2021")</f>
        <v/>
      </c>
      <c r="AA109">
        <f>HYPERLINK("https://klasma.github.io/Logging_0482/klagomål/A 62535-2021 FSC-klagomål.docx", "A 62535-2021")</f>
        <v/>
      </c>
      <c r="AB109">
        <f>HYPERLINK("https://klasma.github.io/Logging_0482/klagomålsmail/A 62535-2021 FSC-klagomål mail.docx", "A 62535-2021")</f>
        <v/>
      </c>
      <c r="AC109">
        <f>HYPERLINK("https://klasma.github.io/Logging_0482/tillsyn/A 62535-2021 tillsynsbegäran.docx", "A 62535-2021")</f>
        <v/>
      </c>
      <c r="AD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50202-2022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46291</v>
      </c>
      <c r="F110" t="inlineStr">
        <is>
          <t>SÖDERMANLANDS LÄN</t>
        </is>
      </c>
      <c r="G110" t="inlineStr">
        <is>
          <t>FLEN</t>
        </is>
      </c>
      <c r="H110" t="inlineStr">
        <is>
          <t>Kyrkan</t>
        </is>
      </c>
      <c r="I110" t="n">
        <v>5.8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50202-2022 artfynd.xlsx", "A 50202-2022")</f>
        <v/>
      </c>
      <c r="X110">
        <f>HYPERLINK("https://klasma.github.io/Logging_0482/kartor/A 50202-2022 karta.png", "A 50202-2022")</f>
        <v/>
      </c>
      <c r="Y110">
        <f>HYPERLINK("https://klasma.github.io/Logging_0482/kartor_geotiff/A 50202-2022 georefererad karta.tif", "A 50202-2022")</f>
        <v/>
      </c>
      <c r="AA110">
        <f>HYPERLINK("https://klasma.github.io/Logging_0482/klagomål/A 50202-2022 FSC-klagomål.docx", "A 50202-2022")</f>
        <v/>
      </c>
      <c r="AB110">
        <f>HYPERLINK("https://klasma.github.io/Logging_0482/klagomålsmail/A 50202-2022 FSC-klagomål mail.docx", "A 50202-2022")</f>
        <v/>
      </c>
      <c r="AC110">
        <f>HYPERLINK("https://klasma.github.io/Logging_0482/tillsyn/A 50202-2022 tillsynsbegäran.docx", "A 50202-2022")</f>
        <v/>
      </c>
      <c r="AD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46291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46291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46291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46291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46291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46291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46291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46291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HYPERLINK("https://klasma.github.io/Logging_0482/artfynd/A 26052-2026 artfynd.xlsx", "A 26052-2026")</f>
        <v/>
      </c>
      <c r="X118">
        <f>HYPERLINK("https://klasma.github.io/Logging_0482/kartor/A 26052-2026 karta.png", "A 26052-2026")</f>
        <v/>
      </c>
      <c r="Y118">
        <f>HYPERLINK("https://klasma.github.io/Logging_0482/kartor_geotiff/A 26052-2026 georefererad karta.tif", "A 26052-2026")</f>
        <v/>
      </c>
      <c r="AA118">
        <f>HYPERLINK("https://klasma.github.io/Logging_0482/klagomål/A 26052-2026 FSC-klagomål.docx", "A 26052-2026")</f>
        <v/>
      </c>
      <c r="AB118">
        <f>HYPERLINK("https://klasma.github.io/Logging_0482/klagomålsmail/A 26052-2026 FSC-klagomål mail.docx", "A 26052-2026")</f>
        <v/>
      </c>
      <c r="AC118">
        <f>HYPERLINK("https://klasma.github.io/Logging_0482/tillsyn/A 26052-2026 tillsynsbegäran.docx", "A 26052-2026")</f>
        <v/>
      </c>
      <c r="AD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46291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46291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46291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46291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46291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46291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46291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46291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6982-2024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46291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HYPERLINK("https://klasma.github.io/Logging_0482/artfynd/A 6982-2024 artfynd.xlsx", "A 6982-2024")</f>
        <v/>
      </c>
      <c r="X127">
        <f>HYPERLINK("https://klasma.github.io/Logging_0482/kartor/A 6982-2024 karta.png", "A 6982-2024")</f>
        <v/>
      </c>
      <c r="Y127">
        <f>HYPERLINK("https://klasma.github.io/Logging_0482/kartor_geotiff/A 6982-2024 georefererad karta.tif", "A 6982-2024")</f>
        <v/>
      </c>
      <c r="AA127">
        <f>HYPERLINK("https://klasma.github.io/Logging_0482/klagomål/A 6982-2024 FSC-klagomål.docx", "A 6982-2024")</f>
        <v/>
      </c>
      <c r="AB127">
        <f>HYPERLINK("https://klasma.github.io/Logging_0482/klagomålsmail/A 6982-2024 FSC-klagomål mail.docx", "A 6982-2024")</f>
        <v/>
      </c>
      <c r="AC127">
        <f>HYPERLINK("https://klasma.github.io/Logging_0482/tillsyn/A 6982-2024 tillsynsbegäran.docx", "A 6982-2024")</f>
        <v/>
      </c>
      <c r="AD127">
        <f>HYPERLINK("https://klasma.github.io/Logging_0482/tillsynsmail/A 6982-2024 tillsynsbegäran mail.docx", "A 6982-2024")</f>
        <v/>
      </c>
    </row>
    <row r="128" ht="15" customHeight="1">
      <c r="A128" t="inlineStr">
        <is>
          <t>A 53339-2023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46291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53339-2023 artfynd.xlsx", "A 53339-2023")</f>
        <v/>
      </c>
      <c r="X128">
        <f>HYPERLINK("https://klasma.github.io/Logging_0482/kartor/A 53339-2023 karta.png", "A 53339-2023")</f>
        <v/>
      </c>
      <c r="Y128">
        <f>HYPERLINK("https://klasma.github.io/Logging_0482/kartor_geotiff/A 53339-2023 georefererad karta.tif", "A 53339-2023")</f>
        <v/>
      </c>
      <c r="AA128">
        <f>HYPERLINK("https://klasma.github.io/Logging_0482/klagomål/A 53339-2023 FSC-klagomål.docx", "A 53339-2023")</f>
        <v/>
      </c>
      <c r="AB128">
        <f>HYPERLINK("https://klasma.github.io/Logging_0482/klagomålsmail/A 53339-2023 FSC-klagomål mail.docx", "A 53339-2023")</f>
        <v/>
      </c>
      <c r="AC128">
        <f>HYPERLINK("https://klasma.github.io/Logging_0482/tillsyn/A 53339-2023 tillsynsbegäran.docx", "A 53339-2023")</f>
        <v/>
      </c>
      <c r="AD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46291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46291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46291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46291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66230-2021 artfynd.xlsx", "A 66230-2021")</f>
        <v/>
      </c>
      <c r="X132">
        <f>HYPERLINK("https://klasma.github.io/Logging_0482/kartor/A 66230-2021 karta.png", "A 66230-2021")</f>
        <v/>
      </c>
      <c r="Y132">
        <f>HYPERLINK("https://klasma.github.io/Logging_0482/kartor_geotiff/A 66230-2021 georefererad karta.tif", "A 66230-2021")</f>
        <v/>
      </c>
      <c r="AA132">
        <f>HYPERLINK("https://klasma.github.io/Logging_0482/klagomål/A 66230-2021 FSC-klagomål.docx", "A 66230-2021")</f>
        <v/>
      </c>
      <c r="AB132">
        <f>HYPERLINK("https://klasma.github.io/Logging_0482/klagomålsmail/A 66230-2021 FSC-klagomål mail.docx", "A 66230-2021")</f>
        <v/>
      </c>
      <c r="AC132">
        <f>HYPERLINK("https://klasma.github.io/Logging_0482/tillsyn/A 66230-2021 tillsynsbegäran.docx", "A 66230-2021")</f>
        <v/>
      </c>
      <c r="AD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46291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46291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46291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46291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Mörk dunört</t>
        </is>
      </c>
      <c r="W136">
        <f>HYPERLINK("https://klasma.github.io/Logging_0482/artfynd/A 34823-2023 artfynd.xlsx", "A 34823-2023")</f>
        <v/>
      </c>
      <c r="X136">
        <f>HYPERLINK("https://klasma.github.io/Logging_0482/kartor/A 34823-2023 karta.png", "A 34823-2023")</f>
        <v/>
      </c>
      <c r="Y136">
        <f>HYPERLINK("https://klasma.github.io/Logging_0482/kartor_geotiff/A 34823-2023 georefererad karta.tif", "A 34823-2023")</f>
        <v/>
      </c>
      <c r="AA136">
        <f>HYPERLINK("https://klasma.github.io/Logging_0482/klagomål/A 34823-2023 FSC-klagomål.docx", "A 34823-2023")</f>
        <v/>
      </c>
      <c r="AB136">
        <f>HYPERLINK("https://klasma.github.io/Logging_0482/klagomålsmail/A 34823-2023 FSC-klagomål mail.docx", "A 34823-2023")</f>
        <v/>
      </c>
      <c r="AC136">
        <f>HYPERLINK("https://klasma.github.io/Logging_0482/tillsyn/A 34823-2023 tillsynsbegäran.docx", "A 34823-2023")</f>
        <v/>
      </c>
      <c r="AD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46291</v>
      </c>
      <c r="F137" t="inlineStr">
        <is>
          <t>SÖDERMANLANDS LÄN</t>
        </is>
      </c>
      <c r="G137" t="inlineStr">
        <is>
          <t>FLEN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Skarp dropptaggsvamp</t>
        </is>
      </c>
      <c r="W137">
        <f>HYPERLINK("https://klasma.github.io/Logging_0482/artfynd/A 60529-2024 artfynd.xlsx", "A 60529-2024")</f>
        <v/>
      </c>
      <c r="X137">
        <f>HYPERLINK("https://klasma.github.io/Logging_0482/kartor/A 60529-2024 karta.png", "A 60529-2024")</f>
        <v/>
      </c>
      <c r="Y137">
        <f>HYPERLINK("https://klasma.github.io/Logging_0482/kartor_geotiff/A 60529-2024 georefererad karta.tif", "A 60529-2024")</f>
        <v/>
      </c>
      <c r="AA137">
        <f>HYPERLINK("https://klasma.github.io/Logging_0482/klagomål/A 60529-2024 FSC-klagomål.docx", "A 60529-2024")</f>
        <v/>
      </c>
      <c r="AB137">
        <f>HYPERLINK("https://klasma.github.io/Logging_0482/klagomålsmail/A 60529-2024 FSC-klagomål mail.docx", "A 60529-2024")</f>
        <v/>
      </c>
      <c r="AC137">
        <f>HYPERLINK("https://klasma.github.io/Logging_0482/tillsyn/A 60529-2024 tillsynsbegäran.docx", "A 60529-2024")</f>
        <v/>
      </c>
      <c r="AD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46291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46291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37283-2024 artfynd.xlsx", "A 37283-2024")</f>
        <v/>
      </c>
      <c r="X139">
        <f>HYPERLINK("https://klasma.github.io/Logging_0482/kartor/A 37283-2024 karta.png", "A 37283-2024")</f>
        <v/>
      </c>
      <c r="Y139">
        <f>HYPERLINK("https://klasma.github.io/Logging_0482/kartor_geotiff/A 37283-2024 georefererad karta.tif", "A 37283-2024")</f>
        <v/>
      </c>
      <c r="AA139">
        <f>HYPERLINK("https://klasma.github.io/Logging_0482/klagomål/A 37283-2024 FSC-klagomål.docx", "A 37283-2024")</f>
        <v/>
      </c>
      <c r="AB139">
        <f>HYPERLINK("https://klasma.github.io/Logging_0482/klagomålsmail/A 37283-2024 FSC-klagomål mail.docx", "A 37283-2024")</f>
        <v/>
      </c>
      <c r="AC139">
        <f>HYPERLINK("https://klasma.github.io/Logging_0482/tillsyn/A 37283-2024 tillsynsbegäran.docx", "A 37283-2024")</f>
        <v/>
      </c>
      <c r="AD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46291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46291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43008-2023 artfynd.xlsx", "A 43008-2023")</f>
        <v/>
      </c>
      <c r="X141">
        <f>HYPERLINK("https://klasma.github.io/Logging_0482/kartor/A 43008-2023 karta.png", "A 43008-2023")</f>
        <v/>
      </c>
      <c r="Y141">
        <f>HYPERLINK("https://klasma.github.io/Logging_0482/kartor_geotiff/A 43008-2023 georefererad karta.tif", "A 43008-2023")</f>
        <v/>
      </c>
      <c r="AA141">
        <f>HYPERLINK("https://klasma.github.io/Logging_0482/klagomål/A 43008-2023 FSC-klagomål.docx", "A 43008-2023")</f>
        <v/>
      </c>
      <c r="AB141">
        <f>HYPERLINK("https://klasma.github.io/Logging_0482/klagomålsmail/A 43008-2023 FSC-klagomål mail.docx", "A 43008-2023")</f>
        <v/>
      </c>
      <c r="AC141">
        <f>HYPERLINK("https://klasma.github.io/Logging_0482/tillsyn/A 43008-2023 tillsynsbegäran.docx", "A 43008-2023")</f>
        <v/>
      </c>
      <c r="AD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37317-2023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45156</v>
      </c>
      <c r="E142" s="1" t="n">
        <v>46291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5.1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Svavelriska</t>
        </is>
      </c>
      <c r="W142">
        <f>HYPERLINK("https://klasma.github.io/Logging_0482/artfynd/A 37317-2023 artfynd.xlsx", "A 37317-2023")</f>
        <v/>
      </c>
      <c r="X142">
        <f>HYPERLINK("https://klasma.github.io/Logging_0482/kartor/A 37317-2023 karta.png", "A 37317-2023")</f>
        <v/>
      </c>
      <c r="Y142">
        <f>HYPERLINK("https://klasma.github.io/Logging_0482/kartor_geotiff/A 37317-2023 georefererad karta.tif", "A 37317-2023")</f>
        <v/>
      </c>
      <c r="AA142">
        <f>HYPERLINK("https://klasma.github.io/Logging_0482/klagomål/A 37317-2023 FSC-klagomål.docx", "A 37317-2023")</f>
        <v/>
      </c>
      <c r="AB142">
        <f>HYPERLINK("https://klasma.github.io/Logging_0482/klagomålsmail/A 37317-2023 FSC-klagomål mail.docx", "A 37317-2023")</f>
        <v/>
      </c>
      <c r="AC142">
        <f>HYPERLINK("https://klasma.github.io/Logging_0482/tillsyn/A 37317-2023 tillsynsbegäran.docx", "A 37317-2023")</f>
        <v/>
      </c>
      <c r="AD142">
        <f>HYPERLINK("https://klasma.github.io/Logging_0482/tillsynsmail/A 37317-2023 tillsynsbegäran mail.docx", "A 37317-2023")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46291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56308-2024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46291</v>
      </c>
      <c r="F144" t="inlineStr">
        <is>
          <t>SÖDERMANLANDS LÄN</t>
        </is>
      </c>
      <c r="G144" t="inlineStr">
        <is>
          <t>FLEN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56308-2024 artfynd.xlsx", "A 56308-2024")</f>
        <v/>
      </c>
      <c r="X144">
        <f>HYPERLINK("https://klasma.github.io/Logging_0482/kartor/A 56308-2024 karta.png", "A 56308-2024")</f>
        <v/>
      </c>
      <c r="Y144">
        <f>HYPERLINK("https://klasma.github.io/Logging_0482/kartor_geotiff/A 56308-2024 georefererad karta.tif", "A 56308-2024")</f>
        <v/>
      </c>
      <c r="AA144">
        <f>HYPERLINK("https://klasma.github.io/Logging_0482/klagomål/A 56308-2024 FSC-klagomål.docx", "A 56308-2024")</f>
        <v/>
      </c>
      <c r="AB144">
        <f>HYPERLINK("https://klasma.github.io/Logging_0482/klagomålsmail/A 56308-2024 FSC-klagomål mail.docx", "A 56308-2024")</f>
        <v/>
      </c>
      <c r="AC144">
        <f>HYPERLINK("https://klasma.github.io/Logging_0482/tillsyn/A 56308-2024 tillsynsbegäran.docx", "A 56308-2024")</f>
        <v/>
      </c>
      <c r="AD144">
        <f>HYPERLINK("https://klasma.github.io/Logging_0482/tillsynsmail/A 56308-2024 tillsynsbegäran mail.docx", "A 56308-2024")</f>
        <v/>
      </c>
    </row>
    <row r="145" ht="15" customHeight="1">
      <c r="A145" t="inlineStr">
        <is>
          <t>A 62223-2021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46291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46291</v>
      </c>
      <c r="F146" t="inlineStr">
        <is>
          <t>SÖDERMANLANDS LÄN</t>
        </is>
      </c>
      <c r="G146" t="inlineStr">
        <is>
          <t>FLEN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70701-2021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44536</v>
      </c>
      <c r="E147" s="1" t="n">
        <v>46291</v>
      </c>
      <c r="F147" t="inlineStr">
        <is>
          <t>SÖDERMANLANDS LÄN</t>
        </is>
      </c>
      <c r="G147" t="inlineStr">
        <is>
          <t>FLEN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46291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70215-2021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44535</v>
      </c>
      <c r="E149" s="1" t="n">
        <v>46291</v>
      </c>
      <c r="F149" t="inlineStr">
        <is>
          <t>SÖDERMANLANDS LÄN</t>
        </is>
      </c>
      <c r="G149" t="inlineStr">
        <is>
          <t>FLEN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46291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46291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46291</v>
      </c>
      <c r="F152" t="inlineStr">
        <is>
          <t>SÖDERMANLANDS LÄN</t>
        </is>
      </c>
      <c r="G152" t="inlineStr">
        <is>
          <t>FLEN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46291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46291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46291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46291</v>
      </c>
      <c r="F156" t="inlineStr">
        <is>
          <t>SÖDERMANLANDS LÄN</t>
        </is>
      </c>
      <c r="G156" t="inlineStr">
        <is>
          <t>FLEN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46291</v>
      </c>
      <c r="F157" t="inlineStr">
        <is>
          <t>SÖDERMANLANDS LÄN</t>
        </is>
      </c>
      <c r="G157" t="inlineStr">
        <is>
          <t>FLEN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46291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46291</v>
      </c>
      <c r="F159" t="inlineStr">
        <is>
          <t>SÖDERMANLANDS LÄN</t>
        </is>
      </c>
      <c r="G159" t="inlineStr">
        <is>
          <t>FLEN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46291</v>
      </c>
      <c r="F160" t="inlineStr">
        <is>
          <t>SÖDERMANLANDS LÄN</t>
        </is>
      </c>
      <c r="G160" t="inlineStr">
        <is>
          <t>FLEN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44807</v>
      </c>
      <c r="E161" s="1" t="n">
        <v>46291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46291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46291</v>
      </c>
      <c r="F163" t="inlineStr">
        <is>
          <t>SÖDERMANLANDS LÄN</t>
        </is>
      </c>
      <c r="G163" t="inlineStr">
        <is>
          <t>FLEN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46291</v>
      </c>
      <c r="F164" t="inlineStr">
        <is>
          <t>SÖDERMANLANDS LÄN</t>
        </is>
      </c>
      <c r="G164" t="inlineStr">
        <is>
          <t>FLEN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46291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46291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46291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46291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46291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44643</v>
      </c>
      <c r="E170" s="1" t="n">
        <v>46291</v>
      </c>
      <c r="F170" t="inlineStr">
        <is>
          <t>SÖDERMANLANDS LÄN</t>
        </is>
      </c>
      <c r="G170" t="inlineStr">
        <is>
          <t>FLEN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46291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44778</v>
      </c>
      <c r="E172" s="1" t="n">
        <v>46291</v>
      </c>
      <c r="F172" t="inlineStr">
        <is>
          <t>SÖDERMANLANDS LÄN</t>
        </is>
      </c>
      <c r="G172" t="inlineStr">
        <is>
          <t>FLEN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46291</v>
      </c>
      <c r="F173" t="inlineStr">
        <is>
          <t>SÖDERMANLANDS LÄN</t>
        </is>
      </c>
      <c r="G173" t="inlineStr">
        <is>
          <t>FLEN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46291</v>
      </c>
      <c r="F174" t="inlineStr">
        <is>
          <t>SÖDERMANLANDS LÄN</t>
        </is>
      </c>
      <c r="G174" t="inlineStr">
        <is>
          <t>FLEN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46291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46291</v>
      </c>
      <c r="F176" t="inlineStr">
        <is>
          <t>SÖDERMANLANDS LÄN</t>
        </is>
      </c>
      <c r="G176" t="inlineStr">
        <is>
          <t>FLEN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46291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46291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46291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46291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46291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46291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46291</v>
      </c>
      <c r="F183" t="inlineStr">
        <is>
          <t>SÖDERMANLANDS LÄN</t>
        </is>
      </c>
      <c r="G183" t="inlineStr">
        <is>
          <t>FLEN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46291</v>
      </c>
      <c r="F184" t="inlineStr">
        <is>
          <t>SÖDERMANLANDS LÄN</t>
        </is>
      </c>
      <c r="G184" t="inlineStr">
        <is>
          <t>FLEN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46291</v>
      </c>
      <c r="F185" t="inlineStr">
        <is>
          <t>SÖDERMANLANDS LÄN</t>
        </is>
      </c>
      <c r="G185" t="inlineStr">
        <is>
          <t>FLEN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46291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46291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46291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46291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46291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46291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46291</v>
      </c>
      <c r="F192" t="inlineStr">
        <is>
          <t>SÖDERMANLANDS LÄN</t>
        </is>
      </c>
      <c r="G192" t="inlineStr">
        <is>
          <t>FLEN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46291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46291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46291</v>
      </c>
      <c r="F195" t="inlineStr">
        <is>
          <t>SÖDERMANLANDS LÄN</t>
        </is>
      </c>
      <c r="G195" t="inlineStr">
        <is>
          <t>FLEN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45358</v>
      </c>
      <c r="E196" s="1" t="n">
        <v>46291</v>
      </c>
      <c r="F196" t="inlineStr">
        <is>
          <t>SÖDERMANLANDS LÄN</t>
        </is>
      </c>
      <c r="G196" t="inlineStr">
        <is>
          <t>FLEN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46291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46291</v>
      </c>
      <c r="F198" t="inlineStr">
        <is>
          <t>SÖDERMANLANDS LÄN</t>
        </is>
      </c>
      <c r="G198" t="inlineStr">
        <is>
          <t>FLEN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46291</v>
      </c>
      <c r="F199" t="inlineStr">
        <is>
          <t>SÖDERMANLANDS LÄN</t>
        </is>
      </c>
      <c r="G199" t="inlineStr">
        <is>
          <t>FLEN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46291</v>
      </c>
      <c r="F200" t="inlineStr">
        <is>
          <t>SÖDERMANLANDS LÄN</t>
        </is>
      </c>
      <c r="G200" t="inlineStr">
        <is>
          <t>FLEN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45398</v>
      </c>
      <c r="E201" s="1" t="n">
        <v>46291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46291</v>
      </c>
      <c r="F202" t="inlineStr">
        <is>
          <t>SÖDERMANLANDS LÄN</t>
        </is>
      </c>
      <c r="G202" t="inlineStr">
        <is>
          <t>FLEN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46291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46291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46291</v>
      </c>
      <c r="F205" t="inlineStr">
        <is>
          <t>SÖDERMANLANDS LÄN</t>
        </is>
      </c>
      <c r="G205" t="inlineStr">
        <is>
          <t>FLEN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46291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46291</v>
      </c>
      <c r="F207" t="inlineStr">
        <is>
          <t>SÖDERMANLANDS LÄN</t>
        </is>
      </c>
      <c r="G207" t="inlineStr">
        <is>
          <t>FLEN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44887</v>
      </c>
      <c r="E208" s="1" t="n">
        <v>46291</v>
      </c>
      <c r="F208" t="inlineStr">
        <is>
          <t>SÖDERMANLANDS LÄN</t>
        </is>
      </c>
      <c r="G208" t="inlineStr">
        <is>
          <t>FLEN</t>
        </is>
      </c>
      <c r="I208" t="n">
        <v>11.3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46291</v>
      </c>
      <c r="F209" t="inlineStr">
        <is>
          <t>SÖDERMANLANDS LÄN</t>
        </is>
      </c>
      <c r="G209" t="inlineStr">
        <is>
          <t>FLEN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46291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46291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46291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45256</v>
      </c>
      <c r="E213" s="1" t="n">
        <v>46291</v>
      </c>
      <c r="F213" t="inlineStr">
        <is>
          <t>SÖDERMANLANDS LÄN</t>
        </is>
      </c>
      <c r="G213" t="inlineStr">
        <is>
          <t>FLEN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46291</v>
      </c>
      <c r="F214" t="inlineStr">
        <is>
          <t>SÖDERMANLANDS LÄN</t>
        </is>
      </c>
      <c r="G214" t="inlineStr">
        <is>
          <t>FLEN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46291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46291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46291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46291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46291</v>
      </c>
      <c r="F219" t="inlineStr">
        <is>
          <t>SÖDERMANLANDS LÄN</t>
        </is>
      </c>
      <c r="G219" t="inlineStr">
        <is>
          <t>FLEN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46291</v>
      </c>
      <c r="F220" t="inlineStr">
        <is>
          <t>SÖDERMANLANDS LÄN</t>
        </is>
      </c>
      <c r="G220" t="inlineStr">
        <is>
          <t>FLEN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46291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45478</v>
      </c>
      <c r="E222" s="1" t="n">
        <v>46291</v>
      </c>
      <c r="F222" t="inlineStr">
        <is>
          <t>SÖDERMANLANDS LÄN</t>
        </is>
      </c>
      <c r="G222" t="inlineStr">
        <is>
          <t>FLEN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46291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45702</v>
      </c>
      <c r="E224" s="1" t="n">
        <v>46291</v>
      </c>
      <c r="F224" t="inlineStr">
        <is>
          <t>SÖDERMANLANDS LÄN</t>
        </is>
      </c>
      <c r="G224" t="inlineStr">
        <is>
          <t>FLEN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46291</v>
      </c>
      <c r="F225" t="inlineStr">
        <is>
          <t>SÖDERMANLANDS LÄN</t>
        </is>
      </c>
      <c r="G225" t="inlineStr">
        <is>
          <t>FLEN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46291</v>
      </c>
      <c r="F226" t="inlineStr">
        <is>
          <t>SÖDERMANLANDS LÄN</t>
        </is>
      </c>
      <c r="G226" t="inlineStr">
        <is>
          <t>FLEN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46291</v>
      </c>
      <c r="F227" t="inlineStr">
        <is>
          <t>SÖDERMANLANDS LÄN</t>
        </is>
      </c>
      <c r="G227" t="inlineStr">
        <is>
          <t>FLEN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46291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46291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46291</v>
      </c>
      <c r="F230" t="inlineStr">
        <is>
          <t>SÖDERMANLANDS LÄN</t>
        </is>
      </c>
      <c r="G230" t="inlineStr">
        <is>
          <t>FLEN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46291</v>
      </c>
      <c r="F231" t="inlineStr">
        <is>
          <t>SÖDERMANLANDS LÄN</t>
        </is>
      </c>
      <c r="G231" t="inlineStr">
        <is>
          <t>FLEN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46291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45280</v>
      </c>
      <c r="E233" s="1" t="n">
        <v>46291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46291</v>
      </c>
      <c r="F234" t="inlineStr">
        <is>
          <t>SÖDERMANLANDS LÄN</t>
        </is>
      </c>
      <c r="G234" t="inlineStr">
        <is>
          <t>FLEN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46291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46291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46291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44616</v>
      </c>
      <c r="E238" s="1" t="n">
        <v>46291</v>
      </c>
      <c r="F238" t="inlineStr">
        <is>
          <t>SÖDERMANLANDS LÄN</t>
        </is>
      </c>
      <c r="G238" t="inlineStr">
        <is>
          <t>FLEN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45014</v>
      </c>
      <c r="E239" s="1" t="n">
        <v>46291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46291</v>
      </c>
      <c r="F240" t="inlineStr">
        <is>
          <t>SÖDERMANLANDS LÄN</t>
        </is>
      </c>
      <c r="G240" t="inlineStr">
        <is>
          <t>FLEN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46291</v>
      </c>
      <c r="F241" t="inlineStr">
        <is>
          <t>SÖDERMANLANDS LÄN</t>
        </is>
      </c>
      <c r="G241" t="inlineStr">
        <is>
          <t>FLEN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44588</v>
      </c>
      <c r="E242" s="1" t="n">
        <v>46291</v>
      </c>
      <c r="F242" t="inlineStr">
        <is>
          <t>SÖDERMANLANDS LÄN</t>
        </is>
      </c>
      <c r="G242" t="inlineStr">
        <is>
          <t>FLEN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44838</v>
      </c>
      <c r="E243" s="1" t="n">
        <v>46291</v>
      </c>
      <c r="F243" t="inlineStr">
        <is>
          <t>SÖDERMANLANDS LÄN</t>
        </is>
      </c>
      <c r="G243" t="inlineStr">
        <is>
          <t>FLEN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44958</v>
      </c>
      <c r="E244" s="1" t="n">
        <v>46291</v>
      </c>
      <c r="F244" t="inlineStr">
        <is>
          <t>SÖDERMANLANDS LÄN</t>
        </is>
      </c>
      <c r="G244" t="inlineStr">
        <is>
          <t>FLEN</t>
        </is>
      </c>
      <c r="H244" t="inlineStr">
        <is>
          <t>Kyrkan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46291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46291</v>
      </c>
      <c r="F246" t="inlineStr">
        <is>
          <t>SÖDERMANLANDS LÄN</t>
        </is>
      </c>
      <c r="G246" t="inlineStr">
        <is>
          <t>FLEN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46291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46291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46291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46291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46291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46291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46291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46291</v>
      </c>
      <c r="F254" t="inlineStr">
        <is>
          <t>SÖDERMANLANDS LÄN</t>
        </is>
      </c>
      <c r="G254" t="inlineStr">
        <is>
          <t>FLEN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46291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46291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46291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46291</v>
      </c>
      <c r="F258" t="inlineStr">
        <is>
          <t>SÖDERMANLANDS LÄN</t>
        </is>
      </c>
      <c r="G258" t="inlineStr">
        <is>
          <t>FLEN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46291</v>
      </c>
      <c r="F259" t="inlineStr">
        <is>
          <t>SÖDERMANLANDS LÄN</t>
        </is>
      </c>
      <c r="G259" t="inlineStr">
        <is>
          <t>FLEN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46291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46291</v>
      </c>
      <c r="F261" t="inlineStr">
        <is>
          <t>SÖDERMANLANDS LÄN</t>
        </is>
      </c>
      <c r="G261" t="inlineStr">
        <is>
          <t>FLEN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59258-2022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46291</v>
      </c>
      <c r="F262" t="inlineStr">
        <is>
          <t>SÖDERMANLANDS LÄN</t>
        </is>
      </c>
      <c r="G262" t="inlineStr">
        <is>
          <t>FLEN</t>
        </is>
      </c>
      <c r="H262" t="inlineStr">
        <is>
          <t>Övriga statliga verk och myndigheter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46291</v>
      </c>
      <c r="F263" t="inlineStr">
        <is>
          <t>SÖDERMANLANDS LÄN</t>
        </is>
      </c>
      <c r="G263" t="inlineStr">
        <is>
          <t>FLEN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46291</v>
      </c>
      <c r="F264" t="inlineStr">
        <is>
          <t>SÖDERMANLANDS LÄN</t>
        </is>
      </c>
      <c r="G264" t="inlineStr">
        <is>
          <t>FLEN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46291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46291</v>
      </c>
      <c r="F266" t="inlineStr">
        <is>
          <t>SÖDERMANLANDS LÄN</t>
        </is>
      </c>
      <c r="G266" t="inlineStr">
        <is>
          <t>FLEN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46291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46291</v>
      </c>
      <c r="F268" t="inlineStr">
        <is>
          <t>SÖDERMANLANDS LÄN</t>
        </is>
      </c>
      <c r="G268" t="inlineStr">
        <is>
          <t>FLEN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45448</v>
      </c>
      <c r="E269" s="1" t="n">
        <v>46291</v>
      </c>
      <c r="F269" t="inlineStr">
        <is>
          <t>SÖDERMANLANDS LÄN</t>
        </is>
      </c>
      <c r="G269" t="inlineStr">
        <is>
          <t>FLEN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46291</v>
      </c>
      <c r="F270" t="inlineStr">
        <is>
          <t>SÖDERMANLANDS LÄN</t>
        </is>
      </c>
      <c r="G270" t="inlineStr">
        <is>
          <t>FLEN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46291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46291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45684</v>
      </c>
      <c r="E273" s="1" t="n">
        <v>46291</v>
      </c>
      <c r="F273" t="inlineStr">
        <is>
          <t>SÖDERMANLANDS LÄN</t>
        </is>
      </c>
      <c r="G273" t="inlineStr">
        <is>
          <t>FLEN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46291</v>
      </c>
      <c r="F274" t="inlineStr">
        <is>
          <t>SÖDERMANLANDS LÄN</t>
        </is>
      </c>
      <c r="G274" t="inlineStr">
        <is>
          <t>FLEN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46291</v>
      </c>
      <c r="F275" t="inlineStr">
        <is>
          <t>SÖDERMANLANDS LÄN</t>
        </is>
      </c>
      <c r="G275" t="inlineStr">
        <is>
          <t>FLEN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44911</v>
      </c>
      <c r="E276" s="1" t="n">
        <v>46291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45581</v>
      </c>
      <c r="E277" s="1" t="n">
        <v>46291</v>
      </c>
      <c r="F277" t="inlineStr">
        <is>
          <t>SÖDERMANLANDS LÄN</t>
        </is>
      </c>
      <c r="G277" t="inlineStr">
        <is>
          <t>FLEN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46291</v>
      </c>
      <c r="F278" t="inlineStr">
        <is>
          <t>SÖDERMANLANDS LÄN</t>
        </is>
      </c>
      <c r="G278" t="inlineStr">
        <is>
          <t>FLEN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46291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46291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45964</v>
      </c>
      <c r="E281" s="1" t="n">
        <v>46291</v>
      </c>
      <c r="F281" t="inlineStr">
        <is>
          <t>SÖDERMANLANDS LÄN</t>
        </is>
      </c>
      <c r="G281" t="inlineStr">
        <is>
          <t>FLEN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45964</v>
      </c>
      <c r="E282" s="1" t="n">
        <v>46291</v>
      </c>
      <c r="F282" t="inlineStr">
        <is>
          <t>SÖDERMANLANDS LÄN</t>
        </is>
      </c>
      <c r="G282" t="inlineStr">
        <is>
          <t>FLEN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46291</v>
      </c>
      <c r="F283" t="inlineStr">
        <is>
          <t>SÖDERMANLANDS LÄN</t>
        </is>
      </c>
      <c r="G283" t="inlineStr">
        <is>
          <t>FLEN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46291</v>
      </c>
      <c r="F284" t="inlineStr">
        <is>
          <t>SÖDERMANLANDS LÄN</t>
        </is>
      </c>
      <c r="G284" t="inlineStr">
        <is>
          <t>FLEN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46291</v>
      </c>
      <c r="F285" t="inlineStr">
        <is>
          <t>SÖDERMANLANDS LÄN</t>
        </is>
      </c>
      <c r="G285" t="inlineStr">
        <is>
          <t>FLEN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46291</v>
      </c>
      <c r="F286" t="inlineStr">
        <is>
          <t>SÖDERMANLANDS LÄN</t>
        </is>
      </c>
      <c r="G286" t="inlineStr">
        <is>
          <t>FLEN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46291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46291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46291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45974</v>
      </c>
      <c r="E290" s="1" t="n">
        <v>46291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46291</v>
      </c>
      <c r="F291" t="inlineStr">
        <is>
          <t>SÖDERMANLANDS LÄN</t>
        </is>
      </c>
      <c r="G291" t="inlineStr">
        <is>
          <t>FLEN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46291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46291</v>
      </c>
      <c r="F293" t="inlineStr">
        <is>
          <t>SÖDERMANLANDS LÄN</t>
        </is>
      </c>
      <c r="G293" t="inlineStr">
        <is>
          <t>FLEN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46291</v>
      </c>
      <c r="F294" t="inlineStr">
        <is>
          <t>SÖDERMANLANDS LÄN</t>
        </is>
      </c>
      <c r="G294" t="inlineStr">
        <is>
          <t>FLEN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46291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46291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46291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46134</v>
      </c>
      <c r="E298" s="1" t="n">
        <v>46291</v>
      </c>
      <c r="F298" t="inlineStr">
        <is>
          <t>SÖDERMANLANDS LÄN</t>
        </is>
      </c>
      <c r="G298" t="inlineStr">
        <is>
          <t>FLEN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46291</v>
      </c>
      <c r="F299" t="inlineStr">
        <is>
          <t>SÖDERMANLANDS LÄN</t>
        </is>
      </c>
      <c r="G299" t="inlineStr">
        <is>
          <t>FLEN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45805</v>
      </c>
      <c r="E300" s="1" t="n">
        <v>46291</v>
      </c>
      <c r="F300" t="inlineStr">
        <is>
          <t>SÖDERMANLANDS LÄN</t>
        </is>
      </c>
      <c r="G300" t="inlineStr">
        <is>
          <t>FLEN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45597</v>
      </c>
      <c r="E301" s="1" t="n">
        <v>46291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46291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46291</v>
      </c>
      <c r="F303" t="inlineStr">
        <is>
          <t>SÖDERMANLANDS LÄN</t>
        </is>
      </c>
      <c r="G303" t="inlineStr">
        <is>
          <t>FLEN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46291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46291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46291</v>
      </c>
      <c r="F306" t="inlineStr">
        <is>
          <t>SÖDERMANLANDS LÄN</t>
        </is>
      </c>
      <c r="G306" t="inlineStr">
        <is>
          <t>FLEN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46291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46291</v>
      </c>
      <c r="F308" t="inlineStr">
        <is>
          <t>SÖDERMANLANDS LÄN</t>
        </is>
      </c>
      <c r="G308" t="inlineStr">
        <is>
          <t>FLEN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46291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46291</v>
      </c>
      <c r="F310" t="inlineStr">
        <is>
          <t>SÖDERMANLANDS LÄN</t>
        </is>
      </c>
      <c r="G310" t="inlineStr">
        <is>
          <t>FLEN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46291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46291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46291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46291</v>
      </c>
      <c r="F314" t="inlineStr">
        <is>
          <t>SÖDERMANLANDS LÄN</t>
        </is>
      </c>
      <c r="G314" t="inlineStr">
        <is>
          <t>FLEN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46291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46291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46291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46291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45228</v>
      </c>
      <c r="E319" s="1" t="n">
        <v>46291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46291</v>
      </c>
      <c r="F320" t="inlineStr">
        <is>
          <t>SÖDERMANLANDS LÄN</t>
        </is>
      </c>
      <c r="G320" t="inlineStr">
        <is>
          <t>FLEN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46291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66867-2021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44522</v>
      </c>
      <c r="E322" s="1" t="n">
        <v>46291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46291</v>
      </c>
      <c r="F323" t="inlineStr">
        <is>
          <t>SÖDERMANLANDS LÄN</t>
        </is>
      </c>
      <c r="G323" t="inlineStr">
        <is>
          <t>FLEN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45048</v>
      </c>
      <c r="E324" s="1" t="n">
        <v>46291</v>
      </c>
      <c r="F324" t="inlineStr">
        <is>
          <t>SÖDERMANLANDS LÄN</t>
        </is>
      </c>
      <c r="G324" t="inlineStr">
        <is>
          <t>FLEN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46291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45007</v>
      </c>
      <c r="E326" s="1" t="n">
        <v>46291</v>
      </c>
      <c r="F326" t="inlineStr">
        <is>
          <t>SÖDERMANLANDS LÄN</t>
        </is>
      </c>
      <c r="G326" t="inlineStr">
        <is>
          <t>FLEN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46291</v>
      </c>
      <c r="F327" t="inlineStr">
        <is>
          <t>SÖDERMANLANDS LÄN</t>
        </is>
      </c>
      <c r="G327" t="inlineStr">
        <is>
          <t>FLEN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45082</v>
      </c>
      <c r="E328" s="1" t="n">
        <v>46291</v>
      </c>
      <c r="F328" t="inlineStr">
        <is>
          <t>SÖDERMANLANDS LÄN</t>
        </is>
      </c>
      <c r="G328" t="inlineStr">
        <is>
          <t>FLEN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44909</v>
      </c>
      <c r="E329" s="1" t="n">
        <v>46291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46291</v>
      </c>
      <c r="F330" t="inlineStr">
        <is>
          <t>SÖDERMANLANDS LÄN</t>
        </is>
      </c>
      <c r="G330" t="inlineStr">
        <is>
          <t>FLEN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45791</v>
      </c>
      <c r="E331" s="1" t="n">
        <v>46291</v>
      </c>
      <c r="F331" t="inlineStr">
        <is>
          <t>SÖDERMANLANDS LÄN</t>
        </is>
      </c>
      <c r="G331" t="inlineStr">
        <is>
          <t>FLEN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46291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44979</v>
      </c>
      <c r="E333" s="1" t="n">
        <v>46291</v>
      </c>
      <c r="F333" t="inlineStr">
        <is>
          <t>SÖDERMANLANDS LÄN</t>
        </is>
      </c>
      <c r="G333" t="inlineStr">
        <is>
          <t>FLEN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46291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44848</v>
      </c>
      <c r="E335" s="1" t="n">
        <v>46291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46291</v>
      </c>
      <c r="F336" t="inlineStr">
        <is>
          <t>SÖDERMANLANDS LÄN</t>
        </is>
      </c>
      <c r="G336" t="inlineStr">
        <is>
          <t>FLEN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46291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45830</v>
      </c>
      <c r="E338" s="1" t="n">
        <v>46291</v>
      </c>
      <c r="F338" t="inlineStr">
        <is>
          <t>SÖDERMANLANDS LÄN</t>
        </is>
      </c>
      <c r="G338" t="inlineStr">
        <is>
          <t>FLEN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44864</v>
      </c>
      <c r="E339" s="1" t="n">
        <v>46291</v>
      </c>
      <c r="F339" t="inlineStr">
        <is>
          <t>SÖDERMANLANDS LÄN</t>
        </is>
      </c>
      <c r="G339" t="inlineStr">
        <is>
          <t>FLEN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46291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46291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52692-2021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44466</v>
      </c>
      <c r="E342" s="1" t="n">
        <v>46291</v>
      </c>
      <c r="F342" t="inlineStr">
        <is>
          <t>SÖDERMANLANDS LÄN</t>
        </is>
      </c>
      <c r="G342" t="inlineStr">
        <is>
          <t>FLEN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46291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45224</v>
      </c>
      <c r="E344" s="1" t="n">
        <v>46291</v>
      </c>
      <c r="F344" t="inlineStr">
        <is>
          <t>SÖDERMANLANDS LÄN</t>
        </is>
      </c>
      <c r="G344" t="inlineStr">
        <is>
          <t>FLEN</t>
        </is>
      </c>
      <c r="H344" t="inlineStr">
        <is>
          <t>Kyrkan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46291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46291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46291</v>
      </c>
      <c r="F347" t="inlineStr">
        <is>
          <t>SÖDERMANLANDS LÄN</t>
        </is>
      </c>
      <c r="G347" t="inlineStr">
        <is>
          <t>FLEN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46291</v>
      </c>
      <c r="F348" t="inlineStr">
        <is>
          <t>SÖDERMANLANDS LÄN</t>
        </is>
      </c>
      <c r="G348" t="inlineStr">
        <is>
          <t>FLEN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46291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46291</v>
      </c>
      <c r="F350" t="inlineStr">
        <is>
          <t>SÖDERMANLANDS LÄN</t>
        </is>
      </c>
      <c r="G350" t="inlineStr">
        <is>
          <t>FLEN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46291</v>
      </c>
      <c r="F351" t="inlineStr">
        <is>
          <t>SÖDERMANLANDS LÄN</t>
        </is>
      </c>
      <c r="G351" t="inlineStr">
        <is>
          <t>FLEN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45081</v>
      </c>
      <c r="E352" s="1" t="n">
        <v>46291</v>
      </c>
      <c r="F352" t="inlineStr">
        <is>
          <t>SÖDERMANLANDS LÄN</t>
        </is>
      </c>
      <c r="G352" t="inlineStr">
        <is>
          <t>FLEN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45081</v>
      </c>
      <c r="E353" s="1" t="n">
        <v>46291</v>
      </c>
      <c r="F353" t="inlineStr">
        <is>
          <t>SÖDERMANLANDS LÄN</t>
        </is>
      </c>
      <c r="G353" t="inlineStr">
        <is>
          <t>FLEN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46291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46291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46291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45702</v>
      </c>
      <c r="E357" s="1" t="n">
        <v>46291</v>
      </c>
      <c r="F357" t="inlineStr">
        <is>
          <t>SÖDERMANLANDS LÄN</t>
        </is>
      </c>
      <c r="G357" t="inlineStr">
        <is>
          <t>FLEN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46291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46291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46291</v>
      </c>
      <c r="F360" t="inlineStr">
        <is>
          <t>SÖDERMANLANDS LÄN</t>
        </is>
      </c>
      <c r="G360" t="inlineStr">
        <is>
          <t>FLEN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46291</v>
      </c>
      <c r="F361" t="inlineStr">
        <is>
          <t>SÖDERMANLANDS LÄN</t>
        </is>
      </c>
      <c r="G361" t="inlineStr">
        <is>
          <t>FLEN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46291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46291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73923-2021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44553</v>
      </c>
      <c r="E364" s="1" t="n">
        <v>46291</v>
      </c>
      <c r="F364" t="inlineStr">
        <is>
          <t>SÖDERMANLANDS LÄN</t>
        </is>
      </c>
      <c r="G364" t="inlineStr">
        <is>
          <t>FLEN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46291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44909</v>
      </c>
      <c r="E366" s="1" t="n">
        <v>46291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46121</v>
      </c>
      <c r="E367" s="1" t="n">
        <v>46291</v>
      </c>
      <c r="F367" t="inlineStr">
        <is>
          <t>SÖDERMANLANDS LÄN</t>
        </is>
      </c>
      <c r="G367" t="inlineStr">
        <is>
          <t>FLEN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54781-2024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45618</v>
      </c>
      <c r="E368" s="1" t="n">
        <v>46291</v>
      </c>
      <c r="F368" t="inlineStr">
        <is>
          <t>SÖDERMANLANDS LÄN</t>
        </is>
      </c>
      <c r="G368" t="inlineStr">
        <is>
          <t>FLEN</t>
        </is>
      </c>
      <c r="I368" t="n">
        <v>10.3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46291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  <c r="Z369">
        <f>HYPERLINK("https://klasma.github.io/Logging_0482/knärot/A 24450-2026 karta knärot.png", "A 24450-2026")</f>
        <v/>
      </c>
      <c r="AA369">
        <f>HYPERLINK("https://klasma.github.io/Logging_0482/klagomål/A 24450-2026 FSC-klagomål.docx", "A 24450-2026")</f>
        <v/>
      </c>
      <c r="AB369">
        <f>HYPERLINK("https://klasma.github.io/Logging_0482/klagomålsmail/A 24450-2026 FSC-klagomål mail.docx", "A 24450-2026")</f>
        <v/>
      </c>
      <c r="AC369">
        <f>HYPERLINK("https://klasma.github.io/Logging_0482/tillsyn/A 24450-2026 tillsynsbegäran.docx", "A 24450-2026")</f>
        <v/>
      </c>
      <c r="AD369">
        <f>HYPERLINK("https://klasma.github.io/Logging_0482/tillsynsmail/A 24450-2026 tillsynsbegäran mail.docx", "A 24450-2026")</f>
        <v/>
      </c>
    </row>
    <row r="370" ht="15" customHeight="1">
      <c r="A370" t="inlineStr">
        <is>
          <t>A 58364-2023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46291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46291</v>
      </c>
      <c r="F371" t="inlineStr">
        <is>
          <t>SÖDERMANLANDS LÄN</t>
        </is>
      </c>
      <c r="G371" t="inlineStr">
        <is>
          <t>FLEN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46291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47872-2025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45932</v>
      </c>
      <c r="E373" s="1" t="n">
        <v>46291</v>
      </c>
      <c r="F373" t="inlineStr">
        <is>
          <t>SÖDERMANLANDS LÄN</t>
        </is>
      </c>
      <c r="G373" t="inlineStr">
        <is>
          <t>FLEN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46291</v>
      </c>
      <c r="F374" t="inlineStr">
        <is>
          <t>SÖDERMANLANDS LÄN</t>
        </is>
      </c>
      <c r="G374" t="inlineStr">
        <is>
          <t>FLEN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46291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46291</v>
      </c>
      <c r="F376" t="inlineStr">
        <is>
          <t>SÖDERMANLANDS LÄN</t>
        </is>
      </c>
      <c r="G376" t="inlineStr">
        <is>
          <t>FLEN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46291</v>
      </c>
      <c r="F377" t="inlineStr">
        <is>
          <t>SÖDERMANLANDS LÄN</t>
        </is>
      </c>
      <c r="G377" t="inlineStr">
        <is>
          <t>FLEN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44473</v>
      </c>
      <c r="E378" s="1" t="n">
        <v>46291</v>
      </c>
      <c r="F378" t="inlineStr">
        <is>
          <t>SÖDERMANLANDS LÄN</t>
        </is>
      </c>
      <c r="G378" t="inlineStr">
        <is>
          <t>FLEN</t>
        </is>
      </c>
      <c r="I378" t="n">
        <v>10.1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46291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46291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44957</v>
      </c>
      <c r="E381" s="1" t="n">
        <v>46291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44614</v>
      </c>
      <c r="E382" s="1" t="n">
        <v>46291</v>
      </c>
      <c r="F382" t="inlineStr">
        <is>
          <t>SÖDERMANLANDS LÄN</t>
        </is>
      </c>
      <c r="G382" t="inlineStr">
        <is>
          <t>FLEN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46291</v>
      </c>
      <c r="F383" t="inlineStr">
        <is>
          <t>SÖDERMANLANDS LÄN</t>
        </is>
      </c>
      <c r="G383" t="inlineStr">
        <is>
          <t>FLEN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45528</v>
      </c>
      <c r="E384" s="1" t="n">
        <v>46291</v>
      </c>
      <c r="F384" t="inlineStr">
        <is>
          <t>SÖDERMANLANDS LÄN</t>
        </is>
      </c>
      <c r="G384" t="inlineStr">
        <is>
          <t>FLEN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46291</v>
      </c>
      <c r="F385" t="inlineStr">
        <is>
          <t>SÖDERMANLANDS LÄN</t>
        </is>
      </c>
      <c r="G385" t="inlineStr">
        <is>
          <t>FLEN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46291</v>
      </c>
      <c r="F386" t="inlineStr">
        <is>
          <t>SÖDERMANLANDS LÄN</t>
        </is>
      </c>
      <c r="G386" t="inlineStr">
        <is>
          <t>FLEN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46291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46291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44544</v>
      </c>
      <c r="E389" s="1" t="n">
        <v>46291</v>
      </c>
      <c r="F389" t="inlineStr">
        <is>
          <t>SÖDERMANLANDS LÄN</t>
        </is>
      </c>
      <c r="G389" t="inlineStr">
        <is>
          <t>FLEN</t>
        </is>
      </c>
      <c r="I389" t="n">
        <v>13.8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46291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46291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46291</v>
      </c>
      <c r="F392" t="inlineStr">
        <is>
          <t>SÖDERMANLANDS LÄN</t>
        </is>
      </c>
      <c r="G392" t="inlineStr">
        <is>
          <t>FLEN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46291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46291</v>
      </c>
      <c r="F394" t="inlineStr">
        <is>
          <t>SÖDERMANLANDS LÄN</t>
        </is>
      </c>
      <c r="G394" t="inlineStr">
        <is>
          <t>FLEN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46291</v>
      </c>
      <c r="F395" t="inlineStr">
        <is>
          <t>SÖDERMANLANDS LÄN</t>
        </is>
      </c>
      <c r="G395" t="inlineStr">
        <is>
          <t>FLEN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46291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27304-2026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46291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46291</v>
      </c>
      <c r="F398" t="inlineStr">
        <is>
          <t>SÖDERMANLANDS LÄN</t>
        </is>
      </c>
      <c r="G398" t="inlineStr">
        <is>
          <t>FLEN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46291</v>
      </c>
      <c r="F399" t="inlineStr">
        <is>
          <t>SÖDERMANLANDS LÄN</t>
        </is>
      </c>
      <c r="G399" t="inlineStr">
        <is>
          <t>FLEN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46291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46196</v>
      </c>
      <c r="E401" s="1" t="n">
        <v>46291</v>
      </c>
      <c r="F401" t="inlineStr">
        <is>
          <t>SÖDERMANLANDS LÄN</t>
        </is>
      </c>
      <c r="G401" t="inlineStr">
        <is>
          <t>FLEN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44610</v>
      </c>
      <c r="E402" s="1" t="n">
        <v>46291</v>
      </c>
      <c r="F402" t="inlineStr">
        <is>
          <t>SÖDERMANLANDS LÄN</t>
        </is>
      </c>
      <c r="G402" t="inlineStr">
        <is>
          <t>FLEN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46291</v>
      </c>
      <c r="F403" t="inlineStr">
        <is>
          <t>SÖDERMANLANDS LÄN</t>
        </is>
      </c>
      <c r="G403" t="inlineStr">
        <is>
          <t>FLEN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44602</v>
      </c>
      <c r="E404" s="1" t="n">
        <v>46291</v>
      </c>
      <c r="F404" t="inlineStr">
        <is>
          <t>SÖDERMANLANDS LÄN</t>
        </is>
      </c>
      <c r="G404" t="inlineStr">
        <is>
          <t>FLEN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46291</v>
      </c>
      <c r="F405" t="inlineStr">
        <is>
          <t>SÖDERMANLANDS LÄN</t>
        </is>
      </c>
      <c r="G405" t="inlineStr">
        <is>
          <t>FLEN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46291</v>
      </c>
      <c r="F406" t="inlineStr">
        <is>
          <t>SÖDERMANLANDS LÄN</t>
        </is>
      </c>
      <c r="G406" t="inlineStr">
        <is>
          <t>FLEN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46291</v>
      </c>
      <c r="F407" t="inlineStr">
        <is>
          <t>SÖDERMANLANDS LÄN</t>
        </is>
      </c>
      <c r="G407" t="inlineStr">
        <is>
          <t>FLEN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46291</v>
      </c>
      <c r="F408" t="inlineStr">
        <is>
          <t>SÖDERMANLANDS LÄN</t>
        </is>
      </c>
      <c r="G408" t="inlineStr">
        <is>
          <t>FLEN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46291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46291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33936-2026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46250</v>
      </c>
      <c r="E411" s="1" t="n">
        <v>46291</v>
      </c>
      <c r="F411" t="inlineStr">
        <is>
          <t>SÖDERMANLANDS LÄN</t>
        </is>
      </c>
      <c r="G411" t="inlineStr">
        <is>
          <t>FLEN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46291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46291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44531</v>
      </c>
      <c r="E414" s="1" t="n">
        <v>46291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46291</v>
      </c>
      <c r="F415" t="inlineStr">
        <is>
          <t>SÖDERMANLANDS LÄN</t>
        </is>
      </c>
      <c r="G415" t="inlineStr">
        <is>
          <t>FLEN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46291</v>
      </c>
      <c r="F416" t="inlineStr">
        <is>
          <t>SÖDERMANLANDS LÄN</t>
        </is>
      </c>
      <c r="G416" t="inlineStr">
        <is>
          <t>FLEN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46291</v>
      </c>
      <c r="F417" t="inlineStr">
        <is>
          <t>SÖDERMANLANDS LÄN</t>
        </is>
      </c>
      <c r="G417" t="inlineStr">
        <is>
          <t>FLEN</t>
        </is>
      </c>
      <c r="H417" t="inlineStr">
        <is>
          <t>Övriga statliga verk och myndigheter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46258</v>
      </c>
      <c r="E418" s="1" t="n">
        <v>46291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46258</v>
      </c>
      <c r="E419" s="1" t="n">
        <v>46291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46291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46291</v>
      </c>
      <c r="F421" t="inlineStr">
        <is>
          <t>SÖDERMANLANDS LÄN</t>
        </is>
      </c>
      <c r="G421" t="inlineStr">
        <is>
          <t>FLEN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46291</v>
      </c>
      <c r="F422" t="inlineStr">
        <is>
          <t>SÖDERMANLANDS LÄN</t>
        </is>
      </c>
      <c r="G422" t="inlineStr">
        <is>
          <t>FLEN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8903-2022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46291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44676</v>
      </c>
      <c r="E424" s="1" t="n">
        <v>46291</v>
      </c>
      <c r="F424" t="inlineStr">
        <is>
          <t>SÖDERMANLANDS LÄN</t>
        </is>
      </c>
      <c r="G424" t="inlineStr">
        <is>
          <t>FLEN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45454</v>
      </c>
      <c r="E425" s="1" t="n">
        <v>46291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46291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44785</v>
      </c>
      <c r="E427" s="1" t="n">
        <v>46291</v>
      </c>
      <c r="F427" t="inlineStr">
        <is>
          <t>SÖDERMANLANDS LÄN</t>
        </is>
      </c>
      <c r="G427" t="inlineStr">
        <is>
          <t>FLEN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46291</v>
      </c>
      <c r="F428" t="inlineStr">
        <is>
          <t>SÖDERMANLANDS LÄN</t>
        </is>
      </c>
      <c r="G428" t="inlineStr">
        <is>
          <t>FLEN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46401-2022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46291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46252</v>
      </c>
      <c r="E430" s="1" t="n">
        <v>46291</v>
      </c>
      <c r="F430" t="inlineStr">
        <is>
          <t>SÖDERMANLANDS LÄN</t>
        </is>
      </c>
      <c r="G430" t="inlineStr">
        <is>
          <t>FLEN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46252</v>
      </c>
      <c r="E431" s="1" t="n">
        <v>46291</v>
      </c>
      <c r="F431" t="inlineStr">
        <is>
          <t>SÖDERMANLANDS LÄN</t>
        </is>
      </c>
      <c r="G431" t="inlineStr">
        <is>
          <t>FLEN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44819</v>
      </c>
      <c r="E432" s="1" t="n">
        <v>46291</v>
      </c>
      <c r="F432" t="inlineStr">
        <is>
          <t>SÖDERMANLANDS LÄN</t>
        </is>
      </c>
      <c r="G432" t="inlineStr">
        <is>
          <t>FLEN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46291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45057</v>
      </c>
      <c r="E434" s="1" t="n">
        <v>46291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46291</v>
      </c>
      <c r="F435" t="inlineStr">
        <is>
          <t>SÖDERMANLANDS LÄN</t>
        </is>
      </c>
      <c r="G435" t="inlineStr">
        <is>
          <t>FLEN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25823-2022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44733</v>
      </c>
      <c r="E436" s="1" t="n">
        <v>46291</v>
      </c>
      <c r="F436" t="inlineStr">
        <is>
          <t>SÖDERMANLANDS LÄN</t>
        </is>
      </c>
      <c r="G436" t="inlineStr">
        <is>
          <t>FLEN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44907</v>
      </c>
      <c r="E437" s="1" t="n">
        <v>46291</v>
      </c>
      <c r="F437" t="inlineStr">
        <is>
          <t>SÖDERMANLANDS LÄN</t>
        </is>
      </c>
      <c r="G437" t="inlineStr">
        <is>
          <t>FLEN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45315</v>
      </c>
      <c r="E438" s="1" t="n">
        <v>46291</v>
      </c>
      <c r="F438" t="inlineStr">
        <is>
          <t>SÖDERMANLANDS LÄN</t>
        </is>
      </c>
      <c r="G438" t="inlineStr">
        <is>
          <t>FLEN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46266</v>
      </c>
      <c r="E439" s="1" t="n">
        <v>46291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46291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44887</v>
      </c>
      <c r="E441" s="1" t="n">
        <v>46291</v>
      </c>
      <c r="F441" t="inlineStr">
        <is>
          <t>SÖDERMANLANDS LÄN</t>
        </is>
      </c>
      <c r="G441" t="inlineStr">
        <is>
          <t>FLEN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46291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46291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46291</v>
      </c>
      <c r="F444" t="inlineStr">
        <is>
          <t>SÖDERMANLANDS LÄN</t>
        </is>
      </c>
      <c r="G444" t="inlineStr">
        <is>
          <t>FLEN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46291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46291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46291</v>
      </c>
      <c r="F447" t="inlineStr">
        <is>
          <t>SÖDERMANLANDS LÄN</t>
        </is>
      </c>
      <c r="G447" t="inlineStr">
        <is>
          <t>FLEN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46229</v>
      </c>
      <c r="E448" s="1" t="n">
        <v>46291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45321</v>
      </c>
      <c r="E449" s="1" t="n">
        <v>46291</v>
      </c>
      <c r="F449" t="inlineStr">
        <is>
          <t>SÖDERMANLANDS LÄN</t>
        </is>
      </c>
      <c r="G449" t="inlineStr">
        <is>
          <t>FLEN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46291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46291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46291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46291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46291</v>
      </c>
      <c r="F454" t="inlineStr">
        <is>
          <t>SÖDERMANLANDS LÄN</t>
        </is>
      </c>
      <c r="G454" t="inlineStr">
        <is>
          <t>FLEN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46291</v>
      </c>
      <c r="F455" t="inlineStr">
        <is>
          <t>SÖDERMANLANDS LÄN</t>
        </is>
      </c>
      <c r="G455" t="inlineStr">
        <is>
          <t>FLEN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44868</v>
      </c>
      <c r="E456" s="1" t="n">
        <v>46291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44624</v>
      </c>
      <c r="E457" s="1" t="n">
        <v>46291</v>
      </c>
      <c r="F457" t="inlineStr">
        <is>
          <t>SÖDERMANLANDS LÄN</t>
        </is>
      </c>
      <c r="G457" t="inlineStr">
        <is>
          <t>FLEN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44624</v>
      </c>
      <c r="E458" s="1" t="n">
        <v>46291</v>
      </c>
      <c r="F458" t="inlineStr">
        <is>
          <t>SÖDERMANLANDS LÄN</t>
        </is>
      </c>
      <c r="G458" t="inlineStr">
        <is>
          <t>FLEN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16908-2024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45411</v>
      </c>
      <c r="E459" s="1" t="n">
        <v>46291</v>
      </c>
      <c r="F459" t="inlineStr">
        <is>
          <t>SÖDERMANLANDS LÄN</t>
        </is>
      </c>
      <c r="G459" t="inlineStr">
        <is>
          <t>FLEN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44970</v>
      </c>
      <c r="E460" s="1" t="n">
        <v>46291</v>
      </c>
      <c r="F460" t="inlineStr">
        <is>
          <t>SÖDERMANLANDS LÄN</t>
        </is>
      </c>
      <c r="G460" t="inlineStr">
        <is>
          <t>FLEN</t>
        </is>
      </c>
      <c r="H460" t="inlineStr">
        <is>
          <t>Kommuner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44896</v>
      </c>
      <c r="E461" s="1" t="n">
        <v>46291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57046-2023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46291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46291</v>
      </c>
      <c r="F463" t="inlineStr">
        <is>
          <t>SÖDERMANLANDS LÄN</t>
        </is>
      </c>
      <c r="G463" t="inlineStr">
        <is>
          <t>FLEN</t>
        </is>
      </c>
      <c r="I463" t="n">
        <v>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46291</v>
      </c>
      <c r="F464" t="inlineStr">
        <is>
          <t>SÖDERMANLANDS LÄN</t>
        </is>
      </c>
      <c r="G464" t="inlineStr">
        <is>
          <t>FLEN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44859</v>
      </c>
      <c r="E465" s="1" t="n">
        <v>46291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45501</v>
      </c>
      <c r="E466" s="1" t="n">
        <v>46291</v>
      </c>
      <c r="F466" t="inlineStr">
        <is>
          <t>SÖDERMANLANDS LÄN</t>
        </is>
      </c>
      <c r="G466" t="inlineStr">
        <is>
          <t>FLEN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46291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46291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46291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44566</v>
      </c>
      <c r="E470" s="1" t="n">
        <v>46291</v>
      </c>
      <c r="F470" t="inlineStr">
        <is>
          <t>SÖDERMANLANDS LÄN</t>
        </is>
      </c>
      <c r="G470" t="inlineStr">
        <is>
          <t>FLEN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46249</v>
      </c>
      <c r="E471" s="1" t="n">
        <v>46291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46291</v>
      </c>
      <c r="F472" t="inlineStr">
        <is>
          <t>SÖDERMANLANDS LÄN</t>
        </is>
      </c>
      <c r="G472" t="inlineStr">
        <is>
          <t>FLEN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46286</v>
      </c>
      <c r="E473" s="1" t="n">
        <v>46291</v>
      </c>
      <c r="F473" t="inlineStr">
        <is>
          <t>SÖDERMANLANDS LÄN</t>
        </is>
      </c>
      <c r="G473" t="inlineStr">
        <is>
          <t>FLEN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48749-2022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44855</v>
      </c>
      <c r="E474" s="1" t="n">
        <v>46291</v>
      </c>
      <c r="F474" t="inlineStr">
        <is>
          <t>SÖDERMANLANDS LÄN</t>
        </is>
      </c>
      <c r="G474" t="inlineStr">
        <is>
          <t>FLEN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48774-2022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44855</v>
      </c>
      <c r="E475" s="1" t="n">
        <v>46291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46291</v>
      </c>
      <c r="F476" t="inlineStr">
        <is>
          <t>SÖDERMANLANDS LÄN</t>
        </is>
      </c>
      <c r="G476" t="inlineStr">
        <is>
          <t>FLEN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45072</v>
      </c>
      <c r="E477" s="1" t="n">
        <v>46291</v>
      </c>
      <c r="F477" t="inlineStr">
        <is>
          <t>SÖDERMANLANDS LÄN</t>
        </is>
      </c>
      <c r="G477" t="inlineStr">
        <is>
          <t>FLEN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46291</v>
      </c>
      <c r="F478" t="inlineStr">
        <is>
          <t>SÖDERMANLANDS LÄN</t>
        </is>
      </c>
      <c r="G478" t="inlineStr">
        <is>
          <t>FLEN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45213</v>
      </c>
      <c r="E479" s="1" t="n">
        <v>46291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45510</v>
      </c>
      <c r="E480" s="1" t="n">
        <v>46291</v>
      </c>
      <c r="F480" t="inlineStr">
        <is>
          <t>SÖDERMANLANDS LÄN</t>
        </is>
      </c>
      <c r="G480" t="inlineStr">
        <is>
          <t>FLEN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46291</v>
      </c>
      <c r="F481" t="inlineStr">
        <is>
          <t>SÖDERMANLANDS LÄN</t>
        </is>
      </c>
      <c r="G481" t="inlineStr">
        <is>
          <t>FLEN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44785</v>
      </c>
      <c r="E482" s="1" t="n">
        <v>46291</v>
      </c>
      <c r="F482" t="inlineStr">
        <is>
          <t>SÖDERMANLANDS LÄN</t>
        </is>
      </c>
      <c r="G482" t="inlineStr">
        <is>
          <t>FLEN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44648</v>
      </c>
      <c r="E483" s="1" t="n">
        <v>46291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44979</v>
      </c>
      <c r="E484" s="1" t="n">
        <v>46291</v>
      </c>
      <c r="F484" t="inlineStr">
        <is>
          <t>SÖDERMANLANDS LÄN</t>
        </is>
      </c>
      <c r="G484" t="inlineStr">
        <is>
          <t>FLEN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46291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46291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44769</v>
      </c>
      <c r="E487" s="1" t="n">
        <v>46291</v>
      </c>
      <c r="F487" t="inlineStr">
        <is>
          <t>SÖDERMANLANDS LÄN</t>
        </is>
      </c>
      <c r="G487" t="inlineStr">
        <is>
          <t>FLEN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46291</v>
      </c>
      <c r="F488" t="inlineStr">
        <is>
          <t>SÖDERMANLANDS LÄN</t>
        </is>
      </c>
      <c r="G488" t="inlineStr">
        <is>
          <t>FLEN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44872</v>
      </c>
      <c r="E489" s="1" t="n">
        <v>46291</v>
      </c>
      <c r="F489" t="inlineStr">
        <is>
          <t>SÖDERMANLANDS LÄN</t>
        </is>
      </c>
      <c r="G489" t="inlineStr">
        <is>
          <t>FLEN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46291</v>
      </c>
      <c r="F490" t="inlineStr">
        <is>
          <t>SÖDERMANLANDS LÄN</t>
        </is>
      </c>
      <c r="G490" t="inlineStr">
        <is>
          <t>FLEN</t>
        </is>
      </c>
      <c r="H490" t="inlineStr">
        <is>
          <t>Övriga statliga verk och myndigheter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46291</v>
      </c>
      <c r="F491" t="inlineStr">
        <is>
          <t>SÖDERMANLANDS LÄN</t>
        </is>
      </c>
      <c r="G491" t="inlineStr">
        <is>
          <t>FLEN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20791-2022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44701</v>
      </c>
      <c r="E492" s="1" t="n">
        <v>46291</v>
      </c>
      <c r="F492" t="inlineStr">
        <is>
          <t>SÖDERMANLANDS LÄN</t>
        </is>
      </c>
      <c r="G492" t="inlineStr">
        <is>
          <t>FLEN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62579-2023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45270</v>
      </c>
      <c r="E493" s="1" t="n">
        <v>46291</v>
      </c>
      <c r="F493" t="inlineStr">
        <is>
          <t>SÖDERMANLANDS LÄN</t>
        </is>
      </c>
      <c r="G493" t="inlineStr">
        <is>
          <t>FLEN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46291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45518</v>
      </c>
      <c r="E495" s="1" t="n">
        <v>46291</v>
      </c>
      <c r="F495" t="inlineStr">
        <is>
          <t>SÖDERMANLANDS LÄN</t>
        </is>
      </c>
      <c r="G495" t="inlineStr">
        <is>
          <t>FLEN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45574</v>
      </c>
      <c r="E496" s="1" t="n">
        <v>46291</v>
      </c>
      <c r="F496" t="inlineStr">
        <is>
          <t>SÖDERMANLANDS LÄN</t>
        </is>
      </c>
      <c r="G496" t="inlineStr">
        <is>
          <t>FLEN</t>
        </is>
      </c>
      <c r="H496" t="inlineStr">
        <is>
          <t>Övriga statliga verk och myndigheter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46291</v>
      </c>
      <c r="F497" t="inlineStr">
        <is>
          <t>SÖDERMANLANDS LÄN</t>
        </is>
      </c>
      <c r="G497" t="inlineStr">
        <is>
          <t>FLEN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46291</v>
      </c>
      <c r="F498" t="inlineStr">
        <is>
          <t>SÖDERMANLANDS LÄN</t>
        </is>
      </c>
      <c r="G498" t="inlineStr">
        <is>
          <t>FLEN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46291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45022</v>
      </c>
      <c r="E500" s="1" t="n">
        <v>46291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46291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46291</v>
      </c>
      <c r="F502" t="inlineStr">
        <is>
          <t>SÖDERMANLANDS LÄN</t>
        </is>
      </c>
      <c r="G502" t="inlineStr">
        <is>
          <t>FLEN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46291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46291</v>
      </c>
      <c r="F504" t="inlineStr">
        <is>
          <t>SÖDERMANLANDS LÄN</t>
        </is>
      </c>
      <c r="G504" t="inlineStr">
        <is>
          <t>FLEN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46291</v>
      </c>
      <c r="F505" t="inlineStr">
        <is>
          <t>SÖDERMANLANDS LÄN</t>
        </is>
      </c>
      <c r="G505" t="inlineStr">
        <is>
          <t>FLEN</t>
        </is>
      </c>
      <c r="H505" t="inlineStr">
        <is>
          <t>Kyrkan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46291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46291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46291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45066</v>
      </c>
      <c r="E509" s="1" t="n">
        <v>46291</v>
      </c>
      <c r="F509" t="inlineStr">
        <is>
          <t>SÖDERMANLANDS LÄN</t>
        </is>
      </c>
      <c r="G509" t="inlineStr">
        <is>
          <t>FLEN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46291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45667</v>
      </c>
      <c r="E511" s="1" t="n">
        <v>46291</v>
      </c>
      <c r="F511" t="inlineStr">
        <is>
          <t>SÖDERMANLANDS LÄN</t>
        </is>
      </c>
      <c r="G511" t="inlineStr">
        <is>
          <t>FLEN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45230</v>
      </c>
      <c r="E512" s="1" t="n">
        <v>46291</v>
      </c>
      <c r="F512" t="inlineStr">
        <is>
          <t>SÖDERMANLANDS LÄN</t>
        </is>
      </c>
      <c r="G512" t="inlineStr">
        <is>
          <t>FLEN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46291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14599-2023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45013</v>
      </c>
      <c r="E514" s="1" t="n">
        <v>46291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42731-2024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45566</v>
      </c>
      <c r="E515" s="1" t="n">
        <v>46291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46291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13233-2024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45386</v>
      </c>
      <c r="E517" s="1" t="n">
        <v>46291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46291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46291</v>
      </c>
      <c r="F519" t="inlineStr">
        <is>
          <t>SÖDERMANLANDS LÄN</t>
        </is>
      </c>
      <c r="G519" t="inlineStr">
        <is>
          <t>FLEN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45252</v>
      </c>
      <c r="E520" s="1" t="n">
        <v>46291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46291</v>
      </c>
      <c r="F521" t="inlineStr">
        <is>
          <t>SÖDERMANLANDS LÄN</t>
        </is>
      </c>
      <c r="G521" t="inlineStr">
        <is>
          <t>FLEN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47055-2022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44852</v>
      </c>
      <c r="E522" s="1" t="n">
        <v>46291</v>
      </c>
      <c r="F522" t="inlineStr">
        <is>
          <t>SÖDERMANLANDS LÄN</t>
        </is>
      </c>
      <c r="G522" t="inlineStr">
        <is>
          <t>FLEN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46291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46291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46291</v>
      </c>
      <c r="F525" t="inlineStr">
        <is>
          <t>SÖDERMANLANDS LÄN</t>
        </is>
      </c>
      <c r="G525" t="inlineStr">
        <is>
          <t>FLEN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46291</v>
      </c>
      <c r="F526" t="inlineStr">
        <is>
          <t>SÖDERMANLANDS LÄN</t>
        </is>
      </c>
      <c r="G526" t="inlineStr">
        <is>
          <t>FLEN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46291</v>
      </c>
      <c r="F527" t="inlineStr">
        <is>
          <t>SÖDERMANLANDS LÄN</t>
        </is>
      </c>
      <c r="G527" t="inlineStr">
        <is>
          <t>FLEN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46291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46291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458-2023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44964</v>
      </c>
      <c r="E530" s="1" t="n">
        <v>46291</v>
      </c>
      <c r="F530" t="inlineStr">
        <is>
          <t>SÖDERMANLANDS LÄN</t>
        </is>
      </c>
      <c r="G530" t="inlineStr">
        <is>
          <t>FLEN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292-2025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45686</v>
      </c>
      <c r="E531" s="1" t="n">
        <v>46291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3723-2022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44742</v>
      </c>
      <c r="E532" s="1" t="n">
        <v>46291</v>
      </c>
      <c r="F532" t="inlineStr">
        <is>
          <t>SÖDERMANLANDS LÄN</t>
        </is>
      </c>
      <c r="G532" t="inlineStr">
        <is>
          <t>FLEN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46291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46291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46291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2026-09-26T02:07:59Z</dcterms:created>
  <dcterms:modified xmlns:dcterms="http://purl.org/dc/terms/" xmlns:xsi="http://www.w3.org/2001/XMLSchema-instance" xsi:type="dcterms:W3CDTF">2026-09-26T02:08:00Z</dcterms:modified>
</cp:coreProperties>
</file>