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45824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45824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45824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45824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45824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45824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45824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45824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45824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45824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45824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45824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45824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45824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45824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45824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45824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45824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45824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45824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45824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45824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45824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45824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45824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45824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45824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45824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45824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45824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45824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45824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45824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45824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45824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45824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45824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45824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45824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45824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45824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45824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45824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45824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45824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45824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45824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45824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45824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45824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45824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45824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45824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45824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45824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34785-2023</t>
        </is>
      </c>
      <c r="B57" s="1" t="n">
        <v>45140</v>
      </c>
      <c r="C57" s="1" t="n">
        <v>45824</v>
      </c>
      <c r="D57" t="inlineStr">
        <is>
          <t>SÖDERMANLANDS LÄN</t>
        </is>
      </c>
      <c r="E57" t="inlineStr">
        <is>
          <t>FLEN</t>
        </is>
      </c>
      <c r="G57" t="n">
        <v>1.8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HYPERLINK("https://klasma.github.io/Logging_0482/artfynd/A 34785-2023 artfynd.xlsx", "A 34785-2023")</f>
        <v/>
      </c>
      <c r="T57">
        <f>HYPERLINK("https://klasma.github.io/Logging_0482/kartor/A 34785-2023 karta.png", "A 34785-2023")</f>
        <v/>
      </c>
      <c r="V57">
        <f>HYPERLINK("https://klasma.github.io/Logging_0482/klagomål/A 34785-2023 FSC-klagomål.docx", "A 34785-2023")</f>
        <v/>
      </c>
      <c r="W57">
        <f>HYPERLINK("https://klasma.github.io/Logging_0482/klagomålsmail/A 34785-2023 FSC-klagomål mail.docx", "A 34785-2023")</f>
        <v/>
      </c>
      <c r="X57">
        <f>HYPERLINK("https://klasma.github.io/Logging_0482/tillsyn/A 34785-2023 tillsynsbegäran.docx", "A 34785-2023")</f>
        <v/>
      </c>
      <c r="Y57">
        <f>HYPERLINK("https://klasma.github.io/Logging_0482/tillsynsmail/A 34785-2023 tillsynsbegäran mail.docx", "A 34785-2023")</f>
        <v/>
      </c>
    </row>
    <row r="58" ht="15" customHeight="1">
      <c r="A58" t="inlineStr">
        <is>
          <t>A 37423-2023</t>
        </is>
      </c>
      <c r="B58" s="1" t="n">
        <v>45156</v>
      </c>
      <c r="C58" s="1" t="n">
        <v>45824</v>
      </c>
      <c r="D58" t="inlineStr">
        <is>
          <t>SÖDERMANLANDS LÄN</t>
        </is>
      </c>
      <c r="E58" t="inlineStr">
        <is>
          <t>FLEN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Grönpyrola</t>
        </is>
      </c>
      <c r="S58">
        <f>HYPERLINK("https://klasma.github.io/Logging_0482/artfynd/A 37423-2023 artfynd.xlsx", "A 37423-2023")</f>
        <v/>
      </c>
      <c r="T58">
        <f>HYPERLINK("https://klasma.github.io/Logging_0482/kartor/A 37423-2023 karta.png", "A 37423-2023")</f>
        <v/>
      </c>
      <c r="V58">
        <f>HYPERLINK("https://klasma.github.io/Logging_0482/klagomål/A 37423-2023 FSC-klagomål.docx", "A 37423-2023")</f>
        <v/>
      </c>
      <c r="W58">
        <f>HYPERLINK("https://klasma.github.io/Logging_0482/klagomålsmail/A 37423-2023 FSC-klagomål mail.docx", "A 37423-2023")</f>
        <v/>
      </c>
      <c r="X58">
        <f>HYPERLINK("https://klasma.github.io/Logging_0482/tillsyn/A 37423-2023 tillsynsbegäran.docx", "A 37423-2023")</f>
        <v/>
      </c>
      <c r="Y58">
        <f>HYPERLINK("https://klasma.github.io/Logging_0482/tillsynsmail/A 37423-2023 tillsynsbegäran mail.docx", "A 37423-2023")</f>
        <v/>
      </c>
    </row>
    <row r="59" ht="15" customHeight="1">
      <c r="A59" t="inlineStr">
        <is>
          <t>A 52858-2023</t>
        </is>
      </c>
      <c r="B59" s="1" t="n">
        <v>45219</v>
      </c>
      <c r="C59" s="1" t="n">
        <v>45824</v>
      </c>
      <c r="D59" t="inlineStr">
        <is>
          <t>SÖDERMANLANDS LÄN</t>
        </is>
      </c>
      <c r="E59" t="inlineStr">
        <is>
          <t>FLEN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Mindre hackspett
Tallticka</t>
        </is>
      </c>
      <c r="S59">
        <f>HYPERLINK("https://klasma.github.io/Logging_0482/artfynd/A 52858-2023 artfynd.xlsx", "A 52858-2023")</f>
        <v/>
      </c>
      <c r="T59">
        <f>HYPERLINK("https://klasma.github.io/Logging_0482/kartor/A 52858-2023 karta.png", "A 52858-2023")</f>
        <v/>
      </c>
      <c r="V59">
        <f>HYPERLINK("https://klasma.github.io/Logging_0482/klagomål/A 52858-2023 FSC-klagomål.docx", "A 52858-2023")</f>
        <v/>
      </c>
      <c r="W59">
        <f>HYPERLINK("https://klasma.github.io/Logging_0482/klagomålsmail/A 52858-2023 FSC-klagomål mail.docx", "A 52858-2023")</f>
        <v/>
      </c>
      <c r="X59">
        <f>HYPERLINK("https://klasma.github.io/Logging_0482/tillsyn/A 52858-2023 tillsynsbegäran.docx", "A 52858-2023")</f>
        <v/>
      </c>
      <c r="Y59">
        <f>HYPERLINK("https://klasma.github.io/Logging_0482/tillsynsmail/A 52858-2023 tillsynsbegäran mail.docx", "A 52858-2023")</f>
        <v/>
      </c>
      <c r="Z59">
        <f>HYPERLINK("https://klasma.github.io/Logging_0482/fåglar/A 52858-2023 prioriterade fågelarter.docx", "A 52858-2023")</f>
        <v/>
      </c>
    </row>
    <row r="60" ht="15" customHeight="1">
      <c r="A60" t="inlineStr">
        <is>
          <t>A 52485-2023</t>
        </is>
      </c>
      <c r="B60" s="1" t="n">
        <v>45225</v>
      </c>
      <c r="C60" s="1" t="n">
        <v>45824</v>
      </c>
      <c r="D60" t="inlineStr">
        <is>
          <t>SÖDERMANLANDS LÄN</t>
        </is>
      </c>
      <c r="E60" t="inlineStr">
        <is>
          <t>FLEN</t>
        </is>
      </c>
      <c r="G60" t="n">
        <v>8.1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Gullklöver
Svinrot</t>
        </is>
      </c>
      <c r="S60">
        <f>HYPERLINK("https://klasma.github.io/Logging_0482/artfynd/A 52485-2023 artfynd.xlsx", "A 52485-2023")</f>
        <v/>
      </c>
      <c r="T60">
        <f>HYPERLINK("https://klasma.github.io/Logging_0482/kartor/A 52485-2023 karta.png", "A 52485-2023")</f>
        <v/>
      </c>
      <c r="V60">
        <f>HYPERLINK("https://klasma.github.io/Logging_0482/klagomål/A 52485-2023 FSC-klagomål.docx", "A 52485-2023")</f>
        <v/>
      </c>
      <c r="W60">
        <f>HYPERLINK("https://klasma.github.io/Logging_0482/klagomålsmail/A 52485-2023 FSC-klagomål mail.docx", "A 52485-2023")</f>
        <v/>
      </c>
      <c r="X60">
        <f>HYPERLINK("https://klasma.github.io/Logging_0482/tillsyn/A 52485-2023 tillsynsbegäran.docx", "A 52485-2023")</f>
        <v/>
      </c>
      <c r="Y60">
        <f>HYPERLINK("https://klasma.github.io/Logging_0482/tillsynsmail/A 52485-2023 tillsynsbegäran mail.docx", "A 52485-2023")</f>
        <v/>
      </c>
    </row>
    <row r="61" ht="15" customHeight="1">
      <c r="A61" t="inlineStr">
        <is>
          <t>A 4155-2024</t>
        </is>
      </c>
      <c r="B61" s="1" t="n">
        <v>45323</v>
      </c>
      <c r="C61" s="1" t="n">
        <v>45824</v>
      </c>
      <c r="D61" t="inlineStr">
        <is>
          <t>SÖDERMANLANDS LÄN</t>
        </is>
      </c>
      <c r="E61" t="inlineStr">
        <is>
          <t>FLEN</t>
        </is>
      </c>
      <c r="G61" t="n">
        <v>2.1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Scharlakansskål</t>
        </is>
      </c>
      <c r="S61">
        <f>HYPERLINK("https://klasma.github.io/Logging_0482/artfynd/A 4155-2024 artfynd.xlsx", "A 4155-2024")</f>
        <v/>
      </c>
      <c r="T61">
        <f>HYPERLINK("https://klasma.github.io/Logging_0482/kartor/A 4155-2024 karta.png", "A 4155-2024")</f>
        <v/>
      </c>
      <c r="U61">
        <f>HYPERLINK("https://klasma.github.io/Logging_0482/knärot/A 4155-2024 karta knärot.png", "A 4155-2024")</f>
        <v/>
      </c>
      <c r="V61">
        <f>HYPERLINK("https://klasma.github.io/Logging_0482/klagomål/A 4155-2024 FSC-klagomål.docx", "A 4155-2024")</f>
        <v/>
      </c>
      <c r="W61">
        <f>HYPERLINK("https://klasma.github.io/Logging_0482/klagomålsmail/A 4155-2024 FSC-klagomål mail.docx", "A 4155-2024")</f>
        <v/>
      </c>
      <c r="X61">
        <f>HYPERLINK("https://klasma.github.io/Logging_0482/tillsyn/A 4155-2024 tillsynsbegäran.docx", "A 4155-2024")</f>
        <v/>
      </c>
      <c r="Y61">
        <f>HYPERLINK("https://klasma.github.io/Logging_0482/tillsynsmail/A 4155-2024 tillsynsbegäran mail.docx", "A 4155-2024")</f>
        <v/>
      </c>
    </row>
    <row r="62" ht="15" customHeight="1">
      <c r="A62" t="inlineStr">
        <is>
          <t>A 7939-2024</t>
        </is>
      </c>
      <c r="B62" s="1" t="n">
        <v>45350</v>
      </c>
      <c r="C62" s="1" t="n">
        <v>45824</v>
      </c>
      <c r="D62" t="inlineStr">
        <is>
          <t>SÖDERMANLANDS LÄN</t>
        </is>
      </c>
      <c r="E62" t="inlineStr">
        <is>
          <t>FLEN</t>
        </is>
      </c>
      <c r="G62" t="n">
        <v>11.5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Grovticka</t>
        </is>
      </c>
      <c r="S62">
        <f>HYPERLINK("https://klasma.github.io/Logging_0482/artfynd/A 7939-2024 artfynd.xlsx", "A 7939-2024")</f>
        <v/>
      </c>
      <c r="T62">
        <f>HYPERLINK("https://klasma.github.io/Logging_0482/kartor/A 7939-2024 karta.png", "A 7939-2024")</f>
        <v/>
      </c>
      <c r="V62">
        <f>HYPERLINK("https://klasma.github.io/Logging_0482/klagomål/A 7939-2024 FSC-klagomål.docx", "A 7939-2024")</f>
        <v/>
      </c>
      <c r="W62">
        <f>HYPERLINK("https://klasma.github.io/Logging_0482/klagomålsmail/A 7939-2024 FSC-klagomål mail.docx", "A 7939-2024")</f>
        <v/>
      </c>
      <c r="X62">
        <f>HYPERLINK("https://klasma.github.io/Logging_0482/tillsyn/A 7939-2024 tillsynsbegäran.docx", "A 7939-2024")</f>
        <v/>
      </c>
      <c r="Y62">
        <f>HYPERLINK("https://klasma.github.io/Logging_0482/tillsynsmail/A 7939-2024 tillsynsbegäran mail.docx", "A 7939-2024")</f>
        <v/>
      </c>
    </row>
    <row r="63" ht="15" customHeight="1">
      <c r="A63" t="inlineStr">
        <is>
          <t>A 18788-2024</t>
        </is>
      </c>
      <c r="B63" s="1" t="n">
        <v>45426</v>
      </c>
      <c r="C63" s="1" t="n">
        <v>45824</v>
      </c>
      <c r="D63" t="inlineStr">
        <is>
          <t>SÖDERMANLANDS LÄN</t>
        </is>
      </c>
      <c r="E63" t="inlineStr">
        <is>
          <t>FLEN</t>
        </is>
      </c>
      <c r="G63" t="n">
        <v>11.1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Svinrot
Ängsskära</t>
        </is>
      </c>
      <c r="S63">
        <f>HYPERLINK("https://klasma.github.io/Logging_0482/artfynd/A 18788-2024 artfynd.xlsx", "A 18788-2024")</f>
        <v/>
      </c>
      <c r="T63">
        <f>HYPERLINK("https://klasma.github.io/Logging_0482/kartor/A 18788-2024 karta.png", "A 18788-2024")</f>
        <v/>
      </c>
      <c r="V63">
        <f>HYPERLINK("https://klasma.github.io/Logging_0482/klagomål/A 18788-2024 FSC-klagomål.docx", "A 18788-2024")</f>
        <v/>
      </c>
      <c r="W63">
        <f>HYPERLINK("https://klasma.github.io/Logging_0482/klagomålsmail/A 18788-2024 FSC-klagomål mail.docx", "A 18788-2024")</f>
        <v/>
      </c>
      <c r="X63">
        <f>HYPERLINK("https://klasma.github.io/Logging_0482/tillsyn/A 18788-2024 tillsynsbegäran.docx", "A 18788-2024")</f>
        <v/>
      </c>
      <c r="Y63">
        <f>HYPERLINK("https://klasma.github.io/Logging_0482/tillsynsmail/A 18788-2024 tillsynsbegäran mail.docx", "A 18788-2024")</f>
        <v/>
      </c>
    </row>
    <row r="64" ht="15" customHeight="1">
      <c r="A64" t="inlineStr">
        <is>
          <t>A 20863-2024</t>
        </is>
      </c>
      <c r="B64" s="1" t="n">
        <v>45439</v>
      </c>
      <c r="C64" s="1" t="n">
        <v>45824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HYPERLINK("https://klasma.github.io/Logging_0482/artfynd/A 20863-2024 artfynd.xlsx", "A 20863-2024")</f>
        <v/>
      </c>
      <c r="T64">
        <f>HYPERLINK("https://klasma.github.io/Logging_0482/kartor/A 20863-2024 karta.png", "A 20863-2024")</f>
        <v/>
      </c>
      <c r="V64">
        <f>HYPERLINK("https://klasma.github.io/Logging_0482/klagomål/A 20863-2024 FSC-klagomål.docx", "A 20863-2024")</f>
        <v/>
      </c>
      <c r="W64">
        <f>HYPERLINK("https://klasma.github.io/Logging_0482/klagomålsmail/A 20863-2024 FSC-klagomål mail.docx", "A 20863-2024")</f>
        <v/>
      </c>
      <c r="X64">
        <f>HYPERLINK("https://klasma.github.io/Logging_0482/tillsyn/A 20863-2024 tillsynsbegäran.docx", "A 20863-2024")</f>
        <v/>
      </c>
      <c r="Y64">
        <f>HYPERLINK("https://klasma.github.io/Logging_0482/tillsynsmail/A 20863-2024 tillsynsbegäran mail.docx", "A 20863-2024")</f>
        <v/>
      </c>
    </row>
    <row r="65" ht="15" customHeight="1">
      <c r="A65" t="inlineStr">
        <is>
          <t>A 32760-2024</t>
        </is>
      </c>
      <c r="B65" s="1" t="n">
        <v>45515</v>
      </c>
      <c r="C65" s="1" t="n">
        <v>45824</v>
      </c>
      <c r="D65" t="inlineStr">
        <is>
          <t>SÖDERMANLANDS LÄN</t>
        </is>
      </c>
      <c r="E65" t="inlineStr">
        <is>
          <t>FLEN</t>
        </is>
      </c>
      <c r="G65" t="n">
        <v>4.8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Grönpyrola</t>
        </is>
      </c>
      <c r="S65">
        <f>HYPERLINK("https://klasma.github.io/Logging_0482/artfynd/A 32760-2024 artfynd.xlsx", "A 32760-2024")</f>
        <v/>
      </c>
      <c r="T65">
        <f>HYPERLINK("https://klasma.github.io/Logging_0482/kartor/A 32760-2024 karta.png", "A 32760-2024")</f>
        <v/>
      </c>
      <c r="V65">
        <f>HYPERLINK("https://klasma.github.io/Logging_0482/klagomål/A 32760-2024 FSC-klagomål.docx", "A 32760-2024")</f>
        <v/>
      </c>
      <c r="W65">
        <f>HYPERLINK("https://klasma.github.io/Logging_0482/klagomålsmail/A 32760-2024 FSC-klagomål mail.docx", "A 32760-2024")</f>
        <v/>
      </c>
      <c r="X65">
        <f>HYPERLINK("https://klasma.github.io/Logging_0482/tillsyn/A 32760-2024 tillsynsbegäran.docx", "A 32760-2024")</f>
        <v/>
      </c>
      <c r="Y65">
        <f>HYPERLINK("https://klasma.github.io/Logging_0482/tillsynsmail/A 32760-2024 tillsynsbegäran mail.docx", "A 32760-2024")</f>
        <v/>
      </c>
    </row>
    <row r="66" ht="15" customHeight="1">
      <c r="A66" t="inlineStr">
        <is>
          <t>A 32756-2024</t>
        </is>
      </c>
      <c r="B66" s="1" t="n">
        <v>45515</v>
      </c>
      <c r="C66" s="1" t="n">
        <v>45824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Mattlummer</t>
        </is>
      </c>
      <c r="S66">
        <f>HYPERLINK("https://klasma.github.io/Logging_0482/artfynd/A 32756-2024 artfynd.xlsx", "A 32756-2024")</f>
        <v/>
      </c>
      <c r="T66">
        <f>HYPERLINK("https://klasma.github.io/Logging_0482/kartor/A 32756-2024 karta.png", "A 32756-2024")</f>
        <v/>
      </c>
      <c r="V66">
        <f>HYPERLINK("https://klasma.github.io/Logging_0482/klagomål/A 32756-2024 FSC-klagomål.docx", "A 32756-2024")</f>
        <v/>
      </c>
      <c r="W66">
        <f>HYPERLINK("https://klasma.github.io/Logging_0482/klagomålsmail/A 32756-2024 FSC-klagomål mail.docx", "A 32756-2024")</f>
        <v/>
      </c>
      <c r="X66">
        <f>HYPERLINK("https://klasma.github.io/Logging_0482/tillsyn/A 32756-2024 tillsynsbegäran.docx", "A 32756-2024")</f>
        <v/>
      </c>
      <c r="Y66">
        <f>HYPERLINK("https://klasma.github.io/Logging_0482/tillsynsmail/A 32756-2024 tillsynsbegäran mail.docx", "A 32756-2024")</f>
        <v/>
      </c>
    </row>
    <row r="67" ht="15" customHeight="1">
      <c r="A67" t="inlineStr">
        <is>
          <t>A 33224-2024</t>
        </is>
      </c>
      <c r="B67" s="1" t="n">
        <v>45518</v>
      </c>
      <c r="C67" s="1" t="n">
        <v>45824</v>
      </c>
      <c r="D67" t="inlineStr">
        <is>
          <t>SÖDERMANLANDS LÄN</t>
        </is>
      </c>
      <c r="E67" t="inlineStr">
        <is>
          <t>FLEN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Gullklöver
Blåsippa</t>
        </is>
      </c>
      <c r="S67">
        <f>HYPERLINK("https://klasma.github.io/Logging_0482/artfynd/A 33224-2024 artfynd.xlsx", "A 33224-2024")</f>
        <v/>
      </c>
      <c r="T67">
        <f>HYPERLINK("https://klasma.github.io/Logging_0482/kartor/A 33224-2024 karta.png", "A 33224-2024")</f>
        <v/>
      </c>
      <c r="V67">
        <f>HYPERLINK("https://klasma.github.io/Logging_0482/klagomål/A 33224-2024 FSC-klagomål.docx", "A 33224-2024")</f>
        <v/>
      </c>
      <c r="W67">
        <f>HYPERLINK("https://klasma.github.io/Logging_0482/klagomålsmail/A 33224-2024 FSC-klagomål mail.docx", "A 33224-2024")</f>
        <v/>
      </c>
      <c r="X67">
        <f>HYPERLINK("https://klasma.github.io/Logging_0482/tillsyn/A 33224-2024 tillsynsbegäran.docx", "A 33224-2024")</f>
        <v/>
      </c>
      <c r="Y67">
        <f>HYPERLINK("https://klasma.github.io/Logging_0482/tillsynsmail/A 33224-2024 tillsynsbegäran mail.docx", "A 33224-2024")</f>
        <v/>
      </c>
    </row>
    <row r="68" ht="15" customHeight="1">
      <c r="A68" t="inlineStr">
        <is>
          <t>A 39595-2024</t>
        </is>
      </c>
      <c r="B68" s="1" t="n">
        <v>45552</v>
      </c>
      <c r="C68" s="1" t="n">
        <v>45824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Gullklöver</t>
        </is>
      </c>
      <c r="S68">
        <f>HYPERLINK("https://klasma.github.io/Logging_0482/artfynd/A 39595-2024 artfynd.xlsx", "A 39595-2024")</f>
        <v/>
      </c>
      <c r="T68">
        <f>HYPERLINK("https://klasma.github.io/Logging_0482/kartor/A 39595-2024 karta.png", "A 39595-2024")</f>
        <v/>
      </c>
      <c r="U68">
        <f>HYPERLINK("https://klasma.github.io/Logging_0482/knärot/A 39595-2024 karta knärot.png", "A 39595-2024")</f>
        <v/>
      </c>
      <c r="V68">
        <f>HYPERLINK("https://klasma.github.io/Logging_0482/klagomål/A 39595-2024 FSC-klagomål.docx", "A 39595-2024")</f>
        <v/>
      </c>
      <c r="W68">
        <f>HYPERLINK("https://klasma.github.io/Logging_0482/klagomålsmail/A 39595-2024 FSC-klagomål mail.docx", "A 39595-2024")</f>
        <v/>
      </c>
      <c r="X68">
        <f>HYPERLINK("https://klasma.github.io/Logging_0482/tillsyn/A 39595-2024 tillsynsbegäran.docx", "A 39595-2024")</f>
        <v/>
      </c>
      <c r="Y68">
        <f>HYPERLINK("https://klasma.github.io/Logging_0482/tillsynsmail/A 39595-2024 tillsynsbegäran mail.docx", "A 39595-2024")</f>
        <v/>
      </c>
    </row>
    <row r="69" ht="15" customHeight="1">
      <c r="A69" t="inlineStr">
        <is>
          <t>A 50343-2024</t>
        </is>
      </c>
      <c r="B69" s="1" t="n">
        <v>45600</v>
      </c>
      <c r="C69" s="1" t="n">
        <v>45824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Blåsippa</t>
        </is>
      </c>
      <c r="S69">
        <f>HYPERLINK("https://klasma.github.io/Logging_0482/artfynd/A 50343-2024 artfynd.xlsx", "A 50343-2024")</f>
        <v/>
      </c>
      <c r="T69">
        <f>HYPERLINK("https://klasma.github.io/Logging_0482/kartor/A 50343-2024 karta.png", "A 50343-2024")</f>
        <v/>
      </c>
      <c r="V69">
        <f>HYPERLINK("https://klasma.github.io/Logging_0482/klagomål/A 50343-2024 FSC-klagomål.docx", "A 50343-2024")</f>
        <v/>
      </c>
      <c r="W69">
        <f>HYPERLINK("https://klasma.github.io/Logging_0482/klagomålsmail/A 50343-2024 FSC-klagomål mail.docx", "A 50343-2024")</f>
        <v/>
      </c>
      <c r="X69">
        <f>HYPERLINK("https://klasma.github.io/Logging_0482/tillsyn/A 50343-2024 tillsynsbegäran.docx", "A 50343-2024")</f>
        <v/>
      </c>
      <c r="Y69">
        <f>HYPERLINK("https://klasma.github.io/Logging_0482/tillsynsmail/A 50343-2024 tillsynsbegäran mail.docx", "A 50343-2024")</f>
        <v/>
      </c>
    </row>
    <row r="70" ht="15" customHeight="1">
      <c r="A70" t="inlineStr">
        <is>
          <t>A 1875-2025</t>
        </is>
      </c>
      <c r="B70" s="1" t="n">
        <v>45671</v>
      </c>
      <c r="C70" s="1" t="n">
        <v>45824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Slåtterfibbla
Svinrot</t>
        </is>
      </c>
      <c r="S70">
        <f>HYPERLINK("https://klasma.github.io/Logging_0482/artfynd/A 1875-2025 artfynd.xlsx", "A 1875-2025")</f>
        <v/>
      </c>
      <c r="T70">
        <f>HYPERLINK("https://klasma.github.io/Logging_0482/kartor/A 1875-2025 karta.png", "A 1875-2025")</f>
        <v/>
      </c>
      <c r="V70">
        <f>HYPERLINK("https://klasma.github.io/Logging_0482/klagomål/A 1875-2025 FSC-klagomål.docx", "A 1875-2025")</f>
        <v/>
      </c>
      <c r="W70">
        <f>HYPERLINK("https://klasma.github.io/Logging_0482/klagomålsmail/A 1875-2025 FSC-klagomål mail.docx", "A 1875-2025")</f>
        <v/>
      </c>
      <c r="X70">
        <f>HYPERLINK("https://klasma.github.io/Logging_0482/tillsyn/A 1875-2025 tillsynsbegäran.docx", "A 1875-2025")</f>
        <v/>
      </c>
      <c r="Y70">
        <f>HYPERLINK("https://klasma.github.io/Logging_0482/tillsynsmail/A 1875-2025 tillsynsbegäran mail.docx", "A 1875-2025")</f>
        <v/>
      </c>
    </row>
    <row r="71" ht="15" customHeight="1">
      <c r="A71" t="inlineStr">
        <is>
          <t>A 4536-2025</t>
        </is>
      </c>
      <c r="B71" s="1" t="n">
        <v>45687</v>
      </c>
      <c r="C71" s="1" t="n">
        <v>45824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5.3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Brandticka</t>
        </is>
      </c>
      <c r="S71">
        <f>HYPERLINK("https://klasma.github.io/Logging_0482/artfynd/A 4536-2025 artfynd.xlsx", "A 4536-2025")</f>
        <v/>
      </c>
      <c r="T71">
        <f>HYPERLINK("https://klasma.github.io/Logging_0482/kartor/A 4536-2025 karta.png", "A 4536-2025")</f>
        <v/>
      </c>
      <c r="V71">
        <f>HYPERLINK("https://klasma.github.io/Logging_0482/klagomål/A 4536-2025 FSC-klagomål.docx", "A 4536-2025")</f>
        <v/>
      </c>
      <c r="W71">
        <f>HYPERLINK("https://klasma.github.io/Logging_0482/klagomålsmail/A 4536-2025 FSC-klagomål mail.docx", "A 4536-2025")</f>
        <v/>
      </c>
      <c r="X71">
        <f>HYPERLINK("https://klasma.github.io/Logging_0482/tillsyn/A 4536-2025 tillsynsbegäran.docx", "A 4536-2025")</f>
        <v/>
      </c>
      <c r="Y71">
        <f>HYPERLINK("https://klasma.github.io/Logging_0482/tillsynsmail/A 4536-2025 tillsynsbegäran mail.docx", "A 4536-2025")</f>
        <v/>
      </c>
      <c r="Z71">
        <f>HYPERLINK("https://klasma.github.io/Logging_0482/fåglar/A 4536-2025 prioriterade fågelarter.docx", "A 4536-2025")</f>
        <v/>
      </c>
    </row>
    <row r="72" ht="15" customHeight="1">
      <c r="A72" t="inlineStr">
        <is>
          <t>A 18548-2019</t>
        </is>
      </c>
      <c r="B72" s="1" t="n">
        <v>43558</v>
      </c>
      <c r="C72" s="1" t="n">
        <v>45824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18548-2019 artfynd.xlsx", "A 18548-2019")</f>
        <v/>
      </c>
      <c r="T72">
        <f>HYPERLINK("https://klasma.github.io/Logging_0482/kartor/A 18548-2019 karta.png", "A 18548-2019")</f>
        <v/>
      </c>
      <c r="V72">
        <f>HYPERLINK("https://klasma.github.io/Logging_0482/klagomål/A 18548-2019 FSC-klagomål.docx", "A 18548-2019")</f>
        <v/>
      </c>
      <c r="W72">
        <f>HYPERLINK("https://klasma.github.io/Logging_0482/klagomålsmail/A 18548-2019 FSC-klagomål mail.docx", "A 18548-2019")</f>
        <v/>
      </c>
      <c r="X72">
        <f>HYPERLINK("https://klasma.github.io/Logging_0482/tillsyn/A 18548-2019 tillsynsbegäran.docx", "A 18548-2019")</f>
        <v/>
      </c>
      <c r="Y72">
        <f>HYPERLINK("https://klasma.github.io/Logging_0482/tillsynsmail/A 18548-2019 tillsynsbegäran mail.docx", "A 18548-2019")</f>
        <v/>
      </c>
    </row>
    <row r="73" ht="15" customHeight="1">
      <c r="A73" t="inlineStr">
        <is>
          <t>A 39446-2019</t>
        </is>
      </c>
      <c r="B73" s="1" t="n">
        <v>43691</v>
      </c>
      <c r="C73" s="1" t="n">
        <v>45824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dunört</t>
        </is>
      </c>
      <c r="S73">
        <f>HYPERLINK("https://klasma.github.io/Logging_0482/artfynd/A 39446-2019 artfynd.xlsx", "A 39446-2019")</f>
        <v/>
      </c>
      <c r="T73">
        <f>HYPERLINK("https://klasma.github.io/Logging_0482/kartor/A 39446-2019 karta.png", "A 39446-2019")</f>
        <v/>
      </c>
      <c r="V73">
        <f>HYPERLINK("https://klasma.github.io/Logging_0482/klagomål/A 39446-2019 FSC-klagomål.docx", "A 39446-2019")</f>
        <v/>
      </c>
      <c r="W73">
        <f>HYPERLINK("https://klasma.github.io/Logging_0482/klagomålsmail/A 39446-2019 FSC-klagomål mail.docx", "A 39446-2019")</f>
        <v/>
      </c>
      <c r="X73">
        <f>HYPERLINK("https://klasma.github.io/Logging_0482/tillsyn/A 39446-2019 tillsynsbegäran.docx", "A 39446-2019")</f>
        <v/>
      </c>
      <c r="Y73">
        <f>HYPERLINK("https://klasma.github.io/Logging_0482/tillsynsmail/A 39446-2019 tillsynsbegäran mail.docx", "A 39446-2019")</f>
        <v/>
      </c>
    </row>
    <row r="74" ht="15" customHeight="1">
      <c r="A74" t="inlineStr">
        <is>
          <t>A 43329-2019</t>
        </is>
      </c>
      <c r="B74" s="1" t="n">
        <v>43703</v>
      </c>
      <c r="C74" s="1" t="n">
        <v>45824</v>
      </c>
      <c r="D74" t="inlineStr">
        <is>
          <t>SÖDERMANLANDS LÄN</t>
        </is>
      </c>
      <c r="E74" t="inlineStr">
        <is>
          <t>FLEN</t>
        </is>
      </c>
      <c r="G74" t="n">
        <v>8.5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HYPERLINK("https://klasma.github.io/Logging_0482/artfynd/A 43329-2019 artfynd.xlsx", "A 43329-2019")</f>
        <v/>
      </c>
      <c r="T74">
        <f>HYPERLINK("https://klasma.github.io/Logging_0482/kartor/A 43329-2019 karta.png", "A 43329-2019")</f>
        <v/>
      </c>
      <c r="U74">
        <f>HYPERLINK("https://klasma.github.io/Logging_0482/knärot/A 43329-2019 karta knärot.png", "A 43329-2019")</f>
        <v/>
      </c>
      <c r="V74">
        <f>HYPERLINK("https://klasma.github.io/Logging_0482/klagomål/A 43329-2019 FSC-klagomål.docx", "A 43329-2019")</f>
        <v/>
      </c>
      <c r="W74">
        <f>HYPERLINK("https://klasma.github.io/Logging_0482/klagomålsmail/A 43329-2019 FSC-klagomål mail.docx", "A 43329-2019")</f>
        <v/>
      </c>
      <c r="X74">
        <f>HYPERLINK("https://klasma.github.io/Logging_0482/tillsyn/A 43329-2019 tillsynsbegäran.docx", "A 43329-2019")</f>
        <v/>
      </c>
      <c r="Y74">
        <f>HYPERLINK("https://klasma.github.io/Logging_0482/tillsynsmail/A 43329-2019 tillsynsbegäran mail.docx", "A 43329-2019")</f>
        <v/>
      </c>
    </row>
    <row r="75" ht="15" customHeight="1">
      <c r="A75" t="inlineStr">
        <is>
          <t>A 43369-2019</t>
        </is>
      </c>
      <c r="B75" s="1" t="n">
        <v>43703</v>
      </c>
      <c r="C75" s="1" t="n">
        <v>45824</v>
      </c>
      <c r="D75" t="inlineStr">
        <is>
          <t>SÖDERMANLANDS LÄN</t>
        </is>
      </c>
      <c r="E75" t="inlineStr">
        <is>
          <t>FLEN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HYPERLINK("https://klasma.github.io/Logging_0482/artfynd/A 43369-2019 artfynd.xlsx", "A 43369-2019")</f>
        <v/>
      </c>
      <c r="T75">
        <f>HYPERLINK("https://klasma.github.io/Logging_0482/kartor/A 43369-2019 karta.png", "A 43369-2019")</f>
        <v/>
      </c>
      <c r="V75">
        <f>HYPERLINK("https://klasma.github.io/Logging_0482/klagomål/A 43369-2019 FSC-klagomål.docx", "A 43369-2019")</f>
        <v/>
      </c>
      <c r="W75">
        <f>HYPERLINK("https://klasma.github.io/Logging_0482/klagomålsmail/A 43369-2019 FSC-klagomål mail.docx", "A 43369-2019")</f>
        <v/>
      </c>
      <c r="X75">
        <f>HYPERLINK("https://klasma.github.io/Logging_0482/tillsyn/A 43369-2019 tillsynsbegäran.docx", "A 43369-2019")</f>
        <v/>
      </c>
      <c r="Y75">
        <f>HYPERLINK("https://klasma.github.io/Logging_0482/tillsynsmail/A 43369-2019 tillsynsbegäran mail.docx", "A 43369-2019")</f>
        <v/>
      </c>
    </row>
    <row r="76" ht="15" customHeight="1">
      <c r="A76" t="inlineStr">
        <is>
          <t>A 54418-2019</t>
        </is>
      </c>
      <c r="B76" s="1" t="n">
        <v>43747</v>
      </c>
      <c r="C76" s="1" t="n">
        <v>45824</v>
      </c>
      <c r="D76" t="inlineStr">
        <is>
          <t>SÖDERMANLANDS LÄN</t>
        </is>
      </c>
      <c r="E76" t="inlineStr">
        <is>
          <t>FLEN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54418-2019 artfynd.xlsx", "A 54418-2019")</f>
        <v/>
      </c>
      <c r="T76">
        <f>HYPERLINK("https://klasma.github.io/Logging_0482/kartor/A 54418-2019 karta.png", "A 54418-2019")</f>
        <v/>
      </c>
      <c r="V76">
        <f>HYPERLINK("https://klasma.github.io/Logging_0482/klagomål/A 54418-2019 FSC-klagomål.docx", "A 54418-2019")</f>
        <v/>
      </c>
      <c r="W76">
        <f>HYPERLINK("https://klasma.github.io/Logging_0482/klagomålsmail/A 54418-2019 FSC-klagomål mail.docx", "A 54418-2019")</f>
        <v/>
      </c>
      <c r="X76">
        <f>HYPERLINK("https://klasma.github.io/Logging_0482/tillsyn/A 54418-2019 tillsynsbegäran.docx", "A 54418-2019")</f>
        <v/>
      </c>
      <c r="Y76">
        <f>HYPERLINK("https://klasma.github.io/Logging_0482/tillsynsmail/A 54418-2019 tillsynsbegäran mail.docx", "A 54418-2019")</f>
        <v/>
      </c>
    </row>
    <row r="77" ht="15" customHeight="1">
      <c r="A77" t="inlineStr">
        <is>
          <t>A 55376-2019</t>
        </is>
      </c>
      <c r="B77" s="1" t="n">
        <v>43754</v>
      </c>
      <c r="C77" s="1" t="n">
        <v>45824</v>
      </c>
      <c r="D77" t="inlineStr">
        <is>
          <t>SÖDERMANLANDS LÄN</t>
        </is>
      </c>
      <c r="E77" t="inlineStr">
        <is>
          <t>FLEN</t>
        </is>
      </c>
      <c r="G77" t="n">
        <v>6.5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HYPERLINK("https://klasma.github.io/Logging_0482/artfynd/A 55376-2019 artfynd.xlsx", "A 55376-2019")</f>
        <v/>
      </c>
      <c r="T77">
        <f>HYPERLINK("https://klasma.github.io/Logging_0482/kartor/A 55376-2019 karta.png", "A 55376-2019")</f>
        <v/>
      </c>
      <c r="V77">
        <f>HYPERLINK("https://klasma.github.io/Logging_0482/klagomål/A 55376-2019 FSC-klagomål.docx", "A 55376-2019")</f>
        <v/>
      </c>
      <c r="W77">
        <f>HYPERLINK("https://klasma.github.io/Logging_0482/klagomålsmail/A 55376-2019 FSC-klagomål mail.docx", "A 55376-2019")</f>
        <v/>
      </c>
      <c r="X77">
        <f>HYPERLINK("https://klasma.github.io/Logging_0482/tillsyn/A 55376-2019 tillsynsbegäran.docx", "A 55376-2019")</f>
        <v/>
      </c>
      <c r="Y77">
        <f>HYPERLINK("https://klasma.github.io/Logging_0482/tillsynsmail/A 55376-2019 tillsynsbegäran mail.docx", "A 55376-2019")</f>
        <v/>
      </c>
    </row>
    <row r="78" ht="15" customHeight="1">
      <c r="A78" t="inlineStr">
        <is>
          <t>A 4372-2020</t>
        </is>
      </c>
      <c r="B78" s="1" t="n">
        <v>43858</v>
      </c>
      <c r="C78" s="1" t="n">
        <v>45824</v>
      </c>
      <c r="D78" t="inlineStr">
        <is>
          <t>SÖDERMANLANDS LÄN</t>
        </is>
      </c>
      <c r="E78" t="inlineStr">
        <is>
          <t>FLEN</t>
        </is>
      </c>
      <c r="G78" t="n">
        <v>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4372-2020 artfynd.xlsx", "A 4372-2020")</f>
        <v/>
      </c>
      <c r="T78">
        <f>HYPERLINK("https://klasma.github.io/Logging_0482/kartor/A 4372-2020 karta.png", "A 4372-2020")</f>
        <v/>
      </c>
      <c r="V78">
        <f>HYPERLINK("https://klasma.github.io/Logging_0482/klagomål/A 4372-2020 FSC-klagomål.docx", "A 4372-2020")</f>
        <v/>
      </c>
      <c r="W78">
        <f>HYPERLINK("https://klasma.github.io/Logging_0482/klagomålsmail/A 4372-2020 FSC-klagomål mail.docx", "A 4372-2020")</f>
        <v/>
      </c>
      <c r="X78">
        <f>HYPERLINK("https://klasma.github.io/Logging_0482/tillsyn/A 4372-2020 tillsynsbegäran.docx", "A 4372-2020")</f>
        <v/>
      </c>
      <c r="Y78">
        <f>HYPERLINK("https://klasma.github.io/Logging_0482/tillsynsmail/A 4372-2020 tillsynsbegäran mail.docx", "A 4372-2020")</f>
        <v/>
      </c>
    </row>
    <row r="79" ht="15" customHeight="1">
      <c r="A79" t="inlineStr">
        <is>
          <t>A 5210-2020</t>
        </is>
      </c>
      <c r="B79" s="1" t="n">
        <v>43860</v>
      </c>
      <c r="C79" s="1" t="n">
        <v>45824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5210-2020 artfynd.xlsx", "A 5210-2020")</f>
        <v/>
      </c>
      <c r="T79">
        <f>HYPERLINK("https://klasma.github.io/Logging_0482/kartor/A 5210-2020 karta.png", "A 5210-2020")</f>
        <v/>
      </c>
      <c r="V79">
        <f>HYPERLINK("https://klasma.github.io/Logging_0482/klagomål/A 5210-2020 FSC-klagomål.docx", "A 5210-2020")</f>
        <v/>
      </c>
      <c r="W79">
        <f>HYPERLINK("https://klasma.github.io/Logging_0482/klagomålsmail/A 5210-2020 FSC-klagomål mail.docx", "A 5210-2020")</f>
        <v/>
      </c>
      <c r="X79">
        <f>HYPERLINK("https://klasma.github.io/Logging_0482/tillsyn/A 5210-2020 tillsynsbegäran.docx", "A 5210-2020")</f>
        <v/>
      </c>
      <c r="Y79">
        <f>HYPERLINK("https://klasma.github.io/Logging_0482/tillsynsmail/A 5210-2020 tillsynsbegäran mail.docx", "A 5210-2020")</f>
        <v/>
      </c>
    </row>
    <row r="80" ht="15" customHeight="1">
      <c r="A80" t="inlineStr">
        <is>
          <t>A 14229-2020</t>
        </is>
      </c>
      <c r="B80" s="1" t="n">
        <v>43907</v>
      </c>
      <c r="C80" s="1" t="n">
        <v>45824</v>
      </c>
      <c r="D80" t="inlineStr">
        <is>
          <t>SÖDERMANLANDS LÄN</t>
        </is>
      </c>
      <c r="E80" t="inlineStr">
        <is>
          <t>FLEN</t>
        </is>
      </c>
      <c r="G80" t="n">
        <v>0.7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14229-2020 artfynd.xlsx", "A 14229-2020")</f>
        <v/>
      </c>
      <c r="T80">
        <f>HYPERLINK("https://klasma.github.io/Logging_0482/kartor/A 14229-2020 karta.png", "A 14229-2020")</f>
        <v/>
      </c>
      <c r="V80">
        <f>HYPERLINK("https://klasma.github.io/Logging_0482/klagomål/A 14229-2020 FSC-klagomål.docx", "A 14229-2020")</f>
        <v/>
      </c>
      <c r="W80">
        <f>HYPERLINK("https://klasma.github.io/Logging_0482/klagomålsmail/A 14229-2020 FSC-klagomål mail.docx", "A 14229-2020")</f>
        <v/>
      </c>
      <c r="X80">
        <f>HYPERLINK("https://klasma.github.io/Logging_0482/tillsyn/A 14229-2020 tillsynsbegäran.docx", "A 14229-2020")</f>
        <v/>
      </c>
      <c r="Y80">
        <f>HYPERLINK("https://klasma.github.io/Logging_0482/tillsynsmail/A 14229-2020 tillsynsbegäran mail.docx", "A 14229-2020")</f>
        <v/>
      </c>
    </row>
    <row r="81" ht="15" customHeight="1">
      <c r="A81" t="inlineStr">
        <is>
          <t>A 20001-2020</t>
        </is>
      </c>
      <c r="B81" s="1" t="n">
        <v>43943</v>
      </c>
      <c r="C81" s="1" t="n">
        <v>45824</v>
      </c>
      <c r="D81" t="inlineStr">
        <is>
          <t>SÖDERMANLANDS LÄN</t>
        </is>
      </c>
      <c r="E81" t="inlineStr">
        <is>
          <t>FLEN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20001-2020 artfynd.xlsx", "A 20001-2020")</f>
        <v/>
      </c>
      <c r="T81">
        <f>HYPERLINK("https://klasma.github.io/Logging_0482/kartor/A 20001-2020 karta.png", "A 20001-2020")</f>
        <v/>
      </c>
      <c r="V81">
        <f>HYPERLINK("https://klasma.github.io/Logging_0482/klagomål/A 20001-2020 FSC-klagomål.docx", "A 20001-2020")</f>
        <v/>
      </c>
      <c r="W81">
        <f>HYPERLINK("https://klasma.github.io/Logging_0482/klagomålsmail/A 20001-2020 FSC-klagomål mail.docx", "A 20001-2020")</f>
        <v/>
      </c>
      <c r="X81">
        <f>HYPERLINK("https://klasma.github.io/Logging_0482/tillsyn/A 20001-2020 tillsynsbegäran.docx", "A 20001-2020")</f>
        <v/>
      </c>
      <c r="Y81">
        <f>HYPERLINK("https://klasma.github.io/Logging_0482/tillsynsmail/A 20001-2020 tillsynsbegäran mail.docx", "A 20001-2020")</f>
        <v/>
      </c>
    </row>
    <row r="82" ht="15" customHeight="1">
      <c r="A82" t="inlineStr">
        <is>
          <t>A 21704-2020</t>
        </is>
      </c>
      <c r="B82" s="1" t="n">
        <v>43957</v>
      </c>
      <c r="C82" s="1" t="n">
        <v>45824</v>
      </c>
      <c r="D82" t="inlineStr">
        <is>
          <t>SÖDERMANLANDS LÄN</t>
        </is>
      </c>
      <c r="E82" t="inlineStr">
        <is>
          <t>FLEN</t>
        </is>
      </c>
      <c r="G82" t="n">
        <v>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HYPERLINK("https://klasma.github.io/Logging_0482/artfynd/A 21704-2020 artfynd.xlsx", "A 21704-2020")</f>
        <v/>
      </c>
      <c r="T82">
        <f>HYPERLINK("https://klasma.github.io/Logging_0482/kartor/A 21704-2020 karta.png", "A 21704-2020")</f>
        <v/>
      </c>
      <c r="V82">
        <f>HYPERLINK("https://klasma.github.io/Logging_0482/klagomål/A 21704-2020 FSC-klagomål.docx", "A 21704-2020")</f>
        <v/>
      </c>
      <c r="W82">
        <f>HYPERLINK("https://klasma.github.io/Logging_0482/klagomålsmail/A 21704-2020 FSC-klagomål mail.docx", "A 21704-2020")</f>
        <v/>
      </c>
      <c r="X82">
        <f>HYPERLINK("https://klasma.github.io/Logging_0482/tillsyn/A 21704-2020 tillsynsbegäran.docx", "A 21704-2020")</f>
        <v/>
      </c>
      <c r="Y82">
        <f>HYPERLINK("https://klasma.github.io/Logging_0482/tillsynsmail/A 21704-2020 tillsynsbegäran mail.docx", "A 21704-2020")</f>
        <v/>
      </c>
      <c r="Z82">
        <f>HYPERLINK("https://klasma.github.io/Logging_0482/fåglar/A 21704-2020 prioriterade fågelarter.docx", "A 21704-2020")</f>
        <v/>
      </c>
    </row>
    <row r="83" ht="15" customHeight="1">
      <c r="A83" t="inlineStr">
        <is>
          <t>A 31870-2020</t>
        </is>
      </c>
      <c r="B83" s="1" t="n">
        <v>44014</v>
      </c>
      <c r="C83" s="1" t="n">
        <v>45824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10.1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Mellanlummer</t>
        </is>
      </c>
      <c r="S83">
        <f>HYPERLINK("https://klasma.github.io/Logging_0482/artfynd/A 31870-2020 artfynd.xlsx", "A 31870-2020")</f>
        <v/>
      </c>
      <c r="T83">
        <f>HYPERLINK("https://klasma.github.io/Logging_0482/kartor/A 31870-2020 karta.png", "A 31870-2020")</f>
        <v/>
      </c>
      <c r="V83">
        <f>HYPERLINK("https://klasma.github.io/Logging_0482/klagomål/A 31870-2020 FSC-klagomål.docx", "A 31870-2020")</f>
        <v/>
      </c>
      <c r="W83">
        <f>HYPERLINK("https://klasma.github.io/Logging_0482/klagomålsmail/A 31870-2020 FSC-klagomål mail.docx", "A 31870-2020")</f>
        <v/>
      </c>
      <c r="X83">
        <f>HYPERLINK("https://klasma.github.io/Logging_0482/tillsyn/A 31870-2020 tillsynsbegäran.docx", "A 31870-2020")</f>
        <v/>
      </c>
      <c r="Y83">
        <f>HYPERLINK("https://klasma.github.io/Logging_0482/tillsynsmail/A 31870-2020 tillsynsbegäran mail.docx", "A 31870-2020")</f>
        <v/>
      </c>
    </row>
    <row r="84" ht="15" customHeight="1">
      <c r="A84" t="inlineStr">
        <is>
          <t>A 55009-2020</t>
        </is>
      </c>
      <c r="B84" s="1" t="n">
        <v>44127</v>
      </c>
      <c r="C84" s="1" t="n">
        <v>45824</v>
      </c>
      <c r="D84" t="inlineStr">
        <is>
          <t>SÖDERMANLANDS LÄN</t>
        </is>
      </c>
      <c r="E84" t="inlineStr">
        <is>
          <t>FLEN</t>
        </is>
      </c>
      <c r="G84" t="n">
        <v>26.6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HYPERLINK("https://klasma.github.io/Logging_0482/artfynd/A 55009-2020 artfynd.xlsx", "A 55009-2020")</f>
        <v/>
      </c>
      <c r="T84">
        <f>HYPERLINK("https://klasma.github.io/Logging_0482/kartor/A 55009-2020 karta.png", "A 55009-2020")</f>
        <v/>
      </c>
      <c r="V84">
        <f>HYPERLINK("https://klasma.github.io/Logging_0482/klagomål/A 55009-2020 FSC-klagomål.docx", "A 55009-2020")</f>
        <v/>
      </c>
      <c r="W84">
        <f>HYPERLINK("https://klasma.github.io/Logging_0482/klagomålsmail/A 55009-2020 FSC-klagomål mail.docx", "A 55009-2020")</f>
        <v/>
      </c>
      <c r="X84">
        <f>HYPERLINK("https://klasma.github.io/Logging_0482/tillsyn/A 55009-2020 tillsynsbegäran.docx", "A 55009-2020")</f>
        <v/>
      </c>
      <c r="Y84">
        <f>HYPERLINK("https://klasma.github.io/Logging_0482/tillsynsmail/A 55009-2020 tillsynsbegäran mail.docx", "A 55009-2020")</f>
        <v/>
      </c>
    </row>
    <row r="85" ht="15" customHeight="1">
      <c r="A85" t="inlineStr">
        <is>
          <t>A 57173-2020</t>
        </is>
      </c>
      <c r="B85" s="1" t="n">
        <v>44138</v>
      </c>
      <c r="C85" s="1" t="n">
        <v>45824</v>
      </c>
      <c r="D85" t="inlineStr">
        <is>
          <t>SÖDERMANLANDS LÄN</t>
        </is>
      </c>
      <c r="E85" t="inlineStr">
        <is>
          <t>FLEN</t>
        </is>
      </c>
      <c r="G85" t="n">
        <v>4.8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57173-2020 artfynd.xlsx", "A 57173-2020")</f>
        <v/>
      </c>
      <c r="T85">
        <f>HYPERLINK("https://klasma.github.io/Logging_0482/kartor/A 57173-2020 karta.png", "A 57173-2020")</f>
        <v/>
      </c>
      <c r="U85">
        <f>HYPERLINK("https://klasma.github.io/Logging_0482/knärot/A 57173-2020 karta knärot.png", "A 57173-2020")</f>
        <v/>
      </c>
      <c r="V85">
        <f>HYPERLINK("https://klasma.github.io/Logging_0482/klagomål/A 57173-2020 FSC-klagomål.docx", "A 57173-2020")</f>
        <v/>
      </c>
      <c r="W85">
        <f>HYPERLINK("https://klasma.github.io/Logging_0482/klagomålsmail/A 57173-2020 FSC-klagomål mail.docx", "A 57173-2020")</f>
        <v/>
      </c>
      <c r="X85">
        <f>HYPERLINK("https://klasma.github.io/Logging_0482/tillsyn/A 57173-2020 tillsynsbegäran.docx", "A 57173-2020")</f>
        <v/>
      </c>
      <c r="Y85">
        <f>HYPERLINK("https://klasma.github.io/Logging_0482/tillsynsmail/A 57173-2020 tillsynsbegäran mail.docx", "A 57173-2020")</f>
        <v/>
      </c>
    </row>
    <row r="86" ht="15" customHeight="1">
      <c r="A86" t="inlineStr">
        <is>
          <t>A 8176-2021</t>
        </is>
      </c>
      <c r="B86" s="1" t="n">
        <v>44242</v>
      </c>
      <c r="C86" s="1" t="n">
        <v>45824</v>
      </c>
      <c r="D86" t="inlineStr">
        <is>
          <t>SÖDERMANLANDS LÄN</t>
        </is>
      </c>
      <c r="E86" t="inlineStr">
        <is>
          <t>FLEN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HYPERLINK("https://klasma.github.io/Logging_0482/artfynd/A 8176-2021 artfynd.xlsx", "A 8176-2021")</f>
        <v/>
      </c>
      <c r="T86">
        <f>HYPERLINK("https://klasma.github.io/Logging_0482/kartor/A 8176-2021 karta.png", "A 8176-2021")</f>
        <v/>
      </c>
      <c r="U86">
        <f>HYPERLINK("https://klasma.github.io/Logging_0482/knärot/A 8176-2021 karta knärot.png", "A 8176-2021")</f>
        <v/>
      </c>
      <c r="V86">
        <f>HYPERLINK("https://klasma.github.io/Logging_0482/klagomål/A 8176-2021 FSC-klagomål.docx", "A 8176-2021")</f>
        <v/>
      </c>
      <c r="W86">
        <f>HYPERLINK("https://klasma.github.io/Logging_0482/klagomålsmail/A 8176-2021 FSC-klagomål mail.docx", "A 8176-2021")</f>
        <v/>
      </c>
      <c r="X86">
        <f>HYPERLINK("https://klasma.github.io/Logging_0482/tillsyn/A 8176-2021 tillsynsbegäran.docx", "A 8176-2021")</f>
        <v/>
      </c>
      <c r="Y86">
        <f>HYPERLINK("https://klasma.github.io/Logging_0482/tillsynsmail/A 8176-2021 tillsynsbegäran mail.docx", "A 8176-2021")</f>
        <v/>
      </c>
    </row>
    <row r="87" ht="15" customHeight="1">
      <c r="A87" t="inlineStr">
        <is>
          <t>A 37347-2021</t>
        </is>
      </c>
      <c r="B87" s="1" t="n">
        <v>44397</v>
      </c>
      <c r="C87" s="1" t="n">
        <v>45824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HYPERLINK("https://klasma.github.io/Logging_0482/artfynd/A 37347-2021 artfynd.xlsx", "A 37347-2021")</f>
        <v/>
      </c>
      <c r="T87">
        <f>HYPERLINK("https://klasma.github.io/Logging_0482/kartor/A 37347-2021 karta.png", "A 37347-2021")</f>
        <v/>
      </c>
      <c r="V87">
        <f>HYPERLINK("https://klasma.github.io/Logging_0482/klagomål/A 37347-2021 FSC-klagomål.docx", "A 37347-2021")</f>
        <v/>
      </c>
      <c r="W87">
        <f>HYPERLINK("https://klasma.github.io/Logging_0482/klagomålsmail/A 37347-2021 FSC-klagomål mail.docx", "A 37347-2021")</f>
        <v/>
      </c>
      <c r="X87">
        <f>HYPERLINK("https://klasma.github.io/Logging_0482/tillsyn/A 37347-2021 tillsynsbegäran.docx", "A 37347-2021")</f>
        <v/>
      </c>
      <c r="Y87">
        <f>HYPERLINK("https://klasma.github.io/Logging_0482/tillsynsmail/A 37347-2021 tillsynsbegäran mail.docx", "A 37347-2021")</f>
        <v/>
      </c>
    </row>
    <row r="88" ht="15" customHeight="1">
      <c r="A88" t="inlineStr">
        <is>
          <t>A 45120-2021</t>
        </is>
      </c>
      <c r="B88" s="1" t="n">
        <v>44439</v>
      </c>
      <c r="C88" s="1" t="n">
        <v>45824</v>
      </c>
      <c r="D88" t="inlineStr">
        <is>
          <t>SÖDERMANLANDS LÄN</t>
        </is>
      </c>
      <c r="E88" t="inlineStr">
        <is>
          <t>FLEN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45120-2021 artfynd.xlsx", "A 45120-2021")</f>
        <v/>
      </c>
      <c r="T88">
        <f>HYPERLINK("https://klasma.github.io/Logging_0482/kartor/A 45120-2021 karta.png", "A 45120-2021")</f>
        <v/>
      </c>
      <c r="V88">
        <f>HYPERLINK("https://klasma.github.io/Logging_0482/klagomål/A 45120-2021 FSC-klagomål.docx", "A 45120-2021")</f>
        <v/>
      </c>
      <c r="W88">
        <f>HYPERLINK("https://klasma.github.io/Logging_0482/klagomålsmail/A 45120-2021 FSC-klagomål mail.docx", "A 45120-2021")</f>
        <v/>
      </c>
      <c r="X88">
        <f>HYPERLINK("https://klasma.github.io/Logging_0482/tillsyn/A 45120-2021 tillsynsbegäran.docx", "A 45120-2021")</f>
        <v/>
      </c>
      <c r="Y88">
        <f>HYPERLINK("https://klasma.github.io/Logging_0482/tillsynsmail/A 45120-2021 tillsynsbegäran mail.docx", "A 45120-2021")</f>
        <v/>
      </c>
    </row>
    <row r="89" ht="15" customHeight="1">
      <c r="A89" t="inlineStr">
        <is>
          <t>A 48520-2021</t>
        </is>
      </c>
      <c r="B89" s="1" t="n">
        <v>44449</v>
      </c>
      <c r="C89" s="1" t="n">
        <v>45824</v>
      </c>
      <c r="D89" t="inlineStr">
        <is>
          <t>SÖDERMANLANDS LÄN</t>
        </is>
      </c>
      <c r="E89" t="inlineStr">
        <is>
          <t>FLEN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HYPERLINK("https://klasma.github.io/Logging_0482/artfynd/A 48520-2021 artfynd.xlsx", "A 48520-2021")</f>
        <v/>
      </c>
      <c r="T89">
        <f>HYPERLINK("https://klasma.github.io/Logging_0482/kartor/A 48520-2021 karta.png", "A 48520-2021")</f>
        <v/>
      </c>
      <c r="V89">
        <f>HYPERLINK("https://klasma.github.io/Logging_0482/klagomål/A 48520-2021 FSC-klagomål.docx", "A 48520-2021")</f>
        <v/>
      </c>
      <c r="W89">
        <f>HYPERLINK("https://klasma.github.io/Logging_0482/klagomålsmail/A 48520-2021 FSC-klagomål mail.docx", "A 48520-2021")</f>
        <v/>
      </c>
      <c r="X89">
        <f>HYPERLINK("https://klasma.github.io/Logging_0482/tillsyn/A 48520-2021 tillsynsbegäran.docx", "A 48520-2021")</f>
        <v/>
      </c>
      <c r="Y89">
        <f>HYPERLINK("https://klasma.github.io/Logging_0482/tillsynsmail/A 48520-2021 tillsynsbegäran mail.docx", "A 48520-2021")</f>
        <v/>
      </c>
    </row>
    <row r="90" ht="15" customHeight="1">
      <c r="A90" t="inlineStr">
        <is>
          <t>A 49255-2021</t>
        </is>
      </c>
      <c r="B90" s="1" t="n">
        <v>44454</v>
      </c>
      <c r="C90" s="1" t="n">
        <v>45824</v>
      </c>
      <c r="D90" t="inlineStr">
        <is>
          <t>SÖDERMANLANDS LÄN</t>
        </is>
      </c>
      <c r="E90" t="inlineStr">
        <is>
          <t>FLEN</t>
        </is>
      </c>
      <c r="G90" t="n">
        <v>15.6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HYPERLINK("https://klasma.github.io/Logging_0482/artfynd/A 49255-2021 artfynd.xlsx", "A 49255-2021")</f>
        <v/>
      </c>
      <c r="T90">
        <f>HYPERLINK("https://klasma.github.io/Logging_0482/kartor/A 49255-2021 karta.png", "A 49255-2021")</f>
        <v/>
      </c>
      <c r="V90">
        <f>HYPERLINK("https://klasma.github.io/Logging_0482/klagomål/A 49255-2021 FSC-klagomål.docx", "A 49255-2021")</f>
        <v/>
      </c>
      <c r="W90">
        <f>HYPERLINK("https://klasma.github.io/Logging_0482/klagomålsmail/A 49255-2021 FSC-klagomål mail.docx", "A 49255-2021")</f>
        <v/>
      </c>
      <c r="X90">
        <f>HYPERLINK("https://klasma.github.io/Logging_0482/tillsyn/A 49255-2021 tillsynsbegäran.docx", "A 49255-2021")</f>
        <v/>
      </c>
      <c r="Y90">
        <f>HYPERLINK("https://klasma.github.io/Logging_0482/tillsynsmail/A 49255-2021 tillsynsbegäran mail.docx", "A 49255-2021")</f>
        <v/>
      </c>
    </row>
    <row r="91" ht="15" customHeight="1">
      <c r="A91" t="inlineStr">
        <is>
          <t>A 55092-2021</t>
        </is>
      </c>
      <c r="B91" s="1" t="n">
        <v>44474</v>
      </c>
      <c r="C91" s="1" t="n">
        <v>45824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Huggorm</t>
        </is>
      </c>
      <c r="S91">
        <f>HYPERLINK("https://klasma.github.io/Logging_0482/artfynd/A 55092-2021 artfynd.xlsx", "A 55092-2021")</f>
        <v/>
      </c>
      <c r="T91">
        <f>HYPERLINK("https://klasma.github.io/Logging_0482/kartor/A 55092-2021 karta.png", "A 55092-2021")</f>
        <v/>
      </c>
      <c r="V91">
        <f>HYPERLINK("https://klasma.github.io/Logging_0482/klagomål/A 55092-2021 FSC-klagomål.docx", "A 55092-2021")</f>
        <v/>
      </c>
      <c r="W91">
        <f>HYPERLINK("https://klasma.github.io/Logging_0482/klagomålsmail/A 55092-2021 FSC-klagomål mail.docx", "A 55092-2021")</f>
        <v/>
      </c>
      <c r="X91">
        <f>HYPERLINK("https://klasma.github.io/Logging_0482/tillsyn/A 55092-2021 tillsynsbegäran.docx", "A 55092-2021")</f>
        <v/>
      </c>
      <c r="Y91">
        <f>HYPERLINK("https://klasma.github.io/Logging_0482/tillsynsmail/A 55092-2021 tillsynsbegäran mail.docx", "A 55092-2021")</f>
        <v/>
      </c>
    </row>
    <row r="92" ht="15" customHeight="1">
      <c r="A92" t="inlineStr">
        <is>
          <t>A 57766-2021</t>
        </is>
      </c>
      <c r="B92" s="1" t="n">
        <v>44484</v>
      </c>
      <c r="C92" s="1" t="n">
        <v>45824</v>
      </c>
      <c r="D92" t="inlineStr">
        <is>
          <t>SÖDERMANLANDS LÄN</t>
        </is>
      </c>
      <c r="E92" t="inlineStr">
        <is>
          <t>FLEN</t>
        </is>
      </c>
      <c r="G92" t="n">
        <v>9.9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57766-2021 artfynd.xlsx", "A 57766-2021")</f>
        <v/>
      </c>
      <c r="T92">
        <f>HYPERLINK("https://klasma.github.io/Logging_0482/kartor/A 57766-2021 karta.png", "A 57766-2021")</f>
        <v/>
      </c>
      <c r="V92">
        <f>HYPERLINK("https://klasma.github.io/Logging_0482/klagomål/A 57766-2021 FSC-klagomål.docx", "A 57766-2021")</f>
        <v/>
      </c>
      <c r="W92">
        <f>HYPERLINK("https://klasma.github.io/Logging_0482/klagomålsmail/A 57766-2021 FSC-klagomål mail.docx", "A 57766-2021")</f>
        <v/>
      </c>
      <c r="X92">
        <f>HYPERLINK("https://klasma.github.io/Logging_0482/tillsyn/A 57766-2021 tillsynsbegäran.docx", "A 57766-2021")</f>
        <v/>
      </c>
      <c r="Y92">
        <f>HYPERLINK("https://klasma.github.io/Logging_0482/tillsynsmail/A 57766-2021 tillsynsbegäran mail.docx", "A 57766-2021")</f>
        <v/>
      </c>
    </row>
    <row r="93" ht="15" customHeight="1">
      <c r="A93" t="inlineStr">
        <is>
          <t>A 62355-2021</t>
        </is>
      </c>
      <c r="B93" s="1" t="n">
        <v>44503</v>
      </c>
      <c r="C93" s="1" t="n">
        <v>45824</v>
      </c>
      <c r="D93" t="inlineStr">
        <is>
          <t>SÖDERMANLANDS LÄN</t>
        </is>
      </c>
      <c r="E93" t="inlineStr">
        <is>
          <t>FLEN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62355-2021 artfynd.xlsx", "A 62355-2021")</f>
        <v/>
      </c>
      <c r="T93">
        <f>HYPERLINK("https://klasma.github.io/Logging_0482/kartor/A 62355-2021 karta.png", "A 62355-2021")</f>
        <v/>
      </c>
      <c r="V93">
        <f>HYPERLINK("https://klasma.github.io/Logging_0482/klagomål/A 62355-2021 FSC-klagomål.docx", "A 62355-2021")</f>
        <v/>
      </c>
      <c r="W93">
        <f>HYPERLINK("https://klasma.github.io/Logging_0482/klagomålsmail/A 62355-2021 FSC-klagomål mail.docx", "A 62355-2021")</f>
        <v/>
      </c>
      <c r="X93">
        <f>HYPERLINK("https://klasma.github.io/Logging_0482/tillsyn/A 62355-2021 tillsynsbegäran.docx", "A 62355-2021")</f>
        <v/>
      </c>
      <c r="Y93">
        <f>HYPERLINK("https://klasma.github.io/Logging_0482/tillsynsmail/A 62355-2021 tillsynsbegäran mail.docx", "A 62355-2021")</f>
        <v/>
      </c>
    </row>
    <row r="94" ht="15" customHeight="1">
      <c r="A94" t="inlineStr">
        <is>
          <t>A 62535-2021</t>
        </is>
      </c>
      <c r="B94" s="1" t="n">
        <v>44503</v>
      </c>
      <c r="C94" s="1" t="n">
        <v>45824</v>
      </c>
      <c r="D94" t="inlineStr">
        <is>
          <t>SÖDERMANLANDS LÄN</t>
        </is>
      </c>
      <c r="E94" t="inlineStr">
        <is>
          <t>FLEN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62535-2021 artfynd.xlsx", "A 62535-2021")</f>
        <v/>
      </c>
      <c r="T94">
        <f>HYPERLINK("https://klasma.github.io/Logging_0482/kartor/A 62535-2021 karta.png", "A 62535-2021")</f>
        <v/>
      </c>
      <c r="V94">
        <f>HYPERLINK("https://klasma.github.io/Logging_0482/klagomål/A 62535-2021 FSC-klagomål.docx", "A 62535-2021")</f>
        <v/>
      </c>
      <c r="W94">
        <f>HYPERLINK("https://klasma.github.io/Logging_0482/klagomålsmail/A 62535-2021 FSC-klagomål mail.docx", "A 62535-2021")</f>
        <v/>
      </c>
      <c r="X94">
        <f>HYPERLINK("https://klasma.github.io/Logging_0482/tillsyn/A 62535-2021 tillsynsbegäran.docx", "A 62535-2021")</f>
        <v/>
      </c>
      <c r="Y94">
        <f>HYPERLINK("https://klasma.github.io/Logging_0482/tillsynsmail/A 62535-2021 tillsynsbegäran mail.docx", "A 62535-2021")</f>
        <v/>
      </c>
    </row>
    <row r="95" ht="15" customHeight="1">
      <c r="A95" t="inlineStr">
        <is>
          <t>A 70039-2021</t>
        </is>
      </c>
      <c r="B95" s="1" t="n">
        <v>44533</v>
      </c>
      <c r="C95" s="1" t="n">
        <v>45824</v>
      </c>
      <c r="D95" t="inlineStr">
        <is>
          <t>SÖDERMANLANDS LÄN</t>
        </is>
      </c>
      <c r="E95" t="inlineStr">
        <is>
          <t>FLEN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70039-2021 artfynd.xlsx", "A 70039-2021")</f>
        <v/>
      </c>
      <c r="T95">
        <f>HYPERLINK("https://klasma.github.io/Logging_0482/kartor/A 70039-2021 karta.png", "A 70039-2021")</f>
        <v/>
      </c>
      <c r="V95">
        <f>HYPERLINK("https://klasma.github.io/Logging_0482/klagomål/A 70039-2021 FSC-klagomål.docx", "A 70039-2021")</f>
        <v/>
      </c>
      <c r="W95">
        <f>HYPERLINK("https://klasma.github.io/Logging_0482/klagomålsmail/A 70039-2021 FSC-klagomål mail.docx", "A 70039-2021")</f>
        <v/>
      </c>
      <c r="X95">
        <f>HYPERLINK("https://klasma.github.io/Logging_0482/tillsyn/A 70039-2021 tillsynsbegäran.docx", "A 70039-2021")</f>
        <v/>
      </c>
      <c r="Y95">
        <f>HYPERLINK("https://klasma.github.io/Logging_0482/tillsynsmail/A 70039-2021 tillsynsbegäran mail.docx", "A 70039-2021")</f>
        <v/>
      </c>
    </row>
    <row r="96" ht="15" customHeight="1">
      <c r="A96" t="inlineStr">
        <is>
          <t>A 73923-2021</t>
        </is>
      </c>
      <c r="B96" s="1" t="n">
        <v>44553</v>
      </c>
      <c r="C96" s="1" t="n">
        <v>45824</v>
      </c>
      <c r="D96" t="inlineStr">
        <is>
          <t>SÖDERMANLANDS LÄN</t>
        </is>
      </c>
      <c r="E96" t="inlineStr">
        <is>
          <t>FLEN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Klasefibbla</t>
        </is>
      </c>
      <c r="S96">
        <f>HYPERLINK("https://klasma.github.io/Logging_0482/artfynd/A 73923-2021 artfynd.xlsx", "A 73923-2021")</f>
        <v/>
      </c>
      <c r="T96">
        <f>HYPERLINK("https://klasma.github.io/Logging_0482/kartor/A 73923-2021 karta.png", "A 73923-2021")</f>
        <v/>
      </c>
      <c r="V96">
        <f>HYPERLINK("https://klasma.github.io/Logging_0482/klagomål/A 73923-2021 FSC-klagomål.docx", "A 73923-2021")</f>
        <v/>
      </c>
      <c r="W96">
        <f>HYPERLINK("https://klasma.github.io/Logging_0482/klagomålsmail/A 73923-2021 FSC-klagomål mail.docx", "A 73923-2021")</f>
        <v/>
      </c>
      <c r="X96">
        <f>HYPERLINK("https://klasma.github.io/Logging_0482/tillsyn/A 73923-2021 tillsynsbegäran.docx", "A 73923-2021")</f>
        <v/>
      </c>
      <c r="Y96">
        <f>HYPERLINK("https://klasma.github.io/Logging_0482/tillsynsmail/A 73923-2021 tillsynsbegäran mail.docx", "A 73923-2021")</f>
        <v/>
      </c>
    </row>
    <row r="97" ht="15" customHeight="1">
      <c r="A97" t="inlineStr">
        <is>
          <t>A 7883-2022</t>
        </is>
      </c>
      <c r="B97" s="1" t="n">
        <v>44608</v>
      </c>
      <c r="C97" s="1" t="n">
        <v>45824</v>
      </c>
      <c r="D97" t="inlineStr">
        <is>
          <t>SÖDERMANLANDS LÄN</t>
        </is>
      </c>
      <c r="E97" t="inlineStr">
        <is>
          <t>FLEN</t>
        </is>
      </c>
      <c r="F97" t="inlineStr">
        <is>
          <t>Övriga statliga verk och myndigheter</t>
        </is>
      </c>
      <c r="G97" t="n">
        <v>2.2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Plattlummer</t>
        </is>
      </c>
      <c r="S97">
        <f>HYPERLINK("https://klasma.github.io/Logging_0482/artfynd/A 7883-2022 artfynd.xlsx", "A 7883-2022")</f>
        <v/>
      </c>
      <c r="T97">
        <f>HYPERLINK("https://klasma.github.io/Logging_0482/kartor/A 7883-2022 karta.png", "A 7883-2022")</f>
        <v/>
      </c>
      <c r="V97">
        <f>HYPERLINK("https://klasma.github.io/Logging_0482/klagomål/A 7883-2022 FSC-klagomål.docx", "A 7883-2022")</f>
        <v/>
      </c>
      <c r="W97">
        <f>HYPERLINK("https://klasma.github.io/Logging_0482/klagomålsmail/A 7883-2022 FSC-klagomål mail.docx", "A 7883-2022")</f>
        <v/>
      </c>
      <c r="X97">
        <f>HYPERLINK("https://klasma.github.io/Logging_0482/tillsyn/A 7883-2022 tillsynsbegäran.docx", "A 7883-2022")</f>
        <v/>
      </c>
      <c r="Y97">
        <f>HYPERLINK("https://klasma.github.io/Logging_0482/tillsynsmail/A 7883-2022 tillsynsbegäran mail.docx", "A 7883-2022")</f>
        <v/>
      </c>
    </row>
    <row r="98" ht="15" customHeight="1">
      <c r="A98" t="inlineStr">
        <is>
          <t>A 10789-2022</t>
        </is>
      </c>
      <c r="B98" s="1" t="n">
        <v>44624</v>
      </c>
      <c r="C98" s="1" t="n">
        <v>45824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HYPERLINK("https://klasma.github.io/Logging_0482/artfynd/A 10789-2022 artfynd.xlsx", "A 10789-2022")</f>
        <v/>
      </c>
      <c r="T98">
        <f>HYPERLINK("https://klasma.github.io/Logging_0482/kartor/A 10789-2022 karta.png", "A 10789-2022")</f>
        <v/>
      </c>
      <c r="V98">
        <f>HYPERLINK("https://klasma.github.io/Logging_0482/klagomål/A 10789-2022 FSC-klagomål.docx", "A 10789-2022")</f>
        <v/>
      </c>
      <c r="W98">
        <f>HYPERLINK("https://klasma.github.io/Logging_0482/klagomålsmail/A 10789-2022 FSC-klagomål mail.docx", "A 10789-2022")</f>
        <v/>
      </c>
      <c r="X98">
        <f>HYPERLINK("https://klasma.github.io/Logging_0482/tillsyn/A 10789-2022 tillsynsbegäran.docx", "A 10789-2022")</f>
        <v/>
      </c>
      <c r="Y98">
        <f>HYPERLINK("https://klasma.github.io/Logging_0482/tillsynsmail/A 10789-2022 tillsynsbegäran mail.docx", "A 10789-2022")</f>
        <v/>
      </c>
    </row>
    <row r="99" ht="15" customHeight="1">
      <c r="A99" t="inlineStr">
        <is>
          <t>A 10770-2022</t>
        </is>
      </c>
      <c r="B99" s="1" t="n">
        <v>44624</v>
      </c>
      <c r="C99" s="1" t="n">
        <v>45824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10770-2022 artfynd.xlsx", "A 10770-2022")</f>
        <v/>
      </c>
      <c r="T99">
        <f>HYPERLINK("https://klasma.github.io/Logging_0482/kartor/A 10770-2022 karta.png", "A 10770-2022")</f>
        <v/>
      </c>
      <c r="V99">
        <f>HYPERLINK("https://klasma.github.io/Logging_0482/klagomål/A 10770-2022 FSC-klagomål.docx", "A 10770-2022")</f>
        <v/>
      </c>
      <c r="W99">
        <f>HYPERLINK("https://klasma.github.io/Logging_0482/klagomålsmail/A 10770-2022 FSC-klagomål mail.docx", "A 10770-2022")</f>
        <v/>
      </c>
      <c r="X99">
        <f>HYPERLINK("https://klasma.github.io/Logging_0482/tillsyn/A 10770-2022 tillsynsbegäran.docx", "A 10770-2022")</f>
        <v/>
      </c>
      <c r="Y99">
        <f>HYPERLINK("https://klasma.github.io/Logging_0482/tillsynsmail/A 10770-2022 tillsynsbegäran mail.docx", "A 10770-2022")</f>
        <v/>
      </c>
    </row>
    <row r="100" ht="15" customHeight="1">
      <c r="A100" t="inlineStr">
        <is>
          <t>A 12306-2022</t>
        </is>
      </c>
      <c r="B100" s="1" t="n">
        <v>44637</v>
      </c>
      <c r="C100" s="1" t="n">
        <v>45824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Järnsparv</t>
        </is>
      </c>
      <c r="S100">
        <f>HYPERLINK("https://klasma.github.io/Logging_0482/artfynd/A 12306-2022 artfynd.xlsx", "A 12306-2022")</f>
        <v/>
      </c>
      <c r="T100">
        <f>HYPERLINK("https://klasma.github.io/Logging_0482/kartor/A 12306-2022 karta.png", "A 12306-2022")</f>
        <v/>
      </c>
      <c r="V100">
        <f>HYPERLINK("https://klasma.github.io/Logging_0482/klagomål/A 12306-2022 FSC-klagomål.docx", "A 12306-2022")</f>
        <v/>
      </c>
      <c r="W100">
        <f>HYPERLINK("https://klasma.github.io/Logging_0482/klagomålsmail/A 12306-2022 FSC-klagomål mail.docx", "A 12306-2022")</f>
        <v/>
      </c>
      <c r="X100">
        <f>HYPERLINK("https://klasma.github.io/Logging_0482/tillsyn/A 12306-2022 tillsynsbegäran.docx", "A 12306-2022")</f>
        <v/>
      </c>
      <c r="Y100">
        <f>HYPERLINK("https://klasma.github.io/Logging_0482/tillsynsmail/A 12306-2022 tillsynsbegäran mail.docx", "A 12306-2022")</f>
        <v/>
      </c>
      <c r="Z100">
        <f>HYPERLINK("https://klasma.github.io/Logging_0482/fåglar/A 12306-2022 prioriterade fågelarter.docx", "A 12306-2022")</f>
        <v/>
      </c>
    </row>
    <row r="101" ht="15" customHeight="1">
      <c r="A101" t="inlineStr">
        <is>
          <t>A 12371-2022</t>
        </is>
      </c>
      <c r="B101" s="1" t="n">
        <v>44637</v>
      </c>
      <c r="C101" s="1" t="n">
        <v>45824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12371-2022 artfynd.xlsx", "A 12371-2022")</f>
        <v/>
      </c>
      <c r="T101">
        <f>HYPERLINK("https://klasma.github.io/Logging_0482/kartor/A 12371-2022 karta.png", "A 12371-2022")</f>
        <v/>
      </c>
      <c r="V101">
        <f>HYPERLINK("https://klasma.github.io/Logging_0482/klagomål/A 12371-2022 FSC-klagomål.docx", "A 12371-2022")</f>
        <v/>
      </c>
      <c r="W101">
        <f>HYPERLINK("https://klasma.github.io/Logging_0482/klagomålsmail/A 12371-2022 FSC-klagomål mail.docx", "A 12371-2022")</f>
        <v/>
      </c>
      <c r="X101">
        <f>HYPERLINK("https://klasma.github.io/Logging_0482/tillsyn/A 12371-2022 tillsynsbegäran.docx", "A 12371-2022")</f>
        <v/>
      </c>
      <c r="Y101">
        <f>HYPERLINK("https://klasma.github.io/Logging_0482/tillsynsmail/A 12371-2022 tillsynsbegäran mail.docx", "A 12371-2022")</f>
        <v/>
      </c>
    </row>
    <row r="102" ht="15" customHeight="1">
      <c r="A102" t="inlineStr">
        <is>
          <t>A 26245-2022</t>
        </is>
      </c>
      <c r="B102" s="1" t="n">
        <v>44735</v>
      </c>
      <c r="C102" s="1" t="n">
        <v>45824</v>
      </c>
      <c r="D102" t="inlineStr">
        <is>
          <t>SÖDERMANLANDS LÄN</t>
        </is>
      </c>
      <c r="E102" t="inlineStr">
        <is>
          <t>FLEN</t>
        </is>
      </c>
      <c r="G102" t="n">
        <v>2.9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Blanksvart trämyra</t>
        </is>
      </c>
      <c r="S102">
        <f>HYPERLINK("https://klasma.github.io/Logging_0482/artfynd/A 26245-2022 artfynd.xlsx", "A 26245-2022")</f>
        <v/>
      </c>
      <c r="T102">
        <f>HYPERLINK("https://klasma.github.io/Logging_0482/kartor/A 26245-2022 karta.png", "A 26245-2022")</f>
        <v/>
      </c>
      <c r="V102">
        <f>HYPERLINK("https://klasma.github.io/Logging_0482/klagomål/A 26245-2022 FSC-klagomål.docx", "A 26245-2022")</f>
        <v/>
      </c>
      <c r="W102">
        <f>HYPERLINK("https://klasma.github.io/Logging_0482/klagomålsmail/A 26245-2022 FSC-klagomål mail.docx", "A 26245-2022")</f>
        <v/>
      </c>
      <c r="X102">
        <f>HYPERLINK("https://klasma.github.io/Logging_0482/tillsyn/A 26245-2022 tillsynsbegäran.docx", "A 26245-2022")</f>
        <v/>
      </c>
      <c r="Y102">
        <f>HYPERLINK("https://klasma.github.io/Logging_0482/tillsynsmail/A 26245-2022 tillsynsbegäran mail.docx", "A 26245-2022")</f>
        <v/>
      </c>
    </row>
    <row r="103" ht="15" customHeight="1">
      <c r="A103" t="inlineStr">
        <is>
          <t>A 34498-2022</t>
        </is>
      </c>
      <c r="B103" s="1" t="n">
        <v>44792</v>
      </c>
      <c r="C103" s="1" t="n">
        <v>45824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34498-2022 artfynd.xlsx", "A 34498-2022")</f>
        <v/>
      </c>
      <c r="T103">
        <f>HYPERLINK("https://klasma.github.io/Logging_0482/kartor/A 34498-2022 karta.png", "A 34498-2022")</f>
        <v/>
      </c>
      <c r="V103">
        <f>HYPERLINK("https://klasma.github.io/Logging_0482/klagomål/A 34498-2022 FSC-klagomål.docx", "A 34498-2022")</f>
        <v/>
      </c>
      <c r="W103">
        <f>HYPERLINK("https://klasma.github.io/Logging_0482/klagomålsmail/A 34498-2022 FSC-klagomål mail.docx", "A 34498-2022")</f>
        <v/>
      </c>
      <c r="X103">
        <f>HYPERLINK("https://klasma.github.io/Logging_0482/tillsyn/A 34498-2022 tillsynsbegäran.docx", "A 34498-2022")</f>
        <v/>
      </c>
      <c r="Y103">
        <f>HYPERLINK("https://klasma.github.io/Logging_0482/tillsynsmail/A 34498-2022 tillsynsbegäran mail.docx", "A 34498-2022")</f>
        <v/>
      </c>
    </row>
    <row r="104" ht="15" customHeight="1">
      <c r="A104" t="inlineStr">
        <is>
          <t>A 35278-2022</t>
        </is>
      </c>
      <c r="B104" s="1" t="n">
        <v>44798</v>
      </c>
      <c r="C104" s="1" t="n">
        <v>45824</v>
      </c>
      <c r="D104" t="inlineStr">
        <is>
          <t>SÖDERMANLANDS LÄN</t>
        </is>
      </c>
      <c r="E104" t="inlineStr">
        <is>
          <t>FLEN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HYPERLINK("https://klasma.github.io/Logging_0482/artfynd/A 35278-2022 artfynd.xlsx", "A 35278-2022")</f>
        <v/>
      </c>
      <c r="T104">
        <f>HYPERLINK("https://klasma.github.io/Logging_0482/kartor/A 35278-2022 karta.png", "A 35278-2022")</f>
        <v/>
      </c>
      <c r="V104">
        <f>HYPERLINK("https://klasma.github.io/Logging_0482/klagomål/A 35278-2022 FSC-klagomål.docx", "A 35278-2022")</f>
        <v/>
      </c>
      <c r="W104">
        <f>HYPERLINK("https://klasma.github.io/Logging_0482/klagomålsmail/A 35278-2022 FSC-klagomål mail.docx", "A 35278-2022")</f>
        <v/>
      </c>
      <c r="X104">
        <f>HYPERLINK("https://klasma.github.io/Logging_0482/tillsyn/A 35278-2022 tillsynsbegäran.docx", "A 35278-2022")</f>
        <v/>
      </c>
      <c r="Y104">
        <f>HYPERLINK("https://klasma.github.io/Logging_0482/tillsynsmail/A 35278-2022 tillsynsbegäran mail.docx", "A 35278-2022")</f>
        <v/>
      </c>
    </row>
    <row r="105" ht="15" customHeight="1">
      <c r="A105" t="inlineStr">
        <is>
          <t>A 44563-2022</t>
        </is>
      </c>
      <c r="B105" s="1" t="n">
        <v>44838</v>
      </c>
      <c r="C105" s="1" t="n">
        <v>45824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44563-2022 artfynd.xlsx", "A 44563-2022")</f>
        <v/>
      </c>
      <c r="T105">
        <f>HYPERLINK("https://klasma.github.io/Logging_0482/kartor/A 44563-2022 karta.png", "A 44563-2022")</f>
        <v/>
      </c>
      <c r="V105">
        <f>HYPERLINK("https://klasma.github.io/Logging_0482/klagomål/A 44563-2022 FSC-klagomål.docx", "A 44563-2022")</f>
        <v/>
      </c>
      <c r="W105">
        <f>HYPERLINK("https://klasma.github.io/Logging_0482/klagomålsmail/A 44563-2022 FSC-klagomål mail.docx", "A 44563-2022")</f>
        <v/>
      </c>
      <c r="X105">
        <f>HYPERLINK("https://klasma.github.io/Logging_0482/tillsyn/A 44563-2022 tillsynsbegäran.docx", "A 44563-2022")</f>
        <v/>
      </c>
      <c r="Y105">
        <f>HYPERLINK("https://klasma.github.io/Logging_0482/tillsynsmail/A 44563-2022 tillsynsbegäran mail.docx", "A 44563-2022")</f>
        <v/>
      </c>
    </row>
    <row r="106" ht="15" customHeight="1">
      <c r="A106" t="inlineStr">
        <is>
          <t>A 47756-2022</t>
        </is>
      </c>
      <c r="B106" s="1" t="n">
        <v>44854</v>
      </c>
      <c r="C106" s="1" t="n">
        <v>45824</v>
      </c>
      <c r="D106" t="inlineStr">
        <is>
          <t>SÖDERMANLANDS LÄN</t>
        </is>
      </c>
      <c r="E106" t="inlineStr">
        <is>
          <t>FLEN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47756-2022 artfynd.xlsx", "A 47756-2022")</f>
        <v/>
      </c>
      <c r="T106">
        <f>HYPERLINK("https://klasma.github.io/Logging_0482/kartor/A 47756-2022 karta.png", "A 47756-2022")</f>
        <v/>
      </c>
      <c r="V106">
        <f>HYPERLINK("https://klasma.github.io/Logging_0482/klagomål/A 47756-2022 FSC-klagomål.docx", "A 47756-2022")</f>
        <v/>
      </c>
      <c r="W106">
        <f>HYPERLINK("https://klasma.github.io/Logging_0482/klagomålsmail/A 47756-2022 FSC-klagomål mail.docx", "A 47756-2022")</f>
        <v/>
      </c>
      <c r="X106">
        <f>HYPERLINK("https://klasma.github.io/Logging_0482/tillsyn/A 47756-2022 tillsynsbegäran.docx", "A 47756-2022")</f>
        <v/>
      </c>
      <c r="Y106">
        <f>HYPERLINK("https://klasma.github.io/Logging_0482/tillsynsmail/A 47756-2022 tillsynsbegäran mail.docx", "A 47756-2022")</f>
        <v/>
      </c>
    </row>
    <row r="107" ht="15" customHeight="1">
      <c r="A107" t="inlineStr">
        <is>
          <t>A 50202-2022</t>
        </is>
      </c>
      <c r="B107" s="1" t="n">
        <v>44865</v>
      </c>
      <c r="C107" s="1" t="n">
        <v>45824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50202-2022 artfynd.xlsx", "A 50202-2022")</f>
        <v/>
      </c>
      <c r="T107">
        <f>HYPERLINK("https://klasma.github.io/Logging_0482/kartor/A 50202-2022 karta.png", "A 50202-2022")</f>
        <v/>
      </c>
      <c r="V107">
        <f>HYPERLINK("https://klasma.github.io/Logging_0482/klagomål/A 50202-2022 FSC-klagomål.docx", "A 50202-2022")</f>
        <v/>
      </c>
      <c r="W107">
        <f>HYPERLINK("https://klasma.github.io/Logging_0482/klagomålsmail/A 50202-2022 FSC-klagomål mail.docx", "A 50202-2022")</f>
        <v/>
      </c>
      <c r="X107">
        <f>HYPERLINK("https://klasma.github.io/Logging_0482/tillsyn/A 50202-2022 tillsynsbegäran.docx", "A 50202-2022")</f>
        <v/>
      </c>
      <c r="Y107">
        <f>HYPERLINK("https://klasma.github.io/Logging_0482/tillsynsmail/A 50202-2022 tillsynsbegäran mail.docx", "A 50202-2022")</f>
        <v/>
      </c>
    </row>
    <row r="108" ht="15" customHeight="1">
      <c r="A108" t="inlineStr">
        <is>
          <t>A 60591-2022</t>
        </is>
      </c>
      <c r="B108" s="1" t="n">
        <v>44911</v>
      </c>
      <c r="C108" s="1" t="n">
        <v>45824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60591-2022 artfynd.xlsx", "A 60591-2022")</f>
        <v/>
      </c>
      <c r="T108">
        <f>HYPERLINK("https://klasma.github.io/Logging_0482/kartor/A 60591-2022 karta.png", "A 60591-2022")</f>
        <v/>
      </c>
      <c r="V108">
        <f>HYPERLINK("https://klasma.github.io/Logging_0482/klagomål/A 60591-2022 FSC-klagomål.docx", "A 60591-2022")</f>
        <v/>
      </c>
      <c r="W108">
        <f>HYPERLINK("https://klasma.github.io/Logging_0482/klagomålsmail/A 60591-2022 FSC-klagomål mail.docx", "A 60591-2022")</f>
        <v/>
      </c>
      <c r="X108">
        <f>HYPERLINK("https://klasma.github.io/Logging_0482/tillsyn/A 60591-2022 tillsynsbegäran.docx", "A 60591-2022")</f>
        <v/>
      </c>
      <c r="Y108">
        <f>HYPERLINK("https://klasma.github.io/Logging_0482/tillsynsmail/A 60591-2022 tillsynsbegäran mail.docx", "A 60591-2022")</f>
        <v/>
      </c>
    </row>
    <row r="109" ht="15" customHeight="1">
      <c r="A109" t="inlineStr">
        <is>
          <t>A 61870-2022</t>
        </is>
      </c>
      <c r="B109" s="1" t="n">
        <v>44917</v>
      </c>
      <c r="C109" s="1" t="n">
        <v>45824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61870-2022 artfynd.xlsx", "A 61870-2022")</f>
        <v/>
      </c>
      <c r="T109">
        <f>HYPERLINK("https://klasma.github.io/Logging_0482/kartor/A 61870-2022 karta.png", "A 61870-2022")</f>
        <v/>
      </c>
      <c r="V109">
        <f>HYPERLINK("https://klasma.github.io/Logging_0482/klagomål/A 61870-2022 FSC-klagomål.docx", "A 61870-2022")</f>
        <v/>
      </c>
      <c r="W109">
        <f>HYPERLINK("https://klasma.github.io/Logging_0482/klagomålsmail/A 61870-2022 FSC-klagomål mail.docx", "A 61870-2022")</f>
        <v/>
      </c>
      <c r="X109">
        <f>HYPERLINK("https://klasma.github.io/Logging_0482/tillsyn/A 61870-2022 tillsynsbegäran.docx", "A 61870-2022")</f>
        <v/>
      </c>
      <c r="Y109">
        <f>HYPERLINK("https://klasma.github.io/Logging_0482/tillsynsmail/A 61870-2022 tillsynsbegäran mail.docx", "A 61870-2022")</f>
        <v/>
      </c>
    </row>
    <row r="110" ht="15" customHeight="1">
      <c r="A110" t="inlineStr">
        <is>
          <t>A 882-2023</t>
        </is>
      </c>
      <c r="B110" s="1" t="n">
        <v>44931</v>
      </c>
      <c r="C110" s="1" t="n">
        <v>45824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Aspvedgnagare</t>
        </is>
      </c>
      <c r="S110">
        <f>HYPERLINK("https://klasma.github.io/Logging_0482/artfynd/A 882-2023 artfynd.xlsx", "A 882-2023")</f>
        <v/>
      </c>
      <c r="T110">
        <f>HYPERLINK("https://klasma.github.io/Logging_0482/kartor/A 882-2023 karta.png", "A 882-2023")</f>
        <v/>
      </c>
      <c r="V110">
        <f>HYPERLINK("https://klasma.github.io/Logging_0482/klagomål/A 882-2023 FSC-klagomål.docx", "A 882-2023")</f>
        <v/>
      </c>
      <c r="W110">
        <f>HYPERLINK("https://klasma.github.io/Logging_0482/klagomålsmail/A 882-2023 FSC-klagomål mail.docx", "A 882-2023")</f>
        <v/>
      </c>
      <c r="X110">
        <f>HYPERLINK("https://klasma.github.io/Logging_0482/tillsyn/A 882-2023 tillsynsbegäran.docx", "A 882-2023")</f>
        <v/>
      </c>
      <c r="Y110">
        <f>HYPERLINK("https://klasma.github.io/Logging_0482/tillsynsmail/A 882-2023 tillsynsbegäran mail.docx", "A 882-2023")</f>
        <v/>
      </c>
    </row>
    <row r="111" ht="15" customHeight="1">
      <c r="A111" t="inlineStr">
        <is>
          <t>A 4699-2023</t>
        </is>
      </c>
      <c r="B111" s="1" t="n">
        <v>44957</v>
      </c>
      <c r="C111" s="1" t="n">
        <v>45824</v>
      </c>
      <c r="D111" t="inlineStr">
        <is>
          <t>SÖDERMANLANDS LÄN</t>
        </is>
      </c>
      <c r="E111" t="inlineStr">
        <is>
          <t>FLEN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HYPERLINK("https://klasma.github.io/Logging_0482/artfynd/A 4699-2023 artfynd.xlsx", "A 4699-2023")</f>
        <v/>
      </c>
      <c r="T111">
        <f>HYPERLINK("https://klasma.github.io/Logging_0482/kartor/A 4699-2023 karta.png", "A 4699-2023")</f>
        <v/>
      </c>
      <c r="V111">
        <f>HYPERLINK("https://klasma.github.io/Logging_0482/klagomål/A 4699-2023 FSC-klagomål.docx", "A 4699-2023")</f>
        <v/>
      </c>
      <c r="W111">
        <f>HYPERLINK("https://klasma.github.io/Logging_0482/klagomålsmail/A 4699-2023 FSC-klagomål mail.docx", "A 4699-2023")</f>
        <v/>
      </c>
      <c r="X111">
        <f>HYPERLINK("https://klasma.github.io/Logging_0482/tillsyn/A 4699-2023 tillsynsbegäran.docx", "A 4699-2023")</f>
        <v/>
      </c>
      <c r="Y111">
        <f>HYPERLINK("https://klasma.github.io/Logging_0482/tillsynsmail/A 4699-2023 tillsynsbegäran mail.docx", "A 4699-2023")</f>
        <v/>
      </c>
    </row>
    <row r="112" ht="15" customHeight="1">
      <c r="A112" t="inlineStr">
        <is>
          <t>A 7506-2023</t>
        </is>
      </c>
      <c r="B112" s="1" t="n">
        <v>44971</v>
      </c>
      <c r="C112" s="1" t="n">
        <v>45824</v>
      </c>
      <c r="D112" t="inlineStr">
        <is>
          <t>SÖDERMANLANDS LÄN</t>
        </is>
      </c>
      <c r="E112" t="inlineStr">
        <is>
          <t>FLEN</t>
        </is>
      </c>
      <c r="G112" t="n">
        <v>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7506-2023 artfynd.xlsx", "A 7506-2023")</f>
        <v/>
      </c>
      <c r="T112">
        <f>HYPERLINK("https://klasma.github.io/Logging_0482/kartor/A 7506-2023 karta.png", "A 7506-2023")</f>
        <v/>
      </c>
      <c r="V112">
        <f>HYPERLINK("https://klasma.github.io/Logging_0482/klagomål/A 7506-2023 FSC-klagomål.docx", "A 7506-2023")</f>
        <v/>
      </c>
      <c r="W112">
        <f>HYPERLINK("https://klasma.github.io/Logging_0482/klagomålsmail/A 7506-2023 FSC-klagomål mail.docx", "A 7506-2023")</f>
        <v/>
      </c>
      <c r="X112">
        <f>HYPERLINK("https://klasma.github.io/Logging_0482/tillsyn/A 7506-2023 tillsynsbegäran.docx", "A 7506-2023")</f>
        <v/>
      </c>
      <c r="Y112">
        <f>HYPERLINK("https://klasma.github.io/Logging_0482/tillsynsmail/A 7506-2023 tillsynsbegäran mail.docx", "A 7506-2023")</f>
        <v/>
      </c>
    </row>
    <row r="113" ht="15" customHeight="1">
      <c r="A113" t="inlineStr">
        <is>
          <t>A 12419-2023</t>
        </is>
      </c>
      <c r="B113" s="1" t="n">
        <v>44998</v>
      </c>
      <c r="C113" s="1" t="n">
        <v>45824</v>
      </c>
      <c r="D113" t="inlineStr">
        <is>
          <t>SÖDERMANLANDS LÄN</t>
        </is>
      </c>
      <c r="E113" t="inlineStr">
        <is>
          <t>FLEN</t>
        </is>
      </c>
      <c r="G113" t="n">
        <v>6.3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12419-2023 artfynd.xlsx", "A 12419-2023")</f>
        <v/>
      </c>
      <c r="T113">
        <f>HYPERLINK("https://klasma.github.io/Logging_0482/kartor/A 12419-2023 karta.png", "A 12419-2023")</f>
        <v/>
      </c>
      <c r="V113">
        <f>HYPERLINK("https://klasma.github.io/Logging_0482/klagomål/A 12419-2023 FSC-klagomål.docx", "A 12419-2023")</f>
        <v/>
      </c>
      <c r="W113">
        <f>HYPERLINK("https://klasma.github.io/Logging_0482/klagomålsmail/A 12419-2023 FSC-klagomål mail.docx", "A 12419-2023")</f>
        <v/>
      </c>
      <c r="X113">
        <f>HYPERLINK("https://klasma.github.io/Logging_0482/tillsyn/A 12419-2023 tillsynsbegäran.docx", "A 12419-2023")</f>
        <v/>
      </c>
      <c r="Y113">
        <f>HYPERLINK("https://klasma.github.io/Logging_0482/tillsynsmail/A 12419-2023 tillsynsbegäran mail.docx", "A 12419-2023")</f>
        <v/>
      </c>
      <c r="Z113">
        <f>HYPERLINK("https://klasma.github.io/Logging_0482/fåglar/A 12419-2023 prioriterade fågelarter.docx", "A 12419-2023")</f>
        <v/>
      </c>
    </row>
    <row r="114" ht="15" customHeight="1">
      <c r="A114" t="inlineStr">
        <is>
          <t>A 13858-2023</t>
        </is>
      </c>
      <c r="B114" s="1" t="n">
        <v>45007</v>
      </c>
      <c r="C114" s="1" t="n">
        <v>45824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13858-2023 artfynd.xlsx", "A 13858-2023")</f>
        <v/>
      </c>
      <c r="T114">
        <f>HYPERLINK("https://klasma.github.io/Logging_0482/kartor/A 13858-2023 karta.png", "A 13858-2023")</f>
        <v/>
      </c>
      <c r="V114">
        <f>HYPERLINK("https://klasma.github.io/Logging_0482/klagomål/A 13858-2023 FSC-klagomål.docx", "A 13858-2023")</f>
        <v/>
      </c>
      <c r="W114">
        <f>HYPERLINK("https://klasma.github.io/Logging_0482/klagomålsmail/A 13858-2023 FSC-klagomål mail.docx", "A 13858-2023")</f>
        <v/>
      </c>
      <c r="X114">
        <f>HYPERLINK("https://klasma.github.io/Logging_0482/tillsyn/A 13858-2023 tillsynsbegäran.docx", "A 13858-2023")</f>
        <v/>
      </c>
      <c r="Y114">
        <f>HYPERLINK("https://klasma.github.io/Logging_0482/tillsynsmail/A 13858-2023 tillsynsbegäran mail.docx", "A 13858-2023")</f>
        <v/>
      </c>
    </row>
    <row r="115" ht="15" customHeight="1">
      <c r="A115" t="inlineStr">
        <is>
          <t>A 30584-2023</t>
        </is>
      </c>
      <c r="B115" s="1" t="n">
        <v>45112</v>
      </c>
      <c r="C115" s="1" t="n">
        <v>45824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HYPERLINK("https://klasma.github.io/Logging_0482/artfynd/A 30584-2023 artfynd.xlsx", "A 30584-2023")</f>
        <v/>
      </c>
      <c r="T115">
        <f>HYPERLINK("https://klasma.github.io/Logging_0482/kartor/A 30584-2023 karta.png", "A 30584-2023")</f>
        <v/>
      </c>
      <c r="V115">
        <f>HYPERLINK("https://klasma.github.io/Logging_0482/klagomål/A 30584-2023 FSC-klagomål.docx", "A 30584-2023")</f>
        <v/>
      </c>
      <c r="W115">
        <f>HYPERLINK("https://klasma.github.io/Logging_0482/klagomålsmail/A 30584-2023 FSC-klagomål mail.docx", "A 30584-2023")</f>
        <v/>
      </c>
      <c r="X115">
        <f>HYPERLINK("https://klasma.github.io/Logging_0482/tillsyn/A 30584-2023 tillsynsbegäran.docx", "A 30584-2023")</f>
        <v/>
      </c>
      <c r="Y115">
        <f>HYPERLINK("https://klasma.github.io/Logging_0482/tillsynsmail/A 30584-2023 tillsynsbegäran mail.docx", "A 30584-2023")</f>
        <v/>
      </c>
      <c r="Z115">
        <f>HYPERLINK("https://klasma.github.io/Logging_0482/fåglar/A 30584-2023 prioriterade fågelarter.docx", "A 30584-2023")</f>
        <v/>
      </c>
    </row>
    <row r="116" ht="15" customHeight="1">
      <c r="A116" t="inlineStr">
        <is>
          <t>A 37025-2023</t>
        </is>
      </c>
      <c r="B116" s="1" t="n">
        <v>45155</v>
      </c>
      <c r="C116" s="1" t="n">
        <v>45824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24.1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HYPERLINK("https://klasma.github.io/Logging_0482/artfynd/A 37025-2023 artfynd.xlsx", "A 37025-2023")</f>
        <v/>
      </c>
      <c r="T116">
        <f>HYPERLINK("https://klasma.github.io/Logging_0482/kartor/A 37025-2023 karta.png", "A 37025-2023")</f>
        <v/>
      </c>
      <c r="V116">
        <f>HYPERLINK("https://klasma.github.io/Logging_0482/klagomål/A 37025-2023 FSC-klagomål.docx", "A 37025-2023")</f>
        <v/>
      </c>
      <c r="W116">
        <f>HYPERLINK("https://klasma.github.io/Logging_0482/klagomålsmail/A 37025-2023 FSC-klagomål mail.docx", "A 37025-2023")</f>
        <v/>
      </c>
      <c r="X116">
        <f>HYPERLINK("https://klasma.github.io/Logging_0482/tillsyn/A 37025-2023 tillsynsbegäran.docx", "A 37025-2023")</f>
        <v/>
      </c>
      <c r="Y116">
        <f>HYPERLINK("https://klasma.github.io/Logging_0482/tillsynsmail/A 37025-2023 tillsynsbegäran mail.docx", "A 37025-2023")</f>
        <v/>
      </c>
      <c r="Z116">
        <f>HYPERLINK("https://klasma.github.io/Logging_0482/fåglar/A 37025-2023 prioriterade fågelarter.docx", "A 37025-2023")</f>
        <v/>
      </c>
    </row>
    <row r="117" ht="15" customHeight="1">
      <c r="A117" t="inlineStr">
        <is>
          <t>A 37317-2023</t>
        </is>
      </c>
      <c r="B117" s="1" t="n">
        <v>45156</v>
      </c>
      <c r="C117" s="1" t="n">
        <v>45824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Svavelriska</t>
        </is>
      </c>
      <c r="S117">
        <f>HYPERLINK("https://klasma.github.io/Logging_0482/artfynd/A 37317-2023 artfynd.xlsx", "A 37317-2023")</f>
        <v/>
      </c>
      <c r="T117">
        <f>HYPERLINK("https://klasma.github.io/Logging_0482/kartor/A 37317-2023 karta.png", "A 37317-2023")</f>
        <v/>
      </c>
      <c r="V117">
        <f>HYPERLINK("https://klasma.github.io/Logging_0482/klagomål/A 37317-2023 FSC-klagomål.docx", "A 37317-2023")</f>
        <v/>
      </c>
      <c r="W117">
        <f>HYPERLINK("https://klasma.github.io/Logging_0482/klagomålsmail/A 37317-2023 FSC-klagomål mail.docx", "A 37317-2023")</f>
        <v/>
      </c>
      <c r="X117">
        <f>HYPERLINK("https://klasma.github.io/Logging_0482/tillsyn/A 37317-2023 tillsynsbegäran.docx", "A 37317-2023")</f>
        <v/>
      </c>
      <c r="Y117">
        <f>HYPERLINK("https://klasma.github.io/Logging_0482/tillsynsmail/A 37317-2023 tillsynsbegäran mail.docx", "A 37317-2023")</f>
        <v/>
      </c>
    </row>
    <row r="118" ht="15" customHeight="1">
      <c r="A118" t="inlineStr">
        <is>
          <t>A 39590-2023</t>
        </is>
      </c>
      <c r="B118" s="1" t="n">
        <v>45163</v>
      </c>
      <c r="C118" s="1" t="n">
        <v>45824</v>
      </c>
      <c r="D118" t="inlineStr">
        <is>
          <t>SÖDERMANLANDS LÄN</t>
        </is>
      </c>
      <c r="E118" t="inlineStr">
        <is>
          <t>FLEN</t>
        </is>
      </c>
      <c r="G118" t="n">
        <v>9.4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39590-2023 artfynd.xlsx", "A 39590-2023")</f>
        <v/>
      </c>
      <c r="T118">
        <f>HYPERLINK("https://klasma.github.io/Logging_0482/kartor/A 39590-2023 karta.png", "A 39590-2023")</f>
        <v/>
      </c>
      <c r="V118">
        <f>HYPERLINK("https://klasma.github.io/Logging_0482/klagomål/A 39590-2023 FSC-klagomål.docx", "A 39590-2023")</f>
        <v/>
      </c>
      <c r="W118">
        <f>HYPERLINK("https://klasma.github.io/Logging_0482/klagomålsmail/A 39590-2023 FSC-klagomål mail.docx", "A 39590-2023")</f>
        <v/>
      </c>
      <c r="X118">
        <f>HYPERLINK("https://klasma.github.io/Logging_0482/tillsyn/A 39590-2023 tillsynsbegäran.docx", "A 39590-2023")</f>
        <v/>
      </c>
      <c r="Y118">
        <f>HYPERLINK("https://klasma.github.io/Logging_0482/tillsynsmail/A 39590-2023 tillsynsbegäran mail.docx", "A 39590-2023")</f>
        <v/>
      </c>
    </row>
    <row r="119" ht="15" customHeight="1">
      <c r="A119" t="inlineStr">
        <is>
          <t>A 39240-2023</t>
        </is>
      </c>
      <c r="B119" s="1" t="n">
        <v>45166</v>
      </c>
      <c r="C119" s="1" t="n">
        <v>45824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4.6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Blodticka</t>
        </is>
      </c>
      <c r="S119">
        <f>HYPERLINK("https://klasma.github.io/Logging_0482/artfynd/A 39240-2023 artfynd.xlsx", "A 39240-2023")</f>
        <v/>
      </c>
      <c r="T119">
        <f>HYPERLINK("https://klasma.github.io/Logging_0482/kartor/A 39240-2023 karta.png", "A 39240-2023")</f>
        <v/>
      </c>
      <c r="V119">
        <f>HYPERLINK("https://klasma.github.io/Logging_0482/klagomål/A 39240-2023 FSC-klagomål.docx", "A 39240-2023")</f>
        <v/>
      </c>
      <c r="W119">
        <f>HYPERLINK("https://klasma.github.io/Logging_0482/klagomålsmail/A 39240-2023 FSC-klagomål mail.docx", "A 39240-2023")</f>
        <v/>
      </c>
      <c r="X119">
        <f>HYPERLINK("https://klasma.github.io/Logging_0482/tillsyn/A 39240-2023 tillsynsbegäran.docx", "A 39240-2023")</f>
        <v/>
      </c>
      <c r="Y119">
        <f>HYPERLINK("https://klasma.github.io/Logging_0482/tillsynsmail/A 39240-2023 tillsynsbegäran mail.docx", "A 39240-2023")</f>
        <v/>
      </c>
    </row>
    <row r="120" ht="15" customHeight="1">
      <c r="A120" t="inlineStr">
        <is>
          <t>A 44476-2023</t>
        </is>
      </c>
      <c r="B120" s="1" t="n">
        <v>45189</v>
      </c>
      <c r="C120" s="1" t="n">
        <v>45824</v>
      </c>
      <c r="D120" t="inlineStr">
        <is>
          <t>SÖDERMANLANDS LÄN</t>
        </is>
      </c>
      <c r="E120" t="inlineStr">
        <is>
          <t>FLEN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HYPERLINK("https://klasma.github.io/Logging_0482/artfynd/A 44476-2023 artfynd.xlsx", "A 44476-2023")</f>
        <v/>
      </c>
      <c r="T120">
        <f>HYPERLINK("https://klasma.github.io/Logging_0482/kartor/A 44476-2023 karta.png", "A 44476-2023")</f>
        <v/>
      </c>
      <c r="V120">
        <f>HYPERLINK("https://klasma.github.io/Logging_0482/klagomål/A 44476-2023 FSC-klagomål.docx", "A 44476-2023")</f>
        <v/>
      </c>
      <c r="W120">
        <f>HYPERLINK("https://klasma.github.io/Logging_0482/klagomålsmail/A 44476-2023 FSC-klagomål mail.docx", "A 44476-2023")</f>
        <v/>
      </c>
      <c r="X120">
        <f>HYPERLINK("https://klasma.github.io/Logging_0482/tillsyn/A 44476-2023 tillsynsbegäran.docx", "A 44476-2023")</f>
        <v/>
      </c>
      <c r="Y120">
        <f>HYPERLINK("https://klasma.github.io/Logging_0482/tillsynsmail/A 44476-2023 tillsynsbegäran mail.docx", "A 44476-2023")</f>
        <v/>
      </c>
    </row>
    <row r="121" ht="15" customHeight="1">
      <c r="A121" t="inlineStr">
        <is>
          <t>A 48896-2023</t>
        </is>
      </c>
      <c r="B121" s="1" t="n">
        <v>45209</v>
      </c>
      <c r="C121" s="1" t="n">
        <v>45824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6.6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48896-2023 artfynd.xlsx", "A 48896-2023")</f>
        <v/>
      </c>
      <c r="T121">
        <f>HYPERLINK("https://klasma.github.io/Logging_0482/kartor/A 48896-2023 karta.png", "A 48896-2023")</f>
        <v/>
      </c>
      <c r="V121">
        <f>HYPERLINK("https://klasma.github.io/Logging_0482/klagomål/A 48896-2023 FSC-klagomål.docx", "A 48896-2023")</f>
        <v/>
      </c>
      <c r="W121">
        <f>HYPERLINK("https://klasma.github.io/Logging_0482/klagomålsmail/A 48896-2023 FSC-klagomål mail.docx", "A 48896-2023")</f>
        <v/>
      </c>
      <c r="X121">
        <f>HYPERLINK("https://klasma.github.io/Logging_0482/tillsyn/A 48896-2023 tillsynsbegäran.docx", "A 48896-2023")</f>
        <v/>
      </c>
      <c r="Y121">
        <f>HYPERLINK("https://klasma.github.io/Logging_0482/tillsynsmail/A 48896-2023 tillsynsbegäran mail.docx", "A 48896-2023")</f>
        <v/>
      </c>
    </row>
    <row r="122" ht="15" customHeight="1">
      <c r="A122" t="inlineStr">
        <is>
          <t>A 49808-2023</t>
        </is>
      </c>
      <c r="B122" s="1" t="n">
        <v>45212</v>
      </c>
      <c r="C122" s="1" t="n">
        <v>45824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49808-2023 artfynd.xlsx", "A 49808-2023")</f>
        <v/>
      </c>
      <c r="T122">
        <f>HYPERLINK("https://klasma.github.io/Logging_0482/kartor/A 49808-2023 karta.png", "A 49808-2023")</f>
        <v/>
      </c>
      <c r="V122">
        <f>HYPERLINK("https://klasma.github.io/Logging_0482/klagomål/A 49808-2023 FSC-klagomål.docx", "A 49808-2023")</f>
        <v/>
      </c>
      <c r="W122">
        <f>HYPERLINK("https://klasma.github.io/Logging_0482/klagomålsmail/A 49808-2023 FSC-klagomål mail.docx", "A 49808-2023")</f>
        <v/>
      </c>
      <c r="X122">
        <f>HYPERLINK("https://klasma.github.io/Logging_0482/tillsyn/A 49808-2023 tillsynsbegäran.docx", "A 49808-2023")</f>
        <v/>
      </c>
      <c r="Y122">
        <f>HYPERLINK("https://klasma.github.io/Logging_0482/tillsynsmail/A 49808-2023 tillsynsbegäran mail.docx", "A 49808-2023")</f>
        <v/>
      </c>
    </row>
    <row r="123" ht="15" customHeight="1">
      <c r="A123" t="inlineStr">
        <is>
          <t>A 53339-2023</t>
        </is>
      </c>
      <c r="B123" s="1" t="n">
        <v>45222</v>
      </c>
      <c r="C123" s="1" t="n">
        <v>45824</v>
      </c>
      <c r="D123" t="inlineStr">
        <is>
          <t>SÖDERMANLANDS LÄN</t>
        </is>
      </c>
      <c r="E123" t="inlineStr">
        <is>
          <t>FLEN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53339-2023 artfynd.xlsx", "A 53339-2023")</f>
        <v/>
      </c>
      <c r="T123">
        <f>HYPERLINK("https://klasma.github.io/Logging_0482/kartor/A 53339-2023 karta.png", "A 53339-2023")</f>
        <v/>
      </c>
      <c r="V123">
        <f>HYPERLINK("https://klasma.github.io/Logging_0482/klagomål/A 53339-2023 FSC-klagomål.docx", "A 53339-2023")</f>
        <v/>
      </c>
      <c r="W123">
        <f>HYPERLINK("https://klasma.github.io/Logging_0482/klagomålsmail/A 53339-2023 FSC-klagomål mail.docx", "A 53339-2023")</f>
        <v/>
      </c>
      <c r="X123">
        <f>HYPERLINK("https://klasma.github.io/Logging_0482/tillsyn/A 53339-2023 tillsynsbegäran.docx", "A 53339-2023")</f>
        <v/>
      </c>
      <c r="Y123">
        <f>HYPERLINK("https://klasma.github.io/Logging_0482/tillsynsmail/A 53339-2023 tillsynsbegäran mail.docx", "A 53339-2023")</f>
        <v/>
      </c>
    </row>
    <row r="124" ht="15" customHeight="1">
      <c r="A124" t="inlineStr">
        <is>
          <t>A 4154-2024</t>
        </is>
      </c>
      <c r="B124" s="1" t="n">
        <v>45323</v>
      </c>
      <c r="C124" s="1" t="n">
        <v>45824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Vippärt</t>
        </is>
      </c>
      <c r="S124">
        <f>HYPERLINK("https://klasma.github.io/Logging_0482/artfynd/A 4154-2024 artfynd.xlsx", "A 4154-2024")</f>
        <v/>
      </c>
      <c r="T124">
        <f>HYPERLINK("https://klasma.github.io/Logging_0482/kartor/A 4154-2024 karta.png", "A 4154-2024")</f>
        <v/>
      </c>
      <c r="V124">
        <f>HYPERLINK("https://klasma.github.io/Logging_0482/klagomål/A 4154-2024 FSC-klagomål.docx", "A 4154-2024")</f>
        <v/>
      </c>
      <c r="W124">
        <f>HYPERLINK("https://klasma.github.io/Logging_0482/klagomålsmail/A 4154-2024 FSC-klagomål mail.docx", "A 4154-2024")</f>
        <v/>
      </c>
      <c r="X124">
        <f>HYPERLINK("https://klasma.github.io/Logging_0482/tillsyn/A 4154-2024 tillsynsbegäran.docx", "A 4154-2024")</f>
        <v/>
      </c>
      <c r="Y124">
        <f>HYPERLINK("https://klasma.github.io/Logging_0482/tillsynsmail/A 4154-2024 tillsynsbegäran mail.docx", "A 4154-2024")</f>
        <v/>
      </c>
    </row>
    <row r="125" ht="15" customHeight="1">
      <c r="A125" t="inlineStr">
        <is>
          <t>A 7525-2024</t>
        </is>
      </c>
      <c r="B125" s="1" t="n">
        <v>45348</v>
      </c>
      <c r="C125" s="1" t="n">
        <v>45824</v>
      </c>
      <c r="D125" t="inlineStr">
        <is>
          <t>SÖDERMANLANDS LÄN</t>
        </is>
      </c>
      <c r="E125" t="inlineStr">
        <is>
          <t>FLEN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HYPERLINK("https://klasma.github.io/Logging_0482/artfynd/A 7525-2024 artfynd.xlsx", "A 7525-2024")</f>
        <v/>
      </c>
      <c r="T125">
        <f>HYPERLINK("https://klasma.github.io/Logging_0482/kartor/A 7525-2024 karta.png", "A 7525-2024")</f>
        <v/>
      </c>
      <c r="V125">
        <f>HYPERLINK("https://klasma.github.io/Logging_0482/klagomål/A 7525-2024 FSC-klagomål.docx", "A 7525-2024")</f>
        <v/>
      </c>
      <c r="W125">
        <f>HYPERLINK("https://klasma.github.io/Logging_0482/klagomålsmail/A 7525-2024 FSC-klagomål mail.docx", "A 7525-2024")</f>
        <v/>
      </c>
      <c r="X125">
        <f>HYPERLINK("https://klasma.github.io/Logging_0482/tillsyn/A 7525-2024 tillsynsbegäran.docx", "A 7525-2024")</f>
        <v/>
      </c>
      <c r="Y125">
        <f>HYPERLINK("https://klasma.github.io/Logging_0482/tillsynsmail/A 7525-2024 tillsynsbegäran mail.docx", "A 7525-2024")</f>
        <v/>
      </c>
    </row>
    <row r="126" ht="15" customHeight="1">
      <c r="A126" t="inlineStr">
        <is>
          <t>A 7973-2024</t>
        </is>
      </c>
      <c r="B126" s="1" t="n">
        <v>45350</v>
      </c>
      <c r="C126" s="1" t="n">
        <v>45824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7973-2024 artfynd.xlsx", "A 7973-2024")</f>
        <v/>
      </c>
      <c r="T126">
        <f>HYPERLINK("https://klasma.github.io/Logging_0482/kartor/A 7973-2024 karta.png", "A 7973-2024")</f>
        <v/>
      </c>
      <c r="V126">
        <f>HYPERLINK("https://klasma.github.io/Logging_0482/klagomål/A 7973-2024 FSC-klagomål.docx", "A 7973-2024")</f>
        <v/>
      </c>
      <c r="W126">
        <f>HYPERLINK("https://klasma.github.io/Logging_0482/klagomålsmail/A 7973-2024 FSC-klagomål mail.docx", "A 7973-2024")</f>
        <v/>
      </c>
      <c r="X126">
        <f>HYPERLINK("https://klasma.github.io/Logging_0482/tillsyn/A 7973-2024 tillsynsbegäran.docx", "A 7973-2024")</f>
        <v/>
      </c>
      <c r="Y126">
        <f>HYPERLINK("https://klasma.github.io/Logging_0482/tillsynsmail/A 7973-2024 tillsynsbegäran mail.docx", "A 7973-2024")</f>
        <v/>
      </c>
    </row>
    <row r="127" ht="15" customHeight="1">
      <c r="A127" t="inlineStr">
        <is>
          <t>A 12056-2024</t>
        </is>
      </c>
      <c r="B127" s="1" t="n">
        <v>45377</v>
      </c>
      <c r="C127" s="1" t="n">
        <v>45824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HYPERLINK("https://klasma.github.io/Logging_0482/artfynd/A 12056-2024 artfynd.xlsx", "A 12056-2024")</f>
        <v/>
      </c>
      <c r="T127">
        <f>HYPERLINK("https://klasma.github.io/Logging_0482/kartor/A 12056-2024 karta.png", "A 12056-2024")</f>
        <v/>
      </c>
      <c r="V127">
        <f>HYPERLINK("https://klasma.github.io/Logging_0482/klagomål/A 12056-2024 FSC-klagomål.docx", "A 12056-2024")</f>
        <v/>
      </c>
      <c r="W127">
        <f>HYPERLINK("https://klasma.github.io/Logging_0482/klagomålsmail/A 12056-2024 FSC-klagomål mail.docx", "A 12056-2024")</f>
        <v/>
      </c>
      <c r="X127">
        <f>HYPERLINK("https://klasma.github.io/Logging_0482/tillsyn/A 12056-2024 tillsynsbegäran.docx", "A 12056-2024")</f>
        <v/>
      </c>
      <c r="Y127">
        <f>HYPERLINK("https://klasma.github.io/Logging_0482/tillsynsmail/A 12056-2024 tillsynsbegäran mail.docx", "A 12056-2024")</f>
        <v/>
      </c>
    </row>
    <row r="128" ht="15" customHeight="1">
      <c r="A128" t="inlineStr">
        <is>
          <t>A 14854-2024</t>
        </is>
      </c>
      <c r="B128" s="1" t="n">
        <v>45398</v>
      </c>
      <c r="C128" s="1" t="n">
        <v>45824</v>
      </c>
      <c r="D128" t="inlineStr">
        <is>
          <t>SÖDERMANLANDS LÄN</t>
        </is>
      </c>
      <c r="E128" t="inlineStr">
        <is>
          <t>FLEN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14854-2024 artfynd.xlsx", "A 14854-2024")</f>
        <v/>
      </c>
      <c r="T128">
        <f>HYPERLINK("https://klasma.github.io/Logging_0482/kartor/A 14854-2024 karta.png", "A 14854-2024")</f>
        <v/>
      </c>
      <c r="V128">
        <f>HYPERLINK("https://klasma.github.io/Logging_0482/klagomål/A 14854-2024 FSC-klagomål.docx", "A 14854-2024")</f>
        <v/>
      </c>
      <c r="W128">
        <f>HYPERLINK("https://klasma.github.io/Logging_0482/klagomålsmail/A 14854-2024 FSC-klagomål mail.docx", "A 14854-2024")</f>
        <v/>
      </c>
      <c r="X128">
        <f>HYPERLINK("https://klasma.github.io/Logging_0482/tillsyn/A 14854-2024 tillsynsbegäran.docx", "A 14854-2024")</f>
        <v/>
      </c>
      <c r="Y128">
        <f>HYPERLINK("https://klasma.github.io/Logging_0482/tillsynsmail/A 14854-2024 tillsynsbegäran mail.docx", "A 14854-2024")</f>
        <v/>
      </c>
    </row>
    <row r="129" ht="15" customHeight="1">
      <c r="A129" t="inlineStr">
        <is>
          <t>A 28779-2024</t>
        </is>
      </c>
      <c r="B129" s="1" t="n">
        <v>45478</v>
      </c>
      <c r="C129" s="1" t="n">
        <v>45824</v>
      </c>
      <c r="D129" t="inlineStr">
        <is>
          <t>SÖDERMANLANDS LÄN</t>
        </is>
      </c>
      <c r="E129" t="inlineStr">
        <is>
          <t>FLEN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HYPERLINK("https://klasma.github.io/Logging_0482/artfynd/A 28779-2024 artfynd.xlsx", "A 28779-2024")</f>
        <v/>
      </c>
      <c r="T129">
        <f>HYPERLINK("https://klasma.github.io/Logging_0482/kartor/A 28779-2024 karta.png", "A 28779-2024")</f>
        <v/>
      </c>
      <c r="V129">
        <f>HYPERLINK("https://klasma.github.io/Logging_0482/klagomål/A 28779-2024 FSC-klagomål.docx", "A 28779-2024")</f>
        <v/>
      </c>
      <c r="W129">
        <f>HYPERLINK("https://klasma.github.io/Logging_0482/klagomålsmail/A 28779-2024 FSC-klagomål mail.docx", "A 28779-2024")</f>
        <v/>
      </c>
      <c r="X129">
        <f>HYPERLINK("https://klasma.github.io/Logging_0482/tillsyn/A 28779-2024 tillsynsbegäran.docx", "A 28779-2024")</f>
        <v/>
      </c>
      <c r="Y129">
        <f>HYPERLINK("https://klasma.github.io/Logging_0482/tillsynsmail/A 28779-2024 tillsynsbegäran mail.docx", "A 28779-2024")</f>
        <v/>
      </c>
    </row>
    <row r="130" ht="15" customHeight="1">
      <c r="A130" t="inlineStr">
        <is>
          <t>A 33216-2024</t>
        </is>
      </c>
      <c r="B130" s="1" t="n">
        <v>45518</v>
      </c>
      <c r="C130" s="1" t="n">
        <v>45824</v>
      </c>
      <c r="D130" t="inlineStr">
        <is>
          <t>SÖDERMANLANDS LÄN</t>
        </is>
      </c>
      <c r="E130" t="inlineStr">
        <is>
          <t>FLEN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HYPERLINK("https://klasma.github.io/Logging_0482/artfynd/A 33216-2024 artfynd.xlsx", "A 33216-2024")</f>
        <v/>
      </c>
      <c r="T130">
        <f>HYPERLINK("https://klasma.github.io/Logging_0482/kartor/A 33216-2024 karta.png", "A 33216-2024")</f>
        <v/>
      </c>
      <c r="V130">
        <f>HYPERLINK("https://klasma.github.io/Logging_0482/klagomål/A 33216-2024 FSC-klagomål.docx", "A 33216-2024")</f>
        <v/>
      </c>
      <c r="W130">
        <f>HYPERLINK("https://klasma.github.io/Logging_0482/klagomålsmail/A 33216-2024 FSC-klagomål mail.docx", "A 33216-2024")</f>
        <v/>
      </c>
      <c r="X130">
        <f>HYPERLINK("https://klasma.github.io/Logging_0482/tillsyn/A 33216-2024 tillsynsbegäran.docx", "A 33216-2024")</f>
        <v/>
      </c>
      <c r="Y130">
        <f>HYPERLINK("https://klasma.github.io/Logging_0482/tillsynsmail/A 33216-2024 tillsynsbegäran mail.docx", "A 33216-2024")</f>
        <v/>
      </c>
    </row>
    <row r="131" ht="15" customHeight="1">
      <c r="A131" t="inlineStr">
        <is>
          <t>A 37282-2024</t>
        </is>
      </c>
      <c r="B131" s="1" t="n">
        <v>45540</v>
      </c>
      <c r="C131" s="1" t="n">
        <v>45824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37282-2024 artfynd.xlsx", "A 37282-2024")</f>
        <v/>
      </c>
      <c r="T131">
        <f>HYPERLINK("https://klasma.github.io/Logging_0482/kartor/A 37282-2024 karta.png", "A 37282-2024")</f>
        <v/>
      </c>
      <c r="V131">
        <f>HYPERLINK("https://klasma.github.io/Logging_0482/klagomål/A 37282-2024 FSC-klagomål.docx", "A 37282-2024")</f>
        <v/>
      </c>
      <c r="W131">
        <f>HYPERLINK("https://klasma.github.io/Logging_0482/klagomålsmail/A 37282-2024 FSC-klagomål mail.docx", "A 37282-2024")</f>
        <v/>
      </c>
      <c r="X131">
        <f>HYPERLINK("https://klasma.github.io/Logging_0482/tillsyn/A 37282-2024 tillsynsbegäran.docx", "A 37282-2024")</f>
        <v/>
      </c>
      <c r="Y131">
        <f>HYPERLINK("https://klasma.github.io/Logging_0482/tillsynsmail/A 37282-2024 tillsynsbegäran mail.docx", "A 37282-2024")</f>
        <v/>
      </c>
    </row>
    <row r="132" ht="15" customHeight="1">
      <c r="A132" t="inlineStr">
        <is>
          <t>A 37284-2024</t>
        </is>
      </c>
      <c r="B132" s="1" t="n">
        <v>45540</v>
      </c>
      <c r="C132" s="1" t="n">
        <v>45824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HYPERLINK("https://klasma.github.io/Logging_0482/artfynd/A 37284-2024 artfynd.xlsx", "A 37284-2024")</f>
        <v/>
      </c>
      <c r="T132">
        <f>HYPERLINK("https://klasma.github.io/Logging_0482/kartor/A 37284-2024 karta.png", "A 37284-2024")</f>
        <v/>
      </c>
      <c r="V132">
        <f>HYPERLINK("https://klasma.github.io/Logging_0482/klagomål/A 37284-2024 FSC-klagomål.docx", "A 37284-2024")</f>
        <v/>
      </c>
      <c r="W132">
        <f>HYPERLINK("https://klasma.github.io/Logging_0482/klagomålsmail/A 37284-2024 FSC-klagomål mail.docx", "A 37284-2024")</f>
        <v/>
      </c>
      <c r="X132">
        <f>HYPERLINK("https://klasma.github.io/Logging_0482/tillsyn/A 37284-2024 tillsynsbegäran.docx", "A 37284-2024")</f>
        <v/>
      </c>
      <c r="Y132">
        <f>HYPERLINK("https://klasma.github.io/Logging_0482/tillsynsmail/A 37284-2024 tillsynsbegäran mail.docx", "A 37284-2024")</f>
        <v/>
      </c>
    </row>
    <row r="133" ht="15" customHeight="1">
      <c r="A133" t="inlineStr">
        <is>
          <t>A 40820-2024</t>
        </is>
      </c>
      <c r="B133" s="1" t="n">
        <v>45558</v>
      </c>
      <c r="C133" s="1" t="n">
        <v>45824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HYPERLINK("https://klasma.github.io/Logging_0482/artfynd/A 40820-2024 artfynd.xlsx", "A 40820-2024")</f>
        <v/>
      </c>
      <c r="T133">
        <f>HYPERLINK("https://klasma.github.io/Logging_0482/kartor/A 40820-2024 karta.png", "A 40820-2024")</f>
        <v/>
      </c>
      <c r="U133">
        <f>HYPERLINK("https://klasma.github.io/Logging_0482/knärot/A 40820-2024 karta knärot.png", "A 40820-2024")</f>
        <v/>
      </c>
      <c r="V133">
        <f>HYPERLINK("https://klasma.github.io/Logging_0482/klagomål/A 40820-2024 FSC-klagomål.docx", "A 40820-2024")</f>
        <v/>
      </c>
      <c r="W133">
        <f>HYPERLINK("https://klasma.github.io/Logging_0482/klagomålsmail/A 40820-2024 FSC-klagomål mail.docx", "A 40820-2024")</f>
        <v/>
      </c>
      <c r="X133">
        <f>HYPERLINK("https://klasma.github.io/Logging_0482/tillsyn/A 40820-2024 tillsynsbegäran.docx", "A 40820-2024")</f>
        <v/>
      </c>
      <c r="Y133">
        <f>HYPERLINK("https://klasma.github.io/Logging_0482/tillsynsmail/A 40820-2024 tillsynsbegäran mail.docx", "A 40820-2024")</f>
        <v/>
      </c>
    </row>
    <row r="134" ht="15" customHeight="1">
      <c r="A134" t="inlineStr">
        <is>
          <t>A 45718-2024</t>
        </is>
      </c>
      <c r="B134" s="1" t="n">
        <v>45579</v>
      </c>
      <c r="C134" s="1" t="n">
        <v>45824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45718-2024 artfynd.xlsx", "A 45718-2024")</f>
        <v/>
      </c>
      <c r="T134">
        <f>HYPERLINK("https://klasma.github.io/Logging_0482/kartor/A 45718-2024 karta.png", "A 45718-2024")</f>
        <v/>
      </c>
      <c r="U134">
        <f>HYPERLINK("https://klasma.github.io/Logging_0482/knärot/A 45718-2024 karta knärot.png", "A 45718-2024")</f>
        <v/>
      </c>
      <c r="V134">
        <f>HYPERLINK("https://klasma.github.io/Logging_0482/klagomål/A 45718-2024 FSC-klagomål.docx", "A 45718-2024")</f>
        <v/>
      </c>
      <c r="W134">
        <f>HYPERLINK("https://klasma.github.io/Logging_0482/klagomålsmail/A 45718-2024 FSC-klagomål mail.docx", "A 45718-2024")</f>
        <v/>
      </c>
      <c r="X134">
        <f>HYPERLINK("https://klasma.github.io/Logging_0482/tillsyn/A 45718-2024 tillsynsbegäran.docx", "A 45718-2024")</f>
        <v/>
      </c>
      <c r="Y134">
        <f>HYPERLINK("https://klasma.github.io/Logging_0482/tillsynsmail/A 45718-2024 tillsynsbegäran mail.docx", "A 45718-2024")</f>
        <v/>
      </c>
    </row>
    <row r="135" ht="15" customHeight="1">
      <c r="A135" t="inlineStr">
        <is>
          <t>A 49594-2024</t>
        </is>
      </c>
      <c r="B135" s="1" t="n">
        <v>45596</v>
      </c>
      <c r="C135" s="1" t="n">
        <v>45824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HYPERLINK("https://klasma.github.io/Logging_0482/artfynd/A 49594-2024 artfynd.xlsx", "A 49594-2024")</f>
        <v/>
      </c>
      <c r="T135">
        <f>HYPERLINK("https://klasma.github.io/Logging_0482/kartor/A 49594-2024 karta.png", "A 49594-2024")</f>
        <v/>
      </c>
      <c r="V135">
        <f>HYPERLINK("https://klasma.github.io/Logging_0482/klagomål/A 49594-2024 FSC-klagomål.docx", "A 49594-2024")</f>
        <v/>
      </c>
      <c r="W135">
        <f>HYPERLINK("https://klasma.github.io/Logging_0482/klagomålsmail/A 49594-2024 FSC-klagomål mail.docx", "A 49594-2024")</f>
        <v/>
      </c>
      <c r="X135">
        <f>HYPERLINK("https://klasma.github.io/Logging_0482/tillsyn/A 49594-2024 tillsynsbegäran.docx", "A 49594-2024")</f>
        <v/>
      </c>
      <c r="Y135">
        <f>HYPERLINK("https://klasma.github.io/Logging_0482/tillsynsmail/A 49594-2024 tillsynsbegäran mail.docx", "A 49594-2024")</f>
        <v/>
      </c>
      <c r="Z135">
        <f>HYPERLINK("https://klasma.github.io/Logging_0482/fåglar/A 49594-2024 prioriterade fågelarter.docx", "A 49594-2024")</f>
        <v/>
      </c>
    </row>
    <row r="136" ht="15" customHeight="1">
      <c r="A136" t="inlineStr">
        <is>
          <t>A 57251-2024</t>
        </is>
      </c>
      <c r="B136" s="1" t="n">
        <v>45629</v>
      </c>
      <c r="C136" s="1" t="n">
        <v>45824</v>
      </c>
      <c r="D136" t="inlineStr">
        <is>
          <t>SÖDERMANLANDS LÄN</t>
        </is>
      </c>
      <c r="E136" t="inlineStr">
        <is>
          <t>FLEN</t>
        </is>
      </c>
      <c r="G136" t="n">
        <v>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57251-2024 artfynd.xlsx", "A 57251-2024")</f>
        <v/>
      </c>
      <c r="T136">
        <f>HYPERLINK("https://klasma.github.io/Logging_0482/kartor/A 57251-2024 karta.png", "A 57251-2024")</f>
        <v/>
      </c>
      <c r="V136">
        <f>HYPERLINK("https://klasma.github.io/Logging_0482/klagomål/A 57251-2024 FSC-klagomål.docx", "A 57251-2024")</f>
        <v/>
      </c>
      <c r="W136">
        <f>HYPERLINK("https://klasma.github.io/Logging_0482/klagomålsmail/A 57251-2024 FSC-klagomål mail.docx", "A 57251-2024")</f>
        <v/>
      </c>
      <c r="X136">
        <f>HYPERLINK("https://klasma.github.io/Logging_0482/tillsyn/A 57251-2024 tillsynsbegäran.docx", "A 57251-2024")</f>
        <v/>
      </c>
      <c r="Y136">
        <f>HYPERLINK("https://klasma.github.io/Logging_0482/tillsynsmail/A 57251-2024 tillsynsbegäran mail.docx", "A 57251-2024")</f>
        <v/>
      </c>
    </row>
    <row r="137" ht="15" customHeight="1">
      <c r="A137" t="inlineStr">
        <is>
          <t>A 60529-2024</t>
        </is>
      </c>
      <c r="B137" s="1" t="n">
        <v>45643</v>
      </c>
      <c r="C137" s="1" t="n">
        <v>45824</v>
      </c>
      <c r="D137" t="inlineStr">
        <is>
          <t>SÖDERMANLANDS LÄN</t>
        </is>
      </c>
      <c r="E137" t="inlineStr">
        <is>
          <t>FLEN</t>
        </is>
      </c>
      <c r="G137" t="n">
        <v>2.5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HYPERLINK("https://klasma.github.io/Logging_0482/artfynd/A 60529-2024 artfynd.xlsx", "A 60529-2024")</f>
        <v/>
      </c>
      <c r="T137">
        <f>HYPERLINK("https://klasma.github.io/Logging_0482/kartor/A 60529-2024 karta.png", "A 60529-2024")</f>
        <v/>
      </c>
      <c r="V137">
        <f>HYPERLINK("https://klasma.github.io/Logging_0482/klagomål/A 60529-2024 FSC-klagomål.docx", "A 60529-2024")</f>
        <v/>
      </c>
      <c r="W137">
        <f>HYPERLINK("https://klasma.github.io/Logging_0482/klagomålsmail/A 60529-2024 FSC-klagomål mail.docx", "A 60529-2024")</f>
        <v/>
      </c>
      <c r="X137">
        <f>HYPERLINK("https://klasma.github.io/Logging_0482/tillsyn/A 60529-2024 tillsynsbegäran.docx", "A 60529-2024")</f>
        <v/>
      </c>
      <c r="Y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1861-2025</t>
        </is>
      </c>
      <c r="B138" s="1" t="n">
        <v>45671</v>
      </c>
      <c r="C138" s="1" t="n">
        <v>45824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Skogsalm</t>
        </is>
      </c>
      <c r="S138">
        <f>HYPERLINK("https://klasma.github.io/Logging_0482/artfynd/A 1861-2025 artfynd.xlsx", "A 1861-2025")</f>
        <v/>
      </c>
      <c r="T138">
        <f>HYPERLINK("https://klasma.github.io/Logging_0482/kartor/A 1861-2025 karta.png", "A 1861-2025")</f>
        <v/>
      </c>
      <c r="V138">
        <f>HYPERLINK("https://klasma.github.io/Logging_0482/klagomål/A 1861-2025 FSC-klagomål.docx", "A 1861-2025")</f>
        <v/>
      </c>
      <c r="W138">
        <f>HYPERLINK("https://klasma.github.io/Logging_0482/klagomålsmail/A 1861-2025 FSC-klagomål mail.docx", "A 1861-2025")</f>
        <v/>
      </c>
      <c r="X138">
        <f>HYPERLINK("https://klasma.github.io/Logging_0482/tillsyn/A 1861-2025 tillsynsbegäran.docx", "A 1861-2025")</f>
        <v/>
      </c>
      <c r="Y138">
        <f>HYPERLINK("https://klasma.github.io/Logging_0482/tillsynsmail/A 1861-2025 tillsynsbegäran mail.docx", "A 1861-2025")</f>
        <v/>
      </c>
    </row>
    <row r="139" ht="15" customHeight="1">
      <c r="A139" t="inlineStr">
        <is>
          <t>A 9066-2025</t>
        </is>
      </c>
      <c r="B139" s="1" t="n">
        <v>45713</v>
      </c>
      <c r="C139" s="1" t="n">
        <v>45824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Gullklöver</t>
        </is>
      </c>
      <c r="S139">
        <f>HYPERLINK("https://klasma.github.io/Logging_0482/artfynd/A 9066-2025 artfynd.xlsx", "A 9066-2025")</f>
        <v/>
      </c>
      <c r="T139">
        <f>HYPERLINK("https://klasma.github.io/Logging_0482/kartor/A 9066-2025 karta.png", "A 9066-2025")</f>
        <v/>
      </c>
      <c r="V139">
        <f>HYPERLINK("https://klasma.github.io/Logging_0482/klagomål/A 9066-2025 FSC-klagomål.docx", "A 9066-2025")</f>
        <v/>
      </c>
      <c r="W139">
        <f>HYPERLINK("https://klasma.github.io/Logging_0482/klagomålsmail/A 9066-2025 FSC-klagomål mail.docx", "A 9066-2025")</f>
        <v/>
      </c>
      <c r="X139">
        <f>HYPERLINK("https://klasma.github.io/Logging_0482/tillsyn/A 9066-2025 tillsynsbegäran.docx", "A 9066-2025")</f>
        <v/>
      </c>
      <c r="Y139">
        <f>HYPERLINK("https://klasma.github.io/Logging_0482/tillsynsmail/A 9066-2025 tillsynsbegäran mail.docx", "A 9066-2025")</f>
        <v/>
      </c>
    </row>
    <row r="140" ht="15" customHeight="1">
      <c r="A140" t="inlineStr">
        <is>
          <t>A 10828-2025</t>
        </is>
      </c>
      <c r="B140" s="1" t="n">
        <v>45722</v>
      </c>
      <c r="C140" s="1" t="n">
        <v>45824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HYPERLINK("https://klasma.github.io/Logging_040482/artfynd/A 10828-2025 artfynd.xlsx", "A 10828-2025")</f>
        <v/>
      </c>
      <c r="T140">
        <f>HYPERLINK("https://klasma.github.io/Logging_040482/kartor/A 10828-2025 karta.png", "A 10828-2025")</f>
        <v/>
      </c>
      <c r="V140">
        <f>HYPERLINK("https://klasma.github.io/Logging_040482/klagomål/A 10828-2025 FSC-klagomål.docx", "A 10828-2025")</f>
        <v/>
      </c>
      <c r="W140">
        <f>HYPERLINK("https://klasma.github.io/Logging_040482/klagomålsmail/A 10828-2025 FSC-klagomål mail.docx", "A 10828-2025")</f>
        <v/>
      </c>
      <c r="X140">
        <f>HYPERLINK("https://klasma.github.io/Logging_040482/tillsyn/A 10828-2025 tillsynsbegäran.docx", "A 10828-2025")</f>
        <v/>
      </c>
      <c r="Y140">
        <f>HYPERLINK("https://klasma.github.io/Logging_040482/tillsynsmail/A 10828-2025 tillsynsbegäran mail.docx", "A 10828-2025")</f>
        <v/>
      </c>
    </row>
    <row r="141" ht="15" customHeight="1">
      <c r="A141" t="inlineStr">
        <is>
          <t>A 14101-2025</t>
        </is>
      </c>
      <c r="B141" s="1" t="n">
        <v>45740</v>
      </c>
      <c r="C141" s="1" t="n">
        <v>45824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HYPERLINK("https://klasma.github.io/Logging_040482/artfynd/A 14101-2025 artfynd.xlsx", "A 14101-2025")</f>
        <v/>
      </c>
      <c r="T141">
        <f>HYPERLINK("https://klasma.github.io/Logging_040482/kartor/A 14101-2025 karta.png", "A 14101-2025")</f>
        <v/>
      </c>
      <c r="V141">
        <f>HYPERLINK("https://klasma.github.io/Logging_040482/klagomål/A 14101-2025 FSC-klagomål.docx", "A 14101-2025")</f>
        <v/>
      </c>
      <c r="W141">
        <f>HYPERLINK("https://klasma.github.io/Logging_040482/klagomålsmail/A 14101-2025 FSC-klagomål mail.docx", "A 14101-2025")</f>
        <v/>
      </c>
      <c r="X141">
        <f>HYPERLINK("https://klasma.github.io/Logging_040482/tillsyn/A 14101-2025 tillsynsbegäran.docx", "A 14101-2025")</f>
        <v/>
      </c>
      <c r="Y141">
        <f>HYPERLINK("https://klasma.github.io/Logging_040482/tillsynsmail/A 14101-2025 tillsynsbegäran mail.docx", "A 14101-2025")</f>
        <v/>
      </c>
    </row>
    <row r="142" ht="15" customHeight="1">
      <c r="A142" t="inlineStr">
        <is>
          <t>A 14273-2025</t>
        </is>
      </c>
      <c r="B142" s="1" t="n">
        <v>45740</v>
      </c>
      <c r="C142" s="1" t="n">
        <v>45824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HYPERLINK("https://klasma.github.io/Logging_040482/artfynd/A 14273-2025 artfynd.xlsx", "A 14273-2025")</f>
        <v/>
      </c>
      <c r="T142">
        <f>HYPERLINK("https://klasma.github.io/Logging_040482/kartor/A 14273-2025 karta.png", "A 14273-2025")</f>
        <v/>
      </c>
      <c r="V142">
        <f>HYPERLINK("https://klasma.github.io/Logging_040482/klagomål/A 14273-2025 FSC-klagomål.docx", "A 14273-2025")</f>
        <v/>
      </c>
      <c r="W142">
        <f>HYPERLINK("https://klasma.github.io/Logging_040482/klagomålsmail/A 14273-2025 FSC-klagomål mail.docx", "A 14273-2025")</f>
        <v/>
      </c>
      <c r="X142">
        <f>HYPERLINK("https://klasma.github.io/Logging_040482/tillsyn/A 14273-2025 tillsynsbegäran.docx", "A 14273-2025")</f>
        <v/>
      </c>
      <c r="Y142">
        <f>HYPERLINK("https://klasma.github.io/Logging_040482/tillsynsmail/A 14273-2025 tillsynsbegäran mail.docx", "A 14273-2025")</f>
        <v/>
      </c>
    </row>
    <row r="143" ht="15" customHeight="1">
      <c r="A143" t="inlineStr">
        <is>
          <t>A 14113-2025</t>
        </is>
      </c>
      <c r="B143" s="1" t="n">
        <v>45740</v>
      </c>
      <c r="C143" s="1" t="n">
        <v>45824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3.6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HYPERLINK("https://klasma.github.io/Logging_040482/artfynd/A 14113-2025 artfynd.xlsx", "A 14113-2025")</f>
        <v/>
      </c>
      <c r="T143">
        <f>HYPERLINK("https://klasma.github.io/Logging_040482/kartor/A 14113-2025 karta.png", "A 14113-2025")</f>
        <v/>
      </c>
      <c r="V143">
        <f>HYPERLINK("https://klasma.github.io/Logging_040482/klagomål/A 14113-2025 FSC-klagomål.docx", "A 14113-2025")</f>
        <v/>
      </c>
      <c r="W143">
        <f>HYPERLINK("https://klasma.github.io/Logging_040482/klagomålsmail/A 14113-2025 FSC-klagomål mail.docx", "A 14113-2025")</f>
        <v/>
      </c>
      <c r="X143">
        <f>HYPERLINK("https://klasma.github.io/Logging_040482/tillsyn/A 14113-2025 tillsynsbegäran.docx", "A 14113-2025")</f>
        <v/>
      </c>
      <c r="Y143">
        <f>HYPERLINK("https://klasma.github.io/Logging_040482/tillsynsmail/A 14113-2025 tillsynsbegäran mail.docx", "A 14113-2025")</f>
        <v/>
      </c>
    </row>
    <row r="144" ht="15" customHeight="1">
      <c r="A144" t="inlineStr">
        <is>
          <t>A 15011-2025</t>
        </is>
      </c>
      <c r="B144" s="1" t="n">
        <v>45743</v>
      </c>
      <c r="C144" s="1" t="n">
        <v>45824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HYPERLINK("https://klasma.github.io/Logging_040482/artfynd/A 15011-2025 artfynd.xlsx", "A 15011-2025")</f>
        <v/>
      </c>
      <c r="T144">
        <f>HYPERLINK("https://klasma.github.io/Logging_040482/kartor/A 15011-2025 karta.png", "A 15011-2025")</f>
        <v/>
      </c>
      <c r="V144">
        <f>HYPERLINK("https://klasma.github.io/Logging_040482/klagomål/A 15011-2025 FSC-klagomål.docx", "A 15011-2025")</f>
        <v/>
      </c>
      <c r="W144">
        <f>HYPERLINK("https://klasma.github.io/Logging_040482/klagomålsmail/A 15011-2025 FSC-klagomål mail.docx", "A 15011-2025")</f>
        <v/>
      </c>
      <c r="X144">
        <f>HYPERLINK("https://klasma.github.io/Logging_040482/tillsyn/A 15011-2025 tillsynsbegäran.docx", "A 15011-2025")</f>
        <v/>
      </c>
      <c r="Y144">
        <f>HYPERLINK("https://klasma.github.io/Logging_040482/tillsynsmail/A 15011-2025 tillsynsbegäran mail.docx", "A 15011-2025")</f>
        <v/>
      </c>
    </row>
    <row r="145" ht="15" customHeight="1">
      <c r="A145" t="inlineStr">
        <is>
          <t>A 16831-2025</t>
        </is>
      </c>
      <c r="B145" s="1" t="n">
        <v>45754</v>
      </c>
      <c r="C145" s="1" t="n">
        <v>45824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6.6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16831-2025 artfynd.xlsx", "A 16831-2025")</f>
        <v/>
      </c>
      <c r="T145">
        <f>HYPERLINK("https://klasma.github.io/Logging_040482/kartor/A 16831-2025 karta.png", "A 16831-2025")</f>
        <v/>
      </c>
      <c r="V145">
        <f>HYPERLINK("https://klasma.github.io/Logging_040482/klagomål/A 16831-2025 FSC-klagomål.docx", "A 16831-2025")</f>
        <v/>
      </c>
      <c r="W145">
        <f>HYPERLINK("https://klasma.github.io/Logging_040482/klagomålsmail/A 16831-2025 FSC-klagomål mail.docx", "A 16831-2025")</f>
        <v/>
      </c>
      <c r="X145">
        <f>HYPERLINK("https://klasma.github.io/Logging_040482/tillsyn/A 16831-2025 tillsynsbegäran.docx", "A 16831-2025")</f>
        <v/>
      </c>
      <c r="Y145">
        <f>HYPERLINK("https://klasma.github.io/Logging_040482/tillsynsmail/A 16831-2025 tillsynsbegäran mail.docx", "A 16831-2025")</f>
        <v/>
      </c>
    </row>
    <row r="146" ht="15" customHeight="1">
      <c r="A146" t="inlineStr">
        <is>
          <t>A 24464-2025</t>
        </is>
      </c>
      <c r="B146" s="1" t="n">
        <v>45798</v>
      </c>
      <c r="C146" s="1" t="n">
        <v>45824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24464-2025 artfynd.xlsx", "A 24464-2025")</f>
        <v/>
      </c>
      <c r="T146">
        <f>HYPERLINK("https://klasma.github.io/Logging_040482/kartor/A 24464-2025 karta.png", "A 24464-2025")</f>
        <v/>
      </c>
      <c r="V146">
        <f>HYPERLINK("https://klasma.github.io/Logging_040482/klagomål/A 24464-2025 FSC-klagomål.docx", "A 24464-2025")</f>
        <v/>
      </c>
      <c r="W146">
        <f>HYPERLINK("https://klasma.github.io/Logging_040482/klagomålsmail/A 24464-2025 FSC-klagomål mail.docx", "A 24464-2025")</f>
        <v/>
      </c>
      <c r="X146">
        <f>HYPERLINK("https://klasma.github.io/Logging_040482/tillsyn/A 24464-2025 tillsynsbegäran.docx", "A 24464-2025")</f>
        <v/>
      </c>
      <c r="Y146">
        <f>HYPERLINK("https://klasma.github.io/Logging_040482/tillsynsmail/A 24464-2025 tillsynsbegäran mail.docx", "A 24464-2025")</f>
        <v/>
      </c>
    </row>
    <row r="147" ht="15" customHeight="1">
      <c r="A147" t="inlineStr">
        <is>
          <t>A 18391-2019</t>
        </is>
      </c>
      <c r="B147" s="1" t="n">
        <v>43558</v>
      </c>
      <c r="C147" s="1" t="n">
        <v>45824</v>
      </c>
      <c r="D147" t="inlineStr">
        <is>
          <t>SÖDERMANLANDS LÄN</t>
        </is>
      </c>
      <c r="E147" t="inlineStr">
        <is>
          <t>FLEN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18543-2019</t>
        </is>
      </c>
      <c r="B148" s="1" t="n">
        <v>43558</v>
      </c>
      <c r="C148" s="1" t="n">
        <v>45824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18700-2019</t>
        </is>
      </c>
      <c r="B149" s="1" t="n">
        <v>43559</v>
      </c>
      <c r="C149" s="1" t="n">
        <v>45824</v>
      </c>
      <c r="D149" t="inlineStr">
        <is>
          <t>SÖDERMANLANDS LÄN</t>
        </is>
      </c>
      <c r="E149" t="inlineStr">
        <is>
          <t>FLEN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18688-2019</t>
        </is>
      </c>
      <c r="B150" s="1" t="n">
        <v>43559</v>
      </c>
      <c r="C150" s="1" t="n">
        <v>45824</v>
      </c>
      <c r="D150" t="inlineStr">
        <is>
          <t>SÖDERMANLANDS LÄN</t>
        </is>
      </c>
      <c r="E150" t="inlineStr">
        <is>
          <t>FLEN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18645-2019</t>
        </is>
      </c>
      <c r="B151" s="1" t="n">
        <v>43560</v>
      </c>
      <c r="C151" s="1" t="n">
        <v>45824</v>
      </c>
      <c r="D151" t="inlineStr">
        <is>
          <t>SÖDERMANLANDS LÄN</t>
        </is>
      </c>
      <c r="E151" t="inlineStr">
        <is>
          <t>FLEN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18824-2019</t>
        </is>
      </c>
      <c r="B152" s="1" t="n">
        <v>43560</v>
      </c>
      <c r="C152" s="1" t="n">
        <v>45824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19395-2019</t>
        </is>
      </c>
      <c r="B153" s="1" t="n">
        <v>43565</v>
      </c>
      <c r="C153" s="1" t="n">
        <v>45824</v>
      </c>
      <c r="D153" t="inlineStr">
        <is>
          <t>SÖDERMANLANDS LÄN</t>
        </is>
      </c>
      <c r="E153" t="inlineStr">
        <is>
          <t>FLEN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19834-2019</t>
        </is>
      </c>
      <c r="B154" s="1" t="n">
        <v>43567</v>
      </c>
      <c r="C154" s="1" t="n">
        <v>45824</v>
      </c>
      <c r="D154" t="inlineStr">
        <is>
          <t>SÖDERMANLANDS LÄN</t>
        </is>
      </c>
      <c r="E154" t="inlineStr">
        <is>
          <t>FLEN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20284-2019</t>
        </is>
      </c>
      <c r="B155" s="1" t="n">
        <v>43570</v>
      </c>
      <c r="C155" s="1" t="n">
        <v>45824</v>
      </c>
      <c r="D155" t="inlineStr">
        <is>
          <t>SÖDERMANLANDS LÄN</t>
        </is>
      </c>
      <c r="E155" t="inlineStr">
        <is>
          <t>FLEN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21920-2019</t>
        </is>
      </c>
      <c r="B156" s="1" t="n">
        <v>43584</v>
      </c>
      <c r="C156" s="1" t="n">
        <v>45824</v>
      </c>
      <c r="D156" t="inlineStr">
        <is>
          <t>SÖDERMANLANDS LÄN</t>
        </is>
      </c>
      <c r="E156" t="inlineStr">
        <is>
          <t>FLEN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28911-2019</t>
        </is>
      </c>
      <c r="B157" s="1" t="n">
        <v>43616</v>
      </c>
      <c r="C157" s="1" t="n">
        <v>45824</v>
      </c>
      <c r="D157" t="inlineStr">
        <is>
          <t>SÖDERMANLANDS LÄN</t>
        </is>
      </c>
      <c r="E157" t="inlineStr">
        <is>
          <t>FLEN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28058-2019</t>
        </is>
      </c>
      <c r="B158" s="1" t="n">
        <v>43621</v>
      </c>
      <c r="C158" s="1" t="n">
        <v>45824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29977-2019</t>
        </is>
      </c>
      <c r="B159" s="1" t="n">
        <v>43630</v>
      </c>
      <c r="C159" s="1" t="n">
        <v>45824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30492-2019</t>
        </is>
      </c>
      <c r="B160" s="1" t="n">
        <v>43635</v>
      </c>
      <c r="C160" s="1" t="n">
        <v>45824</v>
      </c>
      <c r="D160" t="inlineStr">
        <is>
          <t>SÖDERMANLANDS LÄN</t>
        </is>
      </c>
      <c r="E160" t="inlineStr">
        <is>
          <t>FLEN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30872-2019</t>
        </is>
      </c>
      <c r="B161" s="1" t="n">
        <v>43636</v>
      </c>
      <c r="C161" s="1" t="n">
        <v>45824</v>
      </c>
      <c r="D161" t="inlineStr">
        <is>
          <t>SÖDERMANLANDS LÄN</t>
        </is>
      </c>
      <c r="E161" t="inlineStr">
        <is>
          <t>FLEN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32070-2019</t>
        </is>
      </c>
      <c r="B162" s="1" t="n">
        <v>43643</v>
      </c>
      <c r="C162" s="1" t="n">
        <v>45824</v>
      </c>
      <c r="D162" t="inlineStr">
        <is>
          <t>SÖDERMANLANDS LÄN</t>
        </is>
      </c>
      <c r="E162" t="inlineStr">
        <is>
          <t>FLEN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35583-2019</t>
        </is>
      </c>
      <c r="B163" s="1" t="n">
        <v>43655</v>
      </c>
      <c r="C163" s="1" t="n">
        <v>45824</v>
      </c>
      <c r="D163" t="inlineStr">
        <is>
          <t>SÖDERMANLANDS LÄN</t>
        </is>
      </c>
      <c r="E163" t="inlineStr">
        <is>
          <t>FLEN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34988-2019</t>
        </is>
      </c>
      <c r="B164" s="1" t="n">
        <v>43659</v>
      </c>
      <c r="C164" s="1" t="n">
        <v>45824</v>
      </c>
      <c r="D164" t="inlineStr">
        <is>
          <t>SÖDERMANLANDS LÄN</t>
        </is>
      </c>
      <c r="E164" t="inlineStr">
        <is>
          <t>FLEN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35023-2019</t>
        </is>
      </c>
      <c r="B165" s="1" t="n">
        <v>43661</v>
      </c>
      <c r="C165" s="1" t="n">
        <v>45824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35086-2019</t>
        </is>
      </c>
      <c r="B166" s="1" t="n">
        <v>43661</v>
      </c>
      <c r="C166" s="1" t="n">
        <v>45824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35052-2019</t>
        </is>
      </c>
      <c r="B167" s="1" t="n">
        <v>43661</v>
      </c>
      <c r="C167" s="1" t="n">
        <v>45824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35182-2019</t>
        </is>
      </c>
      <c r="B168" s="1" t="n">
        <v>43661</v>
      </c>
      <c r="C168" s="1" t="n">
        <v>45824</v>
      </c>
      <c r="D168" t="inlineStr">
        <is>
          <t>SÖDERMANLANDS LÄN</t>
        </is>
      </c>
      <c r="E168" t="inlineStr">
        <is>
          <t>FLEN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35702-2019</t>
        </is>
      </c>
      <c r="B169" s="1" t="n">
        <v>43664</v>
      </c>
      <c r="C169" s="1" t="n">
        <v>45824</v>
      </c>
      <c r="D169" t="inlineStr">
        <is>
          <t>SÖDERMANLANDS LÄN</t>
        </is>
      </c>
      <c r="E169" t="inlineStr">
        <is>
          <t>FLEN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36152-2019</t>
        </is>
      </c>
      <c r="B170" s="1" t="n">
        <v>43668</v>
      </c>
      <c r="C170" s="1" t="n">
        <v>45824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36223-2019</t>
        </is>
      </c>
      <c r="B171" s="1" t="n">
        <v>43669</v>
      </c>
      <c r="C171" s="1" t="n">
        <v>45824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36612-2019</t>
        </is>
      </c>
      <c r="B172" s="1" t="n">
        <v>43669</v>
      </c>
      <c r="C172" s="1" t="n">
        <v>45824</v>
      </c>
      <c r="D172" t="inlineStr">
        <is>
          <t>SÖDERMANLANDS LÄN</t>
        </is>
      </c>
      <c r="E172" t="inlineStr">
        <is>
          <t>FLEN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36225-2019</t>
        </is>
      </c>
      <c r="B173" s="1" t="n">
        <v>43669</v>
      </c>
      <c r="C173" s="1" t="n">
        <v>45824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36619-2019</t>
        </is>
      </c>
      <c r="B174" s="1" t="n">
        <v>43669</v>
      </c>
      <c r="C174" s="1" t="n">
        <v>45824</v>
      </c>
      <c r="D174" t="inlineStr">
        <is>
          <t>SÖDERMANLANDS LÄN</t>
        </is>
      </c>
      <c r="E174" t="inlineStr">
        <is>
          <t>FLEN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36901-2019</t>
        </is>
      </c>
      <c r="B175" s="1" t="n">
        <v>43675</v>
      </c>
      <c r="C175" s="1" t="n">
        <v>45824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36978-2019</t>
        </is>
      </c>
      <c r="B176" s="1" t="n">
        <v>43676</v>
      </c>
      <c r="C176" s="1" t="n">
        <v>45824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36994-2019</t>
        </is>
      </c>
      <c r="B177" s="1" t="n">
        <v>43676</v>
      </c>
      <c r="C177" s="1" t="n">
        <v>45824</v>
      </c>
      <c r="D177" t="inlineStr">
        <is>
          <t>SÖDERMANLANDS LÄN</t>
        </is>
      </c>
      <c r="E177" t="inlineStr">
        <is>
          <t>FLEN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37337-2019</t>
        </is>
      </c>
      <c r="B178" s="1" t="n">
        <v>43678</v>
      </c>
      <c r="C178" s="1" t="n">
        <v>45824</v>
      </c>
      <c r="D178" t="inlineStr">
        <is>
          <t>SÖDERMANLANDS LÄN</t>
        </is>
      </c>
      <c r="E178" t="inlineStr">
        <is>
          <t>FLEN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37574-2019</t>
        </is>
      </c>
      <c r="B179" s="1" t="n">
        <v>43679</v>
      </c>
      <c r="C179" s="1" t="n">
        <v>45824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37560-2019</t>
        </is>
      </c>
      <c r="B180" s="1" t="n">
        <v>43679</v>
      </c>
      <c r="C180" s="1" t="n">
        <v>45824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37571-2019</t>
        </is>
      </c>
      <c r="B181" s="1" t="n">
        <v>43679</v>
      </c>
      <c r="C181" s="1" t="n">
        <v>45824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37572-2019</t>
        </is>
      </c>
      <c r="B182" s="1" t="n">
        <v>43679</v>
      </c>
      <c r="C182" s="1" t="n">
        <v>45824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37769-2019</t>
        </is>
      </c>
      <c r="B183" s="1" t="n">
        <v>43682</v>
      </c>
      <c r="C183" s="1" t="n">
        <v>45824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38241-2019</t>
        </is>
      </c>
      <c r="B184" s="1" t="n">
        <v>43684</v>
      </c>
      <c r="C184" s="1" t="n">
        <v>45824</v>
      </c>
      <c r="D184" t="inlineStr">
        <is>
          <t>SÖDERMANLANDS LÄN</t>
        </is>
      </c>
      <c r="E184" t="inlineStr">
        <is>
          <t>FLEN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38795-2019</t>
        </is>
      </c>
      <c r="B185" s="1" t="n">
        <v>43688</v>
      </c>
      <c r="C185" s="1" t="n">
        <v>45824</v>
      </c>
      <c r="D185" t="inlineStr">
        <is>
          <t>SÖDERMANLANDS LÄN</t>
        </is>
      </c>
      <c r="E185" t="inlineStr">
        <is>
          <t>FLEN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38796-2019</t>
        </is>
      </c>
      <c r="B186" s="1" t="n">
        <v>43688</v>
      </c>
      <c r="C186" s="1" t="n">
        <v>45824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39441-2019</t>
        </is>
      </c>
      <c r="B187" s="1" t="n">
        <v>43691</v>
      </c>
      <c r="C187" s="1" t="n">
        <v>45824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41114-2019</t>
        </is>
      </c>
      <c r="B188" s="1" t="n">
        <v>43691</v>
      </c>
      <c r="C188" s="1" t="n">
        <v>45824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40314-2019</t>
        </is>
      </c>
      <c r="B189" s="1" t="n">
        <v>43696</v>
      </c>
      <c r="C189" s="1" t="n">
        <v>45824</v>
      </c>
      <c r="D189" t="inlineStr">
        <is>
          <t>SÖDERMANLANDS LÄN</t>
        </is>
      </c>
      <c r="E189" t="inlineStr">
        <is>
          <t>FLEN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41847-2019</t>
        </is>
      </c>
      <c r="B190" s="1" t="n">
        <v>43697</v>
      </c>
      <c r="C190" s="1" t="n">
        <v>45824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46628-2019</t>
        </is>
      </c>
      <c r="B191" s="1" t="n">
        <v>43717</v>
      </c>
      <c r="C191" s="1" t="n">
        <v>45824</v>
      </c>
      <c r="D191" t="inlineStr">
        <is>
          <t>SÖDERMANLANDS LÄN</t>
        </is>
      </c>
      <c r="E191" t="inlineStr">
        <is>
          <t>FLEN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47345-2019</t>
        </is>
      </c>
      <c r="B192" s="1" t="n">
        <v>43721</v>
      </c>
      <c r="C192" s="1" t="n">
        <v>45824</v>
      </c>
      <c r="D192" t="inlineStr">
        <is>
          <t>SÖDERMANLANDS LÄN</t>
        </is>
      </c>
      <c r="E192" t="inlineStr">
        <is>
          <t>FLEN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48078-2019</t>
        </is>
      </c>
      <c r="B193" s="1" t="n">
        <v>43725</v>
      </c>
      <c r="C193" s="1" t="n">
        <v>45824</v>
      </c>
      <c r="D193" t="inlineStr">
        <is>
          <t>SÖDERMANLANDS LÄN</t>
        </is>
      </c>
      <c r="E193" t="inlineStr">
        <is>
          <t>FLEN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48240-2019</t>
        </is>
      </c>
      <c r="B194" s="1" t="n">
        <v>43726</v>
      </c>
      <c r="C194" s="1" t="n">
        <v>45824</v>
      </c>
      <c r="D194" t="inlineStr">
        <is>
          <t>SÖDERMANLANDS LÄN</t>
        </is>
      </c>
      <c r="E194" t="inlineStr">
        <is>
          <t>FLEN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49342-2019</t>
        </is>
      </c>
      <c r="B195" s="1" t="n">
        <v>43730</v>
      </c>
      <c r="C195" s="1" t="n">
        <v>45824</v>
      </c>
      <c r="D195" t="inlineStr">
        <is>
          <t>SÖDERMANLANDS LÄN</t>
        </is>
      </c>
      <c r="E195" t="inlineStr">
        <is>
          <t>FLEN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50710-2019</t>
        </is>
      </c>
      <c r="B196" s="1" t="n">
        <v>43738</v>
      </c>
      <c r="C196" s="1" t="n">
        <v>45824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51170-2019</t>
        </is>
      </c>
      <c r="B197" s="1" t="n">
        <v>43739</v>
      </c>
      <c r="C197" s="1" t="n">
        <v>45824</v>
      </c>
      <c r="D197" t="inlineStr">
        <is>
          <t>SÖDERMANLANDS LÄN</t>
        </is>
      </c>
      <c r="E197" t="inlineStr">
        <is>
          <t>FLEN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51738-2019</t>
        </is>
      </c>
      <c r="B198" s="1" t="n">
        <v>43740</v>
      </c>
      <c r="C198" s="1" t="n">
        <v>45824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54175-2019</t>
        </is>
      </c>
      <c r="B199" s="1" t="n">
        <v>43745</v>
      </c>
      <c r="C199" s="1" t="n">
        <v>45824</v>
      </c>
      <c r="D199" t="inlineStr">
        <is>
          <t>SÖDERMANLANDS LÄN</t>
        </is>
      </c>
      <c r="E199" t="inlineStr">
        <is>
          <t>FLEN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52871-2019</t>
        </is>
      </c>
      <c r="B200" s="1" t="n">
        <v>43746</v>
      </c>
      <c r="C200" s="1" t="n">
        <v>45824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54412-2019</t>
        </is>
      </c>
      <c r="B201" s="1" t="n">
        <v>43747</v>
      </c>
      <c r="C201" s="1" t="n">
        <v>45824</v>
      </c>
      <c r="D201" t="inlineStr">
        <is>
          <t>SÖDERMANLANDS LÄN</t>
        </is>
      </c>
      <c r="E201" t="inlineStr">
        <is>
          <t>FLEN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55088-2019</t>
        </is>
      </c>
      <c r="B202" s="1" t="n">
        <v>43752</v>
      </c>
      <c r="C202" s="1" t="n">
        <v>45824</v>
      </c>
      <c r="D202" t="inlineStr">
        <is>
          <t>SÖDERMANLANDS LÄN</t>
        </is>
      </c>
      <c r="E202" t="inlineStr">
        <is>
          <t>FLEN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55122-2019</t>
        </is>
      </c>
      <c r="B203" s="1" t="n">
        <v>43752</v>
      </c>
      <c r="C203" s="1" t="n">
        <v>45824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54307-2019</t>
        </is>
      </c>
      <c r="B204" s="1" t="n">
        <v>43753</v>
      </c>
      <c r="C204" s="1" t="n">
        <v>45824</v>
      </c>
      <c r="D204" t="inlineStr">
        <is>
          <t>SÖDERMANLANDS LÄN</t>
        </is>
      </c>
      <c r="E204" t="inlineStr">
        <is>
          <t>FLEN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55346-2019</t>
        </is>
      </c>
      <c r="B205" s="1" t="n">
        <v>43756</v>
      </c>
      <c r="C205" s="1" t="n">
        <v>45824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55417-2019</t>
        </is>
      </c>
      <c r="B206" s="1" t="n">
        <v>43758</v>
      </c>
      <c r="C206" s="1" t="n">
        <v>45824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55421-2019</t>
        </is>
      </c>
      <c r="B207" s="1" t="n">
        <v>43758</v>
      </c>
      <c r="C207" s="1" t="n">
        <v>45824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57898-2019</t>
        </is>
      </c>
      <c r="B208" s="1" t="n">
        <v>43762</v>
      </c>
      <c r="C208" s="1" t="n">
        <v>45824</v>
      </c>
      <c r="D208" t="inlineStr">
        <is>
          <t>SÖDERMANLANDS LÄN</t>
        </is>
      </c>
      <c r="E208" t="inlineStr">
        <is>
          <t>FLEN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58909-2019</t>
        </is>
      </c>
      <c r="B209" s="1" t="n">
        <v>43769</v>
      </c>
      <c r="C209" s="1" t="n">
        <v>45824</v>
      </c>
      <c r="D209" t="inlineStr">
        <is>
          <t>SÖDERMANLANDS LÄN</t>
        </is>
      </c>
      <c r="E209" t="inlineStr">
        <is>
          <t>FLEN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59014-2019</t>
        </is>
      </c>
      <c r="B210" s="1" t="n">
        <v>43774</v>
      </c>
      <c r="C210" s="1" t="n">
        <v>45824</v>
      </c>
      <c r="D210" t="inlineStr">
        <is>
          <t>SÖDERMANLANDS LÄN</t>
        </is>
      </c>
      <c r="E210" t="inlineStr">
        <is>
          <t>FLEN</t>
        </is>
      </c>
      <c r="F210" t="inlineStr">
        <is>
          <t>Kommuner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59454-2019</t>
        </is>
      </c>
      <c r="B211" s="1" t="n">
        <v>43776</v>
      </c>
      <c r="C211" s="1" t="n">
        <v>45824</v>
      </c>
      <c r="D211" t="inlineStr">
        <is>
          <t>SÖDERMANLANDS LÄN</t>
        </is>
      </c>
      <c r="E211" t="inlineStr">
        <is>
          <t>FLEN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59448-2019</t>
        </is>
      </c>
      <c r="B212" s="1" t="n">
        <v>43776</v>
      </c>
      <c r="C212" s="1" t="n">
        <v>45824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59750-2019</t>
        </is>
      </c>
      <c r="B213" s="1" t="n">
        <v>43776</v>
      </c>
      <c r="C213" s="1" t="n">
        <v>45824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59446-2019</t>
        </is>
      </c>
      <c r="B214" s="1" t="n">
        <v>43776</v>
      </c>
      <c r="C214" s="1" t="n">
        <v>45824</v>
      </c>
      <c r="D214" t="inlineStr">
        <is>
          <t>SÖDERMANLANDS LÄN</t>
        </is>
      </c>
      <c r="E214" t="inlineStr">
        <is>
          <t>FLEN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61889-2019</t>
        </is>
      </c>
      <c r="B215" s="1" t="n">
        <v>43787</v>
      </c>
      <c r="C215" s="1" t="n">
        <v>45824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64580-2019</t>
        </is>
      </c>
      <c r="B216" s="1" t="n">
        <v>43794</v>
      </c>
      <c r="C216" s="1" t="n">
        <v>45824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63758-2019</t>
        </is>
      </c>
      <c r="B217" s="1" t="n">
        <v>43795</v>
      </c>
      <c r="C217" s="1" t="n">
        <v>45824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64576-2019</t>
        </is>
      </c>
      <c r="B218" s="1" t="n">
        <v>43798</v>
      </c>
      <c r="C218" s="1" t="n">
        <v>45824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65346-2019</t>
        </is>
      </c>
      <c r="B219" s="1" t="n">
        <v>43803</v>
      </c>
      <c r="C219" s="1" t="n">
        <v>45824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68476-2019</t>
        </is>
      </c>
      <c r="B220" s="1" t="n">
        <v>43811</v>
      </c>
      <c r="C220" s="1" t="n">
        <v>45824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68491-2019</t>
        </is>
      </c>
      <c r="B221" s="1" t="n">
        <v>43811</v>
      </c>
      <c r="C221" s="1" t="n">
        <v>45824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68481-2019</t>
        </is>
      </c>
      <c r="B222" s="1" t="n">
        <v>43811</v>
      </c>
      <c r="C222" s="1" t="n">
        <v>45824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68976-2019</t>
        </is>
      </c>
      <c r="B223" s="1" t="n">
        <v>43823</v>
      </c>
      <c r="C223" s="1" t="n">
        <v>45824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82-2020</t>
        </is>
      </c>
      <c r="B224" s="1" t="n">
        <v>43832</v>
      </c>
      <c r="C224" s="1" t="n">
        <v>45824</v>
      </c>
      <c r="D224" t="inlineStr">
        <is>
          <t>SÖDERMANLANDS LÄN</t>
        </is>
      </c>
      <c r="E224" t="inlineStr">
        <is>
          <t>FLEN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235-2020</t>
        </is>
      </c>
      <c r="B225" s="1" t="n">
        <v>43834</v>
      </c>
      <c r="C225" s="1" t="n">
        <v>45824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236-2020</t>
        </is>
      </c>
      <c r="B226" s="1" t="n">
        <v>43834</v>
      </c>
      <c r="C226" s="1" t="n">
        <v>45824</v>
      </c>
      <c r="D226" t="inlineStr">
        <is>
          <t>SÖDERMANLANDS LÄN</t>
        </is>
      </c>
      <c r="E226" t="inlineStr">
        <is>
          <t>FLEN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1007-2020</t>
        </is>
      </c>
      <c r="B227" s="1" t="n">
        <v>43839</v>
      </c>
      <c r="C227" s="1" t="n">
        <v>45824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4033-2020</t>
        </is>
      </c>
      <c r="B228" s="1" t="n">
        <v>43846</v>
      </c>
      <c r="C228" s="1" t="n">
        <v>45824</v>
      </c>
      <c r="D228" t="inlineStr">
        <is>
          <t>SÖDERMANLANDS LÄN</t>
        </is>
      </c>
      <c r="E228" t="inlineStr">
        <is>
          <t>FLEN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2538-2020</t>
        </is>
      </c>
      <c r="B229" s="1" t="n">
        <v>43847</v>
      </c>
      <c r="C229" s="1" t="n">
        <v>45824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3831-2020</t>
        </is>
      </c>
      <c r="B230" s="1" t="n">
        <v>43847</v>
      </c>
      <c r="C230" s="1" t="n">
        <v>45824</v>
      </c>
      <c r="D230" t="inlineStr">
        <is>
          <t>SÖDERMANLANDS LÄN</t>
        </is>
      </c>
      <c r="E230" t="inlineStr">
        <is>
          <t>FLEN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3619-2020</t>
        </is>
      </c>
      <c r="B231" s="1" t="n">
        <v>43853</v>
      </c>
      <c r="C231" s="1" t="n">
        <v>45824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4092-2020</t>
        </is>
      </c>
      <c r="B232" s="1" t="n">
        <v>43857</v>
      </c>
      <c r="C232" s="1" t="n">
        <v>45824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5777-2020</t>
        </is>
      </c>
      <c r="B233" s="1" t="n">
        <v>43864</v>
      </c>
      <c r="C233" s="1" t="n">
        <v>45824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7747-2020</t>
        </is>
      </c>
      <c r="B234" s="1" t="n">
        <v>43872</v>
      </c>
      <c r="C234" s="1" t="n">
        <v>45824</v>
      </c>
      <c r="D234" t="inlineStr">
        <is>
          <t>SÖDERMANLANDS LÄN</t>
        </is>
      </c>
      <c r="E234" t="inlineStr">
        <is>
          <t>FLEN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7941-2020</t>
        </is>
      </c>
      <c r="B235" s="1" t="n">
        <v>43873</v>
      </c>
      <c r="C235" s="1" t="n">
        <v>45824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9740-2020</t>
        </is>
      </c>
      <c r="B236" s="1" t="n">
        <v>43881</v>
      </c>
      <c r="C236" s="1" t="n">
        <v>45824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10193-2020</t>
        </is>
      </c>
      <c r="B237" s="1" t="n">
        <v>43885</v>
      </c>
      <c r="C237" s="1" t="n">
        <v>45824</v>
      </c>
      <c r="D237" t="inlineStr">
        <is>
          <t>SÖDERMANLANDS LÄN</t>
        </is>
      </c>
      <c r="E237" t="inlineStr">
        <is>
          <t>FLEN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11059-2020</t>
        </is>
      </c>
      <c r="B238" s="1" t="n">
        <v>43885</v>
      </c>
      <c r="C238" s="1" t="n">
        <v>45824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10705-2020</t>
        </is>
      </c>
      <c r="B239" s="1" t="n">
        <v>43888</v>
      </c>
      <c r="C239" s="1" t="n">
        <v>45824</v>
      </c>
      <c r="D239" t="inlineStr">
        <is>
          <t>SÖDERMANLANDS LÄN</t>
        </is>
      </c>
      <c r="E239" t="inlineStr">
        <is>
          <t>FLEN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10918-2020</t>
        </is>
      </c>
      <c r="B240" s="1" t="n">
        <v>43889</v>
      </c>
      <c r="C240" s="1" t="n">
        <v>45824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10913-2020</t>
        </is>
      </c>
      <c r="B241" s="1" t="n">
        <v>43889</v>
      </c>
      <c r="C241" s="1" t="n">
        <v>45824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11517-2020</t>
        </is>
      </c>
      <c r="B242" s="1" t="n">
        <v>43893</v>
      </c>
      <c r="C242" s="1" t="n">
        <v>45824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11811-2020</t>
        </is>
      </c>
      <c r="B243" s="1" t="n">
        <v>43894</v>
      </c>
      <c r="C243" s="1" t="n">
        <v>45824</v>
      </c>
      <c r="D243" t="inlineStr">
        <is>
          <t>SÖDERMANLANDS LÄN</t>
        </is>
      </c>
      <c r="E243" t="inlineStr">
        <is>
          <t>FLEN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13194-2020</t>
        </is>
      </c>
      <c r="B244" s="1" t="n">
        <v>43901</v>
      </c>
      <c r="C244" s="1" t="n">
        <v>45824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13255-2020</t>
        </is>
      </c>
      <c r="B245" s="1" t="n">
        <v>43901</v>
      </c>
      <c r="C245" s="1" t="n">
        <v>45824</v>
      </c>
      <c r="D245" t="inlineStr">
        <is>
          <t>SÖDERMANLANDS LÄN</t>
        </is>
      </c>
      <c r="E245" t="inlineStr">
        <is>
          <t>FLEN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13251-2020</t>
        </is>
      </c>
      <c r="B246" s="1" t="n">
        <v>43901</v>
      </c>
      <c r="C246" s="1" t="n">
        <v>45824</v>
      </c>
      <c r="D246" t="inlineStr">
        <is>
          <t>SÖDERMANLANDS LÄN</t>
        </is>
      </c>
      <c r="E246" t="inlineStr">
        <is>
          <t>FLEN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13473-2020</t>
        </is>
      </c>
      <c r="B247" s="1" t="n">
        <v>43902</v>
      </c>
      <c r="C247" s="1" t="n">
        <v>45824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13698-2020</t>
        </is>
      </c>
      <c r="B248" s="1" t="n">
        <v>43902</v>
      </c>
      <c r="C248" s="1" t="n">
        <v>45824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14200-2020</t>
        </is>
      </c>
      <c r="B249" s="1" t="n">
        <v>43907</v>
      </c>
      <c r="C249" s="1" t="n">
        <v>45824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15132-2020</t>
        </is>
      </c>
      <c r="B250" s="1" t="n">
        <v>43911</v>
      </c>
      <c r="C250" s="1" t="n">
        <v>45824</v>
      </c>
      <c r="D250" t="inlineStr">
        <is>
          <t>SÖDERMANLANDS LÄN</t>
        </is>
      </c>
      <c r="E250" t="inlineStr">
        <is>
          <t>FLEN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16206-2020</t>
        </is>
      </c>
      <c r="B251" s="1" t="n">
        <v>43917</v>
      </c>
      <c r="C251" s="1" t="n">
        <v>45824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16684-2020</t>
        </is>
      </c>
      <c r="B252" s="1" t="n">
        <v>43920</v>
      </c>
      <c r="C252" s="1" t="n">
        <v>45824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17154-2020</t>
        </is>
      </c>
      <c r="B253" s="1" t="n">
        <v>43922</v>
      </c>
      <c r="C253" s="1" t="n">
        <v>45824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20002-2020</t>
        </is>
      </c>
      <c r="B254" s="1" t="n">
        <v>43943</v>
      </c>
      <c r="C254" s="1" t="n">
        <v>45824</v>
      </c>
      <c r="D254" t="inlineStr">
        <is>
          <t>SÖDERMANLANDS LÄN</t>
        </is>
      </c>
      <c r="E254" t="inlineStr">
        <is>
          <t>FLEN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20527-2020</t>
        </is>
      </c>
      <c r="B255" s="1" t="n">
        <v>43948</v>
      </c>
      <c r="C255" s="1" t="n">
        <v>45824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21401-2020</t>
        </is>
      </c>
      <c r="B256" s="1" t="n">
        <v>43955</v>
      </c>
      <c r="C256" s="1" t="n">
        <v>45824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21404-2020</t>
        </is>
      </c>
      <c r="B257" s="1" t="n">
        <v>43955</v>
      </c>
      <c r="C257" s="1" t="n">
        <v>45824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22347-2020</t>
        </is>
      </c>
      <c r="B258" s="1" t="n">
        <v>43957</v>
      </c>
      <c r="C258" s="1" t="n">
        <v>45824</v>
      </c>
      <c r="D258" t="inlineStr">
        <is>
          <t>SÖDERMANLANDS LÄN</t>
        </is>
      </c>
      <c r="E258" t="inlineStr">
        <is>
          <t>FLEN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21902-2020</t>
        </is>
      </c>
      <c r="B259" s="1" t="n">
        <v>43958</v>
      </c>
      <c r="C259" s="1" t="n">
        <v>45824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22237-2020</t>
        </is>
      </c>
      <c r="B260" s="1" t="n">
        <v>43959</v>
      </c>
      <c r="C260" s="1" t="n">
        <v>45824</v>
      </c>
      <c r="D260" t="inlineStr">
        <is>
          <t>SÖDERMANLANDS LÄN</t>
        </is>
      </c>
      <c r="E260" t="inlineStr">
        <is>
          <t>FLEN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22243-2020</t>
        </is>
      </c>
      <c r="B261" s="1" t="n">
        <v>43959</v>
      </c>
      <c r="C261" s="1" t="n">
        <v>45824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22241-2020</t>
        </is>
      </c>
      <c r="B262" s="1" t="n">
        <v>43959</v>
      </c>
      <c r="C262" s="1" t="n">
        <v>45824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25067-2020</t>
        </is>
      </c>
      <c r="B263" s="1" t="n">
        <v>43979</v>
      </c>
      <c r="C263" s="1" t="n">
        <v>45824</v>
      </c>
      <c r="D263" t="inlineStr">
        <is>
          <t>SÖDERMANLANDS LÄN</t>
        </is>
      </c>
      <c r="E263" t="inlineStr">
        <is>
          <t>FLEN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25280-2020</t>
        </is>
      </c>
      <c r="B264" s="1" t="n">
        <v>43980</v>
      </c>
      <c r="C264" s="1" t="n">
        <v>45824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25842-2020</t>
        </is>
      </c>
      <c r="B265" s="1" t="n">
        <v>43983</v>
      </c>
      <c r="C265" s="1" t="n">
        <v>45824</v>
      </c>
      <c r="D265" t="inlineStr">
        <is>
          <t>SÖDERMANLANDS LÄN</t>
        </is>
      </c>
      <c r="E265" t="inlineStr">
        <is>
          <t>FLEN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25466-2020</t>
        </is>
      </c>
      <c r="B266" s="1" t="n">
        <v>43983</v>
      </c>
      <c r="C266" s="1" t="n">
        <v>45824</v>
      </c>
      <c r="D266" t="inlineStr">
        <is>
          <t>SÖDERMANLANDS LÄN</t>
        </is>
      </c>
      <c r="E266" t="inlineStr">
        <is>
          <t>FLEN</t>
        </is>
      </c>
      <c r="G266" t="n">
        <v>30.4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25880-2020</t>
        </is>
      </c>
      <c r="B267" s="1" t="n">
        <v>43983</v>
      </c>
      <c r="C267" s="1" t="n">
        <v>45824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26063-2020</t>
        </is>
      </c>
      <c r="B268" s="1" t="n">
        <v>43985</v>
      </c>
      <c r="C268" s="1" t="n">
        <v>45824</v>
      </c>
      <c r="D268" t="inlineStr">
        <is>
          <t>SÖDERMANLANDS LÄN</t>
        </is>
      </c>
      <c r="E268" t="inlineStr">
        <is>
          <t>FLEN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28981-2020</t>
        </is>
      </c>
      <c r="B269" s="1" t="n">
        <v>43998</v>
      </c>
      <c r="C269" s="1" t="n">
        <v>45824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28562-2020</t>
        </is>
      </c>
      <c r="B270" s="1" t="n">
        <v>43999</v>
      </c>
      <c r="C270" s="1" t="n">
        <v>45824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28676-2020</t>
        </is>
      </c>
      <c r="B271" s="1" t="n">
        <v>43999</v>
      </c>
      <c r="C271" s="1" t="n">
        <v>45824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29455-2020</t>
        </is>
      </c>
      <c r="B272" s="1" t="n">
        <v>44004</v>
      </c>
      <c r="C272" s="1" t="n">
        <v>45824</v>
      </c>
      <c r="D272" t="inlineStr">
        <is>
          <t>SÖDERMANLANDS LÄN</t>
        </is>
      </c>
      <c r="E272" t="inlineStr">
        <is>
          <t>FLEN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29557-2020</t>
        </is>
      </c>
      <c r="B273" s="1" t="n">
        <v>44005</v>
      </c>
      <c r="C273" s="1" t="n">
        <v>45824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30209-2020</t>
        </is>
      </c>
      <c r="B274" s="1" t="n">
        <v>44007</v>
      </c>
      <c r="C274" s="1" t="n">
        <v>45824</v>
      </c>
      <c r="D274" t="inlineStr">
        <is>
          <t>SÖDERMANLANDS LÄN</t>
        </is>
      </c>
      <c r="E274" t="inlineStr">
        <is>
          <t>FLEN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30879-2020</t>
        </is>
      </c>
      <c r="B275" s="1" t="n">
        <v>44011</v>
      </c>
      <c r="C275" s="1" t="n">
        <v>45824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30871-2020</t>
        </is>
      </c>
      <c r="B276" s="1" t="n">
        <v>44011</v>
      </c>
      <c r="C276" s="1" t="n">
        <v>45824</v>
      </c>
      <c r="D276" t="inlineStr">
        <is>
          <t>SÖDERMANLANDS LÄN</t>
        </is>
      </c>
      <c r="E276" t="inlineStr">
        <is>
          <t>FLEN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31118-2020</t>
        </is>
      </c>
      <c r="B277" s="1" t="n">
        <v>44012</v>
      </c>
      <c r="C277" s="1" t="n">
        <v>45824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32142-2020</t>
        </is>
      </c>
      <c r="B278" s="1" t="n">
        <v>44015</v>
      </c>
      <c r="C278" s="1" t="n">
        <v>45824</v>
      </c>
      <c r="D278" t="inlineStr">
        <is>
          <t>SÖDERMANLANDS LÄN</t>
        </is>
      </c>
      <c r="E278" t="inlineStr">
        <is>
          <t>FLEN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32366-2020</t>
        </is>
      </c>
      <c r="B279" s="1" t="n">
        <v>44018</v>
      </c>
      <c r="C279" s="1" t="n">
        <v>45824</v>
      </c>
      <c r="D279" t="inlineStr">
        <is>
          <t>SÖDERMANLANDS LÄN</t>
        </is>
      </c>
      <c r="E279" t="inlineStr">
        <is>
          <t>FLEN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32585-2020</t>
        </is>
      </c>
      <c r="B280" s="1" t="n">
        <v>44018</v>
      </c>
      <c r="C280" s="1" t="n">
        <v>45824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33146-2020</t>
        </is>
      </c>
      <c r="B281" s="1" t="n">
        <v>44021</v>
      </c>
      <c r="C281" s="1" t="n">
        <v>45824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33464-2020</t>
        </is>
      </c>
      <c r="B282" s="1" t="n">
        <v>44023</v>
      </c>
      <c r="C282" s="1" t="n">
        <v>45824</v>
      </c>
      <c r="D282" t="inlineStr">
        <is>
          <t>SÖDERMANLANDS LÄN</t>
        </is>
      </c>
      <c r="E282" t="inlineStr">
        <is>
          <t>FLEN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33682-2020</t>
        </is>
      </c>
      <c r="B283" s="1" t="n">
        <v>44026</v>
      </c>
      <c r="C283" s="1" t="n">
        <v>45824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34066-2020</t>
        </is>
      </c>
      <c r="B284" s="1" t="n">
        <v>44027</v>
      </c>
      <c r="C284" s="1" t="n">
        <v>45824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34072-2020</t>
        </is>
      </c>
      <c r="B285" s="1" t="n">
        <v>44028</v>
      </c>
      <c r="C285" s="1" t="n">
        <v>45824</v>
      </c>
      <c r="D285" t="inlineStr">
        <is>
          <t>SÖDERMANLANDS LÄN</t>
        </is>
      </c>
      <c r="E285" t="inlineStr">
        <is>
          <t>FLEN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34489-2020</t>
        </is>
      </c>
      <c r="B286" s="1" t="n">
        <v>44029</v>
      </c>
      <c r="C286" s="1" t="n">
        <v>45824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34992-2020</t>
        </is>
      </c>
      <c r="B287" s="1" t="n">
        <v>44039</v>
      </c>
      <c r="C287" s="1" t="n">
        <v>45824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35093-2020</t>
        </is>
      </c>
      <c r="B288" s="1" t="n">
        <v>44039</v>
      </c>
      <c r="C288" s="1" t="n">
        <v>45824</v>
      </c>
      <c r="D288" t="inlineStr">
        <is>
          <t>SÖDERMANLANDS LÄN</t>
        </is>
      </c>
      <c r="E288" t="inlineStr">
        <is>
          <t>FLEN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35176-2020</t>
        </is>
      </c>
      <c r="B289" s="1" t="n">
        <v>44040</v>
      </c>
      <c r="C289" s="1" t="n">
        <v>45824</v>
      </c>
      <c r="D289" t="inlineStr">
        <is>
          <t>SÖDERMANLANDS LÄN</t>
        </is>
      </c>
      <c r="E289" t="inlineStr">
        <is>
          <t>FLEN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35501-2020</t>
        </is>
      </c>
      <c r="B290" s="1" t="n">
        <v>44042</v>
      </c>
      <c r="C290" s="1" t="n">
        <v>45824</v>
      </c>
      <c r="D290" t="inlineStr">
        <is>
          <t>SÖDERMANLANDS LÄN</t>
        </is>
      </c>
      <c r="E290" t="inlineStr">
        <is>
          <t>FLEN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35563-2020</t>
        </is>
      </c>
      <c r="B291" s="1" t="n">
        <v>44043</v>
      </c>
      <c r="C291" s="1" t="n">
        <v>45824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35560-2020</t>
        </is>
      </c>
      <c r="B292" s="1" t="n">
        <v>44043</v>
      </c>
      <c r="C292" s="1" t="n">
        <v>45824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35817-2020</t>
        </is>
      </c>
      <c r="B293" s="1" t="n">
        <v>44047</v>
      </c>
      <c r="C293" s="1" t="n">
        <v>45824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36317-2020</t>
        </is>
      </c>
      <c r="B294" s="1" t="n">
        <v>44049</v>
      </c>
      <c r="C294" s="1" t="n">
        <v>45824</v>
      </c>
      <c r="D294" t="inlineStr">
        <is>
          <t>SÖDERMANLANDS LÄN</t>
        </is>
      </c>
      <c r="E294" t="inlineStr">
        <is>
          <t>FLEN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36366-2020</t>
        </is>
      </c>
      <c r="B295" s="1" t="n">
        <v>44049</v>
      </c>
      <c r="C295" s="1" t="n">
        <v>45824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36880-2020</t>
        </is>
      </c>
      <c r="B296" s="1" t="n">
        <v>44053</v>
      </c>
      <c r="C296" s="1" t="n">
        <v>45824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36891-2020</t>
        </is>
      </c>
      <c r="B297" s="1" t="n">
        <v>44053</v>
      </c>
      <c r="C297" s="1" t="n">
        <v>45824</v>
      </c>
      <c r="D297" t="inlineStr">
        <is>
          <t>SÖDERMANLANDS LÄN</t>
        </is>
      </c>
      <c r="E297" t="inlineStr">
        <is>
          <t>FLEN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37214-2020</t>
        </is>
      </c>
      <c r="B298" s="1" t="n">
        <v>44054</v>
      </c>
      <c r="C298" s="1" t="n">
        <v>45824</v>
      </c>
      <c r="D298" t="inlineStr">
        <is>
          <t>SÖDERMANLANDS LÄN</t>
        </is>
      </c>
      <c r="E298" t="inlineStr">
        <is>
          <t>FLEN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37274-2020</t>
        </is>
      </c>
      <c r="B299" s="1" t="n">
        <v>44054</v>
      </c>
      <c r="C299" s="1" t="n">
        <v>45824</v>
      </c>
      <c r="D299" t="inlineStr">
        <is>
          <t>SÖDERMANLANDS LÄN</t>
        </is>
      </c>
      <c r="E299" t="inlineStr">
        <is>
          <t>FLEN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37736-2020</t>
        </is>
      </c>
      <c r="B300" s="1" t="n">
        <v>44056</v>
      </c>
      <c r="C300" s="1" t="n">
        <v>45824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37897-2020</t>
        </is>
      </c>
      <c r="B301" s="1" t="n">
        <v>44057</v>
      </c>
      <c r="C301" s="1" t="n">
        <v>45824</v>
      </c>
      <c r="D301" t="inlineStr">
        <is>
          <t>SÖDERMANLANDS LÄN</t>
        </is>
      </c>
      <c r="E301" t="inlineStr">
        <is>
          <t>FLEN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38613-2020</t>
        </is>
      </c>
      <c r="B302" s="1" t="n">
        <v>44061</v>
      </c>
      <c r="C302" s="1" t="n">
        <v>45824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38849-2020</t>
        </is>
      </c>
      <c r="B303" s="1" t="n">
        <v>44062</v>
      </c>
      <c r="C303" s="1" t="n">
        <v>45824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38854-2020</t>
        </is>
      </c>
      <c r="B304" s="1" t="n">
        <v>44062</v>
      </c>
      <c r="C304" s="1" t="n">
        <v>45824</v>
      </c>
      <c r="D304" t="inlineStr">
        <is>
          <t>SÖDERMANLANDS LÄN</t>
        </is>
      </c>
      <c r="E304" t="inlineStr">
        <is>
          <t>FLEN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40693-2020</t>
        </is>
      </c>
      <c r="B305" s="1" t="n">
        <v>44067</v>
      </c>
      <c r="C305" s="1" t="n">
        <v>45824</v>
      </c>
      <c r="D305" t="inlineStr">
        <is>
          <t>SÖDERMANLANDS LÄN</t>
        </is>
      </c>
      <c r="E305" t="inlineStr">
        <is>
          <t>FLEN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45305-2020</t>
        </is>
      </c>
      <c r="B306" s="1" t="n">
        <v>44085</v>
      </c>
      <c r="C306" s="1" t="n">
        <v>45824</v>
      </c>
      <c r="D306" t="inlineStr">
        <is>
          <t>SÖDERMANLANDS LÄN</t>
        </is>
      </c>
      <c r="E306" t="inlineStr">
        <is>
          <t>FLEN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45315-2020</t>
        </is>
      </c>
      <c r="B307" s="1" t="n">
        <v>44085</v>
      </c>
      <c r="C307" s="1" t="n">
        <v>45824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45265-2020</t>
        </is>
      </c>
      <c r="B308" s="1" t="n">
        <v>44089</v>
      </c>
      <c r="C308" s="1" t="n">
        <v>45824</v>
      </c>
      <c r="D308" t="inlineStr">
        <is>
          <t>SÖDERMANLANDS LÄN</t>
        </is>
      </c>
      <c r="E308" t="inlineStr">
        <is>
          <t>FLEN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HYPERLINK("https://klasma.github.io/Logging_0482/knärot/A 45265-2020 karta knärot.png", "A 45265-2020")</f>
        <v/>
      </c>
      <c r="V308">
        <f>HYPERLINK("https://klasma.github.io/Logging_0482/klagomål/A 45265-2020 FSC-klagomål.docx", "A 45265-2020")</f>
        <v/>
      </c>
      <c r="W308">
        <f>HYPERLINK("https://klasma.github.io/Logging_0482/klagomålsmail/A 45265-2020 FSC-klagomål mail.docx", "A 45265-2020")</f>
        <v/>
      </c>
      <c r="X308">
        <f>HYPERLINK("https://klasma.github.io/Logging_0482/tillsyn/A 45265-2020 tillsynsbegäran.docx", "A 45265-2020")</f>
        <v/>
      </c>
      <c r="Y308">
        <f>HYPERLINK("https://klasma.github.io/Logging_0482/tillsynsmail/A 45265-2020 tillsynsbegäran mail.docx", "A 45265-2020")</f>
        <v/>
      </c>
    </row>
    <row r="309" ht="15" customHeight="1">
      <c r="A309" t="inlineStr">
        <is>
          <t>A 47401-2020</t>
        </is>
      </c>
      <c r="B309" s="1" t="n">
        <v>44097</v>
      </c>
      <c r="C309" s="1" t="n">
        <v>45824</v>
      </c>
      <c r="D309" t="inlineStr">
        <is>
          <t>SÖDERMANLANDS LÄN</t>
        </is>
      </c>
      <c r="E309" t="inlineStr">
        <is>
          <t>FLEN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47669-2020</t>
        </is>
      </c>
      <c r="B310" s="1" t="n">
        <v>44098</v>
      </c>
      <c r="C310" s="1" t="n">
        <v>45824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47681-2020</t>
        </is>
      </c>
      <c r="B311" s="1" t="n">
        <v>44098</v>
      </c>
      <c r="C311" s="1" t="n">
        <v>45824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48869-2020</t>
        </is>
      </c>
      <c r="B312" s="1" t="n">
        <v>44104</v>
      </c>
      <c r="C312" s="1" t="n">
        <v>45824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51315-2020</t>
        </is>
      </c>
      <c r="B313" s="1" t="n">
        <v>44106</v>
      </c>
      <c r="C313" s="1" t="n">
        <v>45824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51836-2020</t>
        </is>
      </c>
      <c r="B314" s="1" t="n">
        <v>44109</v>
      </c>
      <c r="C314" s="1" t="n">
        <v>45824</v>
      </c>
      <c r="D314" t="inlineStr">
        <is>
          <t>SÖDERMANLANDS LÄN</t>
        </is>
      </c>
      <c r="E314" t="inlineStr">
        <is>
          <t>FLEN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51933-2020</t>
        </is>
      </c>
      <c r="B315" s="1" t="n">
        <v>44109</v>
      </c>
      <c r="C315" s="1" t="n">
        <v>45824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50467-2020</t>
        </is>
      </c>
      <c r="B316" s="1" t="n">
        <v>44110</v>
      </c>
      <c r="C316" s="1" t="n">
        <v>45824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51864-2020</t>
        </is>
      </c>
      <c r="B317" s="1" t="n">
        <v>44113</v>
      </c>
      <c r="C317" s="1" t="n">
        <v>45824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53424-2020</t>
        </is>
      </c>
      <c r="B318" s="1" t="n">
        <v>44123</v>
      </c>
      <c r="C318" s="1" t="n">
        <v>45824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54919-2020</t>
        </is>
      </c>
      <c r="B319" s="1" t="n">
        <v>44127</v>
      </c>
      <c r="C319" s="1" t="n">
        <v>45824</v>
      </c>
      <c r="D319" t="inlineStr">
        <is>
          <t>SÖDERMANLANDS LÄN</t>
        </is>
      </c>
      <c r="E319" t="inlineStr">
        <is>
          <t>FLEN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54918-2020</t>
        </is>
      </c>
      <c r="B320" s="1" t="n">
        <v>44127</v>
      </c>
      <c r="C320" s="1" t="n">
        <v>45824</v>
      </c>
      <c r="D320" t="inlineStr">
        <is>
          <t>SÖDERMANLANDS LÄN</t>
        </is>
      </c>
      <c r="E320" t="inlineStr">
        <is>
          <t>FLEN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56930-2020</t>
        </is>
      </c>
      <c r="B321" s="1" t="n">
        <v>44138</v>
      </c>
      <c r="C321" s="1" t="n">
        <v>45824</v>
      </c>
      <c r="D321" t="inlineStr">
        <is>
          <t>SÖDERMANLANDS LÄN</t>
        </is>
      </c>
      <c r="E321" t="inlineStr">
        <is>
          <t>FLEN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56863-2020</t>
        </is>
      </c>
      <c r="B322" s="1" t="n">
        <v>44138</v>
      </c>
      <c r="C322" s="1" t="n">
        <v>45824</v>
      </c>
      <c r="D322" t="inlineStr">
        <is>
          <t>SÖDERMANLANDS LÄN</t>
        </is>
      </c>
      <c r="E322" t="inlineStr">
        <is>
          <t>FLEN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57165-2020</t>
        </is>
      </c>
      <c r="B323" s="1" t="n">
        <v>44138</v>
      </c>
      <c r="C323" s="1" t="n">
        <v>45824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57251-2020</t>
        </is>
      </c>
      <c r="B324" s="1" t="n">
        <v>44139</v>
      </c>
      <c r="C324" s="1" t="n">
        <v>45824</v>
      </c>
      <c r="D324" t="inlineStr">
        <is>
          <t>SÖDERMANLANDS LÄN</t>
        </is>
      </c>
      <c r="E324" t="inlineStr">
        <is>
          <t>FLEN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57682-2020</t>
        </is>
      </c>
      <c r="B325" s="1" t="n">
        <v>44140</v>
      </c>
      <c r="C325" s="1" t="n">
        <v>45824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57689-2020</t>
        </is>
      </c>
      <c r="B326" s="1" t="n">
        <v>44140</v>
      </c>
      <c r="C326" s="1" t="n">
        <v>45824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58592-2020</t>
        </is>
      </c>
      <c r="B327" s="1" t="n">
        <v>44145</v>
      </c>
      <c r="C327" s="1" t="n">
        <v>45824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58948-2020</t>
        </is>
      </c>
      <c r="B328" s="1" t="n">
        <v>44146</v>
      </c>
      <c r="C328" s="1" t="n">
        <v>45824</v>
      </c>
      <c r="D328" t="inlineStr">
        <is>
          <t>SÖDERMANLANDS LÄN</t>
        </is>
      </c>
      <c r="E328" t="inlineStr">
        <is>
          <t>FLEN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60409-2020</t>
        </is>
      </c>
      <c r="B329" s="1" t="n">
        <v>44152</v>
      </c>
      <c r="C329" s="1" t="n">
        <v>45824</v>
      </c>
      <c r="D329" t="inlineStr">
        <is>
          <t>SÖDERMANLANDS LÄN</t>
        </is>
      </c>
      <c r="E329" t="inlineStr">
        <is>
          <t>FLEN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61697-2020</t>
        </is>
      </c>
      <c r="B330" s="1" t="n">
        <v>44158</v>
      </c>
      <c r="C330" s="1" t="n">
        <v>45824</v>
      </c>
      <c r="D330" t="inlineStr">
        <is>
          <t>SÖDERMANLANDS LÄN</t>
        </is>
      </c>
      <c r="E330" t="inlineStr">
        <is>
          <t>FLEN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61713-2020</t>
        </is>
      </c>
      <c r="B331" s="1" t="n">
        <v>44158</v>
      </c>
      <c r="C331" s="1" t="n">
        <v>45824</v>
      </c>
      <c r="D331" t="inlineStr">
        <is>
          <t>SÖDERMANLANDS LÄN</t>
        </is>
      </c>
      <c r="E331" t="inlineStr">
        <is>
          <t>FLEN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62512-2020</t>
        </is>
      </c>
      <c r="B332" s="1" t="n">
        <v>44160</v>
      </c>
      <c r="C332" s="1" t="n">
        <v>45824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65233-2020</t>
        </is>
      </c>
      <c r="B333" s="1" t="n">
        <v>44172</v>
      </c>
      <c r="C333" s="1" t="n">
        <v>45824</v>
      </c>
      <c r="D333" t="inlineStr">
        <is>
          <t>SÖDERMANLANDS LÄN</t>
        </is>
      </c>
      <c r="E333" t="inlineStr">
        <is>
          <t>FLEN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66511-2020</t>
        </is>
      </c>
      <c r="B334" s="1" t="n">
        <v>44178</v>
      </c>
      <c r="C334" s="1" t="n">
        <v>45824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69019-2020</t>
        </is>
      </c>
      <c r="B335" s="1" t="n">
        <v>44187</v>
      </c>
      <c r="C335" s="1" t="n">
        <v>45824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69015-2020</t>
        </is>
      </c>
      <c r="B336" s="1" t="n">
        <v>44188</v>
      </c>
      <c r="C336" s="1" t="n">
        <v>45824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69388-2020</t>
        </is>
      </c>
      <c r="B337" s="1" t="n">
        <v>44193</v>
      </c>
      <c r="C337" s="1" t="n">
        <v>45824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527-2021</t>
        </is>
      </c>
      <c r="B338" s="1" t="n">
        <v>44201</v>
      </c>
      <c r="C338" s="1" t="n">
        <v>45824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587-2021</t>
        </is>
      </c>
      <c r="B339" s="1" t="n">
        <v>44203</v>
      </c>
      <c r="C339" s="1" t="n">
        <v>45824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1329-2021</t>
        </is>
      </c>
      <c r="B340" s="1" t="n">
        <v>44208</v>
      </c>
      <c r="C340" s="1" t="n">
        <v>45824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1333-2021</t>
        </is>
      </c>
      <c r="B341" s="1" t="n">
        <v>44208</v>
      </c>
      <c r="C341" s="1" t="n">
        <v>45824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1330-2021</t>
        </is>
      </c>
      <c r="B342" s="1" t="n">
        <v>44208</v>
      </c>
      <c r="C342" s="1" t="n">
        <v>45824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1565-2021</t>
        </is>
      </c>
      <c r="B343" s="1" t="n">
        <v>44209</v>
      </c>
      <c r="C343" s="1" t="n">
        <v>45824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2460-2021</t>
        </is>
      </c>
      <c r="B344" s="1" t="n">
        <v>44214</v>
      </c>
      <c r="C344" s="1" t="n">
        <v>45824</v>
      </c>
      <c r="D344" t="inlineStr">
        <is>
          <t>SÖDERMANLANDS LÄN</t>
        </is>
      </c>
      <c r="E344" t="inlineStr">
        <is>
          <t>FLEN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2488-2021</t>
        </is>
      </c>
      <c r="B345" s="1" t="n">
        <v>44214</v>
      </c>
      <c r="C345" s="1" t="n">
        <v>45824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3169-2021</t>
        </is>
      </c>
      <c r="B346" s="1" t="n">
        <v>44217</v>
      </c>
      <c r="C346" s="1" t="n">
        <v>45824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3513-2021</t>
        </is>
      </c>
      <c r="B347" s="1" t="n">
        <v>44218</v>
      </c>
      <c r="C347" s="1" t="n">
        <v>45824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4348-2021</t>
        </is>
      </c>
      <c r="B348" s="1" t="n">
        <v>44223</v>
      </c>
      <c r="C348" s="1" t="n">
        <v>45824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5971-2021</t>
        </is>
      </c>
      <c r="B349" s="1" t="n">
        <v>44230</v>
      </c>
      <c r="C349" s="1" t="n">
        <v>45824</v>
      </c>
      <c r="D349" t="inlineStr">
        <is>
          <t>SÖDERMANLANDS LÄN</t>
        </is>
      </c>
      <c r="E349" t="inlineStr">
        <is>
          <t>FLEN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6827-2021</t>
        </is>
      </c>
      <c r="B350" s="1" t="n">
        <v>44237</v>
      </c>
      <c r="C350" s="1" t="n">
        <v>45824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7858-2021</t>
        </is>
      </c>
      <c r="B351" s="1" t="n">
        <v>44242</v>
      </c>
      <c r="C351" s="1" t="n">
        <v>45824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8141-2021</t>
        </is>
      </c>
      <c r="B352" s="1" t="n">
        <v>44242</v>
      </c>
      <c r="C352" s="1" t="n">
        <v>45824</v>
      </c>
      <c r="D352" t="inlineStr">
        <is>
          <t>SÖDERMANLANDS LÄN</t>
        </is>
      </c>
      <c r="E352" t="inlineStr">
        <is>
          <t>FLEN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8762-2021</t>
        </is>
      </c>
      <c r="B353" s="1" t="n">
        <v>44246</v>
      </c>
      <c r="C353" s="1" t="n">
        <v>45824</v>
      </c>
      <c r="D353" t="inlineStr">
        <is>
          <t>SÖDERMANLANDS LÄN</t>
        </is>
      </c>
      <c r="E353" t="inlineStr">
        <is>
          <t>FLEN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8749-2021</t>
        </is>
      </c>
      <c r="B354" s="1" t="n">
        <v>44246</v>
      </c>
      <c r="C354" s="1" t="n">
        <v>45824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8710-2021</t>
        </is>
      </c>
      <c r="B355" s="1" t="n">
        <v>44246</v>
      </c>
      <c r="C355" s="1" t="n">
        <v>45824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8888-2021</t>
        </is>
      </c>
      <c r="B356" s="1" t="n">
        <v>44248</v>
      </c>
      <c r="C356" s="1" t="n">
        <v>45824</v>
      </c>
      <c r="D356" t="inlineStr">
        <is>
          <t>SÖDERMANLANDS LÄN</t>
        </is>
      </c>
      <c r="E356" t="inlineStr">
        <is>
          <t>FLEN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9373-2021</t>
        </is>
      </c>
      <c r="B357" s="1" t="n">
        <v>44250</v>
      </c>
      <c r="C357" s="1" t="n">
        <v>45824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9237-2021</t>
        </is>
      </c>
      <c r="B358" s="1" t="n">
        <v>44250</v>
      </c>
      <c r="C358" s="1" t="n">
        <v>45824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9634-2021</t>
        </is>
      </c>
      <c r="B359" s="1" t="n">
        <v>44252</v>
      </c>
      <c r="C359" s="1" t="n">
        <v>45824</v>
      </c>
      <c r="D359" t="inlineStr">
        <is>
          <t>SÖDERMANLANDS LÄN</t>
        </is>
      </c>
      <c r="E359" t="inlineStr">
        <is>
          <t>FLEN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9674-2021</t>
        </is>
      </c>
      <c r="B360" s="1" t="n">
        <v>44252</v>
      </c>
      <c r="C360" s="1" t="n">
        <v>45824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10607-2021</t>
        </is>
      </c>
      <c r="B361" s="1" t="n">
        <v>44258</v>
      </c>
      <c r="C361" s="1" t="n">
        <v>45824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10980-2021</t>
        </is>
      </c>
      <c r="B362" s="1" t="n">
        <v>44260</v>
      </c>
      <c r="C362" s="1" t="n">
        <v>45824</v>
      </c>
      <c r="D362" t="inlineStr">
        <is>
          <t>SÖDERMANLANDS LÄN</t>
        </is>
      </c>
      <c r="E362" t="inlineStr">
        <is>
          <t>FLEN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11030-2021</t>
        </is>
      </c>
      <c r="B363" s="1" t="n">
        <v>44260</v>
      </c>
      <c r="C363" s="1" t="n">
        <v>45824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11068-2021</t>
        </is>
      </c>
      <c r="B364" s="1" t="n">
        <v>44260</v>
      </c>
      <c r="C364" s="1" t="n">
        <v>45824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11288-2021</t>
        </is>
      </c>
      <c r="B365" s="1" t="n">
        <v>44263</v>
      </c>
      <c r="C365" s="1" t="n">
        <v>45824</v>
      </c>
      <c r="D365" t="inlineStr">
        <is>
          <t>SÖDERMANLANDS LÄN</t>
        </is>
      </c>
      <c r="E365" t="inlineStr">
        <is>
          <t>FLEN</t>
        </is>
      </c>
      <c r="G365" t="n">
        <v>19.1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11302-2021</t>
        </is>
      </c>
      <c r="B366" s="1" t="n">
        <v>44263</v>
      </c>
      <c r="C366" s="1" t="n">
        <v>45824</v>
      </c>
      <c r="D366" t="inlineStr">
        <is>
          <t>SÖDERMANLANDS LÄN</t>
        </is>
      </c>
      <c r="E366" t="inlineStr">
        <is>
          <t>FLEN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11731-2021</t>
        </is>
      </c>
      <c r="B367" s="1" t="n">
        <v>44265</v>
      </c>
      <c r="C367" s="1" t="n">
        <v>45824</v>
      </c>
      <c r="D367" t="inlineStr">
        <is>
          <t>SÖDERMANLANDS LÄN</t>
        </is>
      </c>
      <c r="E367" t="inlineStr">
        <is>
          <t>FLEN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12774-2021</t>
        </is>
      </c>
      <c r="B368" s="1" t="n">
        <v>44270</v>
      </c>
      <c r="C368" s="1" t="n">
        <v>45824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14973-2021</t>
        </is>
      </c>
      <c r="B369" s="1" t="n">
        <v>44281</v>
      </c>
      <c r="C369" s="1" t="n">
        <v>45824</v>
      </c>
      <c r="D369" t="inlineStr">
        <is>
          <t>SÖDERMANLANDS LÄN</t>
        </is>
      </c>
      <c r="E369" t="inlineStr">
        <is>
          <t>FLEN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15062-2021</t>
        </is>
      </c>
      <c r="B370" s="1" t="n">
        <v>44281</v>
      </c>
      <c r="C370" s="1" t="n">
        <v>45824</v>
      </c>
      <c r="D370" t="inlineStr">
        <is>
          <t>SÖDERMANLANDS LÄN</t>
        </is>
      </c>
      <c r="E370" t="inlineStr">
        <is>
          <t>FLEN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15465-2021</t>
        </is>
      </c>
      <c r="B371" s="1" t="n">
        <v>44285</v>
      </c>
      <c r="C371" s="1" t="n">
        <v>45824</v>
      </c>
      <c r="D371" t="inlineStr">
        <is>
          <t>SÖDERMANLANDS LÄN</t>
        </is>
      </c>
      <c r="E371" t="inlineStr">
        <is>
          <t>FLEN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16281-2021</t>
        </is>
      </c>
      <c r="B372" s="1" t="n">
        <v>44292</v>
      </c>
      <c r="C372" s="1" t="n">
        <v>45824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16275-2021</t>
        </is>
      </c>
      <c r="B373" s="1" t="n">
        <v>44292</v>
      </c>
      <c r="C373" s="1" t="n">
        <v>45824</v>
      </c>
      <c r="D373" t="inlineStr">
        <is>
          <t>SÖDERMANLANDS LÄN</t>
        </is>
      </c>
      <c r="E373" t="inlineStr">
        <is>
          <t>FLEN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16276-2021</t>
        </is>
      </c>
      <c r="B374" s="1" t="n">
        <v>44292</v>
      </c>
      <c r="C374" s="1" t="n">
        <v>45824</v>
      </c>
      <c r="D374" t="inlineStr">
        <is>
          <t>SÖDERMANLANDS LÄN</t>
        </is>
      </c>
      <c r="E374" t="inlineStr">
        <is>
          <t>FLEN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16520-2021</t>
        </is>
      </c>
      <c r="B375" s="1" t="n">
        <v>44293</v>
      </c>
      <c r="C375" s="1" t="n">
        <v>45824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17203-2021</t>
        </is>
      </c>
      <c r="B376" s="1" t="n">
        <v>44296</v>
      </c>
      <c r="C376" s="1" t="n">
        <v>45824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17210-2021</t>
        </is>
      </c>
      <c r="B377" s="1" t="n">
        <v>44297</v>
      </c>
      <c r="C377" s="1" t="n">
        <v>45824</v>
      </c>
      <c r="D377" t="inlineStr">
        <is>
          <t>SÖDERMANLANDS LÄN</t>
        </is>
      </c>
      <c r="E377" t="inlineStr">
        <is>
          <t>FLEN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17222-2021</t>
        </is>
      </c>
      <c r="B378" s="1" t="n">
        <v>44297</v>
      </c>
      <c r="C378" s="1" t="n">
        <v>45824</v>
      </c>
      <c r="D378" t="inlineStr">
        <is>
          <t>SÖDERMANLANDS LÄN</t>
        </is>
      </c>
      <c r="E378" t="inlineStr">
        <is>
          <t>FLEN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17183-2021</t>
        </is>
      </c>
      <c r="B379" s="1" t="n">
        <v>44297</v>
      </c>
      <c r="C379" s="1" t="n">
        <v>45824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17985-2021</t>
        </is>
      </c>
      <c r="B380" s="1" t="n">
        <v>44301</v>
      </c>
      <c r="C380" s="1" t="n">
        <v>45824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17987-2021</t>
        </is>
      </c>
      <c r="B381" s="1" t="n">
        <v>44301</v>
      </c>
      <c r="C381" s="1" t="n">
        <v>45824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18053-2021</t>
        </is>
      </c>
      <c r="B382" s="1" t="n">
        <v>44302</v>
      </c>
      <c r="C382" s="1" t="n">
        <v>45824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18192-2021</t>
        </is>
      </c>
      <c r="B383" s="1" t="n">
        <v>44302</v>
      </c>
      <c r="C383" s="1" t="n">
        <v>45824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18185-2021</t>
        </is>
      </c>
      <c r="B384" s="1" t="n">
        <v>44302</v>
      </c>
      <c r="C384" s="1" t="n">
        <v>45824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18180-2021</t>
        </is>
      </c>
      <c r="B385" s="1" t="n">
        <v>44302</v>
      </c>
      <c r="C385" s="1" t="n">
        <v>45824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19072-2021</t>
        </is>
      </c>
      <c r="B386" s="1" t="n">
        <v>44307</v>
      </c>
      <c r="C386" s="1" t="n">
        <v>45824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19387-2021</t>
        </is>
      </c>
      <c r="B387" s="1" t="n">
        <v>44309</v>
      </c>
      <c r="C387" s="1" t="n">
        <v>45824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22011-2021</t>
        </is>
      </c>
      <c r="B388" s="1" t="n">
        <v>44323</v>
      </c>
      <c r="C388" s="1" t="n">
        <v>45824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22015-2021</t>
        </is>
      </c>
      <c r="B389" s="1" t="n">
        <v>44323</v>
      </c>
      <c r="C389" s="1" t="n">
        <v>45824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22020-2021</t>
        </is>
      </c>
      <c r="B390" s="1" t="n">
        <v>44323</v>
      </c>
      <c r="C390" s="1" t="n">
        <v>45824</v>
      </c>
      <c r="D390" t="inlineStr">
        <is>
          <t>SÖDERMANLANDS LÄN</t>
        </is>
      </c>
      <c r="E390" t="inlineStr">
        <is>
          <t>FLEN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23004-2021</t>
        </is>
      </c>
      <c r="B391" s="1" t="n">
        <v>44328</v>
      </c>
      <c r="C391" s="1" t="n">
        <v>45824</v>
      </c>
      <c r="D391" t="inlineStr">
        <is>
          <t>SÖDERMANLANDS LÄN</t>
        </is>
      </c>
      <c r="E391" t="inlineStr">
        <is>
          <t>FLEN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26011-2021</t>
        </is>
      </c>
      <c r="B392" s="1" t="n">
        <v>44344</v>
      </c>
      <c r="C392" s="1" t="n">
        <v>45824</v>
      </c>
      <c r="D392" t="inlineStr">
        <is>
          <t>SÖDERMANLANDS LÄN</t>
        </is>
      </c>
      <c r="E392" t="inlineStr">
        <is>
          <t>FLEN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27190-2021</t>
        </is>
      </c>
      <c r="B393" s="1" t="n">
        <v>44350</v>
      </c>
      <c r="C393" s="1" t="n">
        <v>45824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27184-2021</t>
        </is>
      </c>
      <c r="B394" s="1" t="n">
        <v>44350</v>
      </c>
      <c r="C394" s="1" t="n">
        <v>45824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29002-2021</t>
        </is>
      </c>
      <c r="B395" s="1" t="n">
        <v>44358</v>
      </c>
      <c r="C395" s="1" t="n">
        <v>45824</v>
      </c>
      <c r="D395" t="inlineStr">
        <is>
          <t>SÖDERMANLANDS LÄN</t>
        </is>
      </c>
      <c r="E395" t="inlineStr">
        <is>
          <t>FLEN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29234-2021</t>
        </is>
      </c>
      <c r="B396" s="1" t="n">
        <v>44360</v>
      </c>
      <c r="C396" s="1" t="n">
        <v>45824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29239-2021</t>
        </is>
      </c>
      <c r="B397" s="1" t="n">
        <v>44360</v>
      </c>
      <c r="C397" s="1" t="n">
        <v>45824</v>
      </c>
      <c r="D397" t="inlineStr">
        <is>
          <t>SÖDERMANLANDS LÄN</t>
        </is>
      </c>
      <c r="E397" t="inlineStr">
        <is>
          <t>FLEN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29236-2021</t>
        </is>
      </c>
      <c r="B398" s="1" t="n">
        <v>44360</v>
      </c>
      <c r="C398" s="1" t="n">
        <v>45824</v>
      </c>
      <c r="D398" t="inlineStr">
        <is>
          <t>SÖDERMANLANDS LÄN</t>
        </is>
      </c>
      <c r="E398" t="inlineStr">
        <is>
          <t>FLEN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29233-2021</t>
        </is>
      </c>
      <c r="B399" s="1" t="n">
        <v>44360</v>
      </c>
      <c r="C399" s="1" t="n">
        <v>45824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30847-2021</t>
        </is>
      </c>
      <c r="B400" s="1" t="n">
        <v>44365</v>
      </c>
      <c r="C400" s="1" t="n">
        <v>45824</v>
      </c>
      <c r="D400" t="inlineStr">
        <is>
          <t>SÖDERMANLANDS LÄN</t>
        </is>
      </c>
      <c r="E400" t="inlineStr">
        <is>
          <t>FLEN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30830-2021</t>
        </is>
      </c>
      <c r="B401" s="1" t="n">
        <v>44365</v>
      </c>
      <c r="C401" s="1" t="n">
        <v>45824</v>
      </c>
      <c r="D401" t="inlineStr">
        <is>
          <t>SÖDERMANLANDS LÄN</t>
        </is>
      </c>
      <c r="E401" t="inlineStr">
        <is>
          <t>FLEN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31131-2021</t>
        </is>
      </c>
      <c r="B402" s="1" t="n">
        <v>44365</v>
      </c>
      <c r="C402" s="1" t="n">
        <v>45824</v>
      </c>
      <c r="D402" t="inlineStr">
        <is>
          <t>SÖDERMANLANDS LÄN</t>
        </is>
      </c>
      <c r="E402" t="inlineStr">
        <is>
          <t>FLEN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32416-2021</t>
        </is>
      </c>
      <c r="B403" s="1" t="n">
        <v>44371</v>
      </c>
      <c r="C403" s="1" t="n">
        <v>45824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34088-2021</t>
        </is>
      </c>
      <c r="B404" s="1" t="n">
        <v>44378</v>
      </c>
      <c r="C404" s="1" t="n">
        <v>45824</v>
      </c>
      <c r="D404" t="inlineStr">
        <is>
          <t>SÖDERMANLANDS LÄN</t>
        </is>
      </c>
      <c r="E404" t="inlineStr">
        <is>
          <t>FLEN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34003-2021</t>
        </is>
      </c>
      <c r="B405" s="1" t="n">
        <v>44378</v>
      </c>
      <c r="C405" s="1" t="n">
        <v>45824</v>
      </c>
      <c r="D405" t="inlineStr">
        <is>
          <t>SÖDERMANLANDS LÄN</t>
        </is>
      </c>
      <c r="E405" t="inlineStr">
        <is>
          <t>FLEN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34675-2021</t>
        </is>
      </c>
      <c r="B406" s="1" t="n">
        <v>44379</v>
      </c>
      <c r="C406" s="1" t="n">
        <v>45824</v>
      </c>
      <c r="D406" t="inlineStr">
        <is>
          <t>SÖDERMANLANDS LÄN</t>
        </is>
      </c>
      <c r="E406" t="inlineStr">
        <is>
          <t>FLEN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34448-2021</t>
        </is>
      </c>
      <c r="B407" s="1" t="n">
        <v>44381</v>
      </c>
      <c r="C407" s="1" t="n">
        <v>45824</v>
      </c>
      <c r="D407" t="inlineStr">
        <is>
          <t>SÖDERMANLANDS LÄN</t>
        </is>
      </c>
      <c r="E407" t="inlineStr">
        <is>
          <t>FLEN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34447-2021</t>
        </is>
      </c>
      <c r="B408" s="1" t="n">
        <v>44381</v>
      </c>
      <c r="C408" s="1" t="n">
        <v>45824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35250-2021</t>
        </is>
      </c>
      <c r="B409" s="1" t="n">
        <v>44384</v>
      </c>
      <c r="C409" s="1" t="n">
        <v>45824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35257-2021</t>
        </is>
      </c>
      <c r="B410" s="1" t="n">
        <v>44384</v>
      </c>
      <c r="C410" s="1" t="n">
        <v>45824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35649-2021</t>
        </is>
      </c>
      <c r="B411" s="1" t="n">
        <v>44384</v>
      </c>
      <c r="C411" s="1" t="n">
        <v>45824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35714-2021</t>
        </is>
      </c>
      <c r="B412" s="1" t="n">
        <v>44386</v>
      </c>
      <c r="C412" s="1" t="n">
        <v>45824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36595-2021</t>
        </is>
      </c>
      <c r="B413" s="1" t="n">
        <v>44391</v>
      </c>
      <c r="C413" s="1" t="n">
        <v>45824</v>
      </c>
      <c r="D413" t="inlineStr">
        <is>
          <t>SÖDERMANLANDS LÄN</t>
        </is>
      </c>
      <c r="E413" t="inlineStr">
        <is>
          <t>FLEN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37385-2021</t>
        </is>
      </c>
      <c r="B414" s="1" t="n">
        <v>44398</v>
      </c>
      <c r="C414" s="1" t="n">
        <v>45824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38008-2021</t>
        </is>
      </c>
      <c r="B415" s="1" t="n">
        <v>44404</v>
      </c>
      <c r="C415" s="1" t="n">
        <v>45824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38842-2021</t>
        </is>
      </c>
      <c r="B416" s="1" t="n">
        <v>44411</v>
      </c>
      <c r="C416" s="1" t="n">
        <v>45824</v>
      </c>
      <c r="D416" t="inlineStr">
        <is>
          <t>SÖDERMANLANDS LÄN</t>
        </is>
      </c>
      <c r="E416" t="inlineStr">
        <is>
          <t>FLEN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39188-2021</t>
        </is>
      </c>
      <c r="B417" s="1" t="n">
        <v>44413</v>
      </c>
      <c r="C417" s="1" t="n">
        <v>45824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39513-2021</t>
        </is>
      </c>
      <c r="B418" s="1" t="n">
        <v>44414</v>
      </c>
      <c r="C418" s="1" t="n">
        <v>45824</v>
      </c>
      <c r="D418" t="inlineStr">
        <is>
          <t>SÖDERMANLANDS LÄN</t>
        </is>
      </c>
      <c r="E418" t="inlineStr">
        <is>
          <t>FLEN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39518-2021</t>
        </is>
      </c>
      <c r="B419" s="1" t="n">
        <v>44414</v>
      </c>
      <c r="C419" s="1" t="n">
        <v>45824</v>
      </c>
      <c r="D419" t="inlineStr">
        <is>
          <t>SÖDERMANLANDS LÄN</t>
        </is>
      </c>
      <c r="E419" t="inlineStr">
        <is>
          <t>FLEN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40796-2021</t>
        </is>
      </c>
      <c r="B420" s="1" t="n">
        <v>44421</v>
      </c>
      <c r="C420" s="1" t="n">
        <v>45824</v>
      </c>
      <c r="D420" t="inlineStr">
        <is>
          <t>SÖDERMANLANDS LÄN</t>
        </is>
      </c>
      <c r="E420" t="inlineStr">
        <is>
          <t>FLEN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40961-2021</t>
        </is>
      </c>
      <c r="B421" s="1" t="n">
        <v>44421</v>
      </c>
      <c r="C421" s="1" t="n">
        <v>45824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41148-2021</t>
        </is>
      </c>
      <c r="B422" s="1" t="n">
        <v>44423</v>
      </c>
      <c r="C422" s="1" t="n">
        <v>45824</v>
      </c>
      <c r="D422" t="inlineStr">
        <is>
          <t>SÖDERMANLANDS LÄN</t>
        </is>
      </c>
      <c r="E422" t="inlineStr">
        <is>
          <t>FLEN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41150-2021</t>
        </is>
      </c>
      <c r="B423" s="1" t="n">
        <v>44423</v>
      </c>
      <c r="C423" s="1" t="n">
        <v>45824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41597-2021</t>
        </is>
      </c>
      <c r="B424" s="1" t="n">
        <v>44425</v>
      </c>
      <c r="C424" s="1" t="n">
        <v>45824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41640-2021</t>
        </is>
      </c>
      <c r="B425" s="1" t="n">
        <v>44425</v>
      </c>
      <c r="C425" s="1" t="n">
        <v>45824</v>
      </c>
      <c r="D425" t="inlineStr">
        <is>
          <t>SÖDERMANLANDS LÄN</t>
        </is>
      </c>
      <c r="E425" t="inlineStr">
        <is>
          <t>FLEN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41658-2021</t>
        </is>
      </c>
      <c r="B426" s="1" t="n">
        <v>44425</v>
      </c>
      <c r="C426" s="1" t="n">
        <v>45824</v>
      </c>
      <c r="D426" t="inlineStr">
        <is>
          <t>SÖDERMANLANDS LÄN</t>
        </is>
      </c>
      <c r="E426" t="inlineStr">
        <is>
          <t>FLEN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41638-2021</t>
        </is>
      </c>
      <c r="B427" s="1" t="n">
        <v>44425</v>
      </c>
      <c r="C427" s="1" t="n">
        <v>45824</v>
      </c>
      <c r="D427" t="inlineStr">
        <is>
          <t>SÖDERMANLANDS LÄN</t>
        </is>
      </c>
      <c r="E427" t="inlineStr">
        <is>
          <t>FLEN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41709-2021</t>
        </is>
      </c>
      <c r="B428" s="1" t="n">
        <v>44425</v>
      </c>
      <c r="C428" s="1" t="n">
        <v>45824</v>
      </c>
      <c r="D428" t="inlineStr">
        <is>
          <t>SÖDERMANLANDS LÄN</t>
        </is>
      </c>
      <c r="E428" t="inlineStr">
        <is>
          <t>FLEN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41800-2021</t>
        </is>
      </c>
      <c r="B429" s="1" t="n">
        <v>44425</v>
      </c>
      <c r="C429" s="1" t="n">
        <v>45824</v>
      </c>
      <c r="D429" t="inlineStr">
        <is>
          <t>SÖDERMANLANDS LÄN</t>
        </is>
      </c>
      <c r="E429" t="inlineStr">
        <is>
          <t>FLEN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41894-2021</t>
        </is>
      </c>
      <c r="B430" s="1" t="n">
        <v>44425</v>
      </c>
      <c r="C430" s="1" t="n">
        <v>45824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42936-2021</t>
        </is>
      </c>
      <c r="B431" s="1" t="n">
        <v>44431</v>
      </c>
      <c r="C431" s="1" t="n">
        <v>45824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43394-2021</t>
        </is>
      </c>
      <c r="B432" s="1" t="n">
        <v>44432</v>
      </c>
      <c r="C432" s="1" t="n">
        <v>45824</v>
      </c>
      <c r="D432" t="inlineStr">
        <is>
          <t>SÖDERMANLANDS LÄN</t>
        </is>
      </c>
      <c r="E432" t="inlineStr">
        <is>
          <t>FLEN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43450-2021</t>
        </is>
      </c>
      <c r="B433" s="1" t="n">
        <v>44432</v>
      </c>
      <c r="C433" s="1" t="n">
        <v>45824</v>
      </c>
      <c r="D433" t="inlineStr">
        <is>
          <t>SÖDERMANLANDS LÄN</t>
        </is>
      </c>
      <c r="E433" t="inlineStr">
        <is>
          <t>FLEN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43640-2021</t>
        </is>
      </c>
      <c r="B434" s="1" t="n">
        <v>44433</v>
      </c>
      <c r="C434" s="1" t="n">
        <v>45824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43541-2021</t>
        </is>
      </c>
      <c r="B435" s="1" t="n">
        <v>44433</v>
      </c>
      <c r="C435" s="1" t="n">
        <v>45824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44359-2021</t>
        </is>
      </c>
      <c r="B436" s="1" t="n">
        <v>44435</v>
      </c>
      <c r="C436" s="1" t="n">
        <v>45824</v>
      </c>
      <c r="D436" t="inlineStr">
        <is>
          <t>SÖDERMANLANDS LÄN</t>
        </is>
      </c>
      <c r="E436" t="inlineStr">
        <is>
          <t>FLEN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45468-2021</t>
        </is>
      </c>
      <c r="B437" s="1" t="n">
        <v>44440</v>
      </c>
      <c r="C437" s="1" t="n">
        <v>45824</v>
      </c>
      <c r="D437" t="inlineStr">
        <is>
          <t>SÖDERMANLANDS LÄN</t>
        </is>
      </c>
      <c r="E437" t="inlineStr">
        <is>
          <t>FLEN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47609-2021</t>
        </is>
      </c>
      <c r="B438" s="1" t="n">
        <v>44448</v>
      </c>
      <c r="C438" s="1" t="n">
        <v>45824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47613-2021</t>
        </is>
      </c>
      <c r="B439" s="1" t="n">
        <v>44448</v>
      </c>
      <c r="C439" s="1" t="n">
        <v>45824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47644-2021</t>
        </is>
      </c>
      <c r="B440" s="1" t="n">
        <v>44448</v>
      </c>
      <c r="C440" s="1" t="n">
        <v>45824</v>
      </c>
      <c r="D440" t="inlineStr">
        <is>
          <t>SÖDERMANLANDS LÄN</t>
        </is>
      </c>
      <c r="E440" t="inlineStr">
        <is>
          <t>FLEN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47604-2021</t>
        </is>
      </c>
      <c r="B441" s="1" t="n">
        <v>44448</v>
      </c>
      <c r="C441" s="1" t="n">
        <v>45824</v>
      </c>
      <c r="D441" t="inlineStr">
        <is>
          <t>SÖDERMANLANDS LÄN</t>
        </is>
      </c>
      <c r="E441" t="inlineStr">
        <is>
          <t>FLEN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48166-2021</t>
        </is>
      </c>
      <c r="B442" s="1" t="n">
        <v>44449</v>
      </c>
      <c r="C442" s="1" t="n">
        <v>45824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48497-2021</t>
        </is>
      </c>
      <c r="B443" s="1" t="n">
        <v>44449</v>
      </c>
      <c r="C443" s="1" t="n">
        <v>45824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48298-2021</t>
        </is>
      </c>
      <c r="B444" s="1" t="n">
        <v>44450</v>
      </c>
      <c r="C444" s="1" t="n">
        <v>45824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48763-2021</t>
        </is>
      </c>
      <c r="B445" s="1" t="n">
        <v>44452</v>
      </c>
      <c r="C445" s="1" t="n">
        <v>45824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48925-2021</t>
        </is>
      </c>
      <c r="B446" s="1" t="n">
        <v>44452</v>
      </c>
      <c r="C446" s="1" t="n">
        <v>45824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49323-2021</t>
        </is>
      </c>
      <c r="B447" s="1" t="n">
        <v>44453</v>
      </c>
      <c r="C447" s="1" t="n">
        <v>45824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49275-2021</t>
        </is>
      </c>
      <c r="B448" s="1" t="n">
        <v>44453</v>
      </c>
      <c r="C448" s="1" t="n">
        <v>45824</v>
      </c>
      <c r="D448" t="inlineStr">
        <is>
          <t>SÖDERMANLANDS LÄN</t>
        </is>
      </c>
      <c r="E448" t="inlineStr">
        <is>
          <t>FLEN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49252-2021</t>
        </is>
      </c>
      <c r="B449" s="1" t="n">
        <v>44454</v>
      </c>
      <c r="C449" s="1" t="n">
        <v>45824</v>
      </c>
      <c r="D449" t="inlineStr">
        <is>
          <t>SÖDERMANLANDS LÄN</t>
        </is>
      </c>
      <c r="E449" t="inlineStr">
        <is>
          <t>FLEN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49569-2021</t>
        </is>
      </c>
      <c r="B450" s="1" t="n">
        <v>44455</v>
      </c>
      <c r="C450" s="1" t="n">
        <v>45824</v>
      </c>
      <c r="D450" t="inlineStr">
        <is>
          <t>SÖDERMANLANDS LÄN</t>
        </is>
      </c>
      <c r="E450" t="inlineStr">
        <is>
          <t>FLEN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50494-2021</t>
        </is>
      </c>
      <c r="B451" s="1" t="n">
        <v>44458</v>
      </c>
      <c r="C451" s="1" t="n">
        <v>45824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50500-2021</t>
        </is>
      </c>
      <c r="B452" s="1" t="n">
        <v>44458</v>
      </c>
      <c r="C452" s="1" t="n">
        <v>45824</v>
      </c>
      <c r="D452" t="inlineStr">
        <is>
          <t>SÖDERMANLANDS LÄN</t>
        </is>
      </c>
      <c r="E452" t="inlineStr">
        <is>
          <t>FLEN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50301-2021</t>
        </is>
      </c>
      <c r="B453" s="1" t="n">
        <v>44459</v>
      </c>
      <c r="C453" s="1" t="n">
        <v>45824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50799-2021</t>
        </is>
      </c>
      <c r="B454" s="1" t="n">
        <v>44459</v>
      </c>
      <c r="C454" s="1" t="n">
        <v>45824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50796-2021</t>
        </is>
      </c>
      <c r="B455" s="1" t="n">
        <v>44459</v>
      </c>
      <c r="C455" s="1" t="n">
        <v>45824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52541-2021</t>
        </is>
      </c>
      <c r="B456" s="1" t="n">
        <v>44463</v>
      </c>
      <c r="C456" s="1" t="n">
        <v>45824</v>
      </c>
      <c r="D456" t="inlineStr">
        <is>
          <t>SÖDERMANLANDS LÄN</t>
        </is>
      </c>
      <c r="E456" t="inlineStr">
        <is>
          <t>FLEN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52519-2021</t>
        </is>
      </c>
      <c r="B457" s="1" t="n">
        <v>44463</v>
      </c>
      <c r="C457" s="1" t="n">
        <v>45824</v>
      </c>
      <c r="D457" t="inlineStr">
        <is>
          <t>SÖDERMANLANDS LÄN</t>
        </is>
      </c>
      <c r="E457" t="inlineStr">
        <is>
          <t>FLEN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52563-2021</t>
        </is>
      </c>
      <c r="B458" s="1" t="n">
        <v>44463</v>
      </c>
      <c r="C458" s="1" t="n">
        <v>45824</v>
      </c>
      <c r="D458" t="inlineStr">
        <is>
          <t>SÖDERMANLANDS LÄN</t>
        </is>
      </c>
      <c r="E458" t="inlineStr">
        <is>
          <t>FLEN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52500-2021</t>
        </is>
      </c>
      <c r="B459" s="1" t="n">
        <v>44463</v>
      </c>
      <c r="C459" s="1" t="n">
        <v>45824</v>
      </c>
      <c r="D459" t="inlineStr">
        <is>
          <t>SÖDERMANLANDS LÄN</t>
        </is>
      </c>
      <c r="E459" t="inlineStr">
        <is>
          <t>FLEN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52546-2021</t>
        </is>
      </c>
      <c r="B460" s="1" t="n">
        <v>44463</v>
      </c>
      <c r="C460" s="1" t="n">
        <v>45824</v>
      </c>
      <c r="D460" t="inlineStr">
        <is>
          <t>SÖDERMANLANDS LÄN</t>
        </is>
      </c>
      <c r="E460" t="inlineStr">
        <is>
          <t>FLEN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52534-2021</t>
        </is>
      </c>
      <c r="B461" s="1" t="n">
        <v>44463</v>
      </c>
      <c r="C461" s="1" t="n">
        <v>45824</v>
      </c>
      <c r="D461" t="inlineStr">
        <is>
          <t>SÖDERMANLANDS LÄN</t>
        </is>
      </c>
      <c r="E461" t="inlineStr">
        <is>
          <t>FLEN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52692-2021</t>
        </is>
      </c>
      <c r="B462" s="1" t="n">
        <v>44466</v>
      </c>
      <c r="C462" s="1" t="n">
        <v>45824</v>
      </c>
      <c r="D462" t="inlineStr">
        <is>
          <t>SÖDERMANLANDS LÄN</t>
        </is>
      </c>
      <c r="E462" t="inlineStr">
        <is>
          <t>FLEN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53608-2021</t>
        </is>
      </c>
      <c r="B463" s="1" t="n">
        <v>44469</v>
      </c>
      <c r="C463" s="1" t="n">
        <v>45824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53930-2021</t>
        </is>
      </c>
      <c r="B464" s="1" t="n">
        <v>44469</v>
      </c>
      <c r="C464" s="1" t="n">
        <v>45824</v>
      </c>
      <c r="D464" t="inlineStr">
        <is>
          <t>SÖDERMANLANDS LÄN</t>
        </is>
      </c>
      <c r="E464" t="inlineStr">
        <is>
          <t>FLEN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54179-2021</t>
        </is>
      </c>
      <c r="B465" s="1" t="n">
        <v>44470</v>
      </c>
      <c r="C465" s="1" t="n">
        <v>45824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54325-2021</t>
        </is>
      </c>
      <c r="B466" s="1" t="n">
        <v>44472</v>
      </c>
      <c r="C466" s="1" t="n">
        <v>45824</v>
      </c>
      <c r="D466" t="inlineStr">
        <is>
          <t>SÖDERMANLANDS LÄN</t>
        </is>
      </c>
      <c r="E466" t="inlineStr">
        <is>
          <t>FLEN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54645-2021</t>
        </is>
      </c>
      <c r="B467" s="1" t="n">
        <v>44473</v>
      </c>
      <c r="C467" s="1" t="n">
        <v>45824</v>
      </c>
      <c r="D467" t="inlineStr">
        <is>
          <t>SÖDERMANLANDS LÄN</t>
        </is>
      </c>
      <c r="E467" t="inlineStr">
        <is>
          <t>FLEN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54666-2021</t>
        </is>
      </c>
      <c r="B468" s="1" t="n">
        <v>44473</v>
      </c>
      <c r="C468" s="1" t="n">
        <v>45824</v>
      </c>
      <c r="D468" t="inlineStr">
        <is>
          <t>SÖDERMANLANDS LÄN</t>
        </is>
      </c>
      <c r="E468" t="inlineStr">
        <is>
          <t>FLEN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57753-2021</t>
        </is>
      </c>
      <c r="B469" s="1" t="n">
        <v>44484</v>
      </c>
      <c r="C469" s="1" t="n">
        <v>45824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58299-2021</t>
        </is>
      </c>
      <c r="B470" s="1" t="n">
        <v>44487</v>
      </c>
      <c r="C470" s="1" t="n">
        <v>45824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59405-2021</t>
        </is>
      </c>
      <c r="B471" s="1" t="n">
        <v>44490</v>
      </c>
      <c r="C471" s="1" t="n">
        <v>45824</v>
      </c>
      <c r="D471" t="inlineStr">
        <is>
          <t>SÖDERMANLANDS LÄN</t>
        </is>
      </c>
      <c r="E471" t="inlineStr">
        <is>
          <t>FLEN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60069-2021</t>
        </is>
      </c>
      <c r="B472" s="1" t="n">
        <v>44495</v>
      </c>
      <c r="C472" s="1" t="n">
        <v>45824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60077-2021</t>
        </is>
      </c>
      <c r="B473" s="1" t="n">
        <v>44495</v>
      </c>
      <c r="C473" s="1" t="n">
        <v>45824</v>
      </c>
      <c r="D473" t="inlineStr">
        <is>
          <t>SÖDERMANLANDS LÄN</t>
        </is>
      </c>
      <c r="E473" t="inlineStr">
        <is>
          <t>FLEN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60255-2021</t>
        </is>
      </c>
      <c r="B474" s="1" t="n">
        <v>44495</v>
      </c>
      <c r="C474" s="1" t="n">
        <v>45824</v>
      </c>
      <c r="D474" t="inlineStr">
        <is>
          <t>SÖDERMANLANDS LÄN</t>
        </is>
      </c>
      <c r="E474" t="inlineStr">
        <is>
          <t>FLEN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60562-2021</t>
        </is>
      </c>
      <c r="B475" s="1" t="n">
        <v>44495</v>
      </c>
      <c r="C475" s="1" t="n">
        <v>45824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62223-2021</t>
        </is>
      </c>
      <c r="B476" s="1" t="n">
        <v>44501</v>
      </c>
      <c r="C476" s="1" t="n">
        <v>45824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63444-2021</t>
        </is>
      </c>
      <c r="B477" s="1" t="n">
        <v>44508</v>
      </c>
      <c r="C477" s="1" t="n">
        <v>45824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64060-2021</t>
        </is>
      </c>
      <c r="B478" s="1" t="n">
        <v>44508</v>
      </c>
      <c r="C478" s="1" t="n">
        <v>45824</v>
      </c>
      <c r="D478" t="inlineStr">
        <is>
          <t>SÖDERMANLANDS LÄN</t>
        </is>
      </c>
      <c r="E478" t="inlineStr">
        <is>
          <t>FLEN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64330-2021</t>
        </is>
      </c>
      <c r="B479" s="1" t="n">
        <v>44511</v>
      </c>
      <c r="C479" s="1" t="n">
        <v>45824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65869-2021</t>
        </is>
      </c>
      <c r="B480" s="1" t="n">
        <v>44517</v>
      </c>
      <c r="C480" s="1" t="n">
        <v>45824</v>
      </c>
      <c r="D480" t="inlineStr">
        <is>
          <t>SÖDERMANLANDS LÄN</t>
        </is>
      </c>
      <c r="E480" t="inlineStr">
        <is>
          <t>FLEN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66230-2021</t>
        </is>
      </c>
      <c r="B481" s="1" t="n">
        <v>44518</v>
      </c>
      <c r="C481" s="1" t="n">
        <v>45824</v>
      </c>
      <c r="D481" t="inlineStr">
        <is>
          <t>SÖDERMANLANDS LÄN</t>
        </is>
      </c>
      <c r="E481" t="inlineStr">
        <is>
          <t>FLEN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66334-2021</t>
        </is>
      </c>
      <c r="B482" s="1" t="n">
        <v>44518</v>
      </c>
      <c r="C482" s="1" t="n">
        <v>45824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66337-2021</t>
        </is>
      </c>
      <c r="B483" s="1" t="n">
        <v>44518</v>
      </c>
      <c r="C483" s="1" t="n">
        <v>45824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66867-2021</t>
        </is>
      </c>
      <c r="B484" s="1" t="n">
        <v>44522</v>
      </c>
      <c r="C484" s="1" t="n">
        <v>45824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66979-2021</t>
        </is>
      </c>
      <c r="B485" s="1" t="n">
        <v>44522</v>
      </c>
      <c r="C485" s="1" t="n">
        <v>45824</v>
      </c>
      <c r="D485" t="inlineStr">
        <is>
          <t>SÖDERMANLANDS LÄN</t>
        </is>
      </c>
      <c r="E485" t="inlineStr">
        <is>
          <t>FLEN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67464-2021</t>
        </is>
      </c>
      <c r="B486" s="1" t="n">
        <v>44524</v>
      </c>
      <c r="C486" s="1" t="n">
        <v>45824</v>
      </c>
      <c r="D486" t="inlineStr">
        <is>
          <t>SÖDERMANLANDS LÄN</t>
        </is>
      </c>
      <c r="E486" t="inlineStr">
        <is>
          <t>FLEN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69588-2021</t>
        </is>
      </c>
      <c r="B487" s="1" t="n">
        <v>44531</v>
      </c>
      <c r="C487" s="1" t="n">
        <v>45824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70215-2021</t>
        </is>
      </c>
      <c r="B488" s="1" t="n">
        <v>44535</v>
      </c>
      <c r="C488" s="1" t="n">
        <v>45824</v>
      </c>
      <c r="D488" t="inlineStr">
        <is>
          <t>SÖDERMANLANDS LÄN</t>
        </is>
      </c>
      <c r="E488" t="inlineStr">
        <is>
          <t>FLEN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70701-2021</t>
        </is>
      </c>
      <c r="B489" s="1" t="n">
        <v>44536</v>
      </c>
      <c r="C489" s="1" t="n">
        <v>45824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72314-2021</t>
        </is>
      </c>
      <c r="B490" s="1" t="n">
        <v>44544</v>
      </c>
      <c r="C490" s="1" t="n">
        <v>45824</v>
      </c>
      <c r="D490" t="inlineStr">
        <is>
          <t>SÖDERMANLANDS LÄN</t>
        </is>
      </c>
      <c r="E490" t="inlineStr">
        <is>
          <t>FLEN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73919-2021</t>
        </is>
      </c>
      <c r="B491" s="1" t="n">
        <v>44553</v>
      </c>
      <c r="C491" s="1" t="n">
        <v>45824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476-2022</t>
        </is>
      </c>
      <c r="B492" s="1" t="n">
        <v>44566</v>
      </c>
      <c r="C492" s="1" t="n">
        <v>45824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550-2022</t>
        </is>
      </c>
      <c r="B493" s="1" t="n">
        <v>44566</v>
      </c>
      <c r="C493" s="1" t="n">
        <v>45824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985-2022</t>
        </is>
      </c>
      <c r="B494" s="1" t="n">
        <v>44571</v>
      </c>
      <c r="C494" s="1" t="n">
        <v>45824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1242-2022</t>
        </is>
      </c>
      <c r="B495" s="1" t="n">
        <v>44572</v>
      </c>
      <c r="C495" s="1" t="n">
        <v>45824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2204-2022</t>
        </is>
      </c>
      <c r="B496" s="1" t="n">
        <v>44578</v>
      </c>
      <c r="C496" s="1" t="n">
        <v>45824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2162-2022</t>
        </is>
      </c>
      <c r="B497" s="1" t="n">
        <v>44578</v>
      </c>
      <c r="C497" s="1" t="n">
        <v>45824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2496-2022</t>
        </is>
      </c>
      <c r="B498" s="1" t="n">
        <v>44579</v>
      </c>
      <c r="C498" s="1" t="n">
        <v>45824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2734-2022</t>
        </is>
      </c>
      <c r="B499" s="1" t="n">
        <v>44580</v>
      </c>
      <c r="C499" s="1" t="n">
        <v>45824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2738-2022</t>
        </is>
      </c>
      <c r="B500" s="1" t="n">
        <v>44580</v>
      </c>
      <c r="C500" s="1" t="n">
        <v>45824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4065-2022</t>
        </is>
      </c>
      <c r="B501" s="1" t="n">
        <v>44588</v>
      </c>
      <c r="C501" s="1" t="n">
        <v>45824</v>
      </c>
      <c r="D501" t="inlineStr">
        <is>
          <t>SÖDERMANLANDS LÄN</t>
        </is>
      </c>
      <c r="E501" t="inlineStr">
        <is>
          <t>FLEN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4216-2022</t>
        </is>
      </c>
      <c r="B502" s="1" t="n">
        <v>44588</v>
      </c>
      <c r="C502" s="1" t="n">
        <v>45824</v>
      </c>
      <c r="D502" t="inlineStr">
        <is>
          <t>SÖDERMANLANDS LÄN</t>
        </is>
      </c>
      <c r="E502" t="inlineStr">
        <is>
          <t>FLEN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5260-2022</t>
        </is>
      </c>
      <c r="B503" s="1" t="n">
        <v>44594</v>
      </c>
      <c r="C503" s="1" t="n">
        <v>45824</v>
      </c>
      <c r="D503" t="inlineStr">
        <is>
          <t>SÖDERMANLANDS LÄN</t>
        </is>
      </c>
      <c r="E503" t="inlineStr">
        <is>
          <t>FLEN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45824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6725-2022</t>
        </is>
      </c>
      <c r="B505" s="1" t="n">
        <v>44602</v>
      </c>
      <c r="C505" s="1" t="n">
        <v>45824</v>
      </c>
      <c r="D505" t="inlineStr">
        <is>
          <t>SÖDERMANLANDS LÄN</t>
        </is>
      </c>
      <c r="E505" t="inlineStr">
        <is>
          <t>FLEN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7170-2022</t>
        </is>
      </c>
      <c r="B506" s="1" t="n">
        <v>44604</v>
      </c>
      <c r="C506" s="1" t="n">
        <v>45824</v>
      </c>
      <c r="D506" t="inlineStr">
        <is>
          <t>SÖDERMANLANDS LÄN</t>
        </is>
      </c>
      <c r="E506" t="inlineStr">
        <is>
          <t>FLEN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7242-2022</t>
        </is>
      </c>
      <c r="B507" s="1" t="n">
        <v>44606</v>
      </c>
      <c r="C507" s="1" t="n">
        <v>45824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7863-2022</t>
        </is>
      </c>
      <c r="B508" s="1" t="n">
        <v>44608</v>
      </c>
      <c r="C508" s="1" t="n">
        <v>45824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8301-2022</t>
        </is>
      </c>
      <c r="B509" s="1" t="n">
        <v>44610</v>
      </c>
      <c r="C509" s="1" t="n">
        <v>45824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8293-2022</t>
        </is>
      </c>
      <c r="B510" s="1" t="n">
        <v>44610</v>
      </c>
      <c r="C510" s="1" t="n">
        <v>45824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8793-2022</t>
        </is>
      </c>
      <c r="B511" s="1" t="n">
        <v>44614</v>
      </c>
      <c r="C511" s="1" t="n">
        <v>45824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8903-2022</t>
        </is>
      </c>
      <c r="B512" s="1" t="n">
        <v>44614</v>
      </c>
      <c r="C512" s="1" t="n">
        <v>45824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8990-2022</t>
        </is>
      </c>
      <c r="B513" s="1" t="n">
        <v>44614</v>
      </c>
      <c r="C513" s="1" t="n">
        <v>45824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9431-2022</t>
        </is>
      </c>
      <c r="B514" s="1" t="n">
        <v>44616</v>
      </c>
      <c r="C514" s="1" t="n">
        <v>45824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10738-2022</t>
        </is>
      </c>
      <c r="B515" s="1" t="n">
        <v>44624</v>
      </c>
      <c r="C515" s="1" t="n">
        <v>45824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10771-2022</t>
        </is>
      </c>
      <c r="B516" s="1" t="n">
        <v>44624</v>
      </c>
      <c r="C516" s="1" t="n">
        <v>45824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10828-2022</t>
        </is>
      </c>
      <c r="B517" s="1" t="n">
        <v>44624</v>
      </c>
      <c r="C517" s="1" t="n">
        <v>45824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10827-2022</t>
        </is>
      </c>
      <c r="B518" s="1" t="n">
        <v>44624</v>
      </c>
      <c r="C518" s="1" t="n">
        <v>45824</v>
      </c>
      <c r="D518" t="inlineStr">
        <is>
          <t>SÖDERMANLANDS LÄN</t>
        </is>
      </c>
      <c r="E518" t="inlineStr">
        <is>
          <t>FLEN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10745-2022</t>
        </is>
      </c>
      <c r="B519" s="1" t="n">
        <v>44624</v>
      </c>
      <c r="C519" s="1" t="n">
        <v>45824</v>
      </c>
      <c r="D519" t="inlineStr">
        <is>
          <t>SÖDERMANLANDS LÄN</t>
        </is>
      </c>
      <c r="E519" t="inlineStr">
        <is>
          <t>FLEN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12172-2022</t>
        </is>
      </c>
      <c r="B520" s="1" t="n">
        <v>44636</v>
      </c>
      <c r="C520" s="1" t="n">
        <v>45824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12116-2022</t>
        </is>
      </c>
      <c r="B521" s="1" t="n">
        <v>44636</v>
      </c>
      <c r="C521" s="1" t="n">
        <v>45824</v>
      </c>
      <c r="D521" t="inlineStr">
        <is>
          <t>SÖDERMANLANDS LÄN</t>
        </is>
      </c>
      <c r="E521" t="inlineStr">
        <is>
          <t>FLEN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12171-2022</t>
        </is>
      </c>
      <c r="B522" s="1" t="n">
        <v>44636</v>
      </c>
      <c r="C522" s="1" t="n">
        <v>45824</v>
      </c>
      <c r="D522" t="inlineStr">
        <is>
          <t>SÖDERMANLANDS LÄN</t>
        </is>
      </c>
      <c r="E522" t="inlineStr">
        <is>
          <t>FLEN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12174-2022</t>
        </is>
      </c>
      <c r="B523" s="1" t="n">
        <v>44636</v>
      </c>
      <c r="C523" s="1" t="n">
        <v>45824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12303-2022</t>
        </is>
      </c>
      <c r="B524" s="1" t="n">
        <v>44637</v>
      </c>
      <c r="C524" s="1" t="n">
        <v>45824</v>
      </c>
      <c r="D524" t="inlineStr">
        <is>
          <t>SÖDERMANLANDS LÄN</t>
        </is>
      </c>
      <c r="E524" t="inlineStr">
        <is>
          <t>FLEN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12608-2022</t>
        </is>
      </c>
      <c r="B525" s="1" t="n">
        <v>44640</v>
      </c>
      <c r="C525" s="1" t="n">
        <v>45824</v>
      </c>
      <c r="D525" t="inlineStr">
        <is>
          <t>SÖDERMANLANDS LÄN</t>
        </is>
      </c>
      <c r="E525" t="inlineStr">
        <is>
          <t>FLEN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13544-2022</t>
        </is>
      </c>
      <c r="B526" s="1" t="n">
        <v>44643</v>
      </c>
      <c r="C526" s="1" t="n">
        <v>45824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13529-2022</t>
        </is>
      </c>
      <c r="B527" s="1" t="n">
        <v>44643</v>
      </c>
      <c r="C527" s="1" t="n">
        <v>45824</v>
      </c>
      <c r="D527" t="inlineStr">
        <is>
          <t>SÖDERMANLANDS LÄN</t>
        </is>
      </c>
      <c r="E527" t="inlineStr">
        <is>
          <t>FLEN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13533-2022</t>
        </is>
      </c>
      <c r="B528" s="1" t="n">
        <v>44643</v>
      </c>
      <c r="C528" s="1" t="n">
        <v>45824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45824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16163-2022</t>
        </is>
      </c>
      <c r="B530" s="1" t="n">
        <v>44667</v>
      </c>
      <c r="C530" s="1" t="n">
        <v>45824</v>
      </c>
      <c r="D530" t="inlineStr">
        <is>
          <t>SÖDERMANLANDS LÄN</t>
        </is>
      </c>
      <c r="E530" t="inlineStr">
        <is>
          <t>FLEN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16396-2022</t>
        </is>
      </c>
      <c r="B531" s="1" t="n">
        <v>44671</v>
      </c>
      <c r="C531" s="1" t="n">
        <v>45824</v>
      </c>
      <c r="D531" t="inlineStr">
        <is>
          <t>SÖDERMANLANDS LÄN</t>
        </is>
      </c>
      <c r="E531" t="inlineStr">
        <is>
          <t>FLEN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16382-2022</t>
        </is>
      </c>
      <c r="B532" s="1" t="n">
        <v>44671</v>
      </c>
      <c r="C532" s="1" t="n">
        <v>45824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16937-2022</t>
        </is>
      </c>
      <c r="B533" s="1" t="n">
        <v>44676</v>
      </c>
      <c r="C533" s="1" t="n">
        <v>45824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17662-2022</t>
        </is>
      </c>
      <c r="B534" s="1" t="n">
        <v>44680</v>
      </c>
      <c r="C534" s="1" t="n">
        <v>45824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19994-2022</t>
        </is>
      </c>
      <c r="B535" s="1" t="n">
        <v>44697</v>
      </c>
      <c r="C535" s="1" t="n">
        <v>45824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20013-2022</t>
        </is>
      </c>
      <c r="B536" s="1" t="n">
        <v>44697</v>
      </c>
      <c r="C536" s="1" t="n">
        <v>45824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20791-2022</t>
        </is>
      </c>
      <c r="B537" s="1" t="n">
        <v>44701</v>
      </c>
      <c r="C537" s="1" t="n">
        <v>45824</v>
      </c>
      <c r="D537" t="inlineStr">
        <is>
          <t>SÖDERMANLANDS LÄN</t>
        </is>
      </c>
      <c r="E537" t="inlineStr">
        <is>
          <t>FLEN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21218-2022</t>
        </is>
      </c>
      <c r="B538" s="1" t="n">
        <v>44704</v>
      </c>
      <c r="C538" s="1" t="n">
        <v>45824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21351-2022</t>
        </is>
      </c>
      <c r="B539" s="1" t="n">
        <v>44705</v>
      </c>
      <c r="C539" s="1" t="n">
        <v>45824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22881-2022</t>
        </is>
      </c>
      <c r="B540" s="1" t="n">
        <v>44715</v>
      </c>
      <c r="C540" s="1" t="n">
        <v>45824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22883-2022</t>
        </is>
      </c>
      <c r="B541" s="1" t="n">
        <v>44715</v>
      </c>
      <c r="C541" s="1" t="n">
        <v>45824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23103-2022</t>
        </is>
      </c>
      <c r="B542" s="1" t="n">
        <v>44719</v>
      </c>
      <c r="C542" s="1" t="n">
        <v>45824</v>
      </c>
      <c r="D542" t="inlineStr">
        <is>
          <t>SÖDERMANLANDS LÄN</t>
        </is>
      </c>
      <c r="E542" t="inlineStr">
        <is>
          <t>FLEN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HYPERLINK("https://klasma.github.io/Logging_0482/knärot/A 23103-2022 karta knärot.png", "A 23103-2022")</f>
        <v/>
      </c>
      <c r="V542">
        <f>HYPERLINK("https://klasma.github.io/Logging_0482/klagomål/A 23103-2022 FSC-klagomål.docx", "A 23103-2022")</f>
        <v/>
      </c>
      <c r="W542">
        <f>HYPERLINK("https://klasma.github.io/Logging_0482/klagomålsmail/A 23103-2022 FSC-klagomål mail.docx", "A 23103-2022")</f>
        <v/>
      </c>
      <c r="X542">
        <f>HYPERLINK("https://klasma.github.io/Logging_0482/tillsyn/A 23103-2022 tillsynsbegäran.docx", "A 23103-2022")</f>
        <v/>
      </c>
      <c r="Y542">
        <f>HYPERLINK("https://klasma.github.io/Logging_0482/tillsynsmail/A 23103-2022 tillsynsbegäran mail.docx", "A 23103-2022")</f>
        <v/>
      </c>
    </row>
    <row r="543" ht="15" customHeight="1">
      <c r="A543" t="inlineStr">
        <is>
          <t>A 23294-2022</t>
        </is>
      </c>
      <c r="B543" s="1" t="n">
        <v>44720</v>
      </c>
      <c r="C543" s="1" t="n">
        <v>45824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23835-2022</t>
        </is>
      </c>
      <c r="B544" s="1" t="n">
        <v>44722</v>
      </c>
      <c r="C544" s="1" t="n">
        <v>45824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23859-2022</t>
        </is>
      </c>
      <c r="B545" s="1" t="n">
        <v>44722</v>
      </c>
      <c r="C545" s="1" t="n">
        <v>45824</v>
      </c>
      <c r="D545" t="inlineStr">
        <is>
          <t>SÖDERMANLANDS LÄN</t>
        </is>
      </c>
      <c r="E545" t="inlineStr">
        <is>
          <t>FLEN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23960-2022</t>
        </is>
      </c>
      <c r="B546" s="1" t="n">
        <v>44722</v>
      </c>
      <c r="C546" s="1" t="n">
        <v>45824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24037-2022</t>
        </is>
      </c>
      <c r="B547" s="1" t="n">
        <v>44724</v>
      </c>
      <c r="C547" s="1" t="n">
        <v>45824</v>
      </c>
      <c r="D547" t="inlineStr">
        <is>
          <t>SÖDERMANLANDS LÄN</t>
        </is>
      </c>
      <c r="E547" t="inlineStr">
        <is>
          <t>FLEN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24212-2022</t>
        </is>
      </c>
      <c r="B548" s="1" t="n">
        <v>44725</v>
      </c>
      <c r="C548" s="1" t="n">
        <v>45824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25823-2022</t>
        </is>
      </c>
      <c r="B549" s="1" t="n">
        <v>44733</v>
      </c>
      <c r="C549" s="1" t="n">
        <v>45824</v>
      </c>
      <c r="D549" t="inlineStr">
        <is>
          <t>SÖDERMANLANDS LÄN</t>
        </is>
      </c>
      <c r="E549" t="inlineStr">
        <is>
          <t>FLEN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26513-2022</t>
        </is>
      </c>
      <c r="B550" s="1" t="n">
        <v>44739</v>
      </c>
      <c r="C550" s="1" t="n">
        <v>45824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26663-2022</t>
        </is>
      </c>
      <c r="B551" s="1" t="n">
        <v>44739</v>
      </c>
      <c r="C551" s="1" t="n">
        <v>45824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27146-2022</t>
        </is>
      </c>
      <c r="B552" s="1" t="n">
        <v>44741</v>
      </c>
      <c r="C552" s="1" t="n">
        <v>45824</v>
      </c>
      <c r="D552" t="inlineStr">
        <is>
          <t>SÖDERMANLANDS LÄN</t>
        </is>
      </c>
      <c r="E552" t="inlineStr">
        <is>
          <t>FLEN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27512-2022</t>
        </is>
      </c>
      <c r="B553" s="1" t="n">
        <v>44742</v>
      </c>
      <c r="C553" s="1" t="n">
        <v>45824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27992-2022</t>
        </is>
      </c>
      <c r="B554" s="1" t="n">
        <v>44745</v>
      </c>
      <c r="C554" s="1" t="n">
        <v>45824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27991-2022</t>
        </is>
      </c>
      <c r="B555" s="1" t="n">
        <v>44745</v>
      </c>
      <c r="C555" s="1" t="n">
        <v>45824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28153-2022</t>
        </is>
      </c>
      <c r="B556" s="1" t="n">
        <v>44746</v>
      </c>
      <c r="C556" s="1" t="n">
        <v>45824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29367-2022</t>
        </is>
      </c>
      <c r="B557" s="1" t="n">
        <v>44752</v>
      </c>
      <c r="C557" s="1" t="n">
        <v>45824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29378-2022</t>
        </is>
      </c>
      <c r="B558" s="1" t="n">
        <v>44752</v>
      </c>
      <c r="C558" s="1" t="n">
        <v>45824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29384-2022</t>
        </is>
      </c>
      <c r="B559" s="1" t="n">
        <v>44752</v>
      </c>
      <c r="C559" s="1" t="n">
        <v>45824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29380-2022</t>
        </is>
      </c>
      <c r="B560" s="1" t="n">
        <v>44752</v>
      </c>
      <c r="C560" s="1" t="n">
        <v>45824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29389-2022</t>
        </is>
      </c>
      <c r="B561" s="1" t="n">
        <v>44753</v>
      </c>
      <c r="C561" s="1" t="n">
        <v>45824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30423-2022</t>
        </is>
      </c>
      <c r="B562" s="1" t="n">
        <v>44761</v>
      </c>
      <c r="C562" s="1" t="n">
        <v>45824</v>
      </c>
      <c r="D562" t="inlineStr">
        <is>
          <t>SÖDERMANLANDS LÄN</t>
        </is>
      </c>
      <c r="E562" t="inlineStr">
        <is>
          <t>FLEN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31079-2022</t>
        </is>
      </c>
      <c r="B563" s="1" t="n">
        <v>44769</v>
      </c>
      <c r="C563" s="1" t="n">
        <v>45824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31077-2022</t>
        </is>
      </c>
      <c r="B564" s="1" t="n">
        <v>44769</v>
      </c>
      <c r="C564" s="1" t="n">
        <v>45824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31083-2022</t>
        </is>
      </c>
      <c r="B565" s="1" t="n">
        <v>44769</v>
      </c>
      <c r="C565" s="1" t="n">
        <v>45824</v>
      </c>
      <c r="D565" t="inlineStr">
        <is>
          <t>SÖDERMANLANDS LÄN</t>
        </is>
      </c>
      <c r="E565" t="inlineStr">
        <is>
          <t>FLEN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31096-2022</t>
        </is>
      </c>
      <c r="B566" s="1" t="n">
        <v>44769</v>
      </c>
      <c r="C566" s="1" t="n">
        <v>45824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31068-2022</t>
        </is>
      </c>
      <c r="B567" s="1" t="n">
        <v>44769</v>
      </c>
      <c r="C567" s="1" t="n">
        <v>45824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31175-2022</t>
        </is>
      </c>
      <c r="B568" s="1" t="n">
        <v>44770</v>
      </c>
      <c r="C568" s="1" t="n">
        <v>45824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31427-2022</t>
        </is>
      </c>
      <c r="B569" s="1" t="n">
        <v>44774</v>
      </c>
      <c r="C569" s="1" t="n">
        <v>45824</v>
      </c>
      <c r="D569" t="inlineStr">
        <is>
          <t>SÖDERMANLANDS LÄN</t>
        </is>
      </c>
      <c r="E569" t="inlineStr">
        <is>
          <t>FLEN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32023-2022</t>
        </is>
      </c>
      <c r="B570" s="1" t="n">
        <v>44778</v>
      </c>
      <c r="C570" s="1" t="n">
        <v>45824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32098-2022</t>
        </is>
      </c>
      <c r="B571" s="1" t="n">
        <v>44778</v>
      </c>
      <c r="C571" s="1" t="n">
        <v>45824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32432-2022</t>
        </is>
      </c>
      <c r="B572" s="1" t="n">
        <v>44782</v>
      </c>
      <c r="C572" s="1" t="n">
        <v>45824</v>
      </c>
      <c r="D572" t="inlineStr">
        <is>
          <t>SÖDERMANLANDS LÄN</t>
        </is>
      </c>
      <c r="E572" t="inlineStr">
        <is>
          <t>FLEN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33101-2022</t>
        </is>
      </c>
      <c r="B573" s="1" t="n">
        <v>44785</v>
      </c>
      <c r="C573" s="1" t="n">
        <v>45824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33024-2022</t>
        </is>
      </c>
      <c r="B574" s="1" t="n">
        <v>44785</v>
      </c>
      <c r="C574" s="1" t="n">
        <v>45824</v>
      </c>
      <c r="D574" t="inlineStr">
        <is>
          <t>SÖDERMANLANDS LÄN</t>
        </is>
      </c>
      <c r="E574" t="inlineStr">
        <is>
          <t>FLEN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33107-2022</t>
        </is>
      </c>
      <c r="B575" s="1" t="n">
        <v>44785</v>
      </c>
      <c r="C575" s="1" t="n">
        <v>45824</v>
      </c>
      <c r="D575" t="inlineStr">
        <is>
          <t>SÖDERMANLANDS LÄN</t>
        </is>
      </c>
      <c r="E575" t="inlineStr">
        <is>
          <t>FLEN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33103-2022</t>
        </is>
      </c>
      <c r="B576" s="1" t="n">
        <v>44785</v>
      </c>
      <c r="C576" s="1" t="n">
        <v>45824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33110-2022</t>
        </is>
      </c>
      <c r="B577" s="1" t="n">
        <v>44785</v>
      </c>
      <c r="C577" s="1" t="n">
        <v>45824</v>
      </c>
      <c r="D577" t="inlineStr">
        <is>
          <t>SÖDERMANLANDS LÄN</t>
        </is>
      </c>
      <c r="E577" t="inlineStr">
        <is>
          <t>FLEN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34095-2022</t>
        </is>
      </c>
      <c r="B578" s="1" t="n">
        <v>44791</v>
      </c>
      <c r="C578" s="1" t="n">
        <v>45824</v>
      </c>
      <c r="D578" t="inlineStr">
        <is>
          <t>SÖDERMANLANDS LÄN</t>
        </is>
      </c>
      <c r="E578" t="inlineStr">
        <is>
          <t>FLEN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34598-2022</t>
        </is>
      </c>
      <c r="B579" s="1" t="n">
        <v>44795</v>
      </c>
      <c r="C579" s="1" t="n">
        <v>45824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34817-2022</t>
        </is>
      </c>
      <c r="B580" s="1" t="n">
        <v>44796</v>
      </c>
      <c r="C580" s="1" t="n">
        <v>45824</v>
      </c>
      <c r="D580" t="inlineStr">
        <is>
          <t>SÖDERMANLANDS LÄN</t>
        </is>
      </c>
      <c r="E580" t="inlineStr">
        <is>
          <t>FLEN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36202-2022</t>
        </is>
      </c>
      <c r="B581" s="1" t="n">
        <v>44803</v>
      </c>
      <c r="C581" s="1" t="n">
        <v>45824</v>
      </c>
      <c r="D581" t="inlineStr">
        <is>
          <t>SÖDERMANLANDS LÄN</t>
        </is>
      </c>
      <c r="E581" t="inlineStr">
        <is>
          <t>FLEN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37257-2022</t>
        </is>
      </c>
      <c r="B582" s="1" t="n">
        <v>44807</v>
      </c>
      <c r="C582" s="1" t="n">
        <v>45824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37256-2022</t>
        </is>
      </c>
      <c r="B583" s="1" t="n">
        <v>44807</v>
      </c>
      <c r="C583" s="1" t="n">
        <v>45824</v>
      </c>
      <c r="D583" t="inlineStr">
        <is>
          <t>SÖDERMANLANDS LÄN</t>
        </is>
      </c>
      <c r="E583" t="inlineStr">
        <is>
          <t>FLEN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38832-2022</t>
        </is>
      </c>
      <c r="B584" s="1" t="n">
        <v>44814</v>
      </c>
      <c r="C584" s="1" t="n">
        <v>45824</v>
      </c>
      <c r="D584" t="inlineStr">
        <is>
          <t>SÖDERMANLANDS LÄN</t>
        </is>
      </c>
      <c r="E584" t="inlineStr">
        <is>
          <t>FLEN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39787-2022</t>
        </is>
      </c>
      <c r="B585" s="1" t="n">
        <v>44817</v>
      </c>
      <c r="C585" s="1" t="n">
        <v>45824</v>
      </c>
      <c r="D585" t="inlineStr">
        <is>
          <t>SÖDERMANLANDS LÄN</t>
        </is>
      </c>
      <c r="E585" t="inlineStr">
        <is>
          <t>FLEN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39673-2022</t>
        </is>
      </c>
      <c r="B586" s="1" t="n">
        <v>44818</v>
      </c>
      <c r="C586" s="1" t="n">
        <v>45824</v>
      </c>
      <c r="D586" t="inlineStr">
        <is>
          <t>SÖDERMANLANDS LÄN</t>
        </is>
      </c>
      <c r="E586" t="inlineStr">
        <is>
          <t>FLEN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39671-2022</t>
        </is>
      </c>
      <c r="B587" s="1" t="n">
        <v>44818</v>
      </c>
      <c r="C587" s="1" t="n">
        <v>45824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40198-2022</t>
        </is>
      </c>
      <c r="B588" s="1" t="n">
        <v>44818</v>
      </c>
      <c r="C588" s="1" t="n">
        <v>45824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39891-2022</t>
        </is>
      </c>
      <c r="B589" s="1" t="n">
        <v>44819</v>
      </c>
      <c r="C589" s="1" t="n">
        <v>45824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40420-2022</t>
        </is>
      </c>
      <c r="B590" s="1" t="n">
        <v>44823</v>
      </c>
      <c r="C590" s="1" t="n">
        <v>45824</v>
      </c>
      <c r="D590" t="inlineStr">
        <is>
          <t>SÖDERMANLANDS LÄN</t>
        </is>
      </c>
      <c r="E590" t="inlineStr">
        <is>
          <t>FLEN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40680-2022</t>
        </is>
      </c>
      <c r="B591" s="1" t="n">
        <v>44824</v>
      </c>
      <c r="C591" s="1" t="n">
        <v>45824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41435-2022</t>
        </is>
      </c>
      <c r="B592" s="1" t="n">
        <v>44826</v>
      </c>
      <c r="C592" s="1" t="n">
        <v>45824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42177-2022</t>
        </is>
      </c>
      <c r="B593" s="1" t="n">
        <v>44830</v>
      </c>
      <c r="C593" s="1" t="n">
        <v>45824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43267-2022</t>
        </is>
      </c>
      <c r="B594" s="1" t="n">
        <v>44834</v>
      </c>
      <c r="C594" s="1" t="n">
        <v>45824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43930-2022</t>
        </is>
      </c>
      <c r="B595" s="1" t="n">
        <v>44837</v>
      </c>
      <c r="C595" s="1" t="n">
        <v>45824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44006-2022</t>
        </is>
      </c>
      <c r="B596" s="1" t="n">
        <v>44838</v>
      </c>
      <c r="C596" s="1" t="n">
        <v>45824</v>
      </c>
      <c r="D596" t="inlineStr">
        <is>
          <t>SÖDERMANLANDS LÄN</t>
        </is>
      </c>
      <c r="E596" t="inlineStr">
        <is>
          <t>FLEN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44592-2022</t>
        </is>
      </c>
      <c r="B597" s="1" t="n">
        <v>44838</v>
      </c>
      <c r="C597" s="1" t="n">
        <v>45824</v>
      </c>
      <c r="D597" t="inlineStr">
        <is>
          <t>SÖDERMANLANDS LÄN</t>
        </is>
      </c>
      <c r="E597" t="inlineStr">
        <is>
          <t>FLEN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44552-2022</t>
        </is>
      </c>
      <c r="B598" s="1" t="n">
        <v>44838</v>
      </c>
      <c r="C598" s="1" t="n">
        <v>45824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44172-2022</t>
        </is>
      </c>
      <c r="B599" s="1" t="n">
        <v>44839</v>
      </c>
      <c r="C599" s="1" t="n">
        <v>45824</v>
      </c>
      <c r="D599" t="inlineStr">
        <is>
          <t>SÖDERMANLANDS LÄN</t>
        </is>
      </c>
      <c r="E599" t="inlineStr">
        <is>
          <t>FLEN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44161-2022</t>
        </is>
      </c>
      <c r="B600" s="1" t="n">
        <v>44839</v>
      </c>
      <c r="C600" s="1" t="n">
        <v>45824</v>
      </c>
      <c r="D600" t="inlineStr">
        <is>
          <t>SÖDERMANLANDS LÄN</t>
        </is>
      </c>
      <c r="E600" t="inlineStr">
        <is>
          <t>FLEN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45594-2022</t>
        </is>
      </c>
      <c r="B601" s="1" t="n">
        <v>44841</v>
      </c>
      <c r="C601" s="1" t="n">
        <v>45824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46414-2022</t>
        </is>
      </c>
      <c r="B602" s="1" t="n">
        <v>44846</v>
      </c>
      <c r="C602" s="1" t="n">
        <v>45824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46401-2022</t>
        </is>
      </c>
      <c r="B603" s="1" t="n">
        <v>44846</v>
      </c>
      <c r="C603" s="1" t="n">
        <v>45824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46567-2022</t>
        </is>
      </c>
      <c r="B604" s="1" t="n">
        <v>44848</v>
      </c>
      <c r="C604" s="1" t="n">
        <v>45824</v>
      </c>
      <c r="D604" t="inlineStr">
        <is>
          <t>SÖDERMANLANDS LÄN</t>
        </is>
      </c>
      <c r="E604" t="inlineStr">
        <is>
          <t>FLEN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47187-2022</t>
        </is>
      </c>
      <c r="B605" s="1" t="n">
        <v>44848</v>
      </c>
      <c r="C605" s="1" t="n">
        <v>45824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45824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45824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45824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45824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45824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45824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45824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45824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45824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45824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45824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45824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45824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45824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45824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45824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45824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45824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45824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45824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45824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45824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45824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45824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54737-2022</t>
        </is>
      </c>
      <c r="B630" s="1" t="n">
        <v>44881</v>
      </c>
      <c r="C630" s="1" t="n">
        <v>45824</v>
      </c>
      <c r="D630" t="inlineStr">
        <is>
          <t>SÖDERMANLANDS LÄN</t>
        </is>
      </c>
      <c r="E630" t="inlineStr">
        <is>
          <t>FLEN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54736-2022</t>
        </is>
      </c>
      <c r="B631" s="1" t="n">
        <v>44883</v>
      </c>
      <c r="C631" s="1" t="n">
        <v>45824</v>
      </c>
      <c r="D631" t="inlineStr">
        <is>
          <t>SÖDERMANLANDS LÄN</t>
        </is>
      </c>
      <c r="E631" t="inlineStr">
        <is>
          <t>FLEN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54951-2022</t>
        </is>
      </c>
      <c r="B632" s="1" t="n">
        <v>44886</v>
      </c>
      <c r="C632" s="1" t="n">
        <v>45824</v>
      </c>
      <c r="D632" t="inlineStr">
        <is>
          <t>SÖDERMANLANDS LÄN</t>
        </is>
      </c>
      <c r="E632" t="inlineStr">
        <is>
          <t>FLEN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55081-2022</t>
        </is>
      </c>
      <c r="B633" s="1" t="n">
        <v>44886</v>
      </c>
      <c r="C633" s="1" t="n">
        <v>45824</v>
      </c>
      <c r="D633" t="inlineStr">
        <is>
          <t>SÖDERMANLANDS LÄN</t>
        </is>
      </c>
      <c r="E633" t="inlineStr">
        <is>
          <t>FLEN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55174-2022</t>
        </is>
      </c>
      <c r="B634" s="1" t="n">
        <v>44886</v>
      </c>
      <c r="C634" s="1" t="n">
        <v>45824</v>
      </c>
      <c r="D634" t="inlineStr">
        <is>
          <t>SÖDERMANLANDS LÄN</t>
        </is>
      </c>
      <c r="E634" t="inlineStr">
        <is>
          <t>FLEN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55171-2022</t>
        </is>
      </c>
      <c r="B635" s="1" t="n">
        <v>44886</v>
      </c>
      <c r="C635" s="1" t="n">
        <v>45824</v>
      </c>
      <c r="D635" t="inlineStr">
        <is>
          <t>SÖDERMANLANDS LÄN</t>
        </is>
      </c>
      <c r="E635" t="inlineStr">
        <is>
          <t>FLEN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55177-2022</t>
        </is>
      </c>
      <c r="B636" s="1" t="n">
        <v>44886</v>
      </c>
      <c r="C636" s="1" t="n">
        <v>45824</v>
      </c>
      <c r="D636" t="inlineStr">
        <is>
          <t>SÖDERMANLANDS LÄN</t>
        </is>
      </c>
      <c r="E636" t="inlineStr">
        <is>
          <t>FLEN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55445-2022</t>
        </is>
      </c>
      <c r="B637" s="1" t="n">
        <v>44887</v>
      </c>
      <c r="C637" s="1" t="n">
        <v>45824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56393-2022</t>
        </is>
      </c>
      <c r="B638" s="1" t="n">
        <v>44887</v>
      </c>
      <c r="C638" s="1" t="n">
        <v>45824</v>
      </c>
      <c r="D638" t="inlineStr">
        <is>
          <t>SÖDERMANLANDS LÄN</t>
        </is>
      </c>
      <c r="E638" t="inlineStr">
        <is>
          <t>FLEN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56497-2022</t>
        </is>
      </c>
      <c r="B639" s="1" t="n">
        <v>44887</v>
      </c>
      <c r="C639" s="1" t="n">
        <v>45824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56577-2022</t>
        </is>
      </c>
      <c r="B640" s="1" t="n">
        <v>44887</v>
      </c>
      <c r="C640" s="1" t="n">
        <v>45824</v>
      </c>
      <c r="D640" t="inlineStr">
        <is>
          <t>SÖDERMANLANDS LÄN</t>
        </is>
      </c>
      <c r="E640" t="inlineStr">
        <is>
          <t>FLEN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57032-2022</t>
        </is>
      </c>
      <c r="B641" s="1" t="n">
        <v>44895</v>
      </c>
      <c r="C641" s="1" t="n">
        <v>45824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57031-2022</t>
        </is>
      </c>
      <c r="B642" s="1" t="n">
        <v>44895</v>
      </c>
      <c r="C642" s="1" t="n">
        <v>45824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58692-2022</t>
        </is>
      </c>
      <c r="B643" s="1" t="n">
        <v>44895</v>
      </c>
      <c r="C643" s="1" t="n">
        <v>45824</v>
      </c>
      <c r="D643" t="inlineStr">
        <is>
          <t>SÖDERMANLANDS LÄN</t>
        </is>
      </c>
      <c r="E643" t="inlineStr">
        <is>
          <t>FLEN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58838-2022</t>
        </is>
      </c>
      <c r="B644" s="1" t="n">
        <v>44895</v>
      </c>
      <c r="C644" s="1" t="n">
        <v>45824</v>
      </c>
      <c r="D644" t="inlineStr">
        <is>
          <t>SÖDERMANLANDS LÄN</t>
        </is>
      </c>
      <c r="E644" t="inlineStr">
        <is>
          <t>FLEN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57353-2022</t>
        </is>
      </c>
      <c r="B645" s="1" t="n">
        <v>44896</v>
      </c>
      <c r="C645" s="1" t="n">
        <v>45824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57356-2022</t>
        </is>
      </c>
      <c r="B646" s="1" t="n">
        <v>44896</v>
      </c>
      <c r="C646" s="1" t="n">
        <v>45824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59023-2022</t>
        </is>
      </c>
      <c r="B647" s="1" t="n">
        <v>44897</v>
      </c>
      <c r="C647" s="1" t="n">
        <v>45824</v>
      </c>
      <c r="D647" t="inlineStr">
        <is>
          <t>SÖDERMANLANDS LÄN</t>
        </is>
      </c>
      <c r="E647" t="inlineStr">
        <is>
          <t>FLEN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59258-2022</t>
        </is>
      </c>
      <c r="B648" s="1" t="n">
        <v>44897</v>
      </c>
      <c r="C648" s="1" t="n">
        <v>45824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59247-2022</t>
        </is>
      </c>
      <c r="B649" s="1" t="n">
        <v>44897</v>
      </c>
      <c r="C649" s="1" t="n">
        <v>45824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45824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45824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45824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45824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45824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45824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45824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45824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45824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45824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45824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45824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45824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45824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45824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45824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45824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61869-2022</t>
        </is>
      </c>
      <c r="B667" s="1" t="n">
        <v>44917</v>
      </c>
      <c r="C667" s="1" t="n">
        <v>45824</v>
      </c>
      <c r="D667" t="inlineStr">
        <is>
          <t>SÖDERMANLANDS LÄN</t>
        </is>
      </c>
      <c r="E667" t="inlineStr">
        <is>
          <t>FLEN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780-2023</t>
        </is>
      </c>
      <c r="B668" s="1" t="n">
        <v>44931</v>
      </c>
      <c r="C668" s="1" t="n">
        <v>45824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2391-2023</t>
        </is>
      </c>
      <c r="B669" s="1" t="n">
        <v>44942</v>
      </c>
      <c r="C669" s="1" t="n">
        <v>45824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2757-2023</t>
        </is>
      </c>
      <c r="B670" s="1" t="n">
        <v>44943</v>
      </c>
      <c r="C670" s="1" t="n">
        <v>45824</v>
      </c>
      <c r="D670" t="inlineStr">
        <is>
          <t>SÖDERMANLANDS LÄN</t>
        </is>
      </c>
      <c r="E670" t="inlineStr">
        <is>
          <t>FLEN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2759-2023</t>
        </is>
      </c>
      <c r="B671" s="1" t="n">
        <v>44943</v>
      </c>
      <c r="C671" s="1" t="n">
        <v>45824</v>
      </c>
      <c r="D671" t="inlineStr">
        <is>
          <t>SÖDERMANLANDS LÄN</t>
        </is>
      </c>
      <c r="E671" t="inlineStr">
        <is>
          <t>FLEN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3435-2023</t>
        </is>
      </c>
      <c r="B672" s="1" t="n">
        <v>44949</v>
      </c>
      <c r="C672" s="1" t="n">
        <v>45824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4259-2023</t>
        </is>
      </c>
      <c r="B673" s="1" t="n">
        <v>44953</v>
      </c>
      <c r="C673" s="1" t="n">
        <v>45824</v>
      </c>
      <c r="D673" t="inlineStr">
        <is>
          <t>SÖDERMANLANDS LÄN</t>
        </is>
      </c>
      <c r="E673" t="inlineStr">
        <is>
          <t>FLEN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4736-2023</t>
        </is>
      </c>
      <c r="B674" s="1" t="n">
        <v>44957</v>
      </c>
      <c r="C674" s="1" t="n">
        <v>45824</v>
      </c>
      <c r="D674" t="inlineStr">
        <is>
          <t>SÖDERMANLANDS LÄN</t>
        </is>
      </c>
      <c r="E674" t="inlineStr">
        <is>
          <t>FLEN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4742-2023</t>
        </is>
      </c>
      <c r="B675" s="1" t="n">
        <v>44957</v>
      </c>
      <c r="C675" s="1" t="n">
        <v>45824</v>
      </c>
      <c r="D675" t="inlineStr">
        <is>
          <t>SÖDERMANLANDS LÄN</t>
        </is>
      </c>
      <c r="E675" t="inlineStr">
        <is>
          <t>FLEN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4749-2023</t>
        </is>
      </c>
      <c r="B676" s="1" t="n">
        <v>44957</v>
      </c>
      <c r="C676" s="1" t="n">
        <v>45824</v>
      </c>
      <c r="D676" t="inlineStr">
        <is>
          <t>SÖDERMANLANDS LÄN</t>
        </is>
      </c>
      <c r="E676" t="inlineStr">
        <is>
          <t>FLEN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4923-2023</t>
        </is>
      </c>
      <c r="B677" s="1" t="n">
        <v>44958</v>
      </c>
      <c r="C677" s="1" t="n">
        <v>45824</v>
      </c>
      <c r="D677" t="inlineStr">
        <is>
          <t>SÖDERMANLANDS LÄN</t>
        </is>
      </c>
      <c r="E677" t="inlineStr">
        <is>
          <t>FLEN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4899-2023</t>
        </is>
      </c>
      <c r="B678" s="1" t="n">
        <v>44958</v>
      </c>
      <c r="C678" s="1" t="n">
        <v>45824</v>
      </c>
      <c r="D678" t="inlineStr">
        <is>
          <t>SÖDERMANLANDS LÄN</t>
        </is>
      </c>
      <c r="E678" t="inlineStr">
        <is>
          <t>FLEN</t>
        </is>
      </c>
      <c r="F678" t="inlineStr">
        <is>
          <t>Kyrkan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5109-2023</t>
        </is>
      </c>
      <c r="B679" s="1" t="n">
        <v>44958</v>
      </c>
      <c r="C679" s="1" t="n">
        <v>45824</v>
      </c>
      <c r="D679" t="inlineStr">
        <is>
          <t>SÖDERMANLANDS LÄN</t>
        </is>
      </c>
      <c r="E679" t="inlineStr">
        <is>
          <t>FLEN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5582-2023</t>
        </is>
      </c>
      <c r="B680" s="1" t="n">
        <v>44960</v>
      </c>
      <c r="C680" s="1" t="n">
        <v>45824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7399-2023</t>
        </is>
      </c>
      <c r="B681" s="1" t="n">
        <v>44966</v>
      </c>
      <c r="C681" s="1" t="n">
        <v>45824</v>
      </c>
      <c r="D681" t="inlineStr">
        <is>
          <t>SÖDERMANLANDS LÄN</t>
        </is>
      </c>
      <c r="E681" t="inlineStr">
        <is>
          <t>FLEN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7163-2023</t>
        </is>
      </c>
      <c r="B682" s="1" t="n">
        <v>44970</v>
      </c>
      <c r="C682" s="1" t="n">
        <v>45824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7194-2023</t>
        </is>
      </c>
      <c r="B683" s="1" t="n">
        <v>44970</v>
      </c>
      <c r="C683" s="1" t="n">
        <v>45824</v>
      </c>
      <c r="D683" t="inlineStr">
        <is>
          <t>SÖDERMANLANDS LÄN</t>
        </is>
      </c>
      <c r="E683" t="inlineStr">
        <is>
          <t>FLEN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7693-2023</t>
        </is>
      </c>
      <c r="B684" s="1" t="n">
        <v>44972</v>
      </c>
      <c r="C684" s="1" t="n">
        <v>45824</v>
      </c>
      <c r="D684" t="inlineStr">
        <is>
          <t>SÖDERMANLANDS LÄN</t>
        </is>
      </c>
      <c r="E684" t="inlineStr">
        <is>
          <t>FLEN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8075-2023</t>
        </is>
      </c>
      <c r="B685" s="1" t="n">
        <v>44974</v>
      </c>
      <c r="C685" s="1" t="n">
        <v>45824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8042-2023</t>
        </is>
      </c>
      <c r="B686" s="1" t="n">
        <v>44974</v>
      </c>
      <c r="C686" s="1" t="n">
        <v>45824</v>
      </c>
      <c r="D686" t="inlineStr">
        <is>
          <t>SÖDERMANLANDS LÄN</t>
        </is>
      </c>
      <c r="E686" t="inlineStr">
        <is>
          <t>FLEN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8607-2023</t>
        </is>
      </c>
      <c r="B687" s="1" t="n">
        <v>44977</v>
      </c>
      <c r="C687" s="1" t="n">
        <v>45824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8588-2023</t>
        </is>
      </c>
      <c r="B688" s="1" t="n">
        <v>44977</v>
      </c>
      <c r="C688" s="1" t="n">
        <v>45824</v>
      </c>
      <c r="D688" t="inlineStr">
        <is>
          <t>SÖDERMANLANDS LÄN</t>
        </is>
      </c>
      <c r="E688" t="inlineStr">
        <is>
          <t>FLEN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8894-2023</t>
        </is>
      </c>
      <c r="B689" s="1" t="n">
        <v>44979</v>
      </c>
      <c r="C689" s="1" t="n">
        <v>45824</v>
      </c>
      <c r="D689" t="inlineStr">
        <is>
          <t>SÖDERMANLANDS LÄN</t>
        </is>
      </c>
      <c r="E689" t="inlineStr">
        <is>
          <t>FLEN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8891-2023</t>
        </is>
      </c>
      <c r="B690" s="1" t="n">
        <v>44979</v>
      </c>
      <c r="C690" s="1" t="n">
        <v>45824</v>
      </c>
      <c r="D690" t="inlineStr">
        <is>
          <t>SÖDERMANLANDS LÄN</t>
        </is>
      </c>
      <c r="E690" t="inlineStr">
        <is>
          <t>FLEN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8883-2023</t>
        </is>
      </c>
      <c r="B691" s="1" t="n">
        <v>44979</v>
      </c>
      <c r="C691" s="1" t="n">
        <v>45824</v>
      </c>
      <c r="D691" t="inlineStr">
        <is>
          <t>SÖDERMANLANDS LÄN</t>
        </is>
      </c>
      <c r="E691" t="inlineStr">
        <is>
          <t>FLEN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9889-2023</t>
        </is>
      </c>
      <c r="B692" s="1" t="n">
        <v>44979</v>
      </c>
      <c r="C692" s="1" t="n">
        <v>45824</v>
      </c>
      <c r="D692" t="inlineStr">
        <is>
          <t>SÖDERMANLANDS LÄN</t>
        </is>
      </c>
      <c r="E692" t="inlineStr">
        <is>
          <t>FLEN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9894-2023</t>
        </is>
      </c>
      <c r="B693" s="1" t="n">
        <v>44979</v>
      </c>
      <c r="C693" s="1" t="n">
        <v>45824</v>
      </c>
      <c r="D693" t="inlineStr">
        <is>
          <t>SÖDERMANLANDS LÄN</t>
        </is>
      </c>
      <c r="E693" t="inlineStr">
        <is>
          <t>FLEN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9257-2023</t>
        </is>
      </c>
      <c r="B694" s="1" t="n">
        <v>44980</v>
      </c>
      <c r="C694" s="1" t="n">
        <v>45824</v>
      </c>
      <c r="D694" t="inlineStr">
        <is>
          <t>SÖDERMANLANDS LÄN</t>
        </is>
      </c>
      <c r="E694" t="inlineStr">
        <is>
          <t>FLEN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9882-2023</t>
        </is>
      </c>
      <c r="B695" s="1" t="n">
        <v>44985</v>
      </c>
      <c r="C695" s="1" t="n">
        <v>45824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9941-2023</t>
        </is>
      </c>
      <c r="B696" s="1" t="n">
        <v>44985</v>
      </c>
      <c r="C696" s="1" t="n">
        <v>45824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10938-2023</t>
        </is>
      </c>
      <c r="B697" s="1" t="n">
        <v>44985</v>
      </c>
      <c r="C697" s="1" t="n">
        <v>45824</v>
      </c>
      <c r="D697" t="inlineStr">
        <is>
          <t>SÖDERMANLANDS LÄN</t>
        </is>
      </c>
      <c r="E697" t="inlineStr">
        <is>
          <t>FLEN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10110-2023</t>
        </is>
      </c>
      <c r="B698" s="1" t="n">
        <v>44986</v>
      </c>
      <c r="C698" s="1" t="n">
        <v>45824</v>
      </c>
      <c r="D698" t="inlineStr">
        <is>
          <t>SÖDERMANLANDS LÄN</t>
        </is>
      </c>
      <c r="E698" t="inlineStr">
        <is>
          <t>FLEN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10565-2023</t>
        </is>
      </c>
      <c r="B699" s="1" t="n">
        <v>44988</v>
      </c>
      <c r="C699" s="1" t="n">
        <v>45824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10886-2023</t>
        </is>
      </c>
      <c r="B700" s="1" t="n">
        <v>44991</v>
      </c>
      <c r="C700" s="1" t="n">
        <v>45824</v>
      </c>
      <c r="D700" t="inlineStr">
        <is>
          <t>SÖDERMANLANDS LÄN</t>
        </is>
      </c>
      <c r="E700" t="inlineStr">
        <is>
          <t>FLEN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11506-2023</t>
        </is>
      </c>
      <c r="B701" s="1" t="n">
        <v>44991</v>
      </c>
      <c r="C701" s="1" t="n">
        <v>45824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12912-2023</t>
        </is>
      </c>
      <c r="B702" s="1" t="n">
        <v>45001</v>
      </c>
      <c r="C702" s="1" t="n">
        <v>45824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12936-2023</t>
        </is>
      </c>
      <c r="B703" s="1" t="n">
        <v>45001</v>
      </c>
      <c r="C703" s="1" t="n">
        <v>45824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12908-2023</t>
        </is>
      </c>
      <c r="B704" s="1" t="n">
        <v>45001</v>
      </c>
      <c r="C704" s="1" t="n">
        <v>45824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13824-2023</t>
        </is>
      </c>
      <c r="B705" s="1" t="n">
        <v>45007</v>
      </c>
      <c r="C705" s="1" t="n">
        <v>45824</v>
      </c>
      <c r="D705" t="inlineStr">
        <is>
          <t>SÖDERMANLANDS LÄN</t>
        </is>
      </c>
      <c r="E705" t="inlineStr">
        <is>
          <t>FLEN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13909-2023</t>
        </is>
      </c>
      <c r="B706" s="1" t="n">
        <v>45008</v>
      </c>
      <c r="C706" s="1" t="n">
        <v>45824</v>
      </c>
      <c r="D706" t="inlineStr">
        <is>
          <t>SÖDERMANLANDS LÄN</t>
        </is>
      </c>
      <c r="E706" t="inlineStr">
        <is>
          <t>FLEN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14412-2023</t>
        </is>
      </c>
      <c r="B707" s="1" t="n">
        <v>45012</v>
      </c>
      <c r="C707" s="1" t="n">
        <v>45824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14599-2023</t>
        </is>
      </c>
      <c r="B708" s="1" t="n">
        <v>45013</v>
      </c>
      <c r="C708" s="1" t="n">
        <v>45824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14749-2023</t>
        </is>
      </c>
      <c r="B709" s="1" t="n">
        <v>45014</v>
      </c>
      <c r="C709" s="1" t="n">
        <v>45824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14755-2023</t>
        </is>
      </c>
      <c r="B710" s="1" t="n">
        <v>45014</v>
      </c>
      <c r="C710" s="1" t="n">
        <v>45824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14826-2023</t>
        </is>
      </c>
      <c r="B711" s="1" t="n">
        <v>45014</v>
      </c>
      <c r="C711" s="1" t="n">
        <v>45824</v>
      </c>
      <c r="D711" t="inlineStr">
        <is>
          <t>SÖDERMANLANDS LÄN</t>
        </is>
      </c>
      <c r="E711" t="inlineStr">
        <is>
          <t>FLEN</t>
        </is>
      </c>
      <c r="G711" t="n">
        <v>15.8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15119-2023</t>
        </is>
      </c>
      <c r="B712" s="1" t="n">
        <v>45016</v>
      </c>
      <c r="C712" s="1" t="n">
        <v>45824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15897-2023</t>
        </is>
      </c>
      <c r="B713" s="1" t="n">
        <v>45022</v>
      </c>
      <c r="C713" s="1" t="n">
        <v>45824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15904-2023</t>
        </is>
      </c>
      <c r="B714" s="1" t="n">
        <v>45022</v>
      </c>
      <c r="C714" s="1" t="n">
        <v>45824</v>
      </c>
      <c r="D714" t="inlineStr">
        <is>
          <t>SÖDERMANLANDS LÄN</t>
        </is>
      </c>
      <c r="E714" t="inlineStr">
        <is>
          <t>FLEN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15900-2023</t>
        </is>
      </c>
      <c r="B715" s="1" t="n">
        <v>45022</v>
      </c>
      <c r="C715" s="1" t="n">
        <v>45824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16045-2023</t>
        </is>
      </c>
      <c r="B716" s="1" t="n">
        <v>45022</v>
      </c>
      <c r="C716" s="1" t="n">
        <v>45824</v>
      </c>
      <c r="D716" t="inlineStr">
        <is>
          <t>SÖDERMANLANDS LÄN</t>
        </is>
      </c>
      <c r="E716" t="inlineStr">
        <is>
          <t>FLEN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16399-2023</t>
        </is>
      </c>
      <c r="B717" s="1" t="n">
        <v>45029</v>
      </c>
      <c r="C717" s="1" t="n">
        <v>45824</v>
      </c>
      <c r="D717" t="inlineStr">
        <is>
          <t>SÖDERMANLANDS LÄN</t>
        </is>
      </c>
      <c r="E717" t="inlineStr">
        <is>
          <t>FLEN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16581-2023</t>
        </is>
      </c>
      <c r="B718" s="1" t="n">
        <v>45030</v>
      </c>
      <c r="C718" s="1" t="n">
        <v>45824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16582-2023</t>
        </is>
      </c>
      <c r="B719" s="1" t="n">
        <v>45030</v>
      </c>
      <c r="C719" s="1" t="n">
        <v>45824</v>
      </c>
      <c r="D719" t="inlineStr">
        <is>
          <t>SÖDERMANLANDS LÄN</t>
        </is>
      </c>
      <c r="E719" t="inlineStr">
        <is>
          <t>FLEN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16583-2023</t>
        </is>
      </c>
      <c r="B720" s="1" t="n">
        <v>45030</v>
      </c>
      <c r="C720" s="1" t="n">
        <v>45824</v>
      </c>
      <c r="D720" t="inlineStr">
        <is>
          <t>SÖDERMANLANDS LÄN</t>
        </is>
      </c>
      <c r="E720" t="inlineStr">
        <is>
          <t>FLEN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16580-2023</t>
        </is>
      </c>
      <c r="B721" s="1" t="n">
        <v>45030</v>
      </c>
      <c r="C721" s="1" t="n">
        <v>45824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17125-2023</t>
        </is>
      </c>
      <c r="B722" s="1" t="n">
        <v>45034</v>
      </c>
      <c r="C722" s="1" t="n">
        <v>45824</v>
      </c>
      <c r="D722" t="inlineStr">
        <is>
          <t>SÖDERMANLANDS LÄN</t>
        </is>
      </c>
      <c r="E722" t="inlineStr">
        <is>
          <t>FLEN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17655-2023</t>
        </is>
      </c>
      <c r="B723" s="1" t="n">
        <v>45036</v>
      </c>
      <c r="C723" s="1" t="n">
        <v>45824</v>
      </c>
      <c r="D723" t="inlineStr">
        <is>
          <t>SÖDERMANLANDS LÄN</t>
        </is>
      </c>
      <c r="E723" t="inlineStr">
        <is>
          <t>FLEN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17654-2023</t>
        </is>
      </c>
      <c r="B724" s="1" t="n">
        <v>45036</v>
      </c>
      <c r="C724" s="1" t="n">
        <v>45824</v>
      </c>
      <c r="D724" t="inlineStr">
        <is>
          <t>SÖDERMANLANDS LÄN</t>
        </is>
      </c>
      <c r="E724" t="inlineStr">
        <is>
          <t>FLEN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18083-2023</t>
        </is>
      </c>
      <c r="B725" s="1" t="n">
        <v>45039</v>
      </c>
      <c r="C725" s="1" t="n">
        <v>45824</v>
      </c>
      <c r="D725" t="inlineStr">
        <is>
          <t>SÖDERMANLANDS LÄN</t>
        </is>
      </c>
      <c r="E725" t="inlineStr">
        <is>
          <t>FLEN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18073-2023</t>
        </is>
      </c>
      <c r="B726" s="1" t="n">
        <v>45039</v>
      </c>
      <c r="C726" s="1" t="n">
        <v>45824</v>
      </c>
      <c r="D726" t="inlineStr">
        <is>
          <t>SÖDERMANLANDS LÄN</t>
        </is>
      </c>
      <c r="E726" t="inlineStr">
        <is>
          <t>FLEN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18102-2023</t>
        </is>
      </c>
      <c r="B727" s="1" t="n">
        <v>45039</v>
      </c>
      <c r="C727" s="1" t="n">
        <v>45824</v>
      </c>
      <c r="D727" t="inlineStr">
        <is>
          <t>SÖDERMANLANDS LÄN</t>
        </is>
      </c>
      <c r="E727" t="inlineStr">
        <is>
          <t>FLEN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18093-2023</t>
        </is>
      </c>
      <c r="B728" s="1" t="n">
        <v>45039</v>
      </c>
      <c r="C728" s="1" t="n">
        <v>45824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18511-2023</t>
        </is>
      </c>
      <c r="B729" s="1" t="n">
        <v>45041</v>
      </c>
      <c r="C729" s="1" t="n">
        <v>45824</v>
      </c>
      <c r="D729" t="inlineStr">
        <is>
          <t>SÖDERMANLANDS LÄN</t>
        </is>
      </c>
      <c r="E729" t="inlineStr">
        <is>
          <t>FLEN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18689-2023</t>
        </is>
      </c>
      <c r="B730" s="1" t="n">
        <v>45043</v>
      </c>
      <c r="C730" s="1" t="n">
        <v>45824</v>
      </c>
      <c r="D730" t="inlineStr">
        <is>
          <t>SÖDERMANLANDS LÄN</t>
        </is>
      </c>
      <c r="E730" t="inlineStr">
        <is>
          <t>FLEN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45824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45824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45824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45824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45824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45824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45824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45824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45824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45824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45824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45824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45824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45824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45824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45824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45824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45824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45824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45824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45824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45824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45824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45824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45824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45824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45824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45824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45824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45824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45824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45824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45824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45824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45824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45824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45824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45824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45824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45824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45824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45824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45824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45824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45824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45824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45824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45824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45824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45824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45824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45824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45824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45824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45824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45824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45824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45824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45824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45824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45824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45824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45824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45824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45824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45824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45824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45824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45824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45824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45824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45824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45824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45824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45824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45824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45824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45824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45824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45824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45824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45824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45824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45824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45824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45824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45824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45824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45824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45824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45824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45824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45824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45824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45824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45824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45824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45824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45824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45824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45824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45824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45824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45824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45824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45824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45824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45824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45824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45824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45824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45824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45824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45824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45824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45824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45824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45824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45824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45824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45824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45824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45824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45824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45824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45824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45824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45824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45824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45824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45824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45824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45824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45824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45824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45824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45824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45824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45824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45824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45824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45824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45824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45824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45824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45824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45824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45824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45824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45824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45824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45824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45824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45824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45824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45824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45824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45824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45824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45824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45824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45824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45824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45824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45824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45824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45824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45824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45824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45824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45824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45824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45824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45824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45824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45824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45824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45824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45824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45824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45824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45824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45824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45824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45824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45824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45824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45824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45824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45824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45824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45824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45824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45824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45824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45824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45824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45824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45824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45824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45824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45824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45824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45824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45824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45824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45824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45824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45824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45824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45824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45824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45824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45824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45824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45824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45824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45824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45824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45824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45824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45824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45824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45824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45824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45824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45824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45824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45824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45824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45824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45824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45824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45824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45824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45824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45824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45824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45824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45824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45824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45824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45824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45824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45824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45824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45824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45824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45824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45824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45824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45824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45824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45824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45824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45824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45824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45824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45824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45824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45824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45824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45824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45824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45824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45824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45824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45824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45824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45824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45824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45824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45824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45824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45824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45824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45824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45824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45824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45824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45824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45824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45824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45824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45824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45824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45824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45824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45824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45824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45824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45824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45824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45824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45824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45824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45824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45824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45824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45824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45824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45824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45824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45824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45824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45824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45824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45824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45824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45824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45824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45824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45824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45824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45824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45824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45824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45824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45824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45824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45824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45824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45824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45824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45824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45824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45824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45824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45824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45824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45824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45824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45824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45824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45824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45824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45824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45824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45824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45824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45824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45824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45824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45824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45824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45824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45824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45824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45824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45824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45824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45824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45824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45824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45824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45824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45824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45824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45824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45824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45824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45824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45824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45824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45824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45824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45824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45824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45824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45824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45824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45824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45824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45824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45824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45824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45824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45824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45824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45824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45824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45824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45824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45824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45824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45824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45824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45824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45824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45824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45824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45824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45824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45824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45824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45824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45824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45824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45824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45824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45824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45824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45824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45824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45824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45824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45824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45824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45824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45824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45824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45824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45824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45824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45824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45824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45824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45824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45824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45824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45824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45824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45824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45824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45824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45824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45824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45824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45824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45824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45824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45824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45824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45824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45824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45824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45824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45824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45824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45824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45824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45824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45824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45824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45824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45824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45824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45824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24480-2025</t>
        </is>
      </c>
      <c r="B1179" s="1" t="n">
        <v>45798</v>
      </c>
      <c r="C1179" s="1" t="n">
        <v>45824</v>
      </c>
      <c r="D1179" t="inlineStr">
        <is>
          <t>SÖDERMANLANDS LÄN</t>
        </is>
      </c>
      <c r="E1179" t="inlineStr">
        <is>
          <t>FLEN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24557-2025</t>
        </is>
      </c>
      <c r="B1180" s="1" t="n">
        <v>45798</v>
      </c>
      <c r="C1180" s="1" t="n">
        <v>45824</v>
      </c>
      <c r="D1180" t="inlineStr">
        <is>
          <t>SÖDERMANLANDS LÄN</t>
        </is>
      </c>
      <c r="E1180" t="inlineStr">
        <is>
          <t>FLEN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24541-2025</t>
        </is>
      </c>
      <c r="B1181" s="1" t="n">
        <v>45798</v>
      </c>
      <c r="C1181" s="1" t="n">
        <v>45824</v>
      </c>
      <c r="D1181" t="inlineStr">
        <is>
          <t>SÖDERMANLANDS LÄN</t>
        </is>
      </c>
      <c r="E1181" t="inlineStr">
        <is>
          <t>FLEN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24474-2025</t>
        </is>
      </c>
      <c r="B1182" s="1" t="n">
        <v>45798</v>
      </c>
      <c r="C1182" s="1" t="n">
        <v>45824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45824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45824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29162-2025</t>
        </is>
      </c>
      <c r="B1185" s="1" t="n">
        <v>45821</v>
      </c>
      <c r="C1185" s="1" t="n">
        <v>45824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2025-06-16T18:55:06Z</dcterms:created>
  <dcterms:modified xmlns:dcterms="http://purl.org/dc/terms/" xmlns:xsi="http://www.w3.org/2001/XMLSchema-instance" xsi:type="dcterms:W3CDTF">2025-06-16T18:55:07Z</dcterms:modified>
</cp:coreProperties>
</file>