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46001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46001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46001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46001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46001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46001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46001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46001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46001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46001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46001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46001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46001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46001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70039-2021</t>
        </is>
      </c>
      <c r="B16" s="1" t="n">
        <v>44533</v>
      </c>
      <c r="C16" s="1" t="n">
        <v>46001</v>
      </c>
      <c r="D16" t="inlineStr">
        <is>
          <t>SÖDERMANLANDS LÄN</t>
        </is>
      </c>
      <c r="E16" t="inlineStr">
        <is>
          <t>FLEN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Gullklöver
Svedjenäva
Blåsippa</t>
        </is>
      </c>
      <c r="S16">
        <f>HYPERLINK("https://klasma.github.io/Logging_0482/artfynd/A 70039-2021 artfynd.xlsx", "A 70039-2021")</f>
        <v/>
      </c>
      <c r="T16">
        <f>HYPERLINK("https://klasma.github.io/Logging_0482/kartor/A 70039-2021 karta.png", "A 70039-2021")</f>
        <v/>
      </c>
      <c r="V16">
        <f>HYPERLINK("https://klasma.github.io/Logging_0482/klagomål/A 70039-2021 FSC-klagomål.docx", "A 70039-2021")</f>
        <v/>
      </c>
      <c r="W16">
        <f>HYPERLINK("https://klasma.github.io/Logging_0482/klagomålsmail/A 70039-2021 FSC-klagomål mail.docx", "A 70039-2021")</f>
        <v/>
      </c>
      <c r="X16">
        <f>HYPERLINK("https://klasma.github.io/Logging_0482/tillsyn/A 70039-2021 tillsynsbegäran.docx", "A 70039-2021")</f>
        <v/>
      </c>
      <c r="Y16">
        <f>HYPERLINK("https://klasma.github.io/Logging_0482/tillsynsmail/A 70039-2021 tillsynsbegäran mail.docx", "A 70039-2021")</f>
        <v/>
      </c>
    </row>
    <row r="17" ht="15" customHeight="1">
      <c r="A17" t="inlineStr">
        <is>
          <t>A 3161-2025</t>
        </is>
      </c>
      <c r="B17" s="1" t="n">
        <v>45679.33765046296</v>
      </c>
      <c r="C17" s="1" t="n">
        <v>46001</v>
      </c>
      <c r="D17" t="inlineStr">
        <is>
          <t>SÖDERMANLANDS LÄN</t>
        </is>
      </c>
      <c r="E17" t="inlineStr">
        <is>
          <t>FLEN</t>
        </is>
      </c>
      <c r="F17" t="inlineStr">
        <is>
          <t>Kyrkan</t>
        </is>
      </c>
      <c r="G17" t="n">
        <v>7.1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Kambräken
Mattlummer</t>
        </is>
      </c>
      <c r="S17">
        <f>HYPERLINK("https://klasma.github.io/Logging_0482/artfynd/A 3161-2025 artfynd.xlsx", "A 3161-2025")</f>
        <v/>
      </c>
      <c r="T17">
        <f>HYPERLINK("https://klasma.github.io/Logging_0482/kartor/A 3161-2025 karta.png", "A 3161-2025")</f>
        <v/>
      </c>
      <c r="V17">
        <f>HYPERLINK("https://klasma.github.io/Logging_0482/klagomål/A 3161-2025 FSC-klagomål.docx", "A 3161-2025")</f>
        <v/>
      </c>
      <c r="W17">
        <f>HYPERLINK("https://klasma.github.io/Logging_0482/klagomålsmail/A 3161-2025 FSC-klagomål mail.docx", "A 3161-2025")</f>
        <v/>
      </c>
      <c r="X17">
        <f>HYPERLINK("https://klasma.github.io/Logging_0482/tillsyn/A 3161-2025 tillsynsbegäran.docx", "A 3161-2025")</f>
        <v/>
      </c>
      <c r="Y17">
        <f>HYPERLINK("https://klasma.github.io/Logging_0482/tillsynsmail/A 3161-2025 tillsynsbegäran mail.docx", "A 3161-2025")</f>
        <v/>
      </c>
    </row>
    <row r="18" ht="15" customHeight="1">
      <c r="A18" t="inlineStr">
        <is>
          <t>A 42483-2025</t>
        </is>
      </c>
      <c r="B18" s="1" t="n">
        <v>45905.48784722222</v>
      </c>
      <c r="C18" s="1" t="n">
        <v>46001</v>
      </c>
      <c r="D18" t="inlineStr">
        <is>
          <t>SÖDERMANLANDS LÄN</t>
        </is>
      </c>
      <c r="E18" t="inlineStr">
        <is>
          <t>FLEN</t>
        </is>
      </c>
      <c r="G18" t="n">
        <v>5.5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Blomkålssvamp
Dropptaggsvamp</t>
        </is>
      </c>
      <c r="S18">
        <f>HYPERLINK("https://klasma.github.io/Logging_0482/artfynd/A 42483-2025 artfynd.xlsx", "A 42483-2025")</f>
        <v/>
      </c>
      <c r="T18">
        <f>HYPERLINK("https://klasma.github.io/Logging_0482/kartor/A 42483-2025 karta.png", "A 42483-2025")</f>
        <v/>
      </c>
      <c r="V18">
        <f>HYPERLINK("https://klasma.github.io/Logging_0482/klagomål/A 42483-2025 FSC-klagomål.docx", "A 42483-2025")</f>
        <v/>
      </c>
      <c r="W18">
        <f>HYPERLINK("https://klasma.github.io/Logging_0482/klagomålsmail/A 42483-2025 FSC-klagomål mail.docx", "A 42483-2025")</f>
        <v/>
      </c>
      <c r="X18">
        <f>HYPERLINK("https://klasma.github.io/Logging_0482/tillsyn/A 42483-2025 tillsynsbegäran.docx", "A 42483-2025")</f>
        <v/>
      </c>
      <c r="Y18">
        <f>HYPERLINK("https://klasma.github.io/Logging_0482/tillsynsmail/A 42483-2025 tillsynsbegäran mail.docx", "A 42483-2025")</f>
        <v/>
      </c>
    </row>
    <row r="19" ht="15" customHeight="1">
      <c r="A19" t="inlineStr">
        <is>
          <t>A 38282-2025</t>
        </is>
      </c>
      <c r="B19" s="1" t="n">
        <v>45882</v>
      </c>
      <c r="C19" s="1" t="n">
        <v>46001</v>
      </c>
      <c r="D19" t="inlineStr">
        <is>
          <t>SÖDERMANLANDS LÄN</t>
        </is>
      </c>
      <c r="E19" t="inlineStr">
        <is>
          <t>FLEN</t>
        </is>
      </c>
      <c r="G19" t="n">
        <v>5.9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Spillkråka
Svinrot</t>
        </is>
      </c>
      <c r="S19">
        <f>HYPERLINK("https://klasma.github.io/Logging_0482/artfynd/A 38282-2025 artfynd.xlsx", "A 38282-2025")</f>
        <v/>
      </c>
      <c r="T19">
        <f>HYPERLINK("https://klasma.github.io/Logging_0482/kartor/A 38282-2025 karta.png", "A 38282-2025")</f>
        <v/>
      </c>
      <c r="V19">
        <f>HYPERLINK("https://klasma.github.io/Logging_0482/klagomål/A 38282-2025 FSC-klagomål.docx", "A 38282-2025")</f>
        <v/>
      </c>
      <c r="W19">
        <f>HYPERLINK("https://klasma.github.io/Logging_0482/klagomålsmail/A 38282-2025 FSC-klagomål mail.docx", "A 38282-2025")</f>
        <v/>
      </c>
      <c r="X19">
        <f>HYPERLINK("https://klasma.github.io/Logging_0482/tillsyn/A 38282-2025 tillsynsbegäran.docx", "A 38282-2025")</f>
        <v/>
      </c>
      <c r="Y19">
        <f>HYPERLINK("https://klasma.github.io/Logging_0482/tillsynsmail/A 38282-2025 tillsynsbegäran mail.docx", "A 38282-2025")</f>
        <v/>
      </c>
      <c r="Z19">
        <f>HYPERLINK("https://klasma.github.io/Logging_0482/fåglar/A 38282-2025 prioriterade fågelarter.docx", "A 38282-2025")</f>
        <v/>
      </c>
    </row>
    <row r="20" ht="15" customHeight="1">
      <c r="A20" t="inlineStr">
        <is>
          <t>A 1148-2025</t>
        </is>
      </c>
      <c r="B20" s="1" t="n">
        <v>45666</v>
      </c>
      <c r="C20" s="1" t="n">
        <v>46001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Huggorm
Grönvit nattviol</t>
        </is>
      </c>
      <c r="S20">
        <f>HYPERLINK("https://klasma.github.io/Logging_0482/artfynd/A 1148-2025 artfynd.xlsx", "A 1148-2025")</f>
        <v/>
      </c>
      <c r="T20">
        <f>HYPERLINK("https://klasma.github.io/Logging_0482/kartor/A 1148-2025 karta.png", "A 1148-2025")</f>
        <v/>
      </c>
      <c r="V20">
        <f>HYPERLINK("https://klasma.github.io/Logging_0482/klagomål/A 1148-2025 FSC-klagomål.docx", "A 1148-2025")</f>
        <v/>
      </c>
      <c r="W20">
        <f>HYPERLINK("https://klasma.github.io/Logging_0482/klagomålsmail/A 1148-2025 FSC-klagomål mail.docx", "A 1148-2025")</f>
        <v/>
      </c>
      <c r="X20">
        <f>HYPERLINK("https://klasma.github.io/Logging_0482/tillsyn/A 1148-2025 tillsynsbegäran.docx", "A 1148-2025")</f>
        <v/>
      </c>
      <c r="Y20">
        <f>HYPERLINK("https://klasma.github.io/Logging_0482/tillsynsmail/A 1148-2025 tillsynsbegäran mail.docx", "A 1148-2025")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46001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Leptoporus erubescens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4551-2023</t>
        </is>
      </c>
      <c r="B22" s="1" t="n">
        <v>44956.65706018519</v>
      </c>
      <c r="C22" s="1" t="n">
        <v>46001</v>
      </c>
      <c r="D22" t="inlineStr">
        <is>
          <t>SÖDERMANLANDS LÄN</t>
        </is>
      </c>
      <c r="E22" t="inlineStr">
        <is>
          <t>FLEN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Krusfrö
Större vattensalamander</t>
        </is>
      </c>
      <c r="S22">
        <f>HYPERLINK("https://klasma.github.io/Logging_0482/artfynd/A 4551-2023 artfynd.xlsx", "A 4551-2023")</f>
        <v/>
      </c>
      <c r="T22">
        <f>HYPERLINK("https://klasma.github.io/Logging_0482/kartor/A 4551-2023 karta.png", "A 4551-2023")</f>
        <v/>
      </c>
      <c r="V22">
        <f>HYPERLINK("https://klasma.github.io/Logging_0482/klagomål/A 4551-2023 FSC-klagomål.docx", "A 4551-2023")</f>
        <v/>
      </c>
      <c r="W22">
        <f>HYPERLINK("https://klasma.github.io/Logging_0482/klagomålsmail/A 4551-2023 FSC-klagomål mail.docx", "A 4551-2023")</f>
        <v/>
      </c>
      <c r="X22">
        <f>HYPERLINK("https://klasma.github.io/Logging_0482/tillsyn/A 4551-2023 tillsynsbegäran.docx", "A 4551-2023")</f>
        <v/>
      </c>
      <c r="Y22">
        <f>HYPERLINK("https://klasma.github.io/Logging_0482/tillsynsmail/A 4551-2023 tillsynsbegäran mail.docx", "A 4551-2023")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46001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31238-2022</t>
        </is>
      </c>
      <c r="B24" s="1" t="n">
        <v>44771</v>
      </c>
      <c r="C24" s="1" t="n">
        <v>46001</v>
      </c>
      <c r="D24" t="inlineStr">
        <is>
          <t>SÖDERMANLANDS LÄN</t>
        </is>
      </c>
      <c r="E24" t="inlineStr">
        <is>
          <t>FLEN</t>
        </is>
      </c>
      <c r="G24" t="n">
        <v>7.5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Svedjenäva
Svinrot
Skogsbräsma</t>
        </is>
      </c>
      <c r="S24">
        <f>HYPERLINK("https://klasma.github.io/Logging_0482/artfynd/A 31238-2022 artfynd.xlsx", "A 31238-2022")</f>
        <v/>
      </c>
      <c r="T24">
        <f>HYPERLINK("https://klasma.github.io/Logging_0482/kartor/A 31238-2022 karta.png", "A 31238-2022")</f>
        <v/>
      </c>
      <c r="V24">
        <f>HYPERLINK("https://klasma.github.io/Logging_0482/klagomål/A 31238-2022 FSC-klagomål.docx", "A 31238-2022")</f>
        <v/>
      </c>
      <c r="W24">
        <f>HYPERLINK("https://klasma.github.io/Logging_0482/klagomålsmail/A 31238-2022 FSC-klagomål mail.docx", "A 31238-2022")</f>
        <v/>
      </c>
      <c r="X24">
        <f>HYPERLINK("https://klasma.github.io/Logging_0482/tillsyn/A 31238-2022 tillsynsbegäran.docx", "A 31238-2022")</f>
        <v/>
      </c>
      <c r="Y24">
        <f>HYPERLINK("https://klasma.github.io/Logging_0482/tillsynsmail/A 31238-2022 tillsynsbegäran mail.docx", "A 31238-2022")</f>
        <v/>
      </c>
    </row>
    <row r="25" ht="15" customHeight="1">
      <c r="A25" t="inlineStr">
        <is>
          <t>A 13230-2023</t>
        </is>
      </c>
      <c r="B25" s="1" t="n">
        <v>45002</v>
      </c>
      <c r="C25" s="1" t="n">
        <v>46001</v>
      </c>
      <c r="D25" t="inlineStr">
        <is>
          <t>SÖDERMANLANDS LÄN</t>
        </is>
      </c>
      <c r="E25" t="inlineStr">
        <is>
          <t>FLEN</t>
        </is>
      </c>
      <c r="F25" t="inlineStr">
        <is>
          <t>Kommuner</t>
        </is>
      </c>
      <c r="G25" t="n">
        <v>7.8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Källpraktmossa
Stor aspticka
Blåsippa</t>
        </is>
      </c>
      <c r="S25">
        <f>HYPERLINK("https://klasma.github.io/Logging_0482/artfynd/A 13230-2023 artfynd.xlsx", "A 13230-2023")</f>
        <v/>
      </c>
      <c r="T25">
        <f>HYPERLINK("https://klasma.github.io/Logging_0482/kartor/A 13230-2023 karta.png", "A 13230-2023")</f>
        <v/>
      </c>
      <c r="V25">
        <f>HYPERLINK("https://klasma.github.io/Logging_0482/klagomål/A 13230-2023 FSC-klagomål.docx", "A 13230-2023")</f>
        <v/>
      </c>
      <c r="W25">
        <f>HYPERLINK("https://klasma.github.io/Logging_0482/klagomålsmail/A 13230-2023 FSC-klagomål mail.docx", "A 13230-2023")</f>
        <v/>
      </c>
      <c r="X25">
        <f>HYPERLINK("https://klasma.github.io/Logging_0482/tillsyn/A 13230-2023 tillsynsbegäran.docx", "A 13230-2023")</f>
        <v/>
      </c>
      <c r="Y25">
        <f>HYPERLINK("https://klasma.github.io/Logging_0482/tillsynsmail/A 13230-2023 tillsynsbegäran mail.docx", "A 13230-2023")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46001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10107-2023</t>
        </is>
      </c>
      <c r="B27" s="1" t="n">
        <v>44986.31693287037</v>
      </c>
      <c r="C27" s="1" t="n">
        <v>46001</v>
      </c>
      <c r="D27" t="inlineStr">
        <is>
          <t>SÖDERMANLANDS LÄN</t>
        </is>
      </c>
      <c r="E27" t="inlineStr">
        <is>
          <t>FLEN</t>
        </is>
      </c>
      <c r="G27" t="n">
        <v>21.1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Bombmurkla
Svedjenäva
Mattlummer</t>
        </is>
      </c>
      <c r="S27">
        <f>HYPERLINK("https://klasma.github.io/Logging_0482/artfynd/A 10107-2023 artfynd.xlsx", "A 10107-2023")</f>
        <v/>
      </c>
      <c r="T27">
        <f>HYPERLINK("https://klasma.github.io/Logging_0482/kartor/A 10107-2023 karta.png", "A 10107-2023")</f>
        <v/>
      </c>
      <c r="V27">
        <f>HYPERLINK("https://klasma.github.io/Logging_0482/klagomål/A 10107-2023 FSC-klagomål.docx", "A 10107-2023")</f>
        <v/>
      </c>
      <c r="W27">
        <f>HYPERLINK("https://klasma.github.io/Logging_0482/klagomålsmail/A 10107-2023 FSC-klagomål mail.docx", "A 10107-2023")</f>
        <v/>
      </c>
      <c r="X27">
        <f>HYPERLINK("https://klasma.github.io/Logging_0482/tillsyn/A 10107-2023 tillsynsbegäran.docx", "A 10107-2023")</f>
        <v/>
      </c>
      <c r="Y27">
        <f>HYPERLINK("https://klasma.github.io/Logging_0482/tillsynsmail/A 10107-2023 tillsynsbegäran mail.docx", "A 10107-2023")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46001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46001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4155-2024</t>
        </is>
      </c>
      <c r="B30" s="1" t="n">
        <v>45323</v>
      </c>
      <c r="C30" s="1" t="n">
        <v>46001</v>
      </c>
      <c r="D30" t="inlineStr">
        <is>
          <t>SÖDERMANLANDS LÄN</t>
        </is>
      </c>
      <c r="E30" t="inlineStr">
        <is>
          <t>FLEN</t>
        </is>
      </c>
      <c r="G30" t="n">
        <v>2.1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Scharlakansskål</t>
        </is>
      </c>
      <c r="S30">
        <f>HYPERLINK("https://klasma.github.io/Logging_0482/artfynd/A 4155-2024 artfynd.xlsx", "A 4155-2024")</f>
        <v/>
      </c>
      <c r="T30">
        <f>HYPERLINK("https://klasma.github.io/Logging_0482/kartor/A 4155-2024 karta.png", "A 4155-2024")</f>
        <v/>
      </c>
      <c r="U30">
        <f>HYPERLINK("https://klasma.github.io/Logging_0482/knärot/A 4155-2024 karta knärot.png", "A 4155-2024")</f>
        <v/>
      </c>
      <c r="V30">
        <f>HYPERLINK("https://klasma.github.io/Logging_0482/klagomål/A 4155-2024 FSC-klagomål.docx", "A 4155-2024")</f>
        <v/>
      </c>
      <c r="W30">
        <f>HYPERLINK("https://klasma.github.io/Logging_0482/klagomålsmail/A 4155-2024 FSC-klagomål mail.docx", "A 4155-2024")</f>
        <v/>
      </c>
      <c r="X30">
        <f>HYPERLINK("https://klasma.github.io/Logging_0482/tillsyn/A 4155-2024 tillsynsbegäran.docx", "A 4155-2024")</f>
        <v/>
      </c>
      <c r="Y30">
        <f>HYPERLINK("https://klasma.github.io/Logging_0482/tillsynsmail/A 4155-2024 tillsynsbegäran mail.docx", "A 4155-2024")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46001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Äkta 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38466-2025</t>
        </is>
      </c>
      <c r="B32" s="1" t="n">
        <v>45883</v>
      </c>
      <c r="C32" s="1" t="n">
        <v>46001</v>
      </c>
      <c r="D32" t="inlineStr">
        <is>
          <t>SÖDERMANLANDS LÄN</t>
        </is>
      </c>
      <c r="E32" t="inlineStr">
        <is>
          <t>FLEN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Blåsippa</t>
        </is>
      </c>
      <c r="S32">
        <f>HYPERLINK("https://klasma.github.io/Logging_0482/artfynd/A 38466-2025 artfynd.xlsx", "A 38466-2025")</f>
        <v/>
      </c>
      <c r="T32">
        <f>HYPERLINK("https://klasma.github.io/Logging_0482/kartor/A 38466-2025 karta.png", "A 38466-2025")</f>
        <v/>
      </c>
      <c r="V32">
        <f>HYPERLINK("https://klasma.github.io/Logging_0482/klagomål/A 38466-2025 FSC-klagomål.docx", "A 38466-2025")</f>
        <v/>
      </c>
      <c r="W32">
        <f>HYPERLINK("https://klasma.github.io/Logging_0482/klagomålsmail/A 38466-2025 FSC-klagomål mail.docx", "A 38466-2025")</f>
        <v/>
      </c>
      <c r="X32">
        <f>HYPERLINK("https://klasma.github.io/Logging_0482/tillsyn/A 38466-2025 tillsynsbegäran.docx", "A 38466-2025")</f>
        <v/>
      </c>
      <c r="Y32">
        <f>HYPERLINK("https://klasma.github.io/Logging_0482/tillsynsmail/A 38466-2025 tillsynsbegäran mail.docx", "A 38466-2025")</f>
        <v/>
      </c>
    </row>
    <row r="33" ht="15" customHeight="1">
      <c r="A33" t="inlineStr">
        <is>
          <t>A 38882-2021</t>
        </is>
      </c>
      <c r="B33" s="1" t="n">
        <v>44411</v>
      </c>
      <c r="C33" s="1" t="n">
        <v>46001</v>
      </c>
      <c r="D33" t="inlineStr">
        <is>
          <t>SÖDERMANLANDS LÄN</t>
        </is>
      </c>
      <c r="E33" t="inlineStr">
        <is>
          <t>FLEN</t>
        </is>
      </c>
      <c r="G33" t="n">
        <v>3.4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HYPERLINK("https://klasma.github.io/Logging_0482/artfynd/A 38882-2021 artfynd.xlsx", "A 38882-2021")</f>
        <v/>
      </c>
      <c r="T33">
        <f>HYPERLINK("https://klasma.github.io/Logging_0482/kartor/A 38882-2021 karta.png", "A 38882-2021")</f>
        <v/>
      </c>
      <c r="U33">
        <f>HYPERLINK("https://klasma.github.io/Logging_0482/knärot/A 38882-2021 karta knärot.png", "A 38882-2021")</f>
        <v/>
      </c>
      <c r="V33">
        <f>HYPERLINK("https://klasma.github.io/Logging_0482/klagomål/A 38882-2021 FSC-klagomål.docx", "A 38882-2021")</f>
        <v/>
      </c>
      <c r="W33">
        <f>HYPERLINK("https://klasma.github.io/Logging_0482/klagomålsmail/A 38882-2021 FSC-klagomål mail.docx", "A 38882-2021")</f>
        <v/>
      </c>
      <c r="X33">
        <f>HYPERLINK("https://klasma.github.io/Logging_0482/tillsyn/A 38882-2021 tillsynsbegäran.docx", "A 38882-2021")</f>
        <v/>
      </c>
      <c r="Y33">
        <f>HYPERLINK("https://klasma.github.io/Logging_0482/tillsynsmail/A 38882-2021 tillsynsbegäran mail.docx", "A 38882-2021")</f>
        <v/>
      </c>
    </row>
    <row r="34" ht="15" customHeight="1">
      <c r="A34" t="inlineStr">
        <is>
          <t>A 41352-2025</t>
        </is>
      </c>
      <c r="B34" s="1" t="n">
        <v>45899.76378472222</v>
      </c>
      <c r="C34" s="1" t="n">
        <v>46001</v>
      </c>
      <c r="D34" t="inlineStr">
        <is>
          <t>SÖDERMANLANDS LÄN</t>
        </is>
      </c>
      <c r="E34" t="inlineStr">
        <is>
          <t>FLEN</t>
        </is>
      </c>
      <c r="G34" t="n">
        <v>1.4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41352-2025 artfynd.xlsx", "A 41352-2025")</f>
        <v/>
      </c>
      <c r="T34">
        <f>HYPERLINK("https://klasma.github.io/Logging_0482/kartor/A 41352-2025 karta.png", "A 41352-2025")</f>
        <v/>
      </c>
      <c r="V34">
        <f>HYPERLINK("https://klasma.github.io/Logging_0482/klagomål/A 41352-2025 FSC-klagomål.docx", "A 41352-2025")</f>
        <v/>
      </c>
      <c r="W34">
        <f>HYPERLINK("https://klasma.github.io/Logging_0482/klagomålsmail/A 41352-2025 FSC-klagomål mail.docx", "A 41352-2025")</f>
        <v/>
      </c>
      <c r="X34">
        <f>HYPERLINK("https://klasma.github.io/Logging_0482/tillsyn/A 41352-2025 tillsynsbegäran.docx", "A 41352-2025")</f>
        <v/>
      </c>
      <c r="Y34">
        <f>HYPERLINK("https://klasma.github.io/Logging_0482/tillsynsmail/A 41352-2025 tillsynsbegäran mail.docx", "A 41352-2025")</f>
        <v/>
      </c>
      <c r="Z34">
        <f>HYPERLINK("https://klasma.github.io/Logging_0482/fåglar/A 41352-2025 prioriterade fågelarter.docx", "A 41352-2025")</f>
        <v/>
      </c>
    </row>
    <row r="35" ht="15" customHeight="1">
      <c r="A35" t="inlineStr">
        <is>
          <t>A 32901-2025</t>
        </is>
      </c>
      <c r="B35" s="1" t="n">
        <v>45839</v>
      </c>
      <c r="C35" s="1" t="n">
        <v>46001</v>
      </c>
      <c r="D35" t="inlineStr">
        <is>
          <t>SÖDERMANLANDS LÄN</t>
        </is>
      </c>
      <c r="E35" t="inlineStr">
        <is>
          <t>FLEN</t>
        </is>
      </c>
      <c r="G35" t="n">
        <v>2.6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Flagellkvastmossa</t>
        </is>
      </c>
      <c r="S35">
        <f>HYPERLINK("https://klasma.github.io/Logging_0482/artfynd/A 32901-2025 artfynd.xlsx", "A 32901-2025")</f>
        <v/>
      </c>
      <c r="T35">
        <f>HYPERLINK("https://klasma.github.io/Logging_0482/kartor/A 32901-2025 karta.png", "A 32901-2025")</f>
        <v/>
      </c>
      <c r="V35">
        <f>HYPERLINK("https://klasma.github.io/Logging_0482/klagomål/A 32901-2025 FSC-klagomål.docx", "A 32901-2025")</f>
        <v/>
      </c>
      <c r="W35">
        <f>HYPERLINK("https://klasma.github.io/Logging_0482/klagomålsmail/A 32901-2025 FSC-klagomål mail.docx", "A 32901-2025")</f>
        <v/>
      </c>
      <c r="X35">
        <f>HYPERLINK("https://klasma.github.io/Logging_0482/tillsyn/A 32901-2025 tillsynsbegäran.docx", "A 32901-2025")</f>
        <v/>
      </c>
      <c r="Y35">
        <f>HYPERLINK("https://klasma.github.io/Logging_0482/tillsynsmail/A 32901-2025 tillsynsbegäran mail.docx", "A 32901-2025")</f>
        <v/>
      </c>
    </row>
    <row r="36" ht="15" customHeight="1">
      <c r="A36" t="inlineStr">
        <is>
          <t>A 52858-2023</t>
        </is>
      </c>
      <c r="B36" s="1" t="n">
        <v>45219</v>
      </c>
      <c r="C36" s="1" t="n">
        <v>46001</v>
      </c>
      <c r="D36" t="inlineStr">
        <is>
          <t>SÖDERMANLANDS LÄN</t>
        </is>
      </c>
      <c r="E36" t="inlineStr">
        <is>
          <t>FLEN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Mindre hackspett
Tallticka</t>
        </is>
      </c>
      <c r="S36">
        <f>HYPERLINK("https://klasma.github.io/Logging_0482/artfynd/A 52858-2023 artfynd.xlsx", "A 52858-2023")</f>
        <v/>
      </c>
      <c r="T36">
        <f>HYPERLINK("https://klasma.github.io/Logging_0482/kartor/A 52858-2023 karta.png", "A 52858-2023")</f>
        <v/>
      </c>
      <c r="V36">
        <f>HYPERLINK("https://klasma.github.io/Logging_0482/klagomål/A 52858-2023 FSC-klagomål.docx", "A 52858-2023")</f>
        <v/>
      </c>
      <c r="W36">
        <f>HYPERLINK("https://klasma.github.io/Logging_0482/klagomålsmail/A 52858-2023 FSC-klagomål mail.docx", "A 52858-2023")</f>
        <v/>
      </c>
      <c r="X36">
        <f>HYPERLINK("https://klasma.github.io/Logging_0482/tillsyn/A 52858-2023 tillsynsbegäran.docx", "A 52858-2023")</f>
        <v/>
      </c>
      <c r="Y36">
        <f>HYPERLINK("https://klasma.github.io/Logging_0482/tillsynsmail/A 52858-2023 tillsynsbegäran mail.docx", "A 52858-2023")</f>
        <v/>
      </c>
      <c r="Z36">
        <f>HYPERLINK("https://klasma.github.io/Logging_0482/fåglar/A 52858-2023 prioriterade fågelarter.docx", "A 52858-2023")</f>
        <v/>
      </c>
    </row>
    <row r="37" ht="15" customHeight="1">
      <c r="A37" t="inlineStr">
        <is>
          <t>A 50343-2024</t>
        </is>
      </c>
      <c r="B37" s="1" t="n">
        <v>45600</v>
      </c>
      <c r="C37" s="1" t="n">
        <v>46001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Blåsippa</t>
        </is>
      </c>
      <c r="S37">
        <f>HYPERLINK("https://klasma.github.io/Logging_0482/artfynd/A 50343-2024 artfynd.xlsx", "A 50343-2024")</f>
        <v/>
      </c>
      <c r="T37">
        <f>HYPERLINK("https://klasma.github.io/Logging_0482/kartor/A 50343-2024 karta.png", "A 50343-2024")</f>
        <v/>
      </c>
      <c r="V37">
        <f>HYPERLINK("https://klasma.github.io/Logging_0482/klagomål/A 50343-2024 FSC-klagomål.docx", "A 50343-2024")</f>
        <v/>
      </c>
      <c r="W37">
        <f>HYPERLINK("https://klasma.github.io/Logging_0482/klagomålsmail/A 50343-2024 FSC-klagomål mail.docx", "A 50343-2024")</f>
        <v/>
      </c>
      <c r="X37">
        <f>HYPERLINK("https://klasma.github.io/Logging_0482/tillsyn/A 50343-2024 tillsynsbegäran.docx", "A 50343-2024")</f>
        <v/>
      </c>
      <c r="Y37">
        <f>HYPERLINK("https://klasma.github.io/Logging_0482/tillsynsmail/A 50343-2024 tillsynsbegäran mail.docx", "A 50343-2024")</f>
        <v/>
      </c>
    </row>
    <row r="38" ht="15" customHeight="1">
      <c r="A38" t="inlineStr">
        <is>
          <t>A 19389-2025</t>
        </is>
      </c>
      <c r="B38" s="1" t="n">
        <v>45769</v>
      </c>
      <c r="C38" s="1" t="n">
        <v>46001</v>
      </c>
      <c r="D38" t="inlineStr">
        <is>
          <t>SÖDERMANLANDS LÄN</t>
        </is>
      </c>
      <c r="E38" t="inlineStr">
        <is>
          <t>FLEN</t>
        </is>
      </c>
      <c r="G38" t="n">
        <v>12.4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Mattlummer</t>
        </is>
      </c>
      <c r="S38">
        <f>HYPERLINK("https://klasma.github.io/Logging_0482/artfynd/A 19389-2025 artfynd.xlsx", "A 19389-2025")</f>
        <v/>
      </c>
      <c r="T38">
        <f>HYPERLINK("https://klasma.github.io/Logging_0482/kartor/A 19389-2025 karta.png", "A 19389-2025")</f>
        <v/>
      </c>
      <c r="V38">
        <f>HYPERLINK("https://klasma.github.io/Logging_0482/klagomål/A 19389-2025 FSC-klagomål.docx", "A 19389-2025")</f>
        <v/>
      </c>
      <c r="W38">
        <f>HYPERLINK("https://klasma.github.io/Logging_0482/klagomålsmail/A 19389-2025 FSC-klagomål mail.docx", "A 19389-2025")</f>
        <v/>
      </c>
      <c r="X38">
        <f>HYPERLINK("https://klasma.github.io/Logging_0482/tillsyn/A 19389-2025 tillsynsbegäran.docx", "A 19389-2025")</f>
        <v/>
      </c>
      <c r="Y38">
        <f>HYPERLINK("https://klasma.github.io/Logging_0482/tillsynsmail/A 19389-2025 tillsynsbegäran mail.docx", "A 19389-2025")</f>
        <v/>
      </c>
    </row>
    <row r="39" ht="15" customHeight="1">
      <c r="A39" t="inlineStr">
        <is>
          <t>A 47194-2022</t>
        </is>
      </c>
      <c r="B39" s="1" t="n">
        <v>44848</v>
      </c>
      <c r="C39" s="1" t="n">
        <v>46001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47194-2022 artfynd.xlsx", "A 47194-2022")</f>
        <v/>
      </c>
      <c r="T39">
        <f>HYPERLINK("https://klasma.github.io/Logging_0482/kartor/A 47194-2022 karta.png", "A 47194-2022")</f>
        <v/>
      </c>
      <c r="V39">
        <f>HYPERLINK("https://klasma.github.io/Logging_0482/klagomål/A 47194-2022 FSC-klagomål.docx", "A 47194-2022")</f>
        <v/>
      </c>
      <c r="W39">
        <f>HYPERLINK("https://klasma.github.io/Logging_0482/klagomålsmail/A 47194-2022 FSC-klagomål mail.docx", "A 47194-2022")</f>
        <v/>
      </c>
      <c r="X39">
        <f>HYPERLINK("https://klasma.github.io/Logging_0482/tillsyn/A 47194-2022 tillsynsbegäran.docx", "A 47194-2022")</f>
        <v/>
      </c>
      <c r="Y39">
        <f>HYPERLINK("https://klasma.github.io/Logging_0482/tillsynsmail/A 47194-2022 tillsynsbegäran mail.docx", "A 47194-2022")</f>
        <v/>
      </c>
    </row>
    <row r="40" ht="15" customHeight="1">
      <c r="A40" t="inlineStr">
        <is>
          <t>A 60251-2021</t>
        </is>
      </c>
      <c r="B40" s="1" t="n">
        <v>44495</v>
      </c>
      <c r="C40" s="1" t="n">
        <v>46001</v>
      </c>
      <c r="D40" t="inlineStr">
        <is>
          <t>SÖDERMANLANDS LÄN</t>
        </is>
      </c>
      <c r="E40" t="inlineStr">
        <is>
          <t>FLEN</t>
        </is>
      </c>
      <c r="G40" t="n">
        <v>2.7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Slåttergubbe
Klasefibbla</t>
        </is>
      </c>
      <c r="S40">
        <f>HYPERLINK("https://klasma.github.io/Logging_0482/artfynd/A 60251-2021 artfynd.xlsx", "A 60251-2021")</f>
        <v/>
      </c>
      <c r="T40">
        <f>HYPERLINK("https://klasma.github.io/Logging_0482/kartor/A 60251-2021 karta.png", "A 60251-2021")</f>
        <v/>
      </c>
      <c r="U40">
        <f>HYPERLINK("https://klasma.github.io/Logging_0482/knärot/A 60251-2021 karta knärot.png", "A 60251-2021")</f>
        <v/>
      </c>
      <c r="V40">
        <f>HYPERLINK("https://klasma.github.io/Logging_0482/klagomål/A 60251-2021 FSC-klagomål.docx", "A 60251-2021")</f>
        <v/>
      </c>
      <c r="W40">
        <f>HYPERLINK("https://klasma.github.io/Logging_0482/klagomålsmail/A 60251-2021 FSC-klagomål mail.docx", "A 60251-2021")</f>
        <v/>
      </c>
      <c r="X40">
        <f>HYPERLINK("https://klasma.github.io/Logging_0482/tillsyn/A 60251-2021 tillsynsbegäran.docx", "A 60251-2021")</f>
        <v/>
      </c>
      <c r="Y40">
        <f>HYPERLINK("https://klasma.github.io/Logging_0482/tillsynsmail/A 60251-2021 tillsynsbegäran mail.docx", "A 60251-2021")</f>
        <v/>
      </c>
    </row>
    <row r="41" ht="15" customHeight="1">
      <c r="A41" t="inlineStr">
        <is>
          <t>A 10825-2022</t>
        </is>
      </c>
      <c r="B41" s="1" t="n">
        <v>44624</v>
      </c>
      <c r="C41" s="1" t="n">
        <v>46001</v>
      </c>
      <c r="D41" t="inlineStr">
        <is>
          <t>SÖDERMANLANDS LÄN</t>
        </is>
      </c>
      <c r="E41" t="inlineStr">
        <is>
          <t>FLEN</t>
        </is>
      </c>
      <c r="G41" t="n">
        <v>4.7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Svinrot
Vanlig backsmörblomma</t>
        </is>
      </c>
      <c r="S41">
        <f>HYPERLINK("https://klasma.github.io/Logging_0482/artfynd/A 10825-2022 artfynd.xlsx", "A 10825-2022")</f>
        <v/>
      </c>
      <c r="T41">
        <f>HYPERLINK("https://klasma.github.io/Logging_0482/kartor/A 10825-2022 karta.png", "A 10825-2022")</f>
        <v/>
      </c>
      <c r="V41">
        <f>HYPERLINK("https://klasma.github.io/Logging_0482/klagomål/A 10825-2022 FSC-klagomål.docx", "A 10825-2022")</f>
        <v/>
      </c>
      <c r="W41">
        <f>HYPERLINK("https://klasma.github.io/Logging_0482/klagomålsmail/A 10825-2022 FSC-klagomål mail.docx", "A 10825-2022")</f>
        <v/>
      </c>
      <c r="X41">
        <f>HYPERLINK("https://klasma.github.io/Logging_0482/tillsyn/A 10825-2022 tillsynsbegäran.docx", "A 10825-2022")</f>
        <v/>
      </c>
      <c r="Y41">
        <f>HYPERLINK("https://klasma.github.io/Logging_0482/tillsynsmail/A 10825-2022 tillsynsbegäran mail.docx", "A 10825-2022")</f>
        <v/>
      </c>
    </row>
    <row r="42" ht="15" customHeight="1">
      <c r="A42" t="inlineStr">
        <is>
          <t>A 33853-2022</t>
        </is>
      </c>
      <c r="B42" s="1" t="n">
        <v>44790</v>
      </c>
      <c r="C42" s="1" t="n">
        <v>46001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Gullklöver
Svart trolldruva</t>
        </is>
      </c>
      <c r="S42">
        <f>HYPERLINK("https://klasma.github.io/Logging_0482/artfynd/A 33853-2022 artfynd.xlsx", "A 33853-2022")</f>
        <v/>
      </c>
      <c r="T42">
        <f>HYPERLINK("https://klasma.github.io/Logging_0482/kartor/A 33853-2022 karta.png", "A 33853-2022")</f>
        <v/>
      </c>
      <c r="V42">
        <f>HYPERLINK("https://klasma.github.io/Logging_0482/klagomål/A 33853-2022 FSC-klagomål.docx", "A 33853-2022")</f>
        <v/>
      </c>
      <c r="W42">
        <f>HYPERLINK("https://klasma.github.io/Logging_0482/klagomålsmail/A 33853-2022 FSC-klagomål mail.docx", "A 33853-2022")</f>
        <v/>
      </c>
      <c r="X42">
        <f>HYPERLINK("https://klasma.github.io/Logging_0482/tillsyn/A 33853-2022 tillsynsbegäran.docx", "A 33853-2022")</f>
        <v/>
      </c>
      <c r="Y42">
        <f>HYPERLINK("https://klasma.github.io/Logging_0482/tillsynsmail/A 33853-2022 tillsynsbegäran mail.docx", "A 33853-2022")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46001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46001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46001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46001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46001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46001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46001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46001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15452-2024</t>
        </is>
      </c>
      <c r="B51" s="1" t="n">
        <v>45400</v>
      </c>
      <c r="C51" s="1" t="n">
        <v>46001</v>
      </c>
      <c r="D51" t="inlineStr">
        <is>
          <t>SÖDERMANLANDS LÄN</t>
        </is>
      </c>
      <c r="E51" t="inlineStr">
        <is>
          <t>FLEN</t>
        </is>
      </c>
      <c r="G51" t="n">
        <v>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15452-2024 artfynd.xlsx", "A 15452-2024")</f>
        <v/>
      </c>
      <c r="T51">
        <f>HYPERLINK("https://klasma.github.io/Logging_0482/kartor/A 15452-2024 karta.png", "A 15452-2024")</f>
        <v/>
      </c>
      <c r="V51">
        <f>HYPERLINK("https://klasma.github.io/Logging_0482/klagomål/A 15452-2024 FSC-klagomål.docx", "A 15452-2024")</f>
        <v/>
      </c>
      <c r="W51">
        <f>HYPERLINK("https://klasma.github.io/Logging_0482/klagomålsmail/A 15452-2024 FSC-klagomål mail.docx", "A 15452-2024")</f>
        <v/>
      </c>
      <c r="X51">
        <f>HYPERLINK("https://klasma.github.io/Logging_0482/tillsyn/A 15452-2024 tillsynsbegäran.docx", "A 15452-2024")</f>
        <v/>
      </c>
      <c r="Y51">
        <f>HYPERLINK("https://klasma.github.io/Logging_0482/tillsynsmail/A 15452-2024 tillsynsbegäran mail.docx", "A 15452-2024")</f>
        <v/>
      </c>
    </row>
    <row r="52" ht="15" customHeight="1">
      <c r="A52" t="inlineStr">
        <is>
          <t>A 45120-2021</t>
        </is>
      </c>
      <c r="B52" s="1" t="n">
        <v>44439</v>
      </c>
      <c r="C52" s="1" t="n">
        <v>46001</v>
      </c>
      <c r="D52" t="inlineStr">
        <is>
          <t>SÖDERMANLANDS LÄN</t>
        </is>
      </c>
      <c r="E52" t="inlineStr">
        <is>
          <t>FLEN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45120-2021 artfynd.xlsx", "A 45120-2021")</f>
        <v/>
      </c>
      <c r="T52">
        <f>HYPERLINK("https://klasma.github.io/Logging_0482/kartor/A 45120-2021 karta.png", "A 45120-2021")</f>
        <v/>
      </c>
      <c r="V52">
        <f>HYPERLINK("https://klasma.github.io/Logging_0482/klagomål/A 45120-2021 FSC-klagomål.docx", "A 45120-2021")</f>
        <v/>
      </c>
      <c r="W52">
        <f>HYPERLINK("https://klasma.github.io/Logging_0482/klagomålsmail/A 45120-2021 FSC-klagomål mail.docx", "A 45120-2021")</f>
        <v/>
      </c>
      <c r="X52">
        <f>HYPERLINK("https://klasma.github.io/Logging_0482/tillsyn/A 45120-2021 tillsynsbegäran.docx", "A 45120-2021")</f>
        <v/>
      </c>
      <c r="Y52">
        <f>HYPERLINK("https://klasma.github.io/Logging_0482/tillsynsmail/A 45120-2021 tillsynsbegäran mail.docx", "A 45120-2021")</f>
        <v/>
      </c>
    </row>
    <row r="53" ht="15" customHeight="1">
      <c r="A53" t="inlineStr">
        <is>
          <t>A 38465-2025</t>
        </is>
      </c>
      <c r="B53" s="1" t="n">
        <v>45883</v>
      </c>
      <c r="C53" s="1" t="n">
        <v>46001</v>
      </c>
      <c r="D53" t="inlineStr">
        <is>
          <t>SÖDERMANLANDS LÄN</t>
        </is>
      </c>
      <c r="E53" t="inlineStr">
        <is>
          <t>FLEN</t>
        </is>
      </c>
      <c r="G53" t="n">
        <v>4.1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HYPERLINK("https://klasma.github.io/Logging_0482/artfynd/A 38465-2025 artfynd.xlsx", "A 38465-2025")</f>
        <v/>
      </c>
      <c r="T53">
        <f>HYPERLINK("https://klasma.github.io/Logging_0482/kartor/A 38465-2025 karta.png", "A 38465-2025")</f>
        <v/>
      </c>
      <c r="V53">
        <f>HYPERLINK("https://klasma.github.io/Logging_0482/klagomål/A 38465-2025 FSC-klagomål.docx", "A 38465-2025")</f>
        <v/>
      </c>
      <c r="W53">
        <f>HYPERLINK("https://klasma.github.io/Logging_0482/klagomålsmail/A 38465-2025 FSC-klagomål mail.docx", "A 38465-2025")</f>
        <v/>
      </c>
      <c r="X53">
        <f>HYPERLINK("https://klasma.github.io/Logging_0482/tillsyn/A 38465-2025 tillsynsbegäran.docx", "A 38465-2025")</f>
        <v/>
      </c>
      <c r="Y53">
        <f>HYPERLINK("https://klasma.github.io/Logging_0482/tillsynsmail/A 38465-2025 tillsynsbegäran mail.docx", "A 38465-2025")</f>
        <v/>
      </c>
    </row>
    <row r="54" ht="15" customHeight="1">
      <c r="A54" t="inlineStr">
        <is>
          <t>A 24464-2025</t>
        </is>
      </c>
      <c r="B54" s="1" t="n">
        <v>45798.3537037037</v>
      </c>
      <c r="C54" s="1" t="n">
        <v>46001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HYPERLINK("https://klasma.github.io/Logging_0482/artfynd/A 24464-2025 artfynd.xlsx", "A 24464-2025")</f>
        <v/>
      </c>
      <c r="T54">
        <f>HYPERLINK("https://klasma.github.io/Logging_0482/kartor/A 24464-2025 karta.png", "A 24464-2025")</f>
        <v/>
      </c>
      <c r="V54">
        <f>HYPERLINK("https://klasma.github.io/Logging_0482/klagomål/A 24464-2025 FSC-klagomål.docx", "A 24464-2025")</f>
        <v/>
      </c>
      <c r="W54">
        <f>HYPERLINK("https://klasma.github.io/Logging_0482/klagomålsmail/A 24464-2025 FSC-klagomål mail.docx", "A 24464-2025")</f>
        <v/>
      </c>
      <c r="X54">
        <f>HYPERLINK("https://klasma.github.io/Logging_0482/tillsyn/A 24464-2025 tillsynsbegäran.docx", "A 24464-2025")</f>
        <v/>
      </c>
      <c r="Y54">
        <f>HYPERLINK("https://klasma.github.io/Logging_0482/tillsynsmail/A 24464-2025 tillsynsbegäran mail.docx", "A 24464-2025")</f>
        <v/>
      </c>
    </row>
    <row r="55" ht="15" customHeight="1">
      <c r="A55" t="inlineStr">
        <is>
          <t>A 9066-2025</t>
        </is>
      </c>
      <c r="B55" s="1" t="n">
        <v>45713.6522800926</v>
      </c>
      <c r="C55" s="1" t="n">
        <v>46001</v>
      </c>
      <c r="D55" t="inlineStr">
        <is>
          <t>SÖDERMANLANDS LÄN</t>
        </is>
      </c>
      <c r="E55" t="inlineStr">
        <is>
          <t>FLEN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9066-2025 artfynd.xlsx", "A 9066-2025")</f>
        <v/>
      </c>
      <c r="T55">
        <f>HYPERLINK("https://klasma.github.io/Logging_0482/kartor/A 9066-2025 karta.png", "A 9066-2025")</f>
        <v/>
      </c>
      <c r="V55">
        <f>HYPERLINK("https://klasma.github.io/Logging_0482/klagomål/A 9066-2025 FSC-klagomål.docx", "A 9066-2025")</f>
        <v/>
      </c>
      <c r="W55">
        <f>HYPERLINK("https://klasma.github.io/Logging_0482/klagomålsmail/A 9066-2025 FSC-klagomål mail.docx", "A 9066-2025")</f>
        <v/>
      </c>
      <c r="X55">
        <f>HYPERLINK("https://klasma.github.io/Logging_0482/tillsyn/A 9066-2025 tillsynsbegäran.docx", "A 9066-2025")</f>
        <v/>
      </c>
      <c r="Y55">
        <f>HYPERLINK("https://klasma.github.io/Logging_0482/tillsynsmail/A 9066-2025 tillsynsbegäran mail.docx", "A 9066-2025")</f>
        <v/>
      </c>
    </row>
    <row r="56" ht="15" customHeight="1">
      <c r="A56" t="inlineStr">
        <is>
          <t>A 12056-2024</t>
        </is>
      </c>
      <c r="B56" s="1" t="n">
        <v>45377</v>
      </c>
      <c r="C56" s="1" t="n">
        <v>46001</v>
      </c>
      <c r="D56" t="inlineStr">
        <is>
          <t>SÖDERMANLANDS LÄN</t>
        </is>
      </c>
      <c r="E56" t="inlineStr">
        <is>
          <t>FLEN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HYPERLINK("https://klasma.github.io/Logging_0482/artfynd/A 12056-2024 artfynd.xlsx", "A 12056-2024")</f>
        <v/>
      </c>
      <c r="T56">
        <f>HYPERLINK("https://klasma.github.io/Logging_0482/kartor/A 12056-2024 karta.png", "A 12056-2024")</f>
        <v/>
      </c>
      <c r="V56">
        <f>HYPERLINK("https://klasma.github.io/Logging_0482/klagomål/A 12056-2024 FSC-klagomål.docx", "A 12056-2024")</f>
        <v/>
      </c>
      <c r="W56">
        <f>HYPERLINK("https://klasma.github.io/Logging_0482/klagomålsmail/A 12056-2024 FSC-klagomål mail.docx", "A 12056-2024")</f>
        <v/>
      </c>
      <c r="X56">
        <f>HYPERLINK("https://klasma.github.io/Logging_0482/tillsyn/A 12056-2024 tillsynsbegäran.docx", "A 12056-2024")</f>
        <v/>
      </c>
      <c r="Y56">
        <f>HYPERLINK("https://klasma.github.io/Logging_0482/tillsynsmail/A 12056-2024 tillsynsbegäran mail.docx", "A 12056-2024")</f>
        <v/>
      </c>
    </row>
    <row r="57" ht="15" customHeight="1">
      <c r="A57" t="inlineStr">
        <is>
          <t>A 10770-2022</t>
        </is>
      </c>
      <c r="B57" s="1" t="n">
        <v>44624</v>
      </c>
      <c r="C57" s="1" t="n">
        <v>46001</v>
      </c>
      <c r="D57" t="inlineStr">
        <is>
          <t>SÖDERMANLANDS LÄN</t>
        </is>
      </c>
      <c r="E57" t="inlineStr">
        <is>
          <t>FLEN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10770-2022 artfynd.xlsx", "A 10770-2022")</f>
        <v/>
      </c>
      <c r="T57">
        <f>HYPERLINK("https://klasma.github.io/Logging_0482/kartor/A 10770-2022 karta.png", "A 10770-2022")</f>
        <v/>
      </c>
      <c r="V57">
        <f>HYPERLINK("https://klasma.github.io/Logging_0482/klagomål/A 10770-2022 FSC-klagomål.docx", "A 10770-2022")</f>
        <v/>
      </c>
      <c r="W57">
        <f>HYPERLINK("https://klasma.github.io/Logging_0482/klagomålsmail/A 10770-2022 FSC-klagomål mail.docx", "A 10770-2022")</f>
        <v/>
      </c>
      <c r="X57">
        <f>HYPERLINK("https://klasma.github.io/Logging_0482/tillsyn/A 10770-2022 tillsynsbegäran.docx", "A 10770-2022")</f>
        <v/>
      </c>
      <c r="Y57">
        <f>HYPERLINK("https://klasma.github.io/Logging_0482/tillsynsmail/A 10770-2022 tillsynsbegäran mail.docx", "A 10770-2022")</f>
        <v/>
      </c>
    </row>
    <row r="58" ht="15" customHeight="1">
      <c r="A58" t="inlineStr">
        <is>
          <t>A 14273-2025</t>
        </is>
      </c>
      <c r="B58" s="1" t="n">
        <v>45740.64418981481</v>
      </c>
      <c r="C58" s="1" t="n">
        <v>46001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Vedskivlav</t>
        </is>
      </c>
      <c r="S58">
        <f>HYPERLINK("https://klasma.github.io/Logging_0482/artfynd/A 14273-2025 artfynd.xlsx", "A 14273-2025")</f>
        <v/>
      </c>
      <c r="T58">
        <f>HYPERLINK("https://klasma.github.io/Logging_0482/kartor/A 14273-2025 karta.png", "A 14273-2025")</f>
        <v/>
      </c>
      <c r="V58">
        <f>HYPERLINK("https://klasma.github.io/Logging_0482/klagomål/A 14273-2025 FSC-klagomål.docx", "A 14273-2025")</f>
        <v/>
      </c>
      <c r="W58">
        <f>HYPERLINK("https://klasma.github.io/Logging_0482/klagomålsmail/A 14273-2025 FSC-klagomål mail.docx", "A 14273-2025")</f>
        <v/>
      </c>
      <c r="X58">
        <f>HYPERLINK("https://klasma.github.io/Logging_0482/tillsyn/A 14273-2025 tillsynsbegäran.docx", "A 14273-2025")</f>
        <v/>
      </c>
      <c r="Y58">
        <f>HYPERLINK("https://klasma.github.io/Logging_0482/tillsynsmail/A 14273-2025 tillsynsbegäran mail.docx", "A 14273-2025")</f>
        <v/>
      </c>
    </row>
    <row r="59" ht="15" customHeight="1">
      <c r="A59" t="inlineStr">
        <is>
          <t>A 40820-2024</t>
        </is>
      </c>
      <c r="B59" s="1" t="n">
        <v>45558</v>
      </c>
      <c r="C59" s="1" t="n">
        <v>46001</v>
      </c>
      <c r="D59" t="inlineStr">
        <is>
          <t>SÖDERMANLANDS LÄN</t>
        </is>
      </c>
      <c r="E59" t="inlineStr">
        <is>
          <t>FLEN</t>
        </is>
      </c>
      <c r="G59" t="n">
        <v>5.7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HYPERLINK("https://klasma.github.io/Logging_0482/artfynd/A 40820-2024 artfynd.xlsx", "A 40820-2024")</f>
        <v/>
      </c>
      <c r="T59">
        <f>HYPERLINK("https://klasma.github.io/Logging_0482/kartor/A 40820-2024 karta.png", "A 40820-2024")</f>
        <v/>
      </c>
      <c r="U59">
        <f>HYPERLINK("https://klasma.github.io/Logging_0482/knärot/A 40820-2024 karta knärot.png", "A 40820-2024")</f>
        <v/>
      </c>
      <c r="V59">
        <f>HYPERLINK("https://klasma.github.io/Logging_0482/klagomål/A 40820-2024 FSC-klagomål.docx", "A 40820-2024")</f>
        <v/>
      </c>
      <c r="W59">
        <f>HYPERLINK("https://klasma.github.io/Logging_0482/klagomålsmail/A 40820-2024 FSC-klagomål mail.docx", "A 40820-2024")</f>
        <v/>
      </c>
      <c r="X59">
        <f>HYPERLINK("https://klasma.github.io/Logging_0482/tillsyn/A 40820-2024 tillsynsbegäran.docx", "A 40820-2024")</f>
        <v/>
      </c>
      <c r="Y59">
        <f>HYPERLINK("https://klasma.github.io/Logging_0482/tillsynsmail/A 40820-2024 tillsynsbegäran mail.docx", "A 40820-2024")</f>
        <v/>
      </c>
    </row>
    <row r="60" ht="15" customHeight="1">
      <c r="A60" t="inlineStr">
        <is>
          <t>A 54302-2025</t>
        </is>
      </c>
      <c r="B60" s="1" t="n">
        <v>45965.27729166667</v>
      </c>
      <c r="C60" s="1" t="n">
        <v>46001</v>
      </c>
      <c r="D60" t="inlineStr">
        <is>
          <t>SÖDERMANLANDS LÄN</t>
        </is>
      </c>
      <c r="E60" t="inlineStr">
        <is>
          <t>FLEN</t>
        </is>
      </c>
      <c r="G60" t="n">
        <v>12.6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Dofttaggsvamp</t>
        </is>
      </c>
      <c r="S60">
        <f>HYPERLINK("https://klasma.github.io/Logging_0482/artfynd/A 54302-2025 artfynd.xlsx", "A 54302-2025")</f>
        <v/>
      </c>
      <c r="T60">
        <f>HYPERLINK("https://klasma.github.io/Logging_0482/kartor/A 54302-2025 karta.png", "A 54302-2025")</f>
        <v/>
      </c>
      <c r="V60">
        <f>HYPERLINK("https://klasma.github.io/Logging_0482/klagomål/A 54302-2025 FSC-klagomål.docx", "A 54302-2025")</f>
        <v/>
      </c>
      <c r="W60">
        <f>HYPERLINK("https://klasma.github.io/Logging_0482/klagomålsmail/A 54302-2025 FSC-klagomål mail.docx", "A 54302-2025")</f>
        <v/>
      </c>
      <c r="X60">
        <f>HYPERLINK("https://klasma.github.io/Logging_0482/tillsyn/A 54302-2025 tillsynsbegäran.docx", "A 54302-2025")</f>
        <v/>
      </c>
      <c r="Y60">
        <f>HYPERLINK("https://klasma.github.io/Logging_0482/tillsynsmail/A 54302-2025 tillsynsbegäran mail.docx", "A 54302-2025")</f>
        <v/>
      </c>
    </row>
    <row r="61" ht="15" customHeight="1">
      <c r="A61" t="inlineStr">
        <is>
          <t>A 16831-2025</t>
        </is>
      </c>
      <c r="B61" s="1" t="n">
        <v>45754.65902777778</v>
      </c>
      <c r="C61" s="1" t="n">
        <v>46001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6.6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HYPERLINK("https://klasma.github.io/Logging_0482/artfynd/A 16831-2025 artfynd.xlsx", "A 16831-2025")</f>
        <v/>
      </c>
      <c r="T61">
        <f>HYPERLINK("https://klasma.github.io/Logging_0482/kartor/A 16831-2025 karta.png", "A 16831-2025")</f>
        <v/>
      </c>
      <c r="V61">
        <f>HYPERLINK("https://klasma.github.io/Logging_0482/klagomål/A 16831-2025 FSC-klagomål.docx", "A 16831-2025")</f>
        <v/>
      </c>
      <c r="W61">
        <f>HYPERLINK("https://klasma.github.io/Logging_0482/klagomålsmail/A 16831-2025 FSC-klagomål mail.docx", "A 16831-2025")</f>
        <v/>
      </c>
      <c r="X61">
        <f>HYPERLINK("https://klasma.github.io/Logging_0482/tillsyn/A 16831-2025 tillsynsbegäran.docx", "A 16831-2025")</f>
        <v/>
      </c>
      <c r="Y61">
        <f>HYPERLINK("https://klasma.github.io/Logging_0482/tillsynsmail/A 16831-2025 tillsynsbegäran mail.docx", "A 16831-2025")</f>
        <v/>
      </c>
    </row>
    <row r="62" ht="15" customHeight="1">
      <c r="A62" t="inlineStr">
        <is>
          <t>A 47581-2025</t>
        </is>
      </c>
      <c r="B62" s="1" t="n">
        <v>45931.41503472222</v>
      </c>
      <c r="C62" s="1" t="n">
        <v>46001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47581-2025 artfynd.xlsx", "A 47581-2025")</f>
        <v/>
      </c>
      <c r="T62">
        <f>HYPERLINK("https://klasma.github.io/Logging_0482/kartor/A 47581-2025 karta.png", "A 47581-2025")</f>
        <v/>
      </c>
      <c r="V62">
        <f>HYPERLINK("https://klasma.github.io/Logging_0482/klagomål/A 47581-2025 FSC-klagomål.docx", "A 47581-2025")</f>
        <v/>
      </c>
      <c r="W62">
        <f>HYPERLINK("https://klasma.github.io/Logging_0482/klagomålsmail/A 47581-2025 FSC-klagomål mail.docx", "A 47581-2025")</f>
        <v/>
      </c>
      <c r="X62">
        <f>HYPERLINK("https://klasma.github.io/Logging_0482/tillsyn/A 47581-2025 tillsynsbegäran.docx", "A 47581-2025")</f>
        <v/>
      </c>
      <c r="Y62">
        <f>HYPERLINK("https://klasma.github.io/Logging_0482/tillsynsmail/A 47581-2025 tillsynsbegäran mail.docx", "A 47581-2025")</f>
        <v/>
      </c>
    </row>
    <row r="63" ht="15" customHeight="1">
      <c r="A63" t="inlineStr">
        <is>
          <t>A 57939-2025</t>
        </is>
      </c>
      <c r="B63" s="1" t="n">
        <v>45982.29865740741</v>
      </c>
      <c r="C63" s="1" t="n">
        <v>46001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HYPERLINK("https://klasma.github.io/Logging_0482/artfynd/A 57939-2025 artfynd.xlsx", "A 57939-2025")</f>
        <v/>
      </c>
      <c r="T63">
        <f>HYPERLINK("https://klasma.github.io/Logging_0482/kartor/A 57939-2025 karta.png", "A 57939-2025")</f>
        <v/>
      </c>
      <c r="V63">
        <f>HYPERLINK("https://klasma.github.io/Logging_0482/klagomål/A 57939-2025 FSC-klagomål.docx", "A 57939-2025")</f>
        <v/>
      </c>
      <c r="W63">
        <f>HYPERLINK("https://klasma.github.io/Logging_0482/klagomålsmail/A 57939-2025 FSC-klagomål mail.docx", "A 57939-2025")</f>
        <v/>
      </c>
      <c r="X63">
        <f>HYPERLINK("https://klasma.github.io/Logging_0482/tillsyn/A 57939-2025 tillsynsbegäran.docx", "A 57939-2025")</f>
        <v/>
      </c>
      <c r="Y63">
        <f>HYPERLINK("https://klasma.github.io/Logging_0482/tillsynsmail/A 57939-2025 tillsynsbegäran mail.docx", "A 57939-2025")</f>
        <v/>
      </c>
    </row>
    <row r="64" ht="15" customHeight="1">
      <c r="A64" t="inlineStr">
        <is>
          <t>A 35278-2022</t>
        </is>
      </c>
      <c r="B64" s="1" t="n">
        <v>44798</v>
      </c>
      <c r="C64" s="1" t="n">
        <v>46001</v>
      </c>
      <c r="D64" t="inlineStr">
        <is>
          <t>SÖDERMANLANDS LÄN</t>
        </is>
      </c>
      <c r="E64" t="inlineStr">
        <is>
          <t>FLEN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HYPERLINK("https://klasma.github.io/Logging_0482/artfynd/A 35278-2022 artfynd.xlsx", "A 35278-2022")</f>
        <v/>
      </c>
      <c r="T64">
        <f>HYPERLINK("https://klasma.github.io/Logging_0482/kartor/A 35278-2022 karta.png", "A 35278-2022")</f>
        <v/>
      </c>
      <c r="V64">
        <f>HYPERLINK("https://klasma.github.io/Logging_0482/klagomål/A 35278-2022 FSC-klagomål.docx", "A 35278-2022")</f>
        <v/>
      </c>
      <c r="W64">
        <f>HYPERLINK("https://klasma.github.io/Logging_0482/klagomålsmail/A 35278-2022 FSC-klagomål mail.docx", "A 35278-2022")</f>
        <v/>
      </c>
      <c r="X64">
        <f>HYPERLINK("https://klasma.github.io/Logging_0482/tillsyn/A 35278-2022 tillsynsbegäran.docx", "A 35278-2022")</f>
        <v/>
      </c>
      <c r="Y64">
        <f>HYPERLINK("https://klasma.github.io/Logging_0482/tillsynsmail/A 35278-2022 tillsynsbegäran mail.docx", "A 35278-2022")</f>
        <v/>
      </c>
    </row>
    <row r="65" ht="15" customHeight="1">
      <c r="A65" t="inlineStr">
        <is>
          <t>A 50739-2025</t>
        </is>
      </c>
      <c r="B65" s="1" t="n">
        <v>45946.37638888889</v>
      </c>
      <c r="C65" s="1" t="n">
        <v>46001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4.4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HYPERLINK("https://klasma.github.io/Logging_0482/artfynd/A 50739-2025 artfynd.xlsx", "A 50739-2025")</f>
        <v/>
      </c>
      <c r="T65">
        <f>HYPERLINK("https://klasma.github.io/Logging_0482/kartor/A 50739-2025 karta.png", "A 50739-2025")</f>
        <v/>
      </c>
      <c r="V65">
        <f>HYPERLINK("https://klasma.github.io/Logging_0482/klagomål/A 50739-2025 FSC-klagomål.docx", "A 50739-2025")</f>
        <v/>
      </c>
      <c r="W65">
        <f>HYPERLINK("https://klasma.github.io/Logging_0482/klagomålsmail/A 50739-2025 FSC-klagomål mail.docx", "A 50739-2025")</f>
        <v/>
      </c>
      <c r="X65">
        <f>HYPERLINK("https://klasma.github.io/Logging_0482/tillsyn/A 50739-2025 tillsynsbegäran.docx", "A 50739-2025")</f>
        <v/>
      </c>
      <c r="Y65">
        <f>HYPERLINK("https://klasma.github.io/Logging_0482/tillsynsmail/A 50739-2025 tillsynsbegäran mail.docx", "A 50739-2025")</f>
        <v/>
      </c>
    </row>
    <row r="66" ht="15" customHeight="1">
      <c r="A66" t="inlineStr">
        <is>
          <t>A 59389-2025</t>
        </is>
      </c>
      <c r="B66" s="1" t="n">
        <v>45989</v>
      </c>
      <c r="C66" s="1" t="n">
        <v>46001</v>
      </c>
      <c r="D66" t="inlineStr">
        <is>
          <t>SÖDERMANLANDS LÄN</t>
        </is>
      </c>
      <c r="E66" t="inlineStr">
        <is>
          <t>FLEN</t>
        </is>
      </c>
      <c r="G66" t="n">
        <v>2.2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59389-2025 artfynd.xlsx", "A 59389-2025")</f>
        <v/>
      </c>
      <c r="T66">
        <f>HYPERLINK("https://klasma.github.io/Logging_0482/kartor/A 59389-2025 karta.png", "A 59389-2025")</f>
        <v/>
      </c>
      <c r="V66">
        <f>HYPERLINK("https://klasma.github.io/Logging_0482/klagomål/A 59389-2025 FSC-klagomål.docx", "A 59389-2025")</f>
        <v/>
      </c>
      <c r="W66">
        <f>HYPERLINK("https://klasma.github.io/Logging_0482/klagomålsmail/A 59389-2025 FSC-klagomål mail.docx", "A 59389-2025")</f>
        <v/>
      </c>
      <c r="X66">
        <f>HYPERLINK("https://klasma.github.io/Logging_0482/tillsyn/A 59389-2025 tillsynsbegäran.docx", "A 59389-2025")</f>
        <v/>
      </c>
      <c r="Y66">
        <f>HYPERLINK("https://klasma.github.io/Logging_0482/tillsynsmail/A 59389-2025 tillsynsbegäran mail.docx", "A 59389-2025")</f>
        <v/>
      </c>
    </row>
    <row r="67" ht="15" customHeight="1">
      <c r="A67" t="inlineStr">
        <is>
          <t>A 59393-2025</t>
        </is>
      </c>
      <c r="B67" s="1" t="n">
        <v>45989</v>
      </c>
      <c r="C67" s="1" t="n">
        <v>46001</v>
      </c>
      <c r="D67" t="inlineStr">
        <is>
          <t>SÖDERMANLANDS LÄN</t>
        </is>
      </c>
      <c r="E67" t="inlineStr">
        <is>
          <t>FLEN</t>
        </is>
      </c>
      <c r="G67" t="n">
        <v>1.7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HYPERLINK("https://klasma.github.io/Logging_0482/artfynd/A 59393-2025 artfynd.xlsx", "A 59393-2025")</f>
        <v/>
      </c>
      <c r="T67">
        <f>HYPERLINK("https://klasma.github.io/Logging_0482/kartor/A 59393-2025 karta.png", "A 59393-2025")</f>
        <v/>
      </c>
      <c r="V67">
        <f>HYPERLINK("https://klasma.github.io/Logging_0482/klagomål/A 59393-2025 FSC-klagomål.docx", "A 59393-2025")</f>
        <v/>
      </c>
      <c r="W67">
        <f>HYPERLINK("https://klasma.github.io/Logging_0482/klagomålsmail/A 59393-2025 FSC-klagomål mail.docx", "A 59393-2025")</f>
        <v/>
      </c>
      <c r="X67">
        <f>HYPERLINK("https://klasma.github.io/Logging_0482/tillsyn/A 59393-2025 tillsynsbegäran.docx", "A 59393-2025")</f>
        <v/>
      </c>
      <c r="Y67">
        <f>HYPERLINK("https://klasma.github.io/Logging_0482/tillsynsmail/A 59393-2025 tillsynsbegäran mail.docx", "A 59393-2025")</f>
        <v/>
      </c>
    </row>
    <row r="68" ht="15" customHeight="1">
      <c r="A68" t="inlineStr">
        <is>
          <t>A 62535-2021</t>
        </is>
      </c>
      <c r="B68" s="1" t="n">
        <v>44503</v>
      </c>
      <c r="C68" s="1" t="n">
        <v>46001</v>
      </c>
      <c r="D68" t="inlineStr">
        <is>
          <t>SÖDERMANLANDS LÄN</t>
        </is>
      </c>
      <c r="E68" t="inlineStr">
        <is>
          <t>FLEN</t>
        </is>
      </c>
      <c r="G68" t="n">
        <v>0.6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HYPERLINK("https://klasma.github.io/Logging_0482/artfynd/A 62535-2021 artfynd.xlsx", "A 62535-2021")</f>
        <v/>
      </c>
      <c r="T68">
        <f>HYPERLINK("https://klasma.github.io/Logging_0482/kartor/A 62535-2021 karta.png", "A 62535-2021")</f>
        <v/>
      </c>
      <c r="V68">
        <f>HYPERLINK("https://klasma.github.io/Logging_0482/klagomål/A 62535-2021 FSC-klagomål.docx", "A 62535-2021")</f>
        <v/>
      </c>
      <c r="W68">
        <f>HYPERLINK("https://klasma.github.io/Logging_0482/klagomålsmail/A 62535-2021 FSC-klagomål mail.docx", "A 62535-2021")</f>
        <v/>
      </c>
      <c r="X68">
        <f>HYPERLINK("https://klasma.github.io/Logging_0482/tillsyn/A 62535-2021 tillsynsbegäran.docx", "A 62535-2021")</f>
        <v/>
      </c>
      <c r="Y68">
        <f>HYPERLINK("https://klasma.github.io/Logging_0482/tillsynsmail/A 62535-2021 tillsynsbegäran mail.docx", "A 62535-2021")</f>
        <v/>
      </c>
    </row>
    <row r="69" ht="15" customHeight="1">
      <c r="A69" t="inlineStr">
        <is>
          <t>A 55092-2021</t>
        </is>
      </c>
      <c r="B69" s="1" t="n">
        <v>44474.66891203704</v>
      </c>
      <c r="C69" s="1" t="n">
        <v>46001</v>
      </c>
      <c r="D69" t="inlineStr">
        <is>
          <t>SÖDERMANLANDS LÄN</t>
        </is>
      </c>
      <c r="E69" t="inlineStr">
        <is>
          <t>FLEN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HYPERLINK("https://klasma.github.io/Logging_0482/artfynd/A 55092-2021 artfynd.xlsx", "A 55092-2021")</f>
        <v/>
      </c>
      <c r="T69">
        <f>HYPERLINK("https://klasma.github.io/Logging_0482/kartor/A 55092-2021 karta.png", "A 55092-2021")</f>
        <v/>
      </c>
      <c r="V69">
        <f>HYPERLINK("https://klasma.github.io/Logging_0482/klagomål/A 55092-2021 FSC-klagomål.docx", "A 55092-2021")</f>
        <v/>
      </c>
      <c r="W69">
        <f>HYPERLINK("https://klasma.github.io/Logging_0482/klagomålsmail/A 55092-2021 FSC-klagomål mail.docx", "A 55092-2021")</f>
        <v/>
      </c>
      <c r="X69">
        <f>HYPERLINK("https://klasma.github.io/Logging_0482/tillsyn/A 55092-2021 tillsynsbegäran.docx", "A 55092-2021")</f>
        <v/>
      </c>
      <c r="Y69">
        <f>HYPERLINK("https://klasma.github.io/Logging_0482/tillsynsmail/A 55092-2021 tillsynsbegäran mail.docx", "A 55092-2021")</f>
        <v/>
      </c>
    </row>
    <row r="70" ht="15" customHeight="1">
      <c r="A70" t="inlineStr">
        <is>
          <t>A 50202-2022</t>
        </is>
      </c>
      <c r="B70" s="1" t="n">
        <v>44865</v>
      </c>
      <c r="C70" s="1" t="n">
        <v>46001</v>
      </c>
      <c r="D70" t="inlineStr">
        <is>
          <t>SÖDERMANLANDS LÄN</t>
        </is>
      </c>
      <c r="E70" t="inlineStr">
        <is>
          <t>FLEN</t>
        </is>
      </c>
      <c r="F70" t="inlineStr">
        <is>
          <t>Kyrkan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50202-2022 artfynd.xlsx", "A 50202-2022")</f>
        <v/>
      </c>
      <c r="T70">
        <f>HYPERLINK("https://klasma.github.io/Logging_0482/kartor/A 50202-2022 karta.png", "A 50202-2022")</f>
        <v/>
      </c>
      <c r="V70">
        <f>HYPERLINK("https://klasma.github.io/Logging_0482/klagomål/A 50202-2022 FSC-klagomål.docx", "A 50202-2022")</f>
        <v/>
      </c>
      <c r="W70">
        <f>HYPERLINK("https://klasma.github.io/Logging_0482/klagomålsmail/A 50202-2022 FSC-klagomål mail.docx", "A 50202-2022")</f>
        <v/>
      </c>
      <c r="X70">
        <f>HYPERLINK("https://klasma.github.io/Logging_0482/tillsyn/A 50202-2022 tillsynsbegäran.docx", "A 50202-2022")</f>
        <v/>
      </c>
      <c r="Y70">
        <f>HYPERLINK("https://klasma.github.io/Logging_0482/tillsynsmail/A 50202-2022 tillsynsbegäran mail.docx", "A 50202-2022")</f>
        <v/>
      </c>
    </row>
    <row r="71" ht="15" customHeight="1">
      <c r="A71" t="inlineStr">
        <is>
          <t>A 30584-2023</t>
        </is>
      </c>
      <c r="B71" s="1" t="n">
        <v>45112.3309375</v>
      </c>
      <c r="C71" s="1" t="n">
        <v>46001</v>
      </c>
      <c r="D71" t="inlineStr">
        <is>
          <t>SÖDERMANLANDS LÄN</t>
        </is>
      </c>
      <c r="E71" t="inlineStr">
        <is>
          <t>FLEN</t>
        </is>
      </c>
      <c r="F71" t="inlineStr">
        <is>
          <t>Kyrkan</t>
        </is>
      </c>
      <c r="G71" t="n">
        <v>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HYPERLINK("https://klasma.github.io/Logging_0482/artfynd/A 30584-2023 artfynd.xlsx", "A 30584-2023")</f>
        <v/>
      </c>
      <c r="T71">
        <f>HYPERLINK("https://klasma.github.io/Logging_0482/kartor/A 30584-2023 karta.png", "A 30584-2023")</f>
        <v/>
      </c>
      <c r="V71">
        <f>HYPERLINK("https://klasma.github.io/Logging_0482/klagomål/A 30584-2023 FSC-klagomål.docx", "A 30584-2023")</f>
        <v/>
      </c>
      <c r="W71">
        <f>HYPERLINK("https://klasma.github.io/Logging_0482/klagomålsmail/A 30584-2023 FSC-klagomål mail.docx", "A 30584-2023")</f>
        <v/>
      </c>
      <c r="X71">
        <f>HYPERLINK("https://klasma.github.io/Logging_0482/tillsyn/A 30584-2023 tillsynsbegäran.docx", "A 30584-2023")</f>
        <v/>
      </c>
      <c r="Y71">
        <f>HYPERLINK("https://klasma.github.io/Logging_0482/tillsynsmail/A 30584-2023 tillsynsbegäran mail.docx", "A 30584-2023")</f>
        <v/>
      </c>
      <c r="Z71">
        <f>HYPERLINK("https://klasma.github.io/Logging_0482/fåglar/A 30584-2023 prioriterade fågelarter.docx", "A 30584-2023")</f>
        <v/>
      </c>
    </row>
    <row r="72" ht="15" customHeight="1">
      <c r="A72" t="inlineStr">
        <is>
          <t>A 7506-2023</t>
        </is>
      </c>
      <c r="B72" s="1" t="n">
        <v>44971</v>
      </c>
      <c r="C72" s="1" t="n">
        <v>46001</v>
      </c>
      <c r="D72" t="inlineStr">
        <is>
          <t>SÖDERMANLANDS LÄN</t>
        </is>
      </c>
      <c r="E72" t="inlineStr">
        <is>
          <t>FLEN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7506-2023 artfynd.xlsx", "A 7506-2023")</f>
        <v/>
      </c>
      <c r="T72">
        <f>HYPERLINK("https://klasma.github.io/Logging_0482/kartor/A 7506-2023 karta.png", "A 7506-2023")</f>
        <v/>
      </c>
      <c r="V72">
        <f>HYPERLINK("https://klasma.github.io/Logging_0482/klagomål/A 7506-2023 FSC-klagomål.docx", "A 7506-2023")</f>
        <v/>
      </c>
      <c r="W72">
        <f>HYPERLINK("https://klasma.github.io/Logging_0482/klagomålsmail/A 7506-2023 FSC-klagomål mail.docx", "A 7506-2023")</f>
        <v/>
      </c>
      <c r="X72">
        <f>HYPERLINK("https://klasma.github.io/Logging_0482/tillsyn/A 7506-2023 tillsynsbegäran.docx", "A 7506-2023")</f>
        <v/>
      </c>
      <c r="Y72">
        <f>HYPERLINK("https://klasma.github.io/Logging_0482/tillsynsmail/A 7506-2023 tillsynsbegäran mail.docx", "A 7506-2023")</f>
        <v/>
      </c>
    </row>
    <row r="73" ht="15" customHeight="1">
      <c r="A73" t="inlineStr">
        <is>
          <t>A 14101-2025</t>
        </is>
      </c>
      <c r="B73" s="1" t="n">
        <v>45740</v>
      </c>
      <c r="C73" s="1" t="n">
        <v>46001</v>
      </c>
      <c r="D73" t="inlineStr">
        <is>
          <t>SÖDERMANLANDS LÄN</t>
        </is>
      </c>
      <c r="E73" t="inlineStr">
        <is>
          <t>FLEN</t>
        </is>
      </c>
      <c r="F73" t="inlineStr">
        <is>
          <t>Övriga statliga verk och myndigheter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HYPERLINK("https://klasma.github.io/Logging_0482/artfynd/A 14101-2025 artfynd.xlsx", "A 14101-2025")</f>
        <v/>
      </c>
      <c r="T73">
        <f>HYPERLINK("https://klasma.github.io/Logging_0482/kartor/A 14101-2025 karta.png", "A 14101-2025")</f>
        <v/>
      </c>
      <c r="V73">
        <f>HYPERLINK("https://klasma.github.io/Logging_0482/klagomål/A 14101-2025 FSC-klagomål.docx", "A 14101-2025")</f>
        <v/>
      </c>
      <c r="W73">
        <f>HYPERLINK("https://klasma.github.io/Logging_0482/klagomålsmail/A 14101-2025 FSC-klagomål mail.docx", "A 14101-2025")</f>
        <v/>
      </c>
      <c r="X73">
        <f>HYPERLINK("https://klasma.github.io/Logging_0482/tillsyn/A 14101-2025 tillsynsbegäran.docx", "A 14101-2025")</f>
        <v/>
      </c>
      <c r="Y73">
        <f>HYPERLINK("https://klasma.github.io/Logging_0482/tillsynsmail/A 14101-2025 tillsynsbegäran mail.docx", "A 14101-2025")</f>
        <v/>
      </c>
    </row>
    <row r="74" ht="15" customHeight="1">
      <c r="A74" t="inlineStr">
        <is>
          <t>A 73923-2021</t>
        </is>
      </c>
      <c r="B74" s="1" t="n">
        <v>44553.50178240741</v>
      </c>
      <c r="C74" s="1" t="n">
        <v>46001</v>
      </c>
      <c r="D74" t="inlineStr">
        <is>
          <t>SÖDERMANLANDS LÄN</t>
        </is>
      </c>
      <c r="E74" t="inlineStr">
        <is>
          <t>FLEN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Klasefibbla</t>
        </is>
      </c>
      <c r="S74">
        <f>HYPERLINK("https://klasma.github.io/Logging_0482/artfynd/A 73923-2021 artfynd.xlsx", "A 73923-2021")</f>
        <v/>
      </c>
      <c r="T74">
        <f>HYPERLINK("https://klasma.github.io/Logging_0482/kartor/A 73923-2021 karta.png", "A 73923-2021")</f>
        <v/>
      </c>
      <c r="V74">
        <f>HYPERLINK("https://klasma.github.io/Logging_0482/klagomål/A 73923-2021 FSC-klagomål.docx", "A 73923-2021")</f>
        <v/>
      </c>
      <c r="W74">
        <f>HYPERLINK("https://klasma.github.io/Logging_0482/klagomålsmail/A 73923-2021 FSC-klagomål mail.docx", "A 73923-2021")</f>
        <v/>
      </c>
      <c r="X74">
        <f>HYPERLINK("https://klasma.github.io/Logging_0482/tillsyn/A 73923-2021 tillsynsbegäran.docx", "A 73923-2021")</f>
        <v/>
      </c>
      <c r="Y74">
        <f>HYPERLINK("https://klasma.github.io/Logging_0482/tillsynsmail/A 73923-2021 tillsynsbegäran mail.docx", "A 73923-2021")</f>
        <v/>
      </c>
    </row>
    <row r="75" ht="15" customHeight="1">
      <c r="A75" t="inlineStr">
        <is>
          <t>A 7525-2024</t>
        </is>
      </c>
      <c r="B75" s="1" t="n">
        <v>45348</v>
      </c>
      <c r="C75" s="1" t="n">
        <v>46001</v>
      </c>
      <c r="D75" t="inlineStr">
        <is>
          <t>SÖDERMANLANDS LÄN</t>
        </is>
      </c>
      <c r="E75" t="inlineStr">
        <is>
          <t>FLEN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Vanlig backsmörblomma</t>
        </is>
      </c>
      <c r="S75">
        <f>HYPERLINK("https://klasma.github.io/Logging_0482/artfynd/A 7525-2024 artfynd.xlsx", "A 7525-2024")</f>
        <v/>
      </c>
      <c r="T75">
        <f>HYPERLINK("https://klasma.github.io/Logging_0482/kartor/A 7525-2024 karta.png", "A 7525-2024")</f>
        <v/>
      </c>
      <c r="V75">
        <f>HYPERLINK("https://klasma.github.io/Logging_0482/klagomål/A 7525-2024 FSC-klagomål.docx", "A 7525-2024")</f>
        <v/>
      </c>
      <c r="W75">
        <f>HYPERLINK("https://klasma.github.io/Logging_0482/klagomålsmail/A 7525-2024 FSC-klagomål mail.docx", "A 7525-2024")</f>
        <v/>
      </c>
      <c r="X75">
        <f>HYPERLINK("https://klasma.github.io/Logging_0482/tillsyn/A 7525-2024 tillsynsbegäran.docx", "A 7525-2024")</f>
        <v/>
      </c>
      <c r="Y75">
        <f>HYPERLINK("https://klasma.github.io/Logging_0482/tillsynsmail/A 7525-2024 tillsynsbegäran mail.docx", "A 7525-2024")</f>
        <v/>
      </c>
    </row>
    <row r="76" ht="15" customHeight="1">
      <c r="A76" t="inlineStr">
        <is>
          <t>A 13858-2023</t>
        </is>
      </c>
      <c r="B76" s="1" t="n">
        <v>45007</v>
      </c>
      <c r="C76" s="1" t="n">
        <v>46001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Svedjenäva</t>
        </is>
      </c>
      <c r="S76">
        <f>HYPERLINK("https://klasma.github.io/Logging_0482/artfynd/A 13858-2023 artfynd.xlsx", "A 13858-2023")</f>
        <v/>
      </c>
      <c r="T76">
        <f>HYPERLINK("https://klasma.github.io/Logging_0482/kartor/A 13858-2023 karta.png", "A 13858-2023")</f>
        <v/>
      </c>
      <c r="V76">
        <f>HYPERLINK("https://klasma.github.io/Logging_0482/klagomål/A 13858-2023 FSC-klagomål.docx", "A 13858-2023")</f>
        <v/>
      </c>
      <c r="W76">
        <f>HYPERLINK("https://klasma.github.io/Logging_0482/klagomålsmail/A 13858-2023 FSC-klagomål mail.docx", "A 13858-2023")</f>
        <v/>
      </c>
      <c r="X76">
        <f>HYPERLINK("https://klasma.github.io/Logging_0482/tillsyn/A 13858-2023 tillsynsbegäran.docx", "A 13858-2023")</f>
        <v/>
      </c>
      <c r="Y76">
        <f>HYPERLINK("https://klasma.github.io/Logging_0482/tillsynsmail/A 13858-2023 tillsynsbegäran mail.docx", "A 13858-2023")</f>
        <v/>
      </c>
    </row>
    <row r="77" ht="15" customHeight="1">
      <c r="A77" t="inlineStr">
        <is>
          <t>A 39240-2023</t>
        </is>
      </c>
      <c r="B77" s="1" t="n">
        <v>45166</v>
      </c>
      <c r="C77" s="1" t="n">
        <v>46001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4.6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Blodticka</t>
        </is>
      </c>
      <c r="S77">
        <f>HYPERLINK("https://klasma.github.io/Logging_0482/artfynd/A 39240-2023 artfynd.xlsx", "A 39240-2023")</f>
        <v/>
      </c>
      <c r="T77">
        <f>HYPERLINK("https://klasma.github.io/Logging_0482/kartor/A 39240-2023 karta.png", "A 39240-2023")</f>
        <v/>
      </c>
      <c r="V77">
        <f>HYPERLINK("https://klasma.github.io/Logging_0482/klagomål/A 39240-2023 FSC-klagomål.docx", "A 39240-2023")</f>
        <v/>
      </c>
      <c r="W77">
        <f>HYPERLINK("https://klasma.github.io/Logging_0482/klagomålsmail/A 39240-2023 FSC-klagomål mail.docx", "A 39240-2023")</f>
        <v/>
      </c>
      <c r="X77">
        <f>HYPERLINK("https://klasma.github.io/Logging_0482/tillsyn/A 39240-2023 tillsynsbegäran.docx", "A 39240-2023")</f>
        <v/>
      </c>
      <c r="Y77">
        <f>HYPERLINK("https://klasma.github.io/Logging_0482/tillsynsmail/A 39240-2023 tillsynsbegäran mail.docx", "A 39240-2023")</f>
        <v/>
      </c>
    </row>
    <row r="78" ht="15" customHeight="1">
      <c r="A78" t="inlineStr">
        <is>
          <t>A 12371-2022</t>
        </is>
      </c>
      <c r="B78" s="1" t="n">
        <v>44637.78113425926</v>
      </c>
      <c r="C78" s="1" t="n">
        <v>46001</v>
      </c>
      <c r="D78" t="inlineStr">
        <is>
          <t>SÖDERMANLANDS LÄN</t>
        </is>
      </c>
      <c r="E78" t="inlineStr">
        <is>
          <t>FLEN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HYPERLINK("https://klasma.github.io/Logging_0482/artfynd/A 12371-2022 artfynd.xlsx", "A 12371-2022")</f>
        <v/>
      </c>
      <c r="T78">
        <f>HYPERLINK("https://klasma.github.io/Logging_0482/kartor/A 12371-2022 karta.png", "A 12371-2022")</f>
        <v/>
      </c>
      <c r="V78">
        <f>HYPERLINK("https://klasma.github.io/Logging_0482/klagomål/A 12371-2022 FSC-klagomål.docx", "A 12371-2022")</f>
        <v/>
      </c>
      <c r="W78">
        <f>HYPERLINK("https://klasma.github.io/Logging_0482/klagomålsmail/A 12371-2022 FSC-klagomål mail.docx", "A 12371-2022")</f>
        <v/>
      </c>
      <c r="X78">
        <f>HYPERLINK("https://klasma.github.io/Logging_0482/tillsyn/A 12371-2022 tillsynsbegäran.docx", "A 12371-2022")</f>
        <v/>
      </c>
      <c r="Y78">
        <f>HYPERLINK("https://klasma.github.io/Logging_0482/tillsynsmail/A 12371-2022 tillsynsbegäran mail.docx", "A 12371-2022")</f>
        <v/>
      </c>
    </row>
    <row r="79" ht="15" customHeight="1">
      <c r="A79" t="inlineStr">
        <is>
          <t>A 14113-2025</t>
        </is>
      </c>
      <c r="B79" s="1" t="n">
        <v>45740</v>
      </c>
      <c r="C79" s="1" t="n">
        <v>46001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3.6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HYPERLINK("https://klasma.github.io/Logging_0482/artfynd/A 14113-2025 artfynd.xlsx", "A 14113-2025")</f>
        <v/>
      </c>
      <c r="T79">
        <f>HYPERLINK("https://klasma.github.io/Logging_0482/kartor/A 14113-2025 karta.png", "A 14113-2025")</f>
        <v/>
      </c>
      <c r="V79">
        <f>HYPERLINK("https://klasma.github.io/Logging_0482/klagomål/A 14113-2025 FSC-klagomål.docx", "A 14113-2025")</f>
        <v/>
      </c>
      <c r="W79">
        <f>HYPERLINK("https://klasma.github.io/Logging_0482/klagomålsmail/A 14113-2025 FSC-klagomål mail.docx", "A 14113-2025")</f>
        <v/>
      </c>
      <c r="X79">
        <f>HYPERLINK("https://klasma.github.io/Logging_0482/tillsyn/A 14113-2025 tillsynsbegäran.docx", "A 14113-2025")</f>
        <v/>
      </c>
      <c r="Y79">
        <f>HYPERLINK("https://klasma.github.io/Logging_0482/tillsynsmail/A 14113-2025 tillsynsbegäran mail.docx", "A 14113-2025")</f>
        <v/>
      </c>
    </row>
    <row r="80" ht="15" customHeight="1">
      <c r="A80" t="inlineStr">
        <is>
          <t>A 39036-2023</t>
        </is>
      </c>
      <c r="B80" s="1" t="n">
        <v>45163</v>
      </c>
      <c r="C80" s="1" t="n">
        <v>46001</v>
      </c>
      <c r="D80" t="inlineStr">
        <is>
          <t>SÖDERMANLANDS LÄN</t>
        </is>
      </c>
      <c r="E80" t="inlineStr">
        <is>
          <t>FLEN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HYPERLINK("https://klasma.github.io/Logging_0482/artfynd/A 39036-2023 artfynd.xlsx", "A 39036-2023")</f>
        <v/>
      </c>
      <c r="T80">
        <f>HYPERLINK("https://klasma.github.io/Logging_0482/kartor/A 39036-2023 karta.png", "A 39036-2023")</f>
        <v/>
      </c>
      <c r="V80">
        <f>HYPERLINK("https://klasma.github.io/Logging_0482/klagomål/A 39036-2023 FSC-klagomål.docx", "A 39036-2023")</f>
        <v/>
      </c>
      <c r="W80">
        <f>HYPERLINK("https://klasma.github.io/Logging_0482/klagomålsmail/A 39036-2023 FSC-klagomål mail.docx", "A 39036-2023")</f>
        <v/>
      </c>
      <c r="X80">
        <f>HYPERLINK("https://klasma.github.io/Logging_0482/tillsyn/A 39036-2023 tillsynsbegäran.docx", "A 39036-2023")</f>
        <v/>
      </c>
      <c r="Y80">
        <f>HYPERLINK("https://klasma.github.io/Logging_0482/tillsynsmail/A 39036-2023 tillsynsbegäran mail.docx", "A 39036-2023")</f>
        <v/>
      </c>
    </row>
    <row r="81" ht="15" customHeight="1">
      <c r="A81" t="inlineStr">
        <is>
          <t>A 59607-2022</t>
        </is>
      </c>
      <c r="B81" s="1" t="n">
        <v>44907.73267361111</v>
      </c>
      <c r="C81" s="1" t="n">
        <v>46001</v>
      </c>
      <c r="D81" t="inlineStr">
        <is>
          <t>SÖDERMANLANDS LÄN</t>
        </is>
      </c>
      <c r="E81" t="inlineStr">
        <is>
          <t>FLEN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59607-2022 artfynd.xlsx", "A 59607-2022")</f>
        <v/>
      </c>
      <c r="T81">
        <f>HYPERLINK("https://klasma.github.io/Logging_0482/kartor/A 59607-2022 karta.png", "A 59607-2022")</f>
        <v/>
      </c>
      <c r="V81">
        <f>HYPERLINK("https://klasma.github.io/Logging_0482/klagomål/A 59607-2022 FSC-klagomål.docx", "A 59607-2022")</f>
        <v/>
      </c>
      <c r="W81">
        <f>HYPERLINK("https://klasma.github.io/Logging_0482/klagomålsmail/A 59607-2022 FSC-klagomål mail.docx", "A 59607-2022")</f>
        <v/>
      </c>
      <c r="X81">
        <f>HYPERLINK("https://klasma.github.io/Logging_0482/tillsyn/A 59607-2022 tillsynsbegäran.docx", "A 59607-2022")</f>
        <v/>
      </c>
      <c r="Y81">
        <f>HYPERLINK("https://klasma.github.io/Logging_0482/tillsynsmail/A 59607-2022 tillsynsbegäran mail.docx", "A 59607-2022")</f>
        <v/>
      </c>
    </row>
    <row r="82" ht="15" customHeight="1">
      <c r="A82" t="inlineStr">
        <is>
          <t>A 47756-2022</t>
        </is>
      </c>
      <c r="B82" s="1" t="n">
        <v>44854.67711805556</v>
      </c>
      <c r="C82" s="1" t="n">
        <v>46001</v>
      </c>
      <c r="D82" t="inlineStr">
        <is>
          <t>SÖDERMANLANDS LÄN</t>
        </is>
      </c>
      <c r="E82" t="inlineStr">
        <is>
          <t>FLEN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47756-2022 artfynd.xlsx", "A 47756-2022")</f>
        <v/>
      </c>
      <c r="T82">
        <f>HYPERLINK("https://klasma.github.io/Logging_0482/kartor/A 47756-2022 karta.png", "A 47756-2022")</f>
        <v/>
      </c>
      <c r="V82">
        <f>HYPERLINK("https://klasma.github.io/Logging_0482/klagomål/A 47756-2022 FSC-klagomål.docx", "A 47756-2022")</f>
        <v/>
      </c>
      <c r="W82">
        <f>HYPERLINK("https://klasma.github.io/Logging_0482/klagomålsmail/A 47756-2022 FSC-klagomål mail.docx", "A 47756-2022")</f>
        <v/>
      </c>
      <c r="X82">
        <f>HYPERLINK("https://klasma.github.io/Logging_0482/tillsyn/A 47756-2022 tillsynsbegäran.docx", "A 47756-2022")</f>
        <v/>
      </c>
      <c r="Y82">
        <f>HYPERLINK("https://klasma.github.io/Logging_0482/tillsynsmail/A 47756-2022 tillsynsbegäran mail.docx", "A 47756-2022")</f>
        <v/>
      </c>
    </row>
    <row r="83" ht="15" customHeight="1">
      <c r="A83" t="inlineStr">
        <is>
          <t>A 10828-2025</t>
        </is>
      </c>
      <c r="B83" s="1" t="n">
        <v>45722.56230324074</v>
      </c>
      <c r="C83" s="1" t="n">
        <v>46001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HYPERLINK("https://klasma.github.io/Logging_0482/artfynd/A 10828-2025 artfynd.xlsx", "A 10828-2025")</f>
        <v/>
      </c>
      <c r="T83">
        <f>HYPERLINK("https://klasma.github.io/Logging_0482/kartor/A 10828-2025 karta.png", "A 10828-2025")</f>
        <v/>
      </c>
      <c r="V83">
        <f>HYPERLINK("https://klasma.github.io/Logging_0482/klagomål/A 10828-2025 FSC-klagomål.docx", "A 10828-2025")</f>
        <v/>
      </c>
      <c r="W83">
        <f>HYPERLINK("https://klasma.github.io/Logging_0482/klagomålsmail/A 10828-2025 FSC-klagomål mail.docx", "A 10828-2025")</f>
        <v/>
      </c>
      <c r="X83">
        <f>HYPERLINK("https://klasma.github.io/Logging_0482/tillsyn/A 10828-2025 tillsynsbegäran.docx", "A 10828-2025")</f>
        <v/>
      </c>
      <c r="Y83">
        <f>HYPERLINK("https://klasma.github.io/Logging_0482/tillsynsmail/A 10828-2025 tillsynsbegäran mail.docx", "A 10828-2025")</f>
        <v/>
      </c>
    </row>
    <row r="84" ht="15" customHeight="1">
      <c r="A84" t="inlineStr">
        <is>
          <t>A 53339-2023</t>
        </is>
      </c>
      <c r="B84" s="1" t="n">
        <v>45222</v>
      </c>
      <c r="C84" s="1" t="n">
        <v>46001</v>
      </c>
      <c r="D84" t="inlineStr">
        <is>
          <t>SÖDERMANLANDS LÄN</t>
        </is>
      </c>
      <c r="E84" t="inlineStr">
        <is>
          <t>FLEN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53339-2023 artfynd.xlsx", "A 53339-2023")</f>
        <v/>
      </c>
      <c r="T84">
        <f>HYPERLINK("https://klasma.github.io/Logging_0482/kartor/A 53339-2023 karta.png", "A 53339-2023")</f>
        <v/>
      </c>
      <c r="V84">
        <f>HYPERLINK("https://klasma.github.io/Logging_0482/klagomål/A 53339-2023 FSC-klagomål.docx", "A 53339-2023")</f>
        <v/>
      </c>
      <c r="W84">
        <f>HYPERLINK("https://klasma.github.io/Logging_0482/klagomålsmail/A 53339-2023 FSC-klagomål mail.docx", "A 53339-2023")</f>
        <v/>
      </c>
      <c r="X84">
        <f>HYPERLINK("https://klasma.github.io/Logging_0482/tillsyn/A 53339-2023 tillsynsbegäran.docx", "A 53339-2023")</f>
        <v/>
      </c>
      <c r="Y84">
        <f>HYPERLINK("https://klasma.github.io/Logging_0482/tillsynsmail/A 53339-2023 tillsynsbegäran mail.docx", "A 53339-2023")</f>
        <v/>
      </c>
    </row>
    <row r="85" ht="15" customHeight="1">
      <c r="A85" t="inlineStr">
        <is>
          <t>A 12306-2022</t>
        </is>
      </c>
      <c r="B85" s="1" t="n">
        <v>44637</v>
      </c>
      <c r="C85" s="1" t="n">
        <v>46001</v>
      </c>
      <c r="D85" t="inlineStr">
        <is>
          <t>SÖDERMANLANDS LÄN</t>
        </is>
      </c>
      <c r="E85" t="inlineStr">
        <is>
          <t>FLEN</t>
        </is>
      </c>
      <c r="G85" t="n">
        <v>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Järnsparv</t>
        </is>
      </c>
      <c r="S85">
        <f>HYPERLINK("https://klasma.github.io/Logging_0482/artfynd/A 12306-2022 artfynd.xlsx", "A 12306-2022")</f>
        <v/>
      </c>
      <c r="T85">
        <f>HYPERLINK("https://klasma.github.io/Logging_0482/kartor/A 12306-2022 karta.png", "A 12306-2022")</f>
        <v/>
      </c>
      <c r="V85">
        <f>HYPERLINK("https://klasma.github.io/Logging_0482/klagomål/A 12306-2022 FSC-klagomål.docx", "A 12306-2022")</f>
        <v/>
      </c>
      <c r="W85">
        <f>HYPERLINK("https://klasma.github.io/Logging_0482/klagomålsmail/A 12306-2022 FSC-klagomål mail.docx", "A 12306-2022")</f>
        <v/>
      </c>
      <c r="X85">
        <f>HYPERLINK("https://klasma.github.io/Logging_0482/tillsyn/A 12306-2022 tillsynsbegäran.docx", "A 12306-2022")</f>
        <v/>
      </c>
      <c r="Y85">
        <f>HYPERLINK("https://klasma.github.io/Logging_0482/tillsynsmail/A 12306-2022 tillsynsbegäran mail.docx", "A 12306-2022")</f>
        <v/>
      </c>
      <c r="Z85">
        <f>HYPERLINK("https://klasma.github.io/Logging_0482/fåglar/A 12306-2022 prioriterade fågelarter.docx", "A 12306-2022")</f>
        <v/>
      </c>
    </row>
    <row r="86" ht="15" customHeight="1">
      <c r="A86" t="inlineStr">
        <is>
          <t>A 46987-2024</t>
        </is>
      </c>
      <c r="B86" s="1" t="n">
        <v>45586.35740740741</v>
      </c>
      <c r="C86" s="1" t="n">
        <v>46001</v>
      </c>
      <c r="D86" t="inlineStr">
        <is>
          <t>SÖDERMANLANDS LÄN</t>
        </is>
      </c>
      <c r="E86" t="inlineStr">
        <is>
          <t>FLEN</t>
        </is>
      </c>
      <c r="G86" t="n">
        <v>1.2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46987-2024 artfynd.xlsx", "A 46987-2024")</f>
        <v/>
      </c>
      <c r="T86">
        <f>HYPERLINK("https://klasma.github.io/Logging_0482/kartor/A 46987-2024 karta.png", "A 46987-2024")</f>
        <v/>
      </c>
      <c r="V86">
        <f>HYPERLINK("https://klasma.github.io/Logging_0482/klagomål/A 46987-2024 FSC-klagomål.docx", "A 46987-2024")</f>
        <v/>
      </c>
      <c r="W86">
        <f>HYPERLINK("https://klasma.github.io/Logging_0482/klagomålsmail/A 46987-2024 FSC-klagomål mail.docx", "A 46987-2024")</f>
        <v/>
      </c>
      <c r="X86">
        <f>HYPERLINK("https://klasma.github.io/Logging_0482/tillsyn/A 46987-2024 tillsynsbegäran.docx", "A 46987-2024")</f>
        <v/>
      </c>
      <c r="Y86">
        <f>HYPERLINK("https://klasma.github.io/Logging_0482/tillsynsmail/A 46987-2024 tillsynsbegäran mail.docx", "A 46987-2024")</f>
        <v/>
      </c>
    </row>
    <row r="87" ht="15" customHeight="1">
      <c r="A87" t="inlineStr">
        <is>
          <t>A 49255-2021</t>
        </is>
      </c>
      <c r="B87" s="1" t="n">
        <v>44454</v>
      </c>
      <c r="C87" s="1" t="n">
        <v>46001</v>
      </c>
      <c r="D87" t="inlineStr">
        <is>
          <t>SÖDERMANLANDS LÄN</t>
        </is>
      </c>
      <c r="E87" t="inlineStr">
        <is>
          <t>FLEN</t>
        </is>
      </c>
      <c r="G87" t="n">
        <v>15.6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HYPERLINK("https://klasma.github.io/Logging_0482/artfynd/A 49255-2021 artfynd.xlsx", "A 49255-2021")</f>
        <v/>
      </c>
      <c r="T87">
        <f>HYPERLINK("https://klasma.github.io/Logging_0482/kartor/A 49255-2021 karta.png", "A 49255-2021")</f>
        <v/>
      </c>
      <c r="V87">
        <f>HYPERLINK("https://klasma.github.io/Logging_0482/klagomål/A 49255-2021 FSC-klagomål.docx", "A 49255-2021")</f>
        <v/>
      </c>
      <c r="W87">
        <f>HYPERLINK("https://klasma.github.io/Logging_0482/klagomålsmail/A 49255-2021 FSC-klagomål mail.docx", "A 49255-2021")</f>
        <v/>
      </c>
      <c r="X87">
        <f>HYPERLINK("https://klasma.github.io/Logging_0482/tillsyn/A 49255-2021 tillsynsbegäran.docx", "A 49255-2021")</f>
        <v/>
      </c>
      <c r="Y87">
        <f>HYPERLINK("https://klasma.github.io/Logging_0482/tillsynsmail/A 49255-2021 tillsynsbegäran mail.docx", "A 49255-2021")</f>
        <v/>
      </c>
    </row>
    <row r="88" ht="15" customHeight="1">
      <c r="A88" t="inlineStr">
        <is>
          <t>A 60591-2022</t>
        </is>
      </c>
      <c r="B88" s="1" t="n">
        <v>44911</v>
      </c>
      <c r="C88" s="1" t="n">
        <v>46001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1.3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HYPERLINK("https://klasma.github.io/Logging_0482/artfynd/A 60591-2022 artfynd.xlsx", "A 60591-2022")</f>
        <v/>
      </c>
      <c r="T88">
        <f>HYPERLINK("https://klasma.github.io/Logging_0482/kartor/A 60591-2022 karta.png", "A 60591-2022")</f>
        <v/>
      </c>
      <c r="V88">
        <f>HYPERLINK("https://klasma.github.io/Logging_0482/klagomål/A 60591-2022 FSC-klagomål.docx", "A 60591-2022")</f>
        <v/>
      </c>
      <c r="W88">
        <f>HYPERLINK("https://klasma.github.io/Logging_0482/klagomålsmail/A 60591-2022 FSC-klagomål mail.docx", "A 60591-2022")</f>
        <v/>
      </c>
      <c r="X88">
        <f>HYPERLINK("https://klasma.github.io/Logging_0482/tillsyn/A 60591-2022 tillsynsbegäran.docx", "A 60591-2022")</f>
        <v/>
      </c>
      <c r="Y88">
        <f>HYPERLINK("https://klasma.github.io/Logging_0482/tillsynsmail/A 60591-2022 tillsynsbegäran mail.docx", "A 60591-2022")</f>
        <v/>
      </c>
    </row>
    <row r="89" ht="15" customHeight="1">
      <c r="A89" t="inlineStr">
        <is>
          <t>A 34823-2023</t>
        </is>
      </c>
      <c r="B89" s="1" t="n">
        <v>45140</v>
      </c>
      <c r="C89" s="1" t="n">
        <v>46001</v>
      </c>
      <c r="D89" t="inlineStr">
        <is>
          <t>SÖDERMANLANDS LÄN</t>
        </is>
      </c>
      <c r="E89" t="inlineStr">
        <is>
          <t>FLEN</t>
        </is>
      </c>
      <c r="G89" t="n">
        <v>1.3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Mörk dunört</t>
        </is>
      </c>
      <c r="S89">
        <f>HYPERLINK("https://klasma.github.io/Logging_0482/artfynd/A 34823-2023 artfynd.xlsx", "A 34823-2023")</f>
        <v/>
      </c>
      <c r="T89">
        <f>HYPERLINK("https://klasma.github.io/Logging_0482/kartor/A 34823-2023 karta.png", "A 34823-2023")</f>
        <v/>
      </c>
      <c r="V89">
        <f>HYPERLINK("https://klasma.github.io/Logging_0482/klagomål/A 34823-2023 FSC-klagomål.docx", "A 34823-2023")</f>
        <v/>
      </c>
      <c r="W89">
        <f>HYPERLINK("https://klasma.github.io/Logging_0482/klagomålsmail/A 34823-2023 FSC-klagomål mail.docx", "A 34823-2023")</f>
        <v/>
      </c>
      <c r="X89">
        <f>HYPERLINK("https://klasma.github.io/Logging_0482/tillsyn/A 34823-2023 tillsynsbegäran.docx", "A 34823-2023")</f>
        <v/>
      </c>
      <c r="Y89">
        <f>HYPERLINK("https://klasma.github.io/Logging_0482/tillsynsmail/A 34823-2023 tillsynsbegäran mail.docx", "A 34823-2023")</f>
        <v/>
      </c>
    </row>
    <row r="90" ht="15" customHeight="1">
      <c r="A90" t="inlineStr">
        <is>
          <t>A 49808-2023</t>
        </is>
      </c>
      <c r="B90" s="1" t="n">
        <v>45212</v>
      </c>
      <c r="C90" s="1" t="n">
        <v>46001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12.3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49808-2023 artfynd.xlsx", "A 49808-2023")</f>
        <v/>
      </c>
      <c r="T90">
        <f>HYPERLINK("https://klasma.github.io/Logging_0482/kartor/A 49808-2023 karta.png", "A 49808-2023")</f>
        <v/>
      </c>
      <c r="V90">
        <f>HYPERLINK("https://klasma.github.io/Logging_0482/klagomål/A 49808-2023 FSC-klagomål.docx", "A 49808-2023")</f>
        <v/>
      </c>
      <c r="W90">
        <f>HYPERLINK("https://klasma.github.io/Logging_0482/klagomålsmail/A 49808-2023 FSC-klagomål mail.docx", "A 49808-2023")</f>
        <v/>
      </c>
      <c r="X90">
        <f>HYPERLINK("https://klasma.github.io/Logging_0482/tillsyn/A 49808-2023 tillsynsbegäran.docx", "A 49808-2023")</f>
        <v/>
      </c>
      <c r="Y90">
        <f>HYPERLINK("https://klasma.github.io/Logging_0482/tillsynsmail/A 49808-2023 tillsynsbegäran mail.docx", "A 49808-2023")</f>
        <v/>
      </c>
    </row>
    <row r="91" ht="15" customHeight="1">
      <c r="A91" t="inlineStr">
        <is>
          <t>A 60529-2024</t>
        </is>
      </c>
      <c r="B91" s="1" t="n">
        <v>45643.70822916667</v>
      </c>
      <c r="C91" s="1" t="n">
        <v>46001</v>
      </c>
      <c r="D91" t="inlineStr">
        <is>
          <t>SÖDERMANLANDS LÄN</t>
        </is>
      </c>
      <c r="E91" t="inlineStr">
        <is>
          <t>FLEN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HYPERLINK("https://klasma.github.io/Logging_0482/artfynd/A 60529-2024 artfynd.xlsx", "A 60529-2024")</f>
        <v/>
      </c>
      <c r="T91">
        <f>HYPERLINK("https://klasma.github.io/Logging_0482/kartor/A 60529-2024 karta.png", "A 60529-2024")</f>
        <v/>
      </c>
      <c r="V91">
        <f>HYPERLINK("https://klasma.github.io/Logging_0482/klagomål/A 60529-2024 FSC-klagomål.docx", "A 60529-2024")</f>
        <v/>
      </c>
      <c r="W91">
        <f>HYPERLINK("https://klasma.github.io/Logging_0482/klagomålsmail/A 60529-2024 FSC-klagomål mail.docx", "A 60529-2024")</f>
        <v/>
      </c>
      <c r="X91">
        <f>HYPERLINK("https://klasma.github.io/Logging_0482/tillsyn/A 60529-2024 tillsynsbegäran.docx", "A 60529-2024")</f>
        <v/>
      </c>
      <c r="Y91">
        <f>HYPERLINK("https://klasma.github.io/Logging_0482/tillsynsmail/A 60529-2024 tillsynsbegäran mail.docx", "A 60529-2024")</f>
        <v/>
      </c>
    </row>
    <row r="92" ht="15" customHeight="1">
      <c r="A92" t="inlineStr">
        <is>
          <t>A 7973-2024</t>
        </is>
      </c>
      <c r="B92" s="1" t="n">
        <v>45350.58791666666</v>
      </c>
      <c r="C92" s="1" t="n">
        <v>46001</v>
      </c>
      <c r="D92" t="inlineStr">
        <is>
          <t>SÖDERMANLANDS LÄN</t>
        </is>
      </c>
      <c r="E92" t="inlineStr">
        <is>
          <t>FLEN</t>
        </is>
      </c>
      <c r="G92" t="n">
        <v>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Vippärt</t>
        </is>
      </c>
      <c r="S92">
        <f>HYPERLINK("https://klasma.github.io/Logging_0482/artfynd/A 7973-2024 artfynd.xlsx", "A 7973-2024")</f>
        <v/>
      </c>
      <c r="T92">
        <f>HYPERLINK("https://klasma.github.io/Logging_0482/kartor/A 7973-2024 karta.png", "A 7973-2024")</f>
        <v/>
      </c>
      <c r="V92">
        <f>HYPERLINK("https://klasma.github.io/Logging_0482/klagomål/A 7973-2024 FSC-klagomål.docx", "A 7973-2024")</f>
        <v/>
      </c>
      <c r="W92">
        <f>HYPERLINK("https://klasma.github.io/Logging_0482/klagomålsmail/A 7973-2024 FSC-klagomål mail.docx", "A 7973-2024")</f>
        <v/>
      </c>
      <c r="X92">
        <f>HYPERLINK("https://klasma.github.io/Logging_0482/tillsyn/A 7973-2024 tillsynsbegäran.docx", "A 7973-2024")</f>
        <v/>
      </c>
      <c r="Y92">
        <f>HYPERLINK("https://klasma.github.io/Logging_0482/tillsynsmail/A 7973-2024 tillsynsbegäran mail.docx", "A 7973-2024")</f>
        <v/>
      </c>
    </row>
    <row r="93" ht="15" customHeight="1">
      <c r="A93" t="inlineStr">
        <is>
          <t>A 49594-2024</t>
        </is>
      </c>
      <c r="B93" s="1" t="n">
        <v>45596</v>
      </c>
      <c r="C93" s="1" t="n">
        <v>46001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HYPERLINK("https://klasma.github.io/Logging_0482/artfynd/A 49594-2024 artfynd.xlsx", "A 49594-2024")</f>
        <v/>
      </c>
      <c r="T93">
        <f>HYPERLINK("https://klasma.github.io/Logging_0482/kartor/A 49594-2024 karta.png", "A 49594-2024")</f>
        <v/>
      </c>
      <c r="V93">
        <f>HYPERLINK("https://klasma.github.io/Logging_0482/klagomål/A 49594-2024 FSC-klagomål.docx", "A 49594-2024")</f>
        <v/>
      </c>
      <c r="W93">
        <f>HYPERLINK("https://klasma.github.io/Logging_0482/klagomålsmail/A 49594-2024 FSC-klagomål mail.docx", "A 49594-2024")</f>
        <v/>
      </c>
      <c r="X93">
        <f>HYPERLINK("https://klasma.github.io/Logging_0482/tillsyn/A 49594-2024 tillsynsbegäran.docx", "A 49594-2024")</f>
        <v/>
      </c>
      <c r="Y93">
        <f>HYPERLINK("https://klasma.github.io/Logging_0482/tillsynsmail/A 49594-2024 tillsynsbegäran mail.docx", "A 49594-2024")</f>
        <v/>
      </c>
      <c r="Z93">
        <f>HYPERLINK("https://klasma.github.io/Logging_0482/fåglar/A 49594-2024 prioriterade fågelarter.docx", "A 49594-2024")</f>
        <v/>
      </c>
    </row>
    <row r="94" ht="15" customHeight="1">
      <c r="A94" t="inlineStr">
        <is>
          <t>A 37317-2023</t>
        </is>
      </c>
      <c r="B94" s="1" t="n">
        <v>45156</v>
      </c>
      <c r="C94" s="1" t="n">
        <v>46001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5.1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Svavelriska</t>
        </is>
      </c>
      <c r="S94">
        <f>HYPERLINK("https://klasma.github.io/Logging_0482/artfynd/A 37317-2023 artfynd.xlsx", "A 37317-2023")</f>
        <v/>
      </c>
      <c r="T94">
        <f>HYPERLINK("https://klasma.github.io/Logging_0482/kartor/A 37317-2023 karta.png", "A 37317-2023")</f>
        <v/>
      </c>
      <c r="V94">
        <f>HYPERLINK("https://klasma.github.io/Logging_0482/klagomål/A 37317-2023 FSC-klagomål.docx", "A 37317-2023")</f>
        <v/>
      </c>
      <c r="W94">
        <f>HYPERLINK("https://klasma.github.io/Logging_0482/klagomålsmail/A 37317-2023 FSC-klagomål mail.docx", "A 37317-2023")</f>
        <v/>
      </c>
      <c r="X94">
        <f>HYPERLINK("https://klasma.github.io/Logging_0482/tillsyn/A 37317-2023 tillsynsbegäran.docx", "A 37317-2023")</f>
        <v/>
      </c>
      <c r="Y94">
        <f>HYPERLINK("https://klasma.github.io/Logging_0482/tillsynsmail/A 37317-2023 tillsynsbegäran mail.docx", "A 37317-2023")</f>
        <v/>
      </c>
    </row>
    <row r="95" ht="15" customHeight="1">
      <c r="A95" t="inlineStr">
        <is>
          <t>A 29236-2021</t>
        </is>
      </c>
      <c r="B95" s="1" t="n">
        <v>44360</v>
      </c>
      <c r="C95" s="1" t="n">
        <v>46001</v>
      </c>
      <c r="D95" t="inlineStr">
        <is>
          <t>SÖDERMANLANDS LÄN</t>
        </is>
      </c>
      <c r="E95" t="inlineStr">
        <is>
          <t>FLEN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62223-2021</t>
        </is>
      </c>
      <c r="B96" s="1" t="n">
        <v>44501</v>
      </c>
      <c r="C96" s="1" t="n">
        <v>46001</v>
      </c>
      <c r="D96" t="inlineStr">
        <is>
          <t>SÖDERMANLANDS LÄN</t>
        </is>
      </c>
      <c r="E96" t="inlineStr">
        <is>
          <t>FLEN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16520-2021</t>
        </is>
      </c>
      <c r="B97" s="1" t="n">
        <v>44293</v>
      </c>
      <c r="C97" s="1" t="n">
        <v>46001</v>
      </c>
      <c r="D97" t="inlineStr">
        <is>
          <t>SÖDERMANLANDS LÄN</t>
        </is>
      </c>
      <c r="E97" t="inlineStr">
        <is>
          <t>FLEN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15062-2021</t>
        </is>
      </c>
      <c r="B98" s="1" t="n">
        <v>44281</v>
      </c>
      <c r="C98" s="1" t="n">
        <v>46001</v>
      </c>
      <c r="D98" t="inlineStr">
        <is>
          <t>SÖDERMANLANDS LÄN</t>
        </is>
      </c>
      <c r="E98" t="inlineStr">
        <is>
          <t>FLEN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24037-2022</t>
        </is>
      </c>
      <c r="B99" s="1" t="n">
        <v>44724.49127314815</v>
      </c>
      <c r="C99" s="1" t="n">
        <v>46001</v>
      </c>
      <c r="D99" t="inlineStr">
        <is>
          <t>SÖDERMANLANDS LÄN</t>
        </is>
      </c>
      <c r="E99" t="inlineStr">
        <is>
          <t>FLEN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39513-2021</t>
        </is>
      </c>
      <c r="B100" s="1" t="n">
        <v>44414</v>
      </c>
      <c r="C100" s="1" t="n">
        <v>46001</v>
      </c>
      <c r="D100" t="inlineStr">
        <is>
          <t>SÖDERMANLANDS LÄN</t>
        </is>
      </c>
      <c r="E100" t="inlineStr">
        <is>
          <t>FLEN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587-2021</t>
        </is>
      </c>
      <c r="B101" s="1" t="n">
        <v>44203</v>
      </c>
      <c r="C101" s="1" t="n">
        <v>46001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70701-2021</t>
        </is>
      </c>
      <c r="B102" s="1" t="n">
        <v>44536</v>
      </c>
      <c r="C102" s="1" t="n">
        <v>46001</v>
      </c>
      <c r="D102" t="inlineStr">
        <is>
          <t>SÖDERMANLANDS LÄN</t>
        </is>
      </c>
      <c r="E102" t="inlineStr">
        <is>
          <t>FLEN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50500-2021</t>
        </is>
      </c>
      <c r="B103" s="1" t="n">
        <v>44458</v>
      </c>
      <c r="C103" s="1" t="n">
        <v>46001</v>
      </c>
      <c r="D103" t="inlineStr">
        <is>
          <t>SÖDERMANLANDS LÄN</t>
        </is>
      </c>
      <c r="E103" t="inlineStr">
        <is>
          <t>FLEN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8990-2022</t>
        </is>
      </c>
      <c r="B104" s="1" t="n">
        <v>44614</v>
      </c>
      <c r="C104" s="1" t="n">
        <v>46001</v>
      </c>
      <c r="D104" t="inlineStr">
        <is>
          <t>SÖDERMANLANDS LÄN</t>
        </is>
      </c>
      <c r="E104" t="inlineStr">
        <is>
          <t>FLEN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70215-2021</t>
        </is>
      </c>
      <c r="B105" s="1" t="n">
        <v>44535</v>
      </c>
      <c r="C105" s="1" t="n">
        <v>46001</v>
      </c>
      <c r="D105" t="inlineStr">
        <is>
          <t>SÖDERMANLANDS LÄN</t>
        </is>
      </c>
      <c r="E105" t="inlineStr">
        <is>
          <t>FLEN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39518-2021</t>
        </is>
      </c>
      <c r="B106" s="1" t="n">
        <v>44414</v>
      </c>
      <c r="C106" s="1" t="n">
        <v>46001</v>
      </c>
      <c r="D106" t="inlineStr">
        <is>
          <t>SÖDERMANLANDS LÄN</t>
        </is>
      </c>
      <c r="E106" t="inlineStr">
        <is>
          <t>FLEN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14973-2021</t>
        </is>
      </c>
      <c r="B107" s="1" t="n">
        <v>44281</v>
      </c>
      <c r="C107" s="1" t="n">
        <v>46001</v>
      </c>
      <c r="D107" t="inlineStr">
        <is>
          <t>SÖDERMANLANDS LÄN</t>
        </is>
      </c>
      <c r="E107" t="inlineStr">
        <is>
          <t>FLEN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3513-2021</t>
        </is>
      </c>
      <c r="B108" s="1" t="n">
        <v>44218</v>
      </c>
      <c r="C108" s="1" t="n">
        <v>46001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9373-2021</t>
        </is>
      </c>
      <c r="B109" s="1" t="n">
        <v>44250</v>
      </c>
      <c r="C109" s="1" t="n">
        <v>46001</v>
      </c>
      <c r="D109" t="inlineStr">
        <is>
          <t>SÖDERMANLANDS LÄN</t>
        </is>
      </c>
      <c r="E109" t="inlineStr">
        <is>
          <t>FLEN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29234-2021</t>
        </is>
      </c>
      <c r="B110" s="1" t="n">
        <v>44360.70498842592</v>
      </c>
      <c r="C110" s="1" t="n">
        <v>46001</v>
      </c>
      <c r="D110" t="inlineStr">
        <is>
          <t>SÖDERMANLANDS LÄN</t>
        </is>
      </c>
      <c r="E110" t="inlineStr">
        <is>
          <t>FLEN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17987-2021</t>
        </is>
      </c>
      <c r="B111" s="1" t="n">
        <v>44301</v>
      </c>
      <c r="C111" s="1" t="n">
        <v>46001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38842-2021</t>
        </is>
      </c>
      <c r="B112" s="1" t="n">
        <v>44411</v>
      </c>
      <c r="C112" s="1" t="n">
        <v>46001</v>
      </c>
      <c r="D112" t="inlineStr">
        <is>
          <t>SÖDERMANLANDS LÄN</t>
        </is>
      </c>
      <c r="E112" t="inlineStr">
        <is>
          <t>FLEN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48925-2021</t>
        </is>
      </c>
      <c r="B113" s="1" t="n">
        <v>44452</v>
      </c>
      <c r="C113" s="1" t="n">
        <v>46001</v>
      </c>
      <c r="D113" t="inlineStr">
        <is>
          <t>SÖDERMANLANDS LÄN</t>
        </is>
      </c>
      <c r="E113" t="inlineStr">
        <is>
          <t>FLEN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2488-2021</t>
        </is>
      </c>
      <c r="B114" s="1" t="n">
        <v>44214</v>
      </c>
      <c r="C114" s="1" t="n">
        <v>46001</v>
      </c>
      <c r="D114" t="inlineStr">
        <is>
          <t>SÖDERMANLANDS LÄN</t>
        </is>
      </c>
      <c r="E114" t="inlineStr">
        <is>
          <t>FLEN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19387-2021</t>
        </is>
      </c>
      <c r="B115" s="1" t="n">
        <v>44309</v>
      </c>
      <c r="C115" s="1" t="n">
        <v>46001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23960-2022</t>
        </is>
      </c>
      <c r="B116" s="1" t="n">
        <v>44722.6921875</v>
      </c>
      <c r="C116" s="1" t="n">
        <v>46001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52257-2022</t>
        </is>
      </c>
      <c r="B117" s="1" t="n">
        <v>44869</v>
      </c>
      <c r="C117" s="1" t="n">
        <v>46001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49569-2021</t>
        </is>
      </c>
      <c r="B118" s="1" t="n">
        <v>44455</v>
      </c>
      <c r="C118" s="1" t="n">
        <v>46001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54645-2021</t>
        </is>
      </c>
      <c r="B119" s="1" t="n">
        <v>44473</v>
      </c>
      <c r="C119" s="1" t="n">
        <v>46001</v>
      </c>
      <c r="D119" t="inlineStr">
        <is>
          <t>SÖDERMANLANDS LÄN</t>
        </is>
      </c>
      <c r="E119" t="inlineStr">
        <is>
          <t>FLEN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12303-2022</t>
        </is>
      </c>
      <c r="B120" s="1" t="n">
        <v>44637</v>
      </c>
      <c r="C120" s="1" t="n">
        <v>46001</v>
      </c>
      <c r="D120" t="inlineStr">
        <is>
          <t>SÖDERMANLANDS LÄN</t>
        </is>
      </c>
      <c r="E120" t="inlineStr">
        <is>
          <t>FLEN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41638-2021</t>
        </is>
      </c>
      <c r="B121" s="1" t="n">
        <v>44425.46734953704</v>
      </c>
      <c r="C121" s="1" t="n">
        <v>46001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19994-2022</t>
        </is>
      </c>
      <c r="B122" s="1" t="n">
        <v>44697</v>
      </c>
      <c r="C122" s="1" t="n">
        <v>46001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7863-2022</t>
        </is>
      </c>
      <c r="B123" s="1" t="n">
        <v>44608</v>
      </c>
      <c r="C123" s="1" t="n">
        <v>46001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29367-2022</t>
        </is>
      </c>
      <c r="B124" s="1" t="n">
        <v>44752</v>
      </c>
      <c r="C124" s="1" t="n">
        <v>46001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23294-2022</t>
        </is>
      </c>
      <c r="B125" s="1" t="n">
        <v>44720.45049768518</v>
      </c>
      <c r="C125" s="1" t="n">
        <v>46001</v>
      </c>
      <c r="D125" t="inlineStr">
        <is>
          <t>SÖDERMANLANDS LÄN</t>
        </is>
      </c>
      <c r="E125" t="inlineStr">
        <is>
          <t>FLEN</t>
        </is>
      </c>
      <c r="F125" t="inlineStr">
        <is>
          <t>Kyrkan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52050-2022</t>
        </is>
      </c>
      <c r="B126" s="1" t="n">
        <v>44873</v>
      </c>
      <c r="C126" s="1" t="n">
        <v>46001</v>
      </c>
      <c r="D126" t="inlineStr">
        <is>
          <t>SÖDERMANLANDS LÄN</t>
        </is>
      </c>
      <c r="E126" t="inlineStr">
        <is>
          <t>FLEN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30847-2021</t>
        </is>
      </c>
      <c r="B127" s="1" t="n">
        <v>44365</v>
      </c>
      <c r="C127" s="1" t="n">
        <v>46001</v>
      </c>
      <c r="D127" t="inlineStr">
        <is>
          <t>SÖDERMANLANDS LÄN</t>
        </is>
      </c>
      <c r="E127" t="inlineStr">
        <is>
          <t>FLEN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31077-2022</t>
        </is>
      </c>
      <c r="B128" s="1" t="n">
        <v>44769</v>
      </c>
      <c r="C128" s="1" t="n">
        <v>46001</v>
      </c>
      <c r="D128" t="inlineStr">
        <is>
          <t>SÖDERMANLANDS LÄN</t>
        </is>
      </c>
      <c r="E128" t="inlineStr">
        <is>
          <t>FLEN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16275-2021</t>
        </is>
      </c>
      <c r="B129" s="1" t="n">
        <v>44292</v>
      </c>
      <c r="C129" s="1" t="n">
        <v>46001</v>
      </c>
      <c r="D129" t="inlineStr">
        <is>
          <t>SÖDERMANLANDS LÄN</t>
        </is>
      </c>
      <c r="E129" t="inlineStr">
        <is>
          <t>FLEN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27992-2022</t>
        </is>
      </c>
      <c r="B130" s="1" t="n">
        <v>44745.82652777778</v>
      </c>
      <c r="C130" s="1" t="n">
        <v>46001</v>
      </c>
      <c r="D130" t="inlineStr">
        <is>
          <t>SÖDERMANLANDS LÄN</t>
        </is>
      </c>
      <c r="E130" t="inlineStr">
        <is>
          <t>FLEN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44172-2022</t>
        </is>
      </c>
      <c r="B131" s="1" t="n">
        <v>44839</v>
      </c>
      <c r="C131" s="1" t="n">
        <v>46001</v>
      </c>
      <c r="D131" t="inlineStr">
        <is>
          <t>SÖDERMANLANDS LÄN</t>
        </is>
      </c>
      <c r="E131" t="inlineStr">
        <is>
          <t>FLEN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28153-2022</t>
        </is>
      </c>
      <c r="B132" s="1" t="n">
        <v>44746</v>
      </c>
      <c r="C132" s="1" t="n">
        <v>46001</v>
      </c>
      <c r="D132" t="inlineStr">
        <is>
          <t>SÖDERMANLANDS LÄN</t>
        </is>
      </c>
      <c r="E132" t="inlineStr">
        <is>
          <t>FLEN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51246-2021</t>
        </is>
      </c>
      <c r="B133" s="1" t="n">
        <v>44461</v>
      </c>
      <c r="C133" s="1" t="n">
        <v>46001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2496-2022</t>
        </is>
      </c>
      <c r="B134" s="1" t="n">
        <v>44579</v>
      </c>
      <c r="C134" s="1" t="n">
        <v>46001</v>
      </c>
      <c r="D134" t="inlineStr">
        <is>
          <t>SÖDERMANLANDS LÄN</t>
        </is>
      </c>
      <c r="E134" t="inlineStr">
        <is>
          <t>FLEN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27184-2021</t>
        </is>
      </c>
      <c r="B135" s="1" t="n">
        <v>44350</v>
      </c>
      <c r="C135" s="1" t="n">
        <v>46001</v>
      </c>
      <c r="D135" t="inlineStr">
        <is>
          <t>SÖDERMANLANDS LÄN</t>
        </is>
      </c>
      <c r="E135" t="inlineStr">
        <is>
          <t>FLEN</t>
        </is>
      </c>
      <c r="F135" t="inlineStr">
        <is>
          <t>Kyrkan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49252-2021</t>
        </is>
      </c>
      <c r="B136" s="1" t="n">
        <v>44454</v>
      </c>
      <c r="C136" s="1" t="n">
        <v>46001</v>
      </c>
      <c r="D136" t="inlineStr">
        <is>
          <t>SÖDERMANLANDS LÄN</t>
        </is>
      </c>
      <c r="E136" t="inlineStr">
        <is>
          <t>FLEN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34448-2021</t>
        </is>
      </c>
      <c r="B137" s="1" t="n">
        <v>44381.50788194445</v>
      </c>
      <c r="C137" s="1" t="n">
        <v>46001</v>
      </c>
      <c r="D137" t="inlineStr">
        <is>
          <t>SÖDERMANLANDS LÄN</t>
        </is>
      </c>
      <c r="E137" t="inlineStr">
        <is>
          <t>FLEN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37257-2022</t>
        </is>
      </c>
      <c r="B138" s="1" t="n">
        <v>44807</v>
      </c>
      <c r="C138" s="1" t="n">
        <v>46001</v>
      </c>
      <c r="D138" t="inlineStr">
        <is>
          <t>SÖDERMANLANDS LÄN</t>
        </is>
      </c>
      <c r="E138" t="inlineStr">
        <is>
          <t>FLEN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39188-2021</t>
        </is>
      </c>
      <c r="B139" s="1" t="n">
        <v>44413</v>
      </c>
      <c r="C139" s="1" t="n">
        <v>46001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69015-2020</t>
        </is>
      </c>
      <c r="B140" s="1" t="n">
        <v>44188</v>
      </c>
      <c r="C140" s="1" t="n">
        <v>46001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48791-2022</t>
        </is>
      </c>
      <c r="B141" s="1" t="n">
        <v>44855</v>
      </c>
      <c r="C141" s="1" t="n">
        <v>46001</v>
      </c>
      <c r="D141" t="inlineStr">
        <is>
          <t>SÖDERMANLANDS LÄN</t>
        </is>
      </c>
      <c r="E141" t="inlineStr">
        <is>
          <t>FLEN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8749-2021</t>
        </is>
      </c>
      <c r="B142" s="1" t="n">
        <v>44246</v>
      </c>
      <c r="C142" s="1" t="n">
        <v>46001</v>
      </c>
      <c r="D142" t="inlineStr">
        <is>
          <t>SÖDERMANLANDS LÄN</t>
        </is>
      </c>
      <c r="E142" t="inlineStr">
        <is>
          <t>FLEN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46001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46001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53371-2022</t>
        </is>
      </c>
      <c r="B145" s="1" t="n">
        <v>44879</v>
      </c>
      <c r="C145" s="1" t="n">
        <v>46001</v>
      </c>
      <c r="D145" t="inlineStr">
        <is>
          <t>SÖDERMANLANDS LÄN</t>
        </is>
      </c>
      <c r="E145" t="inlineStr">
        <is>
          <t>FLEN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41148-2021</t>
        </is>
      </c>
      <c r="B146" s="1" t="n">
        <v>44423</v>
      </c>
      <c r="C146" s="1" t="n">
        <v>46001</v>
      </c>
      <c r="D146" t="inlineStr">
        <is>
          <t>SÖDERMANLANDS LÄN</t>
        </is>
      </c>
      <c r="E146" t="inlineStr">
        <is>
          <t>FLEN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41150-2021</t>
        </is>
      </c>
      <c r="B147" s="1" t="n">
        <v>44423</v>
      </c>
      <c r="C147" s="1" t="n">
        <v>46001</v>
      </c>
      <c r="D147" t="inlineStr">
        <is>
          <t>SÖDERMANLANDS LÄN</t>
        </is>
      </c>
      <c r="E147" t="inlineStr">
        <is>
          <t>FLEN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44359-2021</t>
        </is>
      </c>
      <c r="B148" s="1" t="n">
        <v>44435</v>
      </c>
      <c r="C148" s="1" t="n">
        <v>46001</v>
      </c>
      <c r="D148" t="inlineStr">
        <is>
          <t>SÖDERMANLANDS LÄN</t>
        </is>
      </c>
      <c r="E148" t="inlineStr">
        <is>
          <t>FLEN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52519-2021</t>
        </is>
      </c>
      <c r="B149" s="1" t="n">
        <v>44463</v>
      </c>
      <c r="C149" s="1" t="n">
        <v>46001</v>
      </c>
      <c r="D149" t="inlineStr">
        <is>
          <t>SÖDERMANLANDS LÄN</t>
        </is>
      </c>
      <c r="E149" t="inlineStr">
        <is>
          <t>FLEN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46001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46001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46001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31175-2022</t>
        </is>
      </c>
      <c r="B153" s="1" t="n">
        <v>44770</v>
      </c>
      <c r="C153" s="1" t="n">
        <v>46001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46001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46001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46001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30830-2021</t>
        </is>
      </c>
      <c r="B157" s="1" t="n">
        <v>44365</v>
      </c>
      <c r="C157" s="1" t="n">
        <v>46001</v>
      </c>
      <c r="D157" t="inlineStr">
        <is>
          <t>SÖDERMANLANDS LÄN</t>
        </is>
      </c>
      <c r="E157" t="inlineStr">
        <is>
          <t>FLEN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12608-2022</t>
        </is>
      </c>
      <c r="B158" s="1" t="n">
        <v>44640</v>
      </c>
      <c r="C158" s="1" t="n">
        <v>46001</v>
      </c>
      <c r="D158" t="inlineStr">
        <is>
          <t>SÖDERMANLANDS LÄN</t>
        </is>
      </c>
      <c r="E158" t="inlineStr">
        <is>
          <t>FLEN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42177-2022</t>
        </is>
      </c>
      <c r="B159" s="1" t="n">
        <v>44830</v>
      </c>
      <c r="C159" s="1" t="n">
        <v>46001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46001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46001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46001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46001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12774-2021</t>
        </is>
      </c>
      <c r="B164" s="1" t="n">
        <v>44270</v>
      </c>
      <c r="C164" s="1" t="n">
        <v>46001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17985-2021</t>
        </is>
      </c>
      <c r="B165" s="1" t="n">
        <v>44301</v>
      </c>
      <c r="C165" s="1" t="n">
        <v>46001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32098-2022</t>
        </is>
      </c>
      <c r="B166" s="1" t="n">
        <v>44778</v>
      </c>
      <c r="C166" s="1" t="n">
        <v>46001</v>
      </c>
      <c r="D166" t="inlineStr">
        <is>
          <t>SÖDERMANLANDS LÄN</t>
        </is>
      </c>
      <c r="E166" t="inlineStr">
        <is>
          <t>FLEN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4065-2022</t>
        </is>
      </c>
      <c r="B167" s="1" t="n">
        <v>44588</v>
      </c>
      <c r="C167" s="1" t="n">
        <v>46001</v>
      </c>
      <c r="D167" t="inlineStr">
        <is>
          <t>SÖDERMANLANDS LÄN</t>
        </is>
      </c>
      <c r="E167" t="inlineStr">
        <is>
          <t>FLEN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31068-2022</t>
        </is>
      </c>
      <c r="B168" s="1" t="n">
        <v>44769</v>
      </c>
      <c r="C168" s="1" t="n">
        <v>46001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44161-2022</t>
        </is>
      </c>
      <c r="B169" s="1" t="n">
        <v>44839</v>
      </c>
      <c r="C169" s="1" t="n">
        <v>46001</v>
      </c>
      <c r="D169" t="inlineStr">
        <is>
          <t>SÖDERMANLANDS LÄN</t>
        </is>
      </c>
      <c r="E169" t="inlineStr">
        <is>
          <t>FLEN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55081-2022</t>
        </is>
      </c>
      <c r="B170" s="1" t="n">
        <v>44886</v>
      </c>
      <c r="C170" s="1" t="n">
        <v>46001</v>
      </c>
      <c r="D170" t="inlineStr">
        <is>
          <t>SÖDERMANLANDS LÄN</t>
        </is>
      </c>
      <c r="E170" t="inlineStr">
        <is>
          <t>FLEN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47759-2022</t>
        </is>
      </c>
      <c r="B171" s="1" t="n">
        <v>44854.69221064815</v>
      </c>
      <c r="C171" s="1" t="n">
        <v>46001</v>
      </c>
      <c r="D171" t="inlineStr">
        <is>
          <t>SÖDERMANLANDS LÄN</t>
        </is>
      </c>
      <c r="E171" t="inlineStr">
        <is>
          <t>FLEN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46001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32416-2021</t>
        </is>
      </c>
      <c r="B173" s="1" t="n">
        <v>44371.68461805556</v>
      </c>
      <c r="C173" s="1" t="n">
        <v>46001</v>
      </c>
      <c r="D173" t="inlineStr">
        <is>
          <t>SÖDERMANLANDS LÄN</t>
        </is>
      </c>
      <c r="E173" t="inlineStr">
        <is>
          <t>FLEN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18192-2021</t>
        </is>
      </c>
      <c r="B174" s="1" t="n">
        <v>44302</v>
      </c>
      <c r="C174" s="1" t="n">
        <v>46001</v>
      </c>
      <c r="D174" t="inlineStr">
        <is>
          <t>SÖDERMANLANDS LÄN</t>
        </is>
      </c>
      <c r="E174" t="inlineStr">
        <is>
          <t>FLEN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20013-2022</t>
        </is>
      </c>
      <c r="B175" s="1" t="n">
        <v>44697</v>
      </c>
      <c r="C175" s="1" t="n">
        <v>46001</v>
      </c>
      <c r="D175" t="inlineStr">
        <is>
          <t>SÖDERMANLANDS LÄN</t>
        </is>
      </c>
      <c r="E175" t="inlineStr">
        <is>
          <t>FLEN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2162-2022</t>
        </is>
      </c>
      <c r="B176" s="1" t="n">
        <v>44578</v>
      </c>
      <c r="C176" s="1" t="n">
        <v>46001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31096-2022</t>
        </is>
      </c>
      <c r="B177" s="1" t="n">
        <v>44769</v>
      </c>
      <c r="C177" s="1" t="n">
        <v>46001</v>
      </c>
      <c r="D177" t="inlineStr">
        <is>
          <t>SÖDERMANLANDS LÄN</t>
        </is>
      </c>
      <c r="E177" t="inlineStr">
        <is>
          <t>FLEN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46001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18053-2021</t>
        </is>
      </c>
      <c r="B179" s="1" t="n">
        <v>44302.41196759259</v>
      </c>
      <c r="C179" s="1" t="n">
        <v>46001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35649-2021</t>
        </is>
      </c>
      <c r="B180" s="1" t="n">
        <v>44384</v>
      </c>
      <c r="C180" s="1" t="n">
        <v>46001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27190-2021</t>
        </is>
      </c>
      <c r="B181" s="1" t="n">
        <v>44350</v>
      </c>
      <c r="C181" s="1" t="n">
        <v>46001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12171-2022</t>
        </is>
      </c>
      <c r="B182" s="1" t="n">
        <v>44636</v>
      </c>
      <c r="C182" s="1" t="n">
        <v>46001</v>
      </c>
      <c r="D182" t="inlineStr">
        <is>
          <t>SÖDERMANLANDS LÄN</t>
        </is>
      </c>
      <c r="E182" t="inlineStr">
        <is>
          <t>FLEN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23004-2021</t>
        </is>
      </c>
      <c r="B183" s="1" t="n">
        <v>44328</v>
      </c>
      <c r="C183" s="1" t="n">
        <v>46001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45468-2021</t>
        </is>
      </c>
      <c r="B184" s="1" t="n">
        <v>44440</v>
      </c>
      <c r="C184" s="1" t="n">
        <v>46001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9674-2021</t>
        </is>
      </c>
      <c r="B185" s="1" t="n">
        <v>44252</v>
      </c>
      <c r="C185" s="1" t="n">
        <v>46001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26011-2021</t>
        </is>
      </c>
      <c r="B186" s="1" t="n">
        <v>44344</v>
      </c>
      <c r="C186" s="1" t="n">
        <v>46001</v>
      </c>
      <c r="D186" t="inlineStr">
        <is>
          <t>SÖDERMANLANDS LÄN</t>
        </is>
      </c>
      <c r="E186" t="inlineStr">
        <is>
          <t>FLEN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35250-2021</t>
        </is>
      </c>
      <c r="B187" s="1" t="n">
        <v>44384</v>
      </c>
      <c r="C187" s="1" t="n">
        <v>46001</v>
      </c>
      <c r="D187" t="inlineStr">
        <is>
          <t>SÖDERMANLANDS LÄN</t>
        </is>
      </c>
      <c r="E187" t="inlineStr">
        <is>
          <t>FLEN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35714-2021</t>
        </is>
      </c>
      <c r="B188" s="1" t="n">
        <v>44386</v>
      </c>
      <c r="C188" s="1" t="n">
        <v>46001</v>
      </c>
      <c r="D188" t="inlineStr">
        <is>
          <t>SÖDERMANLANDS LÄN</t>
        </is>
      </c>
      <c r="E188" t="inlineStr">
        <is>
          <t>FLEN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43640-2021</t>
        </is>
      </c>
      <c r="B189" s="1" t="n">
        <v>44433</v>
      </c>
      <c r="C189" s="1" t="n">
        <v>46001</v>
      </c>
      <c r="D189" t="inlineStr">
        <is>
          <t>SÖDERMANLANDS LÄN</t>
        </is>
      </c>
      <c r="E189" t="inlineStr">
        <is>
          <t>FLEN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50799-2021</t>
        </is>
      </c>
      <c r="B190" s="1" t="n">
        <v>44459</v>
      </c>
      <c r="C190" s="1" t="n">
        <v>46001</v>
      </c>
      <c r="D190" t="inlineStr">
        <is>
          <t>SÖDERMANLANDS LÄN</t>
        </is>
      </c>
      <c r="E190" t="inlineStr">
        <is>
          <t>FLEN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29378-2022</t>
        </is>
      </c>
      <c r="B191" s="1" t="n">
        <v>44752</v>
      </c>
      <c r="C191" s="1" t="n">
        <v>46001</v>
      </c>
      <c r="D191" t="inlineStr">
        <is>
          <t>SÖDERMANLANDS LÄN</t>
        </is>
      </c>
      <c r="E191" t="inlineStr">
        <is>
          <t>FLEN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29384-2022</t>
        </is>
      </c>
      <c r="B192" s="1" t="n">
        <v>44752</v>
      </c>
      <c r="C192" s="1" t="n">
        <v>46001</v>
      </c>
      <c r="D192" t="inlineStr">
        <is>
          <t>SÖDERMANLANDS LÄN</t>
        </is>
      </c>
      <c r="E192" t="inlineStr">
        <is>
          <t>FLEN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1565-2021</t>
        </is>
      </c>
      <c r="B193" s="1" t="n">
        <v>44209</v>
      </c>
      <c r="C193" s="1" t="n">
        <v>46001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22883-2022</t>
        </is>
      </c>
      <c r="B194" s="1" t="n">
        <v>44715</v>
      </c>
      <c r="C194" s="1" t="n">
        <v>46001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550-2022</t>
        </is>
      </c>
      <c r="B195" s="1" t="n">
        <v>44566</v>
      </c>
      <c r="C195" s="1" t="n">
        <v>46001</v>
      </c>
      <c r="D195" t="inlineStr">
        <is>
          <t>SÖDERMANLANDS LÄN</t>
        </is>
      </c>
      <c r="E195" t="inlineStr">
        <is>
          <t>FLEN</t>
        </is>
      </c>
      <c r="F195" t="inlineStr">
        <is>
          <t>Kyrkan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54325-2021</t>
        </is>
      </c>
      <c r="B196" s="1" t="n">
        <v>44472</v>
      </c>
      <c r="C196" s="1" t="n">
        <v>46001</v>
      </c>
      <c r="D196" t="inlineStr">
        <is>
          <t>SÖDERMANLANDS LÄN</t>
        </is>
      </c>
      <c r="E196" t="inlineStr">
        <is>
          <t>FLEN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50731-2022</t>
        </is>
      </c>
      <c r="B197" s="1" t="n">
        <v>44862</v>
      </c>
      <c r="C197" s="1" t="n">
        <v>46001</v>
      </c>
      <c r="D197" t="inlineStr">
        <is>
          <t>SÖDERMANLANDS LÄN</t>
        </is>
      </c>
      <c r="E197" t="inlineStr">
        <is>
          <t>FLEN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8301-2022</t>
        </is>
      </c>
      <c r="B198" s="1" t="n">
        <v>44610</v>
      </c>
      <c r="C198" s="1" t="n">
        <v>46001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13533-2022</t>
        </is>
      </c>
      <c r="B199" s="1" t="n">
        <v>44643</v>
      </c>
      <c r="C199" s="1" t="n">
        <v>46001</v>
      </c>
      <c r="D199" t="inlineStr">
        <is>
          <t>SÖDERMANLANDS LÄN</t>
        </is>
      </c>
      <c r="E199" t="inlineStr">
        <is>
          <t>FLEN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49323-2021</t>
        </is>
      </c>
      <c r="B200" s="1" t="n">
        <v>44453</v>
      </c>
      <c r="C200" s="1" t="n">
        <v>46001</v>
      </c>
      <c r="D200" t="inlineStr">
        <is>
          <t>SÖDERMANLANDS LÄN</t>
        </is>
      </c>
      <c r="E200" t="inlineStr">
        <is>
          <t>FLEN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47613-2021</t>
        </is>
      </c>
      <c r="B201" s="1" t="n">
        <v>44448.35070601852</v>
      </c>
      <c r="C201" s="1" t="n">
        <v>46001</v>
      </c>
      <c r="D201" t="inlineStr">
        <is>
          <t>SÖDERMANLANDS LÄN</t>
        </is>
      </c>
      <c r="E201" t="inlineStr">
        <is>
          <t>FLEN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21351-2022</t>
        </is>
      </c>
      <c r="B202" s="1" t="n">
        <v>44705</v>
      </c>
      <c r="C202" s="1" t="n">
        <v>46001</v>
      </c>
      <c r="D202" t="inlineStr">
        <is>
          <t>SÖDERMANLANDS LÄN</t>
        </is>
      </c>
      <c r="E202" t="inlineStr">
        <is>
          <t>FLEN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12174-2022</t>
        </is>
      </c>
      <c r="B203" s="1" t="n">
        <v>44636</v>
      </c>
      <c r="C203" s="1" t="n">
        <v>46001</v>
      </c>
      <c r="D203" t="inlineStr">
        <is>
          <t>SÖDERMANLANDS LÄN</t>
        </is>
      </c>
      <c r="E203" t="inlineStr">
        <is>
          <t>FLEN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39673-2022</t>
        </is>
      </c>
      <c r="B204" s="1" t="n">
        <v>44818</v>
      </c>
      <c r="C204" s="1" t="n">
        <v>46001</v>
      </c>
      <c r="D204" t="inlineStr">
        <is>
          <t>SÖDERMANLANDS LÄN</t>
        </is>
      </c>
      <c r="E204" t="inlineStr">
        <is>
          <t>FLEN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10281-2025</t>
        </is>
      </c>
      <c r="B205" s="1" t="n">
        <v>45720.40424768518</v>
      </c>
      <c r="C205" s="1" t="n">
        <v>46001</v>
      </c>
      <c r="D205" t="inlineStr">
        <is>
          <t>SÖDERMANLANDS LÄN</t>
        </is>
      </c>
      <c r="E205" t="inlineStr">
        <is>
          <t>FLEN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27146-2022</t>
        </is>
      </c>
      <c r="B206" s="1" t="n">
        <v>44741</v>
      </c>
      <c r="C206" s="1" t="n">
        <v>46001</v>
      </c>
      <c r="D206" t="inlineStr">
        <is>
          <t>SÖDERMANLANDS LÄN</t>
        </is>
      </c>
      <c r="E206" t="inlineStr">
        <is>
          <t>FLEN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53121-2023</t>
        </is>
      </c>
      <c r="B207" s="1" t="n">
        <v>45228</v>
      </c>
      <c r="C207" s="1" t="n">
        <v>46001</v>
      </c>
      <c r="D207" t="inlineStr">
        <is>
          <t>SÖDERMANLANDS LÄN</t>
        </is>
      </c>
      <c r="E207" t="inlineStr">
        <is>
          <t>FLEN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49828-2022</t>
        </is>
      </c>
      <c r="B208" s="1" t="n">
        <v>44862</v>
      </c>
      <c r="C208" s="1" t="n">
        <v>46001</v>
      </c>
      <c r="D208" t="inlineStr">
        <is>
          <t>SÖDERMANLANDS LÄN</t>
        </is>
      </c>
      <c r="E208" t="inlineStr">
        <is>
          <t>FLEN</t>
        </is>
      </c>
      <c r="F208" t="inlineStr">
        <is>
          <t>Kyrkan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10999-2025</t>
        </is>
      </c>
      <c r="B209" s="1" t="n">
        <v>45723.44172453704</v>
      </c>
      <c r="C209" s="1" t="n">
        <v>46001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34095-2022</t>
        </is>
      </c>
      <c r="B210" s="1" t="n">
        <v>44791</v>
      </c>
      <c r="C210" s="1" t="n">
        <v>46001</v>
      </c>
      <c r="D210" t="inlineStr">
        <is>
          <t>SÖDERMANLANDS LÄN</t>
        </is>
      </c>
      <c r="E210" t="inlineStr">
        <is>
          <t>FLEN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6668-2025</t>
        </is>
      </c>
      <c r="B211" s="1" t="n">
        <v>45700</v>
      </c>
      <c r="C211" s="1" t="n">
        <v>46001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53517-2023</t>
        </is>
      </c>
      <c r="B212" s="1" t="n">
        <v>45230</v>
      </c>
      <c r="C212" s="1" t="n">
        <v>46001</v>
      </c>
      <c r="D212" t="inlineStr">
        <is>
          <t>SÖDERMANLANDS LÄN</t>
        </is>
      </c>
      <c r="E212" t="inlineStr">
        <is>
          <t>FLEN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16276-2021</t>
        </is>
      </c>
      <c r="B213" s="1" t="n">
        <v>44292</v>
      </c>
      <c r="C213" s="1" t="n">
        <v>46001</v>
      </c>
      <c r="D213" t="inlineStr">
        <is>
          <t>SÖDERMANLANDS LÄN</t>
        </is>
      </c>
      <c r="E213" t="inlineStr">
        <is>
          <t>FLEN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17183-2021</t>
        </is>
      </c>
      <c r="B214" s="1" t="n">
        <v>44297</v>
      </c>
      <c r="C214" s="1" t="n">
        <v>46001</v>
      </c>
      <c r="D214" t="inlineStr">
        <is>
          <t>SÖDERMANLANDS LÄN</t>
        </is>
      </c>
      <c r="E214" t="inlineStr">
        <is>
          <t>FLEN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51768-2023</t>
        </is>
      </c>
      <c r="B215" s="1" t="n">
        <v>45222</v>
      </c>
      <c r="C215" s="1" t="n">
        <v>46001</v>
      </c>
      <c r="D215" t="inlineStr">
        <is>
          <t>SÖDERMANLANDS LÄN</t>
        </is>
      </c>
      <c r="E215" t="inlineStr">
        <is>
          <t>FLEN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2448-2024</t>
        </is>
      </c>
      <c r="B216" s="1" t="n">
        <v>45311.73829861111</v>
      </c>
      <c r="C216" s="1" t="n">
        <v>46001</v>
      </c>
      <c r="D216" t="inlineStr">
        <is>
          <t>SÖDERMANLANDS LÄN</t>
        </is>
      </c>
      <c r="E216" t="inlineStr">
        <is>
          <t>FLEN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2460-2021</t>
        </is>
      </c>
      <c r="B217" s="1" t="n">
        <v>44214.53769675926</v>
      </c>
      <c r="C217" s="1" t="n">
        <v>46001</v>
      </c>
      <c r="D217" t="inlineStr">
        <is>
          <t>SÖDERMANLANDS LÄN</t>
        </is>
      </c>
      <c r="E217" t="inlineStr">
        <is>
          <t>FLEN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5194-2024</t>
        </is>
      </c>
      <c r="B218" s="1" t="n">
        <v>45330</v>
      </c>
      <c r="C218" s="1" t="n">
        <v>46001</v>
      </c>
      <c r="D218" t="inlineStr">
        <is>
          <t>SÖDERMANLANDS LÄN</t>
        </is>
      </c>
      <c r="E218" t="inlineStr">
        <is>
          <t>FLEN</t>
        </is>
      </c>
      <c r="F218" t="inlineStr">
        <is>
          <t>Övriga statliga verk och myndigheter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14859-2024</t>
        </is>
      </c>
      <c r="B219" s="1" t="n">
        <v>45398.45043981481</v>
      </c>
      <c r="C219" s="1" t="n">
        <v>46001</v>
      </c>
      <c r="D219" t="inlineStr">
        <is>
          <t>SÖDERMANLANDS LÄN</t>
        </is>
      </c>
      <c r="E219" t="inlineStr">
        <is>
          <t>FLEN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58926-2023</t>
        </is>
      </c>
      <c r="B220" s="1" t="n">
        <v>45250</v>
      </c>
      <c r="C220" s="1" t="n">
        <v>46001</v>
      </c>
      <c r="D220" t="inlineStr">
        <is>
          <t>SÖDERMANLANDS LÄN</t>
        </is>
      </c>
      <c r="E220" t="inlineStr">
        <is>
          <t>FLEN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58267-2023</t>
        </is>
      </c>
      <c r="B221" s="1" t="n">
        <v>45250</v>
      </c>
      <c r="C221" s="1" t="n">
        <v>46001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21476-2024</t>
        </is>
      </c>
      <c r="B222" s="1" t="n">
        <v>45441.51645833333</v>
      </c>
      <c r="C222" s="1" t="n">
        <v>46001</v>
      </c>
      <c r="D222" t="inlineStr">
        <is>
          <t>SÖDERMANLANDS LÄN</t>
        </is>
      </c>
      <c r="E222" t="inlineStr">
        <is>
          <t>FLEN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34817-2022</t>
        </is>
      </c>
      <c r="B223" s="1" t="n">
        <v>44796</v>
      </c>
      <c r="C223" s="1" t="n">
        <v>46001</v>
      </c>
      <c r="D223" t="inlineStr">
        <is>
          <t>SÖDERMANLANDS LÄN</t>
        </is>
      </c>
      <c r="E223" t="inlineStr">
        <is>
          <t>FLEN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9147-2024</t>
        </is>
      </c>
      <c r="B224" s="1" t="n">
        <v>45358.37712962963</v>
      </c>
      <c r="C224" s="1" t="n">
        <v>46001</v>
      </c>
      <c r="D224" t="inlineStr">
        <is>
          <t>SÖDERMANLANDS LÄN</t>
        </is>
      </c>
      <c r="E224" t="inlineStr">
        <is>
          <t>FLEN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31214-2023</t>
        </is>
      </c>
      <c r="B225" s="1" t="n">
        <v>45114.25847222222</v>
      </c>
      <c r="C225" s="1" t="n">
        <v>46001</v>
      </c>
      <c r="D225" t="inlineStr">
        <is>
          <t>SÖDERMANLANDS LÄN</t>
        </is>
      </c>
      <c r="E225" t="inlineStr">
        <is>
          <t>FLEN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42936-2021</t>
        </is>
      </c>
      <c r="B226" s="1" t="n">
        <v>44431</v>
      </c>
      <c r="C226" s="1" t="n">
        <v>46001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17290-2024</t>
        </is>
      </c>
      <c r="B227" s="1" t="n">
        <v>45414</v>
      </c>
      <c r="C227" s="1" t="n">
        <v>46001</v>
      </c>
      <c r="D227" t="inlineStr">
        <is>
          <t>SÖDERMANLANDS LÄN</t>
        </is>
      </c>
      <c r="E227" t="inlineStr">
        <is>
          <t>FLEN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59779-2023</t>
        </is>
      </c>
      <c r="B228" s="1" t="n">
        <v>45257.43989583333</v>
      </c>
      <c r="C228" s="1" t="n">
        <v>46001</v>
      </c>
      <c r="D228" t="inlineStr">
        <is>
          <t>SÖDERMANLANDS LÄN</t>
        </is>
      </c>
      <c r="E228" t="inlineStr">
        <is>
          <t>FLEN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22882-2025</t>
        </is>
      </c>
      <c r="B229" s="1" t="n">
        <v>45790.38300925926</v>
      </c>
      <c r="C229" s="1" t="n">
        <v>46001</v>
      </c>
      <c r="D229" t="inlineStr">
        <is>
          <t>SÖDERMANLANDS LÄN</t>
        </is>
      </c>
      <c r="E229" t="inlineStr">
        <is>
          <t>FLEN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22892-2025</t>
        </is>
      </c>
      <c r="B230" s="1" t="n">
        <v>45790.39479166667</v>
      </c>
      <c r="C230" s="1" t="n">
        <v>46001</v>
      </c>
      <c r="D230" t="inlineStr">
        <is>
          <t>SÖDERMANLANDS LÄN</t>
        </is>
      </c>
      <c r="E230" t="inlineStr">
        <is>
          <t>FLEN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38832-2022</t>
        </is>
      </c>
      <c r="B231" s="1" t="n">
        <v>44814</v>
      </c>
      <c r="C231" s="1" t="n">
        <v>46001</v>
      </c>
      <c r="D231" t="inlineStr">
        <is>
          <t>SÖDERMANLANDS LÄN</t>
        </is>
      </c>
      <c r="E231" t="inlineStr">
        <is>
          <t>FLEN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22873-2025</t>
        </is>
      </c>
      <c r="B232" s="1" t="n">
        <v>45790.37265046296</v>
      </c>
      <c r="C232" s="1" t="n">
        <v>46001</v>
      </c>
      <c r="D232" t="inlineStr">
        <is>
          <t>SÖDERMANLANDS LÄN</t>
        </is>
      </c>
      <c r="E232" t="inlineStr">
        <is>
          <t>FLEN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22989-2025</t>
        </is>
      </c>
      <c r="B233" s="1" t="n">
        <v>45790.57600694444</v>
      </c>
      <c r="C233" s="1" t="n">
        <v>46001</v>
      </c>
      <c r="D233" t="inlineStr">
        <is>
          <t>SÖDERMANLANDS LÄN</t>
        </is>
      </c>
      <c r="E233" t="inlineStr">
        <is>
          <t>FLEN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8888-2021</t>
        </is>
      </c>
      <c r="B234" s="1" t="n">
        <v>44248</v>
      </c>
      <c r="C234" s="1" t="n">
        <v>46001</v>
      </c>
      <c r="D234" t="inlineStr">
        <is>
          <t>SÖDERMANLANDS LÄN</t>
        </is>
      </c>
      <c r="E234" t="inlineStr">
        <is>
          <t>FLEN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22839-2025</t>
        </is>
      </c>
      <c r="B235" s="1" t="n">
        <v>45789</v>
      </c>
      <c r="C235" s="1" t="n">
        <v>46001</v>
      </c>
      <c r="D235" t="inlineStr">
        <is>
          <t>SÖDERMANLANDS LÄN</t>
        </is>
      </c>
      <c r="E235" t="inlineStr">
        <is>
          <t>FLEN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22867-2025</t>
        </is>
      </c>
      <c r="B236" s="1" t="n">
        <v>45790.36635416667</v>
      </c>
      <c r="C236" s="1" t="n">
        <v>46001</v>
      </c>
      <c r="D236" t="inlineStr">
        <is>
          <t>SÖDERMANLANDS LÄN</t>
        </is>
      </c>
      <c r="E236" t="inlineStr">
        <is>
          <t>FLEN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59135-2023</t>
        </is>
      </c>
      <c r="B237" s="1" t="n">
        <v>45253</v>
      </c>
      <c r="C237" s="1" t="n">
        <v>46001</v>
      </c>
      <c r="D237" t="inlineStr">
        <is>
          <t>SÖDERMANLANDS LÄN</t>
        </is>
      </c>
      <c r="E237" t="inlineStr">
        <is>
          <t>FLEN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22998-2025</t>
        </is>
      </c>
      <c r="B238" s="1" t="n">
        <v>45790.585625</v>
      </c>
      <c r="C238" s="1" t="n">
        <v>46001</v>
      </c>
      <c r="D238" t="inlineStr">
        <is>
          <t>SÖDERMANLANDS LÄN</t>
        </is>
      </c>
      <c r="E238" t="inlineStr">
        <is>
          <t>FLEN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33742-2023</t>
        </is>
      </c>
      <c r="B239" s="1" t="n">
        <v>45119</v>
      </c>
      <c r="C239" s="1" t="n">
        <v>46001</v>
      </c>
      <c r="D239" t="inlineStr">
        <is>
          <t>SÖDERMANLANDS LÄN</t>
        </is>
      </c>
      <c r="E239" t="inlineStr">
        <is>
          <t>FLEN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56393-2022</t>
        </is>
      </c>
      <c r="B240" s="1" t="n">
        <v>44887</v>
      </c>
      <c r="C240" s="1" t="n">
        <v>46001</v>
      </c>
      <c r="D240" t="inlineStr">
        <is>
          <t>SÖDERMANLANDS LÄN</t>
        </is>
      </c>
      <c r="E240" t="inlineStr">
        <is>
          <t>FLEN</t>
        </is>
      </c>
      <c r="G240" t="n">
        <v>11.3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38464-2025</t>
        </is>
      </c>
      <c r="B241" s="1" t="n">
        <v>45883</v>
      </c>
      <c r="C241" s="1" t="n">
        <v>46001</v>
      </c>
      <c r="D241" t="inlineStr">
        <is>
          <t>SÖDERMANLANDS LÄN</t>
        </is>
      </c>
      <c r="E241" t="inlineStr">
        <is>
          <t>FLEN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20868-2024</t>
        </is>
      </c>
      <c r="B242" s="1" t="n">
        <v>45439.4372337963</v>
      </c>
      <c r="C242" s="1" t="n">
        <v>46001</v>
      </c>
      <c r="D242" t="inlineStr">
        <is>
          <t>SÖDERMANLANDS LÄN</t>
        </is>
      </c>
      <c r="E242" t="inlineStr">
        <is>
          <t>FLEN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43394-2021</t>
        </is>
      </c>
      <c r="B243" s="1" t="n">
        <v>44432</v>
      </c>
      <c r="C243" s="1" t="n">
        <v>46001</v>
      </c>
      <c r="D243" t="inlineStr">
        <is>
          <t>SÖDERMANLANDS LÄN</t>
        </is>
      </c>
      <c r="E243" t="inlineStr">
        <is>
          <t>FLEN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23513-2025</t>
        </is>
      </c>
      <c r="B244" s="1" t="n">
        <v>45792</v>
      </c>
      <c r="C244" s="1" t="n">
        <v>46001</v>
      </c>
      <c r="D244" t="inlineStr">
        <is>
          <t>SÖDERMANLANDS LÄN</t>
        </is>
      </c>
      <c r="E244" t="inlineStr">
        <is>
          <t>FLEN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23216-2025</t>
        </is>
      </c>
      <c r="B245" s="1" t="n">
        <v>45791</v>
      </c>
      <c r="C245" s="1" t="n">
        <v>46001</v>
      </c>
      <c r="D245" t="inlineStr">
        <is>
          <t>SÖDERMANLANDS LÄN</t>
        </is>
      </c>
      <c r="E245" t="inlineStr">
        <is>
          <t>FLEN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65869-2021</t>
        </is>
      </c>
      <c r="B246" s="1" t="n">
        <v>44517.39820601852</v>
      </c>
      <c r="C246" s="1" t="n">
        <v>46001</v>
      </c>
      <c r="D246" t="inlineStr">
        <is>
          <t>SÖDERMANLANDS LÄN</t>
        </is>
      </c>
      <c r="E246" t="inlineStr">
        <is>
          <t>FLEN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3926-2024</t>
        </is>
      </c>
      <c r="B247" s="1" t="n">
        <v>45322.59059027778</v>
      </c>
      <c r="C247" s="1" t="n">
        <v>46001</v>
      </c>
      <c r="D247" t="inlineStr">
        <is>
          <t>SÖDERMANLANDS LÄN</t>
        </is>
      </c>
      <c r="E247" t="inlineStr">
        <is>
          <t>FLEN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40412-2024</t>
        </is>
      </c>
      <c r="B248" s="1" t="n">
        <v>45555</v>
      </c>
      <c r="C248" s="1" t="n">
        <v>46001</v>
      </c>
      <c r="D248" t="inlineStr">
        <is>
          <t>SÖDERMANLANDS LÄN</t>
        </is>
      </c>
      <c r="E248" t="inlineStr">
        <is>
          <t>FLEN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52775-2024</t>
        </is>
      </c>
      <c r="B249" s="1" t="n">
        <v>45610</v>
      </c>
      <c r="C249" s="1" t="n">
        <v>46001</v>
      </c>
      <c r="D249" t="inlineStr">
        <is>
          <t>SÖDERMANLANDS LÄN</t>
        </is>
      </c>
      <c r="E249" t="inlineStr">
        <is>
          <t>FLEN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59690-2023</t>
        </is>
      </c>
      <c r="B250" s="1" t="n">
        <v>45256.76922453703</v>
      </c>
      <c r="C250" s="1" t="n">
        <v>46001</v>
      </c>
      <c r="D250" t="inlineStr">
        <is>
          <t>SÖDERMANLANDS LÄN</t>
        </is>
      </c>
      <c r="E250" t="inlineStr">
        <is>
          <t>FLEN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41709-2021</t>
        </is>
      </c>
      <c r="B251" s="1" t="n">
        <v>44425</v>
      </c>
      <c r="C251" s="1" t="n">
        <v>46001</v>
      </c>
      <c r="D251" t="inlineStr">
        <is>
          <t>SÖDERMANLANDS LÄN</t>
        </is>
      </c>
      <c r="E251" t="inlineStr">
        <is>
          <t>FLEN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39427-2024</t>
        </is>
      </c>
      <c r="B252" s="1" t="n">
        <v>45551.58553240741</v>
      </c>
      <c r="C252" s="1" t="n">
        <v>46001</v>
      </c>
      <c r="D252" t="inlineStr">
        <is>
          <t>SÖDERMANLANDS LÄN</t>
        </is>
      </c>
      <c r="E252" t="inlineStr">
        <is>
          <t>FLEN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39171-2025</t>
        </is>
      </c>
      <c r="B253" s="1" t="n">
        <v>45888.64476851852</v>
      </c>
      <c r="C253" s="1" t="n">
        <v>46001</v>
      </c>
      <c r="D253" t="inlineStr">
        <is>
          <t>SÖDERMANLANDS LÄN</t>
        </is>
      </c>
      <c r="E253" t="inlineStr">
        <is>
          <t>FLEN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38829-2025</t>
        </is>
      </c>
      <c r="B254" s="1" t="n">
        <v>45887.51916666667</v>
      </c>
      <c r="C254" s="1" t="n">
        <v>46001</v>
      </c>
      <c r="D254" t="inlineStr">
        <is>
          <t>SÖDERMANLANDS LÄN</t>
        </is>
      </c>
      <c r="E254" t="inlineStr">
        <is>
          <t>FLEN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1575-2024</t>
        </is>
      </c>
      <c r="B255" s="1" t="n">
        <v>45306</v>
      </c>
      <c r="C255" s="1" t="n">
        <v>46001</v>
      </c>
      <c r="D255" t="inlineStr">
        <is>
          <t>SÖDERMANLANDS LÄN</t>
        </is>
      </c>
      <c r="E255" t="inlineStr">
        <is>
          <t>FLEN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24480-2025</t>
        </is>
      </c>
      <c r="B256" s="1" t="n">
        <v>45798.38046296296</v>
      </c>
      <c r="C256" s="1" t="n">
        <v>46001</v>
      </c>
      <c r="D256" t="inlineStr">
        <is>
          <t>SÖDERMANLANDS LÄN</t>
        </is>
      </c>
      <c r="E256" t="inlineStr">
        <is>
          <t>FLEN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24414-2025</t>
        </is>
      </c>
      <c r="B257" s="1" t="n">
        <v>45797.67208333333</v>
      </c>
      <c r="C257" s="1" t="n">
        <v>46001</v>
      </c>
      <c r="D257" t="inlineStr">
        <is>
          <t>SÖDERMANLANDS LÄN</t>
        </is>
      </c>
      <c r="E257" t="inlineStr">
        <is>
          <t>FLEN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24526-2025</t>
        </is>
      </c>
      <c r="B258" s="1" t="n">
        <v>45798.42364583333</v>
      </c>
      <c r="C258" s="1" t="n">
        <v>46001</v>
      </c>
      <c r="D258" t="inlineStr">
        <is>
          <t>SÖDERMANLANDS LÄN</t>
        </is>
      </c>
      <c r="E258" t="inlineStr">
        <is>
          <t>FLEN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38826-2025</t>
        </is>
      </c>
      <c r="B259" s="1" t="n">
        <v>45887.51643518519</v>
      </c>
      <c r="C259" s="1" t="n">
        <v>46001</v>
      </c>
      <c r="D259" t="inlineStr">
        <is>
          <t>SÖDERMANLANDS LÄN</t>
        </is>
      </c>
      <c r="E259" t="inlineStr">
        <is>
          <t>FLEN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24541-2025</t>
        </is>
      </c>
      <c r="B260" s="1" t="n">
        <v>45798</v>
      </c>
      <c r="C260" s="1" t="n">
        <v>46001</v>
      </c>
      <c r="D260" t="inlineStr">
        <is>
          <t>SÖDERMANLANDS LÄN</t>
        </is>
      </c>
      <c r="E260" t="inlineStr">
        <is>
          <t>FLEN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24557-2025</t>
        </is>
      </c>
      <c r="B261" s="1" t="n">
        <v>45798.45195601852</v>
      </c>
      <c r="C261" s="1" t="n">
        <v>46001</v>
      </c>
      <c r="D261" t="inlineStr">
        <is>
          <t>SÖDERMANLANDS LÄN</t>
        </is>
      </c>
      <c r="E261" t="inlineStr">
        <is>
          <t>FLEN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24474-2025</t>
        </is>
      </c>
      <c r="B262" s="1" t="n">
        <v>45798.37215277777</v>
      </c>
      <c r="C262" s="1" t="n">
        <v>46001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54737-2022</t>
        </is>
      </c>
      <c r="B263" s="1" t="n">
        <v>44881</v>
      </c>
      <c r="C263" s="1" t="n">
        <v>46001</v>
      </c>
      <c r="D263" t="inlineStr">
        <is>
          <t>SÖDERMANLANDS LÄN</t>
        </is>
      </c>
      <c r="E263" t="inlineStr">
        <is>
          <t>FLEN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7313-2025</t>
        </is>
      </c>
      <c r="B264" s="1" t="n">
        <v>45702</v>
      </c>
      <c r="C264" s="1" t="n">
        <v>46001</v>
      </c>
      <c r="D264" t="inlineStr">
        <is>
          <t>SÖDERMANLANDS LÄN</t>
        </is>
      </c>
      <c r="E264" t="inlineStr">
        <is>
          <t>FLEN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56497-2022</t>
        </is>
      </c>
      <c r="B265" s="1" t="n">
        <v>44887</v>
      </c>
      <c r="C265" s="1" t="n">
        <v>46001</v>
      </c>
      <c r="D265" t="inlineStr">
        <is>
          <t>SÖDERMANLANDS LÄN</t>
        </is>
      </c>
      <c r="E265" t="inlineStr">
        <is>
          <t>FLEN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28768-2024</t>
        </is>
      </c>
      <c r="B266" s="1" t="n">
        <v>45478</v>
      </c>
      <c r="C266" s="1" t="n">
        <v>46001</v>
      </c>
      <c r="D266" t="inlineStr">
        <is>
          <t>SÖDERMANLANDS LÄN</t>
        </is>
      </c>
      <c r="E266" t="inlineStr">
        <is>
          <t>FLEN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40439-2025</t>
        </is>
      </c>
      <c r="B267" s="1" t="n">
        <v>45895.62396990741</v>
      </c>
      <c r="C267" s="1" t="n">
        <v>46001</v>
      </c>
      <c r="D267" t="inlineStr">
        <is>
          <t>SÖDERMANLANDS LÄN</t>
        </is>
      </c>
      <c r="E267" t="inlineStr">
        <is>
          <t>FLEN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52546-2021</t>
        </is>
      </c>
      <c r="B268" s="1" t="n">
        <v>44463</v>
      </c>
      <c r="C268" s="1" t="n">
        <v>46001</v>
      </c>
      <c r="D268" t="inlineStr">
        <is>
          <t>SÖDERMANLANDS LÄN</t>
        </is>
      </c>
      <c r="E268" t="inlineStr">
        <is>
          <t>FLEN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58631-2024</t>
        </is>
      </c>
      <c r="B269" s="1" t="n">
        <v>45632</v>
      </c>
      <c r="C269" s="1" t="n">
        <v>46001</v>
      </c>
      <c r="D269" t="inlineStr">
        <is>
          <t>SÖDERMANLANDS LÄN</t>
        </is>
      </c>
      <c r="E269" t="inlineStr">
        <is>
          <t>FLEN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41806-2023</t>
        </is>
      </c>
      <c r="B270" s="1" t="n">
        <v>45176</v>
      </c>
      <c r="C270" s="1" t="n">
        <v>46001</v>
      </c>
      <c r="D270" t="inlineStr">
        <is>
          <t>SÖDERMANLANDS LÄN</t>
        </is>
      </c>
      <c r="E270" t="inlineStr">
        <is>
          <t>FLEN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66979-2021</t>
        </is>
      </c>
      <c r="B271" s="1" t="n">
        <v>44522</v>
      </c>
      <c r="C271" s="1" t="n">
        <v>46001</v>
      </c>
      <c r="D271" t="inlineStr">
        <is>
          <t>SÖDERMANLANDS LÄN</t>
        </is>
      </c>
      <c r="E271" t="inlineStr">
        <is>
          <t>FLEN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26253-2025</t>
        </is>
      </c>
      <c r="B272" s="1" t="n">
        <v>45805</v>
      </c>
      <c r="C272" s="1" t="n">
        <v>46001</v>
      </c>
      <c r="D272" t="inlineStr">
        <is>
          <t>SÖDERMANLANDS LÄN</t>
        </is>
      </c>
      <c r="E272" t="inlineStr">
        <is>
          <t>FLEN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37428-2023</t>
        </is>
      </c>
      <c r="B273" s="1" t="n">
        <v>45156.63482638889</v>
      </c>
      <c r="C273" s="1" t="n">
        <v>46001</v>
      </c>
      <c r="D273" t="inlineStr">
        <is>
          <t>SÖDERMANLANDS LÄN</t>
        </is>
      </c>
      <c r="E273" t="inlineStr">
        <is>
          <t>FLEN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54781-2024</t>
        </is>
      </c>
      <c r="B274" s="1" t="n">
        <v>45618</v>
      </c>
      <c r="C274" s="1" t="n">
        <v>46001</v>
      </c>
      <c r="D274" t="inlineStr">
        <is>
          <t>SÖDERMANLANDS LÄN</t>
        </is>
      </c>
      <c r="E274" t="inlineStr">
        <is>
          <t>FLEN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37286-2024</t>
        </is>
      </c>
      <c r="B275" s="1" t="n">
        <v>45540.43818287037</v>
      </c>
      <c r="C275" s="1" t="n">
        <v>46001</v>
      </c>
      <c r="D275" t="inlineStr">
        <is>
          <t>SÖDERMANLANDS LÄN</t>
        </is>
      </c>
      <c r="E275" t="inlineStr">
        <is>
          <t>FLEN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38217-2023</t>
        </is>
      </c>
      <c r="B276" s="1" t="n">
        <v>45161.53572916667</v>
      </c>
      <c r="C276" s="1" t="n">
        <v>46001</v>
      </c>
      <c r="D276" t="inlineStr">
        <is>
          <t>SÖDERMANLANDS LÄN</t>
        </is>
      </c>
      <c r="E276" t="inlineStr">
        <is>
          <t>FLEN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14040-2025</t>
        </is>
      </c>
      <c r="B277" s="1" t="n">
        <v>45740.36704861111</v>
      </c>
      <c r="C277" s="1" t="n">
        <v>46001</v>
      </c>
      <c r="D277" t="inlineStr">
        <is>
          <t>SÖDERMANLANDS LÄN</t>
        </is>
      </c>
      <c r="E277" t="inlineStr">
        <is>
          <t>FLEN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12172-2022</t>
        </is>
      </c>
      <c r="B278" s="1" t="n">
        <v>44636</v>
      </c>
      <c r="C278" s="1" t="n">
        <v>46001</v>
      </c>
      <c r="D278" t="inlineStr">
        <is>
          <t>SÖDERMANLANDS LÄN</t>
        </is>
      </c>
      <c r="E278" t="inlineStr">
        <is>
          <t>FLEN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41888-2025</t>
        </is>
      </c>
      <c r="B279" s="1" t="n">
        <v>45903.37440972222</v>
      </c>
      <c r="C279" s="1" t="n">
        <v>46001</v>
      </c>
      <c r="D279" t="inlineStr">
        <is>
          <t>SÖDERMANLANDS LÄN</t>
        </is>
      </c>
      <c r="E279" t="inlineStr">
        <is>
          <t>FLEN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48785-2022</t>
        </is>
      </c>
      <c r="B280" s="1" t="n">
        <v>44859</v>
      </c>
      <c r="C280" s="1" t="n">
        <v>46001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64480-2023</t>
        </is>
      </c>
      <c r="B281" s="1" t="n">
        <v>45280.90018518519</v>
      </c>
      <c r="C281" s="1" t="n">
        <v>46001</v>
      </c>
      <c r="D281" t="inlineStr">
        <is>
          <t>SÖDERMANLANDS LÄN</t>
        </is>
      </c>
      <c r="E281" t="inlineStr">
        <is>
          <t>FLEN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59776-2022</t>
        </is>
      </c>
      <c r="B282" s="1" t="n">
        <v>44908</v>
      </c>
      <c r="C282" s="1" t="n">
        <v>46001</v>
      </c>
      <c r="D282" t="inlineStr">
        <is>
          <t>SÖDERMANLANDS LÄN</t>
        </is>
      </c>
      <c r="E282" t="inlineStr">
        <is>
          <t>FLEN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3944-2025</t>
        </is>
      </c>
      <c r="B283" s="1" t="n">
        <v>45684.48369212963</v>
      </c>
      <c r="C283" s="1" t="n">
        <v>46001</v>
      </c>
      <c r="D283" t="inlineStr">
        <is>
          <t>SÖDERMANLANDS LÄN</t>
        </is>
      </c>
      <c r="E283" t="inlineStr">
        <is>
          <t>FLEN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27827-2025</t>
        </is>
      </c>
      <c r="B284" s="1" t="n">
        <v>45817.35372685185</v>
      </c>
      <c r="C284" s="1" t="n">
        <v>46001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49816-2023</t>
        </is>
      </c>
      <c r="B285" s="1" t="n">
        <v>45211</v>
      </c>
      <c r="C285" s="1" t="n">
        <v>46001</v>
      </c>
      <c r="D285" t="inlineStr">
        <is>
          <t>SÖDERMANLANDS LÄN</t>
        </is>
      </c>
      <c r="E285" t="inlineStr">
        <is>
          <t>FLEN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29162-2025</t>
        </is>
      </c>
      <c r="B286" s="1" t="n">
        <v>45821.66907407407</v>
      </c>
      <c r="C286" s="1" t="n">
        <v>46001</v>
      </c>
      <c r="D286" t="inlineStr">
        <is>
          <t>SÖDERMANLANDS LÄN</t>
        </is>
      </c>
      <c r="E286" t="inlineStr">
        <is>
          <t>FLEN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57353-2022</t>
        </is>
      </c>
      <c r="B287" s="1" t="n">
        <v>44896</v>
      </c>
      <c r="C287" s="1" t="n">
        <v>46001</v>
      </c>
      <c r="D287" t="inlineStr">
        <is>
          <t>SÖDERMANLANDS LÄN</t>
        </is>
      </c>
      <c r="E287" t="inlineStr">
        <is>
          <t>FLEN</t>
        </is>
      </c>
      <c r="F287" t="inlineStr">
        <is>
          <t>Övriga statliga verk och myndigheter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58507-2022</t>
        </is>
      </c>
      <c r="B288" s="1" t="n">
        <v>44902.39163194445</v>
      </c>
      <c r="C288" s="1" t="n">
        <v>46001</v>
      </c>
      <c r="D288" t="inlineStr">
        <is>
          <t>SÖDERMANLANDS LÄN</t>
        </is>
      </c>
      <c r="E288" t="inlineStr">
        <is>
          <t>FLEN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46103-2024</t>
        </is>
      </c>
      <c r="B289" s="1" t="n">
        <v>45581</v>
      </c>
      <c r="C289" s="1" t="n">
        <v>46001</v>
      </c>
      <c r="D289" t="inlineStr">
        <is>
          <t>SÖDERMANLANDS LÄN</t>
        </is>
      </c>
      <c r="E289" t="inlineStr">
        <is>
          <t>FLEN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9431-2022</t>
        </is>
      </c>
      <c r="B290" s="1" t="n">
        <v>44616</v>
      </c>
      <c r="C290" s="1" t="n">
        <v>46001</v>
      </c>
      <c r="D290" t="inlineStr">
        <is>
          <t>SÖDERMANLANDS LÄN</t>
        </is>
      </c>
      <c r="E290" t="inlineStr">
        <is>
          <t>FLEN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14755-2023</t>
        </is>
      </c>
      <c r="B291" s="1" t="n">
        <v>45014</v>
      </c>
      <c r="C291" s="1" t="n">
        <v>46001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4216-2022</t>
        </is>
      </c>
      <c r="B292" s="1" t="n">
        <v>44588</v>
      </c>
      <c r="C292" s="1" t="n">
        <v>46001</v>
      </c>
      <c r="D292" t="inlineStr">
        <is>
          <t>SÖDERMANLANDS LÄN</t>
        </is>
      </c>
      <c r="E292" t="inlineStr">
        <is>
          <t>FLEN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44006-2022</t>
        </is>
      </c>
      <c r="B293" s="1" t="n">
        <v>44838</v>
      </c>
      <c r="C293" s="1" t="n">
        <v>46001</v>
      </c>
      <c r="D293" t="inlineStr">
        <is>
          <t>SÖDERMANLANDS LÄN</t>
        </is>
      </c>
      <c r="E293" t="inlineStr">
        <is>
          <t>FLEN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4899-2023</t>
        </is>
      </c>
      <c r="B294" s="1" t="n">
        <v>44958</v>
      </c>
      <c r="C294" s="1" t="n">
        <v>46001</v>
      </c>
      <c r="D294" t="inlineStr">
        <is>
          <t>SÖDERMANLANDS LÄN</t>
        </is>
      </c>
      <c r="E294" t="inlineStr">
        <is>
          <t>FLEN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30068-2025</t>
        </is>
      </c>
      <c r="B295" s="1" t="n">
        <v>45826</v>
      </c>
      <c r="C295" s="1" t="n">
        <v>46001</v>
      </c>
      <c r="D295" t="inlineStr">
        <is>
          <t>SÖDERMANLANDS LÄN</t>
        </is>
      </c>
      <c r="E295" t="inlineStr">
        <is>
          <t>FLEN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30075-2025</t>
        </is>
      </c>
      <c r="B296" s="1" t="n">
        <v>45826</v>
      </c>
      <c r="C296" s="1" t="n">
        <v>46001</v>
      </c>
      <c r="D296" t="inlineStr">
        <is>
          <t>SÖDERMANLANDS LÄN</t>
        </is>
      </c>
      <c r="E296" t="inlineStr">
        <is>
          <t>FLEN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52980-2023</t>
        </is>
      </c>
      <c r="B297" s="1" t="n">
        <v>45226</v>
      </c>
      <c r="C297" s="1" t="n">
        <v>46001</v>
      </c>
      <c r="D297" t="inlineStr">
        <is>
          <t>SÖDERMANLANDS LÄN</t>
        </is>
      </c>
      <c r="E297" t="inlineStr">
        <is>
          <t>FLEN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30494-2025</t>
        </is>
      </c>
      <c r="B298" s="1" t="n">
        <v>45830</v>
      </c>
      <c r="C298" s="1" t="n">
        <v>46001</v>
      </c>
      <c r="D298" t="inlineStr">
        <is>
          <t>SÖDERMANLANDS LÄN</t>
        </is>
      </c>
      <c r="E298" t="inlineStr">
        <is>
          <t>FLEN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30493-2025</t>
        </is>
      </c>
      <c r="B299" s="1" t="n">
        <v>45830</v>
      </c>
      <c r="C299" s="1" t="n">
        <v>46001</v>
      </c>
      <c r="D299" t="inlineStr">
        <is>
          <t>SÖDERMANLANDS LÄN</t>
        </is>
      </c>
      <c r="E299" t="inlineStr">
        <is>
          <t>FLEN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54282-2025</t>
        </is>
      </c>
      <c r="B300" s="1" t="n">
        <v>45964.75847222222</v>
      </c>
      <c r="C300" s="1" t="n">
        <v>46001</v>
      </c>
      <c r="D300" t="inlineStr">
        <is>
          <t>SÖDERMANLANDS LÄN</t>
        </is>
      </c>
      <c r="E300" t="inlineStr">
        <is>
          <t>FLEN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56991-2023</t>
        </is>
      </c>
      <c r="B301" s="1" t="n">
        <v>45244</v>
      </c>
      <c r="C301" s="1" t="n">
        <v>46001</v>
      </c>
      <c r="D301" t="inlineStr">
        <is>
          <t>SÖDERMANLANDS LÄN</t>
        </is>
      </c>
      <c r="E301" t="inlineStr">
        <is>
          <t>FLEN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39226-2023</t>
        </is>
      </c>
      <c r="B302" s="1" t="n">
        <v>45166</v>
      </c>
      <c r="C302" s="1" t="n">
        <v>46001</v>
      </c>
      <c r="D302" t="inlineStr">
        <is>
          <t>SÖDERMANLANDS LÄN</t>
        </is>
      </c>
      <c r="E302" t="inlineStr">
        <is>
          <t>FLEN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9894-2023</t>
        </is>
      </c>
      <c r="B303" s="1" t="n">
        <v>44979</v>
      </c>
      <c r="C303" s="1" t="n">
        <v>46001</v>
      </c>
      <c r="D303" t="inlineStr">
        <is>
          <t>SÖDERMANLANDS LÄN</t>
        </is>
      </c>
      <c r="E303" t="inlineStr">
        <is>
          <t>FLEN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45370-2025</t>
        </is>
      </c>
      <c r="B304" s="1" t="n">
        <v>45920</v>
      </c>
      <c r="C304" s="1" t="n">
        <v>46001</v>
      </c>
      <c r="D304" t="inlineStr">
        <is>
          <t>SÖDERMANLANDS LÄN</t>
        </is>
      </c>
      <c r="E304" t="inlineStr">
        <is>
          <t>FLEN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54283-2025</t>
        </is>
      </c>
      <c r="B305" s="1" t="n">
        <v>45964.76424768518</v>
      </c>
      <c r="C305" s="1" t="n">
        <v>46001</v>
      </c>
      <c r="D305" t="inlineStr">
        <is>
          <t>SÖDERMANLANDS LÄN</t>
        </is>
      </c>
      <c r="E305" t="inlineStr">
        <is>
          <t>FLEN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67464-2021</t>
        </is>
      </c>
      <c r="B306" s="1" t="n">
        <v>44524</v>
      </c>
      <c r="C306" s="1" t="n">
        <v>46001</v>
      </c>
      <c r="D306" t="inlineStr">
        <is>
          <t>SÖDERMANLANDS LÄN</t>
        </is>
      </c>
      <c r="E306" t="inlineStr">
        <is>
          <t>FLEN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59258-2022</t>
        </is>
      </c>
      <c r="B307" s="1" t="n">
        <v>44897</v>
      </c>
      <c r="C307" s="1" t="n">
        <v>46001</v>
      </c>
      <c r="D307" t="inlineStr">
        <is>
          <t>SÖDERMANLANDS LÄN</t>
        </is>
      </c>
      <c r="E307" t="inlineStr">
        <is>
          <t>FLEN</t>
        </is>
      </c>
      <c r="F307" t="inlineStr">
        <is>
          <t>Övriga statliga verk och myndigheter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47604-2021</t>
        </is>
      </c>
      <c r="B308" s="1" t="n">
        <v>44448</v>
      </c>
      <c r="C308" s="1" t="n">
        <v>46001</v>
      </c>
      <c r="D308" t="inlineStr">
        <is>
          <t>SÖDERMANLANDS LÄN</t>
        </is>
      </c>
      <c r="E308" t="inlineStr">
        <is>
          <t>FLEN</t>
        </is>
      </c>
      <c r="G308" t="n">
        <v>11.5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46031-2025</t>
        </is>
      </c>
      <c r="B309" s="1" t="n">
        <v>45924.44363425926</v>
      </c>
      <c r="C309" s="1" t="n">
        <v>46001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48852-2023</t>
        </is>
      </c>
      <c r="B310" s="1" t="n">
        <v>45209</v>
      </c>
      <c r="C310" s="1" t="n">
        <v>46001</v>
      </c>
      <c r="D310" t="inlineStr">
        <is>
          <t>SÖDERMANLANDS LÄN</t>
        </is>
      </c>
      <c r="E310" t="inlineStr">
        <is>
          <t>FLEN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10110-2023</t>
        </is>
      </c>
      <c r="B311" s="1" t="n">
        <v>44986</v>
      </c>
      <c r="C311" s="1" t="n">
        <v>46001</v>
      </c>
      <c r="D311" t="inlineStr">
        <is>
          <t>SÖDERMANLANDS LÄN</t>
        </is>
      </c>
      <c r="E311" t="inlineStr">
        <is>
          <t>FLEN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42491-2025</t>
        </is>
      </c>
      <c r="B312" s="1" t="n">
        <v>45905.49965277778</v>
      </c>
      <c r="C312" s="1" t="n">
        <v>46001</v>
      </c>
      <c r="D312" t="inlineStr">
        <is>
          <t>SÖDERMANLANDS LÄN</t>
        </is>
      </c>
      <c r="E312" t="inlineStr">
        <is>
          <t>FLEN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42588-2025</t>
        </is>
      </c>
      <c r="B313" s="1" t="n">
        <v>45905</v>
      </c>
      <c r="C313" s="1" t="n">
        <v>46001</v>
      </c>
      <c r="D313" t="inlineStr">
        <is>
          <t>SÖDERMANLANDS LÄN</t>
        </is>
      </c>
      <c r="E313" t="inlineStr">
        <is>
          <t>FLEN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46662-2025</t>
        </is>
      </c>
      <c r="B314" s="1" t="n">
        <v>45926.50364583333</v>
      </c>
      <c r="C314" s="1" t="n">
        <v>46001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42525-2025</t>
        </is>
      </c>
      <c r="B315" s="1" t="n">
        <v>45905.55394675926</v>
      </c>
      <c r="C315" s="1" t="n">
        <v>46001</v>
      </c>
      <c r="D315" t="inlineStr">
        <is>
          <t>SÖDERMANLANDS LÄN</t>
        </is>
      </c>
      <c r="E315" t="inlineStr">
        <is>
          <t>FLEN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10565-2023</t>
        </is>
      </c>
      <c r="B316" s="1" t="n">
        <v>44988</v>
      </c>
      <c r="C316" s="1" t="n">
        <v>46001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32023-2022</t>
        </is>
      </c>
      <c r="B317" s="1" t="n">
        <v>44778</v>
      </c>
      <c r="C317" s="1" t="n">
        <v>46001</v>
      </c>
      <c r="D317" t="inlineStr">
        <is>
          <t>SÖDERMANLANDS LÄN</t>
        </is>
      </c>
      <c r="E317" t="inlineStr">
        <is>
          <t>FLEN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25605-2023</t>
        </is>
      </c>
      <c r="B318" s="1" t="n">
        <v>45089</v>
      </c>
      <c r="C318" s="1" t="n">
        <v>46001</v>
      </c>
      <c r="D318" t="inlineStr">
        <is>
          <t>SÖDERMANLANDS LÄN</t>
        </is>
      </c>
      <c r="E318" t="inlineStr">
        <is>
          <t>FLEN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22827-2024</t>
        </is>
      </c>
      <c r="B319" s="1" t="n">
        <v>45448.56204861111</v>
      </c>
      <c r="C319" s="1" t="n">
        <v>46001</v>
      </c>
      <c r="D319" t="inlineStr">
        <is>
          <t>SÖDERMANLANDS LÄN</t>
        </is>
      </c>
      <c r="E319" t="inlineStr">
        <is>
          <t>FLEN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34438-2025</t>
        </is>
      </c>
      <c r="B320" s="1" t="n">
        <v>45845</v>
      </c>
      <c r="C320" s="1" t="n">
        <v>46001</v>
      </c>
      <c r="D320" t="inlineStr">
        <is>
          <t>SÖDERMANLANDS LÄN</t>
        </is>
      </c>
      <c r="E320" t="inlineStr">
        <is>
          <t>FLEN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46382-2025</t>
        </is>
      </c>
      <c r="B321" s="1" t="n">
        <v>45925.52625</v>
      </c>
      <c r="C321" s="1" t="n">
        <v>46001</v>
      </c>
      <c r="D321" t="inlineStr">
        <is>
          <t>SÖDERMANLANDS LÄN</t>
        </is>
      </c>
      <c r="E321" t="inlineStr">
        <is>
          <t>FLEN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42558-2025</t>
        </is>
      </c>
      <c r="B322" s="1" t="n">
        <v>45905</v>
      </c>
      <c r="C322" s="1" t="n">
        <v>46001</v>
      </c>
      <c r="D322" t="inlineStr">
        <is>
          <t>SÖDERMANLANDS LÄN</t>
        </is>
      </c>
      <c r="E322" t="inlineStr">
        <is>
          <t>FLEN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46387-2025</t>
        </is>
      </c>
      <c r="B323" s="1" t="n">
        <v>45925.53314814815</v>
      </c>
      <c r="C323" s="1" t="n">
        <v>46001</v>
      </c>
      <c r="D323" t="inlineStr">
        <is>
          <t>SÖDERMANLANDS LÄN</t>
        </is>
      </c>
      <c r="E323" t="inlineStr">
        <is>
          <t>FLEN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60756-2024</t>
        </is>
      </c>
      <c r="B324" s="1" t="n">
        <v>45644</v>
      </c>
      <c r="C324" s="1" t="n">
        <v>46001</v>
      </c>
      <c r="D324" t="inlineStr">
        <is>
          <t>SÖDERMANLANDS LÄN</t>
        </is>
      </c>
      <c r="E324" t="inlineStr">
        <is>
          <t>FLEN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47247-2025</t>
        </is>
      </c>
      <c r="B325" s="1" t="n">
        <v>45930.42990740741</v>
      </c>
      <c r="C325" s="1" t="n">
        <v>46001</v>
      </c>
      <c r="D325" t="inlineStr">
        <is>
          <t>SÖDERMANLANDS LÄN</t>
        </is>
      </c>
      <c r="E325" t="inlineStr">
        <is>
          <t>FLEN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8710-2021</t>
        </is>
      </c>
      <c r="B326" s="1" t="n">
        <v>44246</v>
      </c>
      <c r="C326" s="1" t="n">
        <v>46001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39821-2024</t>
        </is>
      </c>
      <c r="B327" s="1" t="n">
        <v>45553</v>
      </c>
      <c r="C327" s="1" t="n">
        <v>46001</v>
      </c>
      <c r="D327" t="inlineStr">
        <is>
          <t>SÖDERMANLANDS LÄN</t>
        </is>
      </c>
      <c r="E327" t="inlineStr">
        <is>
          <t>FLEN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7312-2025</t>
        </is>
      </c>
      <c r="B328" s="1" t="n">
        <v>45702.71366898148</v>
      </c>
      <c r="C328" s="1" t="n">
        <v>46001</v>
      </c>
      <c r="D328" t="inlineStr">
        <is>
          <t>SÖDERMANLANDS LÄN</t>
        </is>
      </c>
      <c r="E328" t="inlineStr">
        <is>
          <t>FLEN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35078-2025</t>
        </is>
      </c>
      <c r="B329" s="1" t="n">
        <v>45852</v>
      </c>
      <c r="C329" s="1" t="n">
        <v>46001</v>
      </c>
      <c r="D329" t="inlineStr">
        <is>
          <t>SÖDERMANLANDS LÄN</t>
        </is>
      </c>
      <c r="E329" t="inlineStr">
        <is>
          <t>FLEN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41435-2022</t>
        </is>
      </c>
      <c r="B330" s="1" t="n">
        <v>44826</v>
      </c>
      <c r="C330" s="1" t="n">
        <v>46001</v>
      </c>
      <c r="D330" t="inlineStr">
        <is>
          <t>SÖDERMANLANDS LÄN</t>
        </is>
      </c>
      <c r="E330" t="inlineStr">
        <is>
          <t>FLEN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12295-2025</t>
        </is>
      </c>
      <c r="B331" s="1" t="n">
        <v>45729</v>
      </c>
      <c r="C331" s="1" t="n">
        <v>46001</v>
      </c>
      <c r="D331" t="inlineStr">
        <is>
          <t>SÖDERMANLANDS LÄN</t>
        </is>
      </c>
      <c r="E331" t="inlineStr">
        <is>
          <t>FLEN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18185-2021</t>
        </is>
      </c>
      <c r="B332" s="1" t="n">
        <v>44302</v>
      </c>
      <c r="C332" s="1" t="n">
        <v>46001</v>
      </c>
      <c r="D332" t="inlineStr">
        <is>
          <t>SÖDERMANLANDS LÄN</t>
        </is>
      </c>
      <c r="E332" t="inlineStr">
        <is>
          <t>FLEN</t>
        </is>
      </c>
      <c r="F332" t="inlineStr">
        <is>
          <t>Kyrkan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60609-2022</t>
        </is>
      </c>
      <c r="B333" s="1" t="n">
        <v>44911</v>
      </c>
      <c r="C333" s="1" t="n">
        <v>46001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46106-2024</t>
        </is>
      </c>
      <c r="B334" s="1" t="n">
        <v>45581.37462962963</v>
      </c>
      <c r="C334" s="1" t="n">
        <v>46001</v>
      </c>
      <c r="D334" t="inlineStr">
        <is>
          <t>SÖDERMANLANDS LÄN</t>
        </is>
      </c>
      <c r="E334" t="inlineStr">
        <is>
          <t>FLEN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30423-2022</t>
        </is>
      </c>
      <c r="B335" s="1" t="n">
        <v>44761.47006944445</v>
      </c>
      <c r="C335" s="1" t="n">
        <v>46001</v>
      </c>
      <c r="D335" t="inlineStr">
        <is>
          <t>SÖDERMANLANDS LÄN</t>
        </is>
      </c>
      <c r="E335" t="inlineStr">
        <is>
          <t>FLEN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63185-2023</t>
        </is>
      </c>
      <c r="B336" s="1" t="n">
        <v>45272</v>
      </c>
      <c r="C336" s="1" t="n">
        <v>46001</v>
      </c>
      <c r="D336" t="inlineStr">
        <is>
          <t>SÖDERMANLANDS LÄN</t>
        </is>
      </c>
      <c r="E336" t="inlineStr">
        <is>
          <t>FLEN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47872-2025</t>
        </is>
      </c>
      <c r="B337" s="1" t="n">
        <v>45932</v>
      </c>
      <c r="C337" s="1" t="n">
        <v>46001</v>
      </c>
      <c r="D337" t="inlineStr">
        <is>
          <t>SÖDERMANLANDS LÄN</t>
        </is>
      </c>
      <c r="E337" t="inlineStr">
        <is>
          <t>FLEN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47989-2025</t>
        </is>
      </c>
      <c r="B338" s="1" t="n">
        <v>45932.62283564815</v>
      </c>
      <c r="C338" s="1" t="n">
        <v>46001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11288-2021</t>
        </is>
      </c>
      <c r="B339" s="1" t="n">
        <v>44263</v>
      </c>
      <c r="C339" s="1" t="n">
        <v>46001</v>
      </c>
      <c r="D339" t="inlineStr">
        <is>
          <t>SÖDERMANLANDS LÄN</t>
        </is>
      </c>
      <c r="E339" t="inlineStr">
        <is>
          <t>FLEN</t>
        </is>
      </c>
      <c r="G339" t="n">
        <v>19.1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56229-2025</t>
        </is>
      </c>
      <c r="B340" s="1" t="n">
        <v>45974.5197337963</v>
      </c>
      <c r="C340" s="1" t="n">
        <v>46001</v>
      </c>
      <c r="D340" t="inlineStr">
        <is>
          <t>SÖDERMANLANDS LÄN</t>
        </is>
      </c>
      <c r="E340" t="inlineStr">
        <is>
          <t>FLEN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58834-2024</t>
        </is>
      </c>
      <c r="B341" s="1" t="n">
        <v>45636.37457175926</v>
      </c>
      <c r="C341" s="1" t="n">
        <v>46001</v>
      </c>
      <c r="D341" t="inlineStr">
        <is>
          <t>SÖDERMANLANDS LÄN</t>
        </is>
      </c>
      <c r="E341" t="inlineStr">
        <is>
          <t>FLEN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57863-2022</t>
        </is>
      </c>
      <c r="B342" s="1" t="n">
        <v>44899.4174537037</v>
      </c>
      <c r="C342" s="1" t="n">
        <v>46001</v>
      </c>
      <c r="D342" t="inlineStr">
        <is>
          <t>SÖDERMANLANDS LÄN</t>
        </is>
      </c>
      <c r="E342" t="inlineStr">
        <is>
          <t>FLEN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7194-2023</t>
        </is>
      </c>
      <c r="B343" s="1" t="n">
        <v>44970</v>
      </c>
      <c r="C343" s="1" t="n">
        <v>46001</v>
      </c>
      <c r="D343" t="inlineStr">
        <is>
          <t>SÖDERMANLANDS LÄN</t>
        </is>
      </c>
      <c r="E343" t="inlineStr">
        <is>
          <t>FLEN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23835-2022</t>
        </is>
      </c>
      <c r="B344" s="1" t="n">
        <v>44722</v>
      </c>
      <c r="C344" s="1" t="n">
        <v>46001</v>
      </c>
      <c r="D344" t="inlineStr">
        <is>
          <t>SÖDERMANLANDS LÄN</t>
        </is>
      </c>
      <c r="E344" t="inlineStr">
        <is>
          <t>FLEN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23859-2022</t>
        </is>
      </c>
      <c r="B345" s="1" t="n">
        <v>44722</v>
      </c>
      <c r="C345" s="1" t="n">
        <v>46001</v>
      </c>
      <c r="D345" t="inlineStr">
        <is>
          <t>SÖDERMANLANDS LÄN</t>
        </is>
      </c>
      <c r="E345" t="inlineStr">
        <is>
          <t>FLEN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36454-2025</t>
        </is>
      </c>
      <c r="B346" s="1" t="n">
        <v>45869</v>
      </c>
      <c r="C346" s="1" t="n">
        <v>46001</v>
      </c>
      <c r="D346" t="inlineStr">
        <is>
          <t>SÖDERMANLANDS LÄN</t>
        </is>
      </c>
      <c r="E346" t="inlineStr">
        <is>
          <t>FLEN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36455-2025</t>
        </is>
      </c>
      <c r="B347" s="1" t="n">
        <v>45869</v>
      </c>
      <c r="C347" s="1" t="n">
        <v>46001</v>
      </c>
      <c r="D347" t="inlineStr">
        <is>
          <t>SÖDERMANLANDS LÄN</t>
        </is>
      </c>
      <c r="E347" t="inlineStr">
        <is>
          <t>FLEN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48119-2025</t>
        </is>
      </c>
      <c r="B348" s="1" t="n">
        <v>45933.35893518518</v>
      </c>
      <c r="C348" s="1" t="n">
        <v>46001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36453-2025</t>
        </is>
      </c>
      <c r="B349" s="1" t="n">
        <v>45869</v>
      </c>
      <c r="C349" s="1" t="n">
        <v>46001</v>
      </c>
      <c r="D349" t="inlineStr">
        <is>
          <t>SÖDERMANLANDS LÄN</t>
        </is>
      </c>
      <c r="E349" t="inlineStr">
        <is>
          <t>FLEN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15465-2021</t>
        </is>
      </c>
      <c r="B350" s="1" t="n">
        <v>44285</v>
      </c>
      <c r="C350" s="1" t="n">
        <v>46001</v>
      </c>
      <c r="D350" t="inlineStr">
        <is>
          <t>SÖDERMANLANDS LÄN</t>
        </is>
      </c>
      <c r="E350" t="inlineStr">
        <is>
          <t>FLEN</t>
        </is>
      </c>
      <c r="G350" t="n">
        <v>11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56573-2025</t>
        </is>
      </c>
      <c r="B351" s="1" t="n">
        <v>45974</v>
      </c>
      <c r="C351" s="1" t="n">
        <v>46001</v>
      </c>
      <c r="D351" t="inlineStr">
        <is>
          <t>SÖDERMANLANDS LÄN</t>
        </is>
      </c>
      <c r="E351" t="inlineStr">
        <is>
          <t>FLEN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48169-2025</t>
        </is>
      </c>
      <c r="B352" s="1" t="n">
        <v>45933.43011574074</v>
      </c>
      <c r="C352" s="1" t="n">
        <v>46001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40961-2021</t>
        </is>
      </c>
      <c r="B353" s="1" t="n">
        <v>44421</v>
      </c>
      <c r="C353" s="1" t="n">
        <v>46001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14412-2023</t>
        </is>
      </c>
      <c r="B354" s="1" t="n">
        <v>45012</v>
      </c>
      <c r="C354" s="1" t="n">
        <v>46001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9079-2025</t>
        </is>
      </c>
      <c r="B355" s="1" t="n">
        <v>45713.66100694444</v>
      </c>
      <c r="C355" s="1" t="n">
        <v>46001</v>
      </c>
      <c r="D355" t="inlineStr">
        <is>
          <t>SÖDERMANLANDS LÄN</t>
        </is>
      </c>
      <c r="E355" t="inlineStr">
        <is>
          <t>FLEN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57025-2025</t>
        </is>
      </c>
      <c r="B356" s="1" t="n">
        <v>45979.28907407408</v>
      </c>
      <c r="C356" s="1" t="n">
        <v>46001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37775-2025</t>
        </is>
      </c>
      <c r="B357" s="1" t="n">
        <v>45880.79771990741</v>
      </c>
      <c r="C357" s="1" t="n">
        <v>46001</v>
      </c>
      <c r="D357" t="inlineStr">
        <is>
          <t>SÖDERMANLANDS LÄN</t>
        </is>
      </c>
      <c r="E357" t="inlineStr">
        <is>
          <t>FLEN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49775-2024</t>
        </is>
      </c>
      <c r="B358" s="1" t="n">
        <v>45597.34841435185</v>
      </c>
      <c r="C358" s="1" t="n">
        <v>46001</v>
      </c>
      <c r="D358" t="inlineStr">
        <is>
          <t>SÖDERMANLANDS LÄN</t>
        </is>
      </c>
      <c r="E358" t="inlineStr">
        <is>
          <t>FLEN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9979-2025</t>
        </is>
      </c>
      <c r="B359" s="1" t="n">
        <v>45718</v>
      </c>
      <c r="C359" s="1" t="n">
        <v>46001</v>
      </c>
      <c r="D359" t="inlineStr">
        <is>
          <t>SÖDERMANLANDS LÄN</t>
        </is>
      </c>
      <c r="E359" t="inlineStr">
        <is>
          <t>FLEN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58635-2024</t>
        </is>
      </c>
      <c r="B360" s="1" t="n">
        <v>45632</v>
      </c>
      <c r="C360" s="1" t="n">
        <v>46001</v>
      </c>
      <c r="D360" t="inlineStr">
        <is>
          <t>SÖDERMANLANDS LÄN</t>
        </is>
      </c>
      <c r="E360" t="inlineStr">
        <is>
          <t>FLEN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49949-2025</t>
        </is>
      </c>
      <c r="B361" s="1" t="n">
        <v>45940</v>
      </c>
      <c r="C361" s="1" t="n">
        <v>46001</v>
      </c>
      <c r="D361" t="inlineStr">
        <is>
          <t>SÖDERMANLANDS LÄN</t>
        </is>
      </c>
      <c r="E361" t="inlineStr">
        <is>
          <t>FLEN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18180-2021</t>
        </is>
      </c>
      <c r="B362" s="1" t="n">
        <v>44302</v>
      </c>
      <c r="C362" s="1" t="n">
        <v>46001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50092-2025</t>
        </is>
      </c>
      <c r="B363" s="1" t="n">
        <v>45943</v>
      </c>
      <c r="C363" s="1" t="n">
        <v>46001</v>
      </c>
      <c r="D363" t="inlineStr">
        <is>
          <t>SÖDERMANLANDS LÄN</t>
        </is>
      </c>
      <c r="E363" t="inlineStr">
        <is>
          <t>FLEN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52472-2023</t>
        </is>
      </c>
      <c r="B364" s="1" t="n">
        <v>45225</v>
      </c>
      <c r="C364" s="1" t="n">
        <v>46001</v>
      </c>
      <c r="D364" t="inlineStr">
        <is>
          <t>SÖDERMANLANDS LÄN</t>
        </is>
      </c>
      <c r="E364" t="inlineStr">
        <is>
          <t>FLEN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11302-2021</t>
        </is>
      </c>
      <c r="B365" s="1" t="n">
        <v>44263</v>
      </c>
      <c r="C365" s="1" t="n">
        <v>46001</v>
      </c>
      <c r="D365" t="inlineStr">
        <is>
          <t>SÖDERMANLANDS LÄN</t>
        </is>
      </c>
      <c r="E365" t="inlineStr">
        <is>
          <t>FLEN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52481-2023</t>
        </is>
      </c>
      <c r="B366" s="1" t="n">
        <v>45225.43978009259</v>
      </c>
      <c r="C366" s="1" t="n">
        <v>46001</v>
      </c>
      <c r="D366" t="inlineStr">
        <is>
          <t>SÖDERMANLANDS LÄN</t>
        </is>
      </c>
      <c r="E366" t="inlineStr">
        <is>
          <t>FLEN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34088-2021</t>
        </is>
      </c>
      <c r="B367" s="1" t="n">
        <v>44378</v>
      </c>
      <c r="C367" s="1" t="n">
        <v>46001</v>
      </c>
      <c r="D367" t="inlineStr">
        <is>
          <t>SÖDERMANLANDS LÄN</t>
        </is>
      </c>
      <c r="E367" t="inlineStr">
        <is>
          <t>FLEN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52353-2023</t>
        </is>
      </c>
      <c r="B368" s="1" t="n">
        <v>45224</v>
      </c>
      <c r="C368" s="1" t="n">
        <v>46001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16580-2023</t>
        </is>
      </c>
      <c r="B369" s="1" t="n">
        <v>45030.30835648148</v>
      </c>
      <c r="C369" s="1" t="n">
        <v>46001</v>
      </c>
      <c r="D369" t="inlineStr">
        <is>
          <t>SÖDERMANLANDS LÄN</t>
        </is>
      </c>
      <c r="E369" t="inlineStr">
        <is>
          <t>FLEN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9074-2025</t>
        </is>
      </c>
      <c r="B370" s="1" t="n">
        <v>45713.65885416666</v>
      </c>
      <c r="C370" s="1" t="n">
        <v>46001</v>
      </c>
      <c r="D370" t="inlineStr">
        <is>
          <t>SÖDERMANLANDS LÄN</t>
        </is>
      </c>
      <c r="E370" t="inlineStr">
        <is>
          <t>FLEN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31972-2024</t>
        </is>
      </c>
      <c r="B371" s="1" t="n">
        <v>45510.55208333334</v>
      </c>
      <c r="C371" s="1" t="n">
        <v>46001</v>
      </c>
      <c r="D371" t="inlineStr">
        <is>
          <t>SÖDERMANLANDS LÄN</t>
        </is>
      </c>
      <c r="E371" t="inlineStr">
        <is>
          <t>FLEN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50727-2025</t>
        </is>
      </c>
      <c r="B372" s="1" t="n">
        <v>45946.34836805556</v>
      </c>
      <c r="C372" s="1" t="n">
        <v>46001</v>
      </c>
      <c r="D372" t="inlineStr">
        <is>
          <t>SÖDERMANLANDS LÄN</t>
        </is>
      </c>
      <c r="E372" t="inlineStr">
        <is>
          <t>FLEN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50511-2025</t>
        </is>
      </c>
      <c r="B373" s="1" t="n">
        <v>45945.44395833334</v>
      </c>
      <c r="C373" s="1" t="n">
        <v>46001</v>
      </c>
      <c r="D373" t="inlineStr">
        <is>
          <t>SÖDERMANLANDS LÄN</t>
        </is>
      </c>
      <c r="E373" t="inlineStr">
        <is>
          <t>FLEN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39161-2025</t>
        </is>
      </c>
      <c r="B374" s="1" t="n">
        <v>45888</v>
      </c>
      <c r="C374" s="1" t="n">
        <v>46001</v>
      </c>
      <c r="D374" t="inlineStr">
        <is>
          <t>SÖDERMANLANDS LÄN</t>
        </is>
      </c>
      <c r="E374" t="inlineStr">
        <is>
          <t>FLEN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53119-2023</t>
        </is>
      </c>
      <c r="B375" s="1" t="n">
        <v>45228</v>
      </c>
      <c r="C375" s="1" t="n">
        <v>46001</v>
      </c>
      <c r="D375" t="inlineStr">
        <is>
          <t>SÖDERMANLANDS LÄN</t>
        </is>
      </c>
      <c r="E375" t="inlineStr">
        <is>
          <t>FLEN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41800-2021</t>
        </is>
      </c>
      <c r="B376" s="1" t="n">
        <v>44425</v>
      </c>
      <c r="C376" s="1" t="n">
        <v>46001</v>
      </c>
      <c r="D376" t="inlineStr">
        <is>
          <t>SÖDERMANLANDS LÄN</t>
        </is>
      </c>
      <c r="E376" t="inlineStr">
        <is>
          <t>FLEN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66867-2021</t>
        </is>
      </c>
      <c r="B377" s="1" t="n">
        <v>44522</v>
      </c>
      <c r="C377" s="1" t="n">
        <v>46001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49811-2023</t>
        </is>
      </c>
      <c r="B378" s="1" t="n">
        <v>45211</v>
      </c>
      <c r="C378" s="1" t="n">
        <v>46001</v>
      </c>
      <c r="D378" t="inlineStr">
        <is>
          <t>SÖDERMANLANDS LÄN</t>
        </is>
      </c>
      <c r="E378" t="inlineStr">
        <is>
          <t>FLEN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19150-2023</t>
        </is>
      </c>
      <c r="B379" s="1" t="n">
        <v>45048</v>
      </c>
      <c r="C379" s="1" t="n">
        <v>46001</v>
      </c>
      <c r="D379" t="inlineStr">
        <is>
          <t>SÖDERMANLANDS LÄN</t>
        </is>
      </c>
      <c r="E379" t="inlineStr">
        <is>
          <t>FLEN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1899-2025</t>
        </is>
      </c>
      <c r="B380" s="1" t="n">
        <v>45671</v>
      </c>
      <c r="C380" s="1" t="n">
        <v>46001</v>
      </c>
      <c r="D380" t="inlineStr">
        <is>
          <t>SÖDERMANLANDS LÄN</t>
        </is>
      </c>
      <c r="E380" t="inlineStr">
        <is>
          <t>FLEN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13824-2023</t>
        </is>
      </c>
      <c r="B381" s="1" t="n">
        <v>45007</v>
      </c>
      <c r="C381" s="1" t="n">
        <v>46001</v>
      </c>
      <c r="D381" t="inlineStr">
        <is>
          <t>SÖDERMANLANDS LÄN</t>
        </is>
      </c>
      <c r="E381" t="inlineStr">
        <is>
          <t>FLEN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7381-2024</t>
        </is>
      </c>
      <c r="B382" s="1" t="n">
        <v>45345.53630787037</v>
      </c>
      <c r="C382" s="1" t="n">
        <v>46001</v>
      </c>
      <c r="D382" t="inlineStr">
        <is>
          <t>SÖDERMANLANDS LÄN</t>
        </is>
      </c>
      <c r="E382" t="inlineStr">
        <is>
          <t>FLEN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59888-2025</t>
        </is>
      </c>
      <c r="B383" s="1" t="n">
        <v>45993.32717592592</v>
      </c>
      <c r="C383" s="1" t="n">
        <v>46001</v>
      </c>
      <c r="D383" t="inlineStr">
        <is>
          <t>SÖDERMANLANDS LÄN</t>
        </is>
      </c>
      <c r="E383" t="inlineStr">
        <is>
          <t>FLEN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59895-2025</t>
        </is>
      </c>
      <c r="B384" s="1" t="n">
        <v>45993.3421875</v>
      </c>
      <c r="C384" s="1" t="n">
        <v>46001</v>
      </c>
      <c r="D384" t="inlineStr">
        <is>
          <t>SÖDERMANLANDS LÄN</t>
        </is>
      </c>
      <c r="E384" t="inlineStr">
        <is>
          <t>FLEN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24348-2023</t>
        </is>
      </c>
      <c r="B385" s="1" t="n">
        <v>45082</v>
      </c>
      <c r="C385" s="1" t="n">
        <v>46001</v>
      </c>
      <c r="D385" t="inlineStr">
        <is>
          <t>SÖDERMANLANDS LÄN</t>
        </is>
      </c>
      <c r="E385" t="inlineStr">
        <is>
          <t>FLEN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60150-2022</t>
        </is>
      </c>
      <c r="B386" s="1" t="n">
        <v>44909</v>
      </c>
      <c r="C386" s="1" t="n">
        <v>46001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59894-2025</t>
        </is>
      </c>
      <c r="B387" s="1" t="n">
        <v>45993.34030092593</v>
      </c>
      <c r="C387" s="1" t="n">
        <v>46001</v>
      </c>
      <c r="D387" t="inlineStr">
        <is>
          <t>SÖDERMANLANDS LÄN</t>
        </is>
      </c>
      <c r="E387" t="inlineStr">
        <is>
          <t>FLEN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60206-2025</t>
        </is>
      </c>
      <c r="B388" s="1" t="n">
        <v>45994.50392361111</v>
      </c>
      <c r="C388" s="1" t="n">
        <v>46001</v>
      </c>
      <c r="D388" t="inlineStr">
        <is>
          <t>SÖDERMANLANDS LÄN</t>
        </is>
      </c>
      <c r="E388" t="inlineStr">
        <is>
          <t>FLEN</t>
        </is>
      </c>
      <c r="F388" t="inlineStr">
        <is>
          <t>Kyrkan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60144-2025</t>
        </is>
      </c>
      <c r="B389" s="1" t="n">
        <v>45994.3796412037</v>
      </c>
      <c r="C389" s="1" t="n">
        <v>46001</v>
      </c>
      <c r="D389" t="inlineStr">
        <is>
          <t>SÖDERMANLANDS LÄN</t>
        </is>
      </c>
      <c r="E389" t="inlineStr">
        <is>
          <t>FLEN</t>
        </is>
      </c>
      <c r="F389" t="inlineStr">
        <is>
          <t>Kyrkan</t>
        </is>
      </c>
      <c r="G389" t="n">
        <v>9.699999999999999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18511-2023</t>
        </is>
      </c>
      <c r="B390" s="1" t="n">
        <v>45041</v>
      </c>
      <c r="C390" s="1" t="n">
        <v>46001</v>
      </c>
      <c r="D390" t="inlineStr">
        <is>
          <t>SÖDERMANLANDS LÄN</t>
        </is>
      </c>
      <c r="E390" t="inlineStr">
        <is>
          <t>FLEN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59891-2025</t>
        </is>
      </c>
      <c r="B391" s="1" t="n">
        <v>45993.3318287037</v>
      </c>
      <c r="C391" s="1" t="n">
        <v>46001</v>
      </c>
      <c r="D391" t="inlineStr">
        <is>
          <t>SÖDERMANLANDS LÄN</t>
        </is>
      </c>
      <c r="E391" t="inlineStr">
        <is>
          <t>FLEN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59903-2025</t>
        </is>
      </c>
      <c r="B392" s="1" t="n">
        <v>45993.34483796296</v>
      </c>
      <c r="C392" s="1" t="n">
        <v>46001</v>
      </c>
      <c r="D392" t="inlineStr">
        <is>
          <t>SÖDERMANLANDS LÄN</t>
        </is>
      </c>
      <c r="E392" t="inlineStr">
        <is>
          <t>FLEN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59910-2025</t>
        </is>
      </c>
      <c r="B393" s="1" t="n">
        <v>45993.36152777778</v>
      </c>
      <c r="C393" s="1" t="n">
        <v>46001</v>
      </c>
      <c r="D393" t="inlineStr">
        <is>
          <t>SÖDERMANLANDS LÄN</t>
        </is>
      </c>
      <c r="E393" t="inlineStr">
        <is>
          <t>FLEN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8883-2023</t>
        </is>
      </c>
      <c r="B394" s="1" t="n">
        <v>44979.27921296296</v>
      </c>
      <c r="C394" s="1" t="n">
        <v>46001</v>
      </c>
      <c r="D394" t="inlineStr">
        <is>
          <t>SÖDERMANLANDS LÄN</t>
        </is>
      </c>
      <c r="E394" t="inlineStr">
        <is>
          <t>FLEN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21822-2023</t>
        </is>
      </c>
      <c r="B395" s="1" t="n">
        <v>45068.36099537037</v>
      </c>
      <c r="C395" s="1" t="n">
        <v>46001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60382-2025</t>
        </is>
      </c>
      <c r="B396" s="1" t="n">
        <v>45995.36960648148</v>
      </c>
      <c r="C396" s="1" t="n">
        <v>46001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60401-2025</t>
        </is>
      </c>
      <c r="B397" s="1" t="n">
        <v>45995.41515046296</v>
      </c>
      <c r="C397" s="1" t="n">
        <v>46001</v>
      </c>
      <c r="D397" t="inlineStr">
        <is>
          <t>SÖDERMANLANDS LÄN</t>
        </is>
      </c>
      <c r="E397" t="inlineStr">
        <is>
          <t>FLEN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52579-2025</t>
        </is>
      </c>
      <c r="B398" s="1" t="n">
        <v>45954.61589120371</v>
      </c>
      <c r="C398" s="1" t="n">
        <v>46001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47187-2022</t>
        </is>
      </c>
      <c r="B399" s="1" t="n">
        <v>44848</v>
      </c>
      <c r="C399" s="1" t="n">
        <v>46001</v>
      </c>
      <c r="D399" t="inlineStr">
        <is>
          <t>SÖDERMANLANDS LÄN</t>
        </is>
      </c>
      <c r="E399" t="inlineStr">
        <is>
          <t>FLEN</t>
        </is>
      </c>
      <c r="F399" t="inlineStr">
        <is>
          <t>Övriga statliga verk och myndigheter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51955-2025</t>
        </is>
      </c>
      <c r="B400" s="1" t="n">
        <v>45952</v>
      </c>
      <c r="C400" s="1" t="n">
        <v>46001</v>
      </c>
      <c r="D400" t="inlineStr">
        <is>
          <t>SÖDERMANLANDS LÄN</t>
        </is>
      </c>
      <c r="E400" t="inlineStr">
        <is>
          <t>FLEN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54340-2023</t>
        </is>
      </c>
      <c r="B401" s="1" t="n">
        <v>45225</v>
      </c>
      <c r="C401" s="1" t="n">
        <v>46001</v>
      </c>
      <c r="D401" t="inlineStr">
        <is>
          <t>SÖDERMANLANDS LÄN</t>
        </is>
      </c>
      <c r="E401" t="inlineStr">
        <is>
          <t>FLEN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52563-2021</t>
        </is>
      </c>
      <c r="B402" s="1" t="n">
        <v>44463</v>
      </c>
      <c r="C402" s="1" t="n">
        <v>46001</v>
      </c>
      <c r="D402" t="inlineStr">
        <is>
          <t>SÖDERMANLANDS LÄN</t>
        </is>
      </c>
      <c r="E402" t="inlineStr">
        <is>
          <t>FLEN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8141-2021</t>
        </is>
      </c>
      <c r="B403" s="1" t="n">
        <v>44242</v>
      </c>
      <c r="C403" s="1" t="n">
        <v>46001</v>
      </c>
      <c r="D403" t="inlineStr">
        <is>
          <t>SÖDERMANLANDS LÄN</t>
        </is>
      </c>
      <c r="E403" t="inlineStr">
        <is>
          <t>FLEN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61098-2025</t>
        </is>
      </c>
      <c r="B404" s="1" t="n">
        <v>46000.44005787037</v>
      </c>
      <c r="C404" s="1" t="n">
        <v>46001</v>
      </c>
      <c r="D404" t="inlineStr">
        <is>
          <t>SÖDERMANLANDS LÄN</t>
        </is>
      </c>
      <c r="E404" t="inlineStr">
        <is>
          <t>FLEN</t>
        </is>
      </c>
      <c r="F404" t="inlineStr">
        <is>
          <t>Kyrkan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10205-2025</t>
        </is>
      </c>
      <c r="B405" s="1" t="n">
        <v>45719.8153125</v>
      </c>
      <c r="C405" s="1" t="n">
        <v>46001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33225-2024</t>
        </is>
      </c>
      <c r="B406" s="1" t="n">
        <v>45518.56827546296</v>
      </c>
      <c r="C406" s="1" t="n">
        <v>46001</v>
      </c>
      <c r="D406" t="inlineStr">
        <is>
          <t>SÖDERMANLANDS LÄN</t>
        </is>
      </c>
      <c r="E406" t="inlineStr">
        <is>
          <t>FLEN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50898-2022</t>
        </is>
      </c>
      <c r="B407" s="1" t="n">
        <v>44864</v>
      </c>
      <c r="C407" s="1" t="n">
        <v>46001</v>
      </c>
      <c r="D407" t="inlineStr">
        <is>
          <t>SÖDERMANLANDS LÄN</t>
        </is>
      </c>
      <c r="E407" t="inlineStr">
        <is>
          <t>FLEN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50796-2021</t>
        </is>
      </c>
      <c r="B408" s="1" t="n">
        <v>44459</v>
      </c>
      <c r="C408" s="1" t="n">
        <v>46001</v>
      </c>
      <c r="D408" t="inlineStr">
        <is>
          <t>SÖDERMANLANDS LÄN</t>
        </is>
      </c>
      <c r="E408" t="inlineStr">
        <is>
          <t>FLEN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50358-2023</t>
        </is>
      </c>
      <c r="B409" s="1" t="n">
        <v>45216</v>
      </c>
      <c r="C409" s="1" t="n">
        <v>46001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40404-2024</t>
        </is>
      </c>
      <c r="B410" s="1" t="n">
        <v>45555</v>
      </c>
      <c r="C410" s="1" t="n">
        <v>46001</v>
      </c>
      <c r="D410" t="inlineStr">
        <is>
          <t>SÖDERMANLANDS LÄN</t>
        </is>
      </c>
      <c r="E410" t="inlineStr">
        <is>
          <t>FLEN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52692-2021</t>
        </is>
      </c>
      <c r="B411" s="1" t="n">
        <v>44466</v>
      </c>
      <c r="C411" s="1" t="n">
        <v>46001</v>
      </c>
      <c r="D411" t="inlineStr">
        <is>
          <t>SÖDERMANLANDS LÄN</t>
        </is>
      </c>
      <c r="E411" t="inlineStr">
        <is>
          <t>FLEN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61041-2025</t>
        </is>
      </c>
      <c r="B412" s="1" t="n">
        <v>46000.26596064815</v>
      </c>
      <c r="C412" s="1" t="n">
        <v>46001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14260-2025</t>
        </is>
      </c>
      <c r="B413" s="1" t="n">
        <v>45740.6271875</v>
      </c>
      <c r="C413" s="1" t="n">
        <v>46001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14117-2025</t>
        </is>
      </c>
      <c r="B414" s="1" t="n">
        <v>45740</v>
      </c>
      <c r="C414" s="1" t="n">
        <v>46001</v>
      </c>
      <c r="D414" t="inlineStr">
        <is>
          <t>SÖDERMANLANDS LÄN</t>
        </is>
      </c>
      <c r="E414" t="inlineStr">
        <is>
          <t>FLEN</t>
        </is>
      </c>
      <c r="F414" t="inlineStr">
        <is>
          <t>Övriga statliga verk och myndigheter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6827-2021</t>
        </is>
      </c>
      <c r="B415" s="1" t="n">
        <v>44237.34643518519</v>
      </c>
      <c r="C415" s="1" t="n">
        <v>46001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11068-2021</t>
        </is>
      </c>
      <c r="B416" s="1" t="n">
        <v>44260.58606481482</v>
      </c>
      <c r="C416" s="1" t="n">
        <v>46001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60613-2023</t>
        </is>
      </c>
      <c r="B417" s="1" t="n">
        <v>45260.36072916666</v>
      </c>
      <c r="C417" s="1" t="n">
        <v>46001</v>
      </c>
      <c r="D417" t="inlineStr">
        <is>
          <t>SÖDERMANLANDS LÄN</t>
        </is>
      </c>
      <c r="E417" t="inlineStr">
        <is>
          <t>FLEN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62763-2023</t>
        </is>
      </c>
      <c r="B418" s="1" t="n">
        <v>45271.64175925926</v>
      </c>
      <c r="C418" s="1" t="n">
        <v>46001</v>
      </c>
      <c r="D418" t="inlineStr">
        <is>
          <t>SÖDERMANLANDS LÄN</t>
        </is>
      </c>
      <c r="E418" t="inlineStr">
        <is>
          <t>FLEN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28529-2023</t>
        </is>
      </c>
      <c r="B419" s="1" t="n">
        <v>45103.48629629629</v>
      </c>
      <c r="C419" s="1" t="n">
        <v>46001</v>
      </c>
      <c r="D419" t="inlineStr">
        <is>
          <t>SÖDERMANLANDS LÄN</t>
        </is>
      </c>
      <c r="E419" t="inlineStr">
        <is>
          <t>FLEN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1330-2021</t>
        </is>
      </c>
      <c r="B420" s="1" t="n">
        <v>44208</v>
      </c>
      <c r="C420" s="1" t="n">
        <v>46001</v>
      </c>
      <c r="D420" t="inlineStr">
        <is>
          <t>SÖDERMANLANDS LÄN</t>
        </is>
      </c>
      <c r="E420" t="inlineStr">
        <is>
          <t>FLEN</t>
        </is>
      </c>
      <c r="F420" t="inlineStr">
        <is>
          <t>Övriga statliga verk och myndigheter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15897-2023</t>
        </is>
      </c>
      <c r="B421" s="1" t="n">
        <v>45022</v>
      </c>
      <c r="C421" s="1" t="n">
        <v>46001</v>
      </c>
      <c r="D421" t="inlineStr">
        <is>
          <t>SÖDERMANLANDS LÄN</t>
        </is>
      </c>
      <c r="E421" t="inlineStr">
        <is>
          <t>FLEN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17125-2023</t>
        </is>
      </c>
      <c r="B422" s="1" t="n">
        <v>45034</v>
      </c>
      <c r="C422" s="1" t="n">
        <v>46001</v>
      </c>
      <c r="D422" t="inlineStr">
        <is>
          <t>SÖDERMANLANDS LÄN</t>
        </is>
      </c>
      <c r="E422" t="inlineStr">
        <is>
          <t>FLEN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28938-2023</t>
        </is>
      </c>
      <c r="B423" s="1" t="n">
        <v>45104</v>
      </c>
      <c r="C423" s="1" t="n">
        <v>46001</v>
      </c>
      <c r="D423" t="inlineStr">
        <is>
          <t>SÖDERMANLANDS LÄN</t>
        </is>
      </c>
      <c r="E423" t="inlineStr">
        <is>
          <t>FLEN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22101-2023</t>
        </is>
      </c>
      <c r="B424" s="1" t="n">
        <v>45068</v>
      </c>
      <c r="C424" s="1" t="n">
        <v>46001</v>
      </c>
      <c r="D424" t="inlineStr">
        <is>
          <t>SÖDERMANLANDS LÄN</t>
        </is>
      </c>
      <c r="E424" t="inlineStr">
        <is>
          <t>FLEN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25467-2023</t>
        </is>
      </c>
      <c r="B425" s="1" t="n">
        <v>45081</v>
      </c>
      <c r="C425" s="1" t="n">
        <v>46001</v>
      </c>
      <c r="D425" t="inlineStr">
        <is>
          <t>SÖDERMANLANDS LÄN</t>
        </is>
      </c>
      <c r="E425" t="inlineStr">
        <is>
          <t>FLEN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25474-2023</t>
        </is>
      </c>
      <c r="B426" s="1" t="n">
        <v>45081</v>
      </c>
      <c r="C426" s="1" t="n">
        <v>46001</v>
      </c>
      <c r="D426" t="inlineStr">
        <is>
          <t>SÖDERMANLANDS LÄN</t>
        </is>
      </c>
      <c r="E426" t="inlineStr">
        <is>
          <t>FLEN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12936-2023</t>
        </is>
      </c>
      <c r="B427" s="1" t="n">
        <v>45001</v>
      </c>
      <c r="C427" s="1" t="n">
        <v>46001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35600-2023</t>
        </is>
      </c>
      <c r="B428" s="1" t="n">
        <v>45147</v>
      </c>
      <c r="C428" s="1" t="n">
        <v>46001</v>
      </c>
      <c r="D428" t="inlineStr">
        <is>
          <t>SÖDERMANLANDS LÄN</t>
        </is>
      </c>
      <c r="E428" t="inlineStr">
        <is>
          <t>FLEN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60034-2022</t>
        </is>
      </c>
      <c r="B429" s="1" t="n">
        <v>44909</v>
      </c>
      <c r="C429" s="1" t="n">
        <v>46001</v>
      </c>
      <c r="D429" t="inlineStr">
        <is>
          <t>SÖDERMANLANDS LÄN</t>
        </is>
      </c>
      <c r="E429" t="inlineStr">
        <is>
          <t>FLEN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60562-2021</t>
        </is>
      </c>
      <c r="B430" s="1" t="n">
        <v>44495</v>
      </c>
      <c r="C430" s="1" t="n">
        <v>46001</v>
      </c>
      <c r="D430" t="inlineStr">
        <is>
          <t>SÖDERMANLANDS LÄN</t>
        </is>
      </c>
      <c r="E430" t="inlineStr">
        <is>
          <t>FLEN</t>
        </is>
      </c>
      <c r="F430" t="inlineStr">
        <is>
          <t>Övriga statliga verk och myndigheter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58364-2023</t>
        </is>
      </c>
      <c r="B431" s="1" t="n">
        <v>45250</v>
      </c>
      <c r="C431" s="1" t="n">
        <v>46001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38209-2023</t>
        </is>
      </c>
      <c r="B432" s="1" t="n">
        <v>45161.52697916667</v>
      </c>
      <c r="C432" s="1" t="n">
        <v>46001</v>
      </c>
      <c r="D432" t="inlineStr">
        <is>
          <t>SÖDERMANLANDS LÄN</t>
        </is>
      </c>
      <c r="E432" t="inlineStr">
        <is>
          <t>FLEN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38762-2023</t>
        </is>
      </c>
      <c r="B433" s="1" t="n">
        <v>45163</v>
      </c>
      <c r="C433" s="1" t="n">
        <v>46001</v>
      </c>
      <c r="D433" t="inlineStr">
        <is>
          <t>SÖDERMANLANDS LÄN</t>
        </is>
      </c>
      <c r="E433" t="inlineStr">
        <is>
          <t>FLEN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9257-2023</t>
        </is>
      </c>
      <c r="B434" s="1" t="n">
        <v>44980</v>
      </c>
      <c r="C434" s="1" t="n">
        <v>46001</v>
      </c>
      <c r="D434" t="inlineStr">
        <is>
          <t>SÖDERMANLANDS LÄN</t>
        </is>
      </c>
      <c r="E434" t="inlineStr">
        <is>
          <t>FLEN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54666-2021</t>
        </is>
      </c>
      <c r="B435" s="1" t="n">
        <v>44473</v>
      </c>
      <c r="C435" s="1" t="n">
        <v>46001</v>
      </c>
      <c r="D435" t="inlineStr">
        <is>
          <t>SÖDERMANLANDS LÄN</t>
        </is>
      </c>
      <c r="E435" t="inlineStr">
        <is>
          <t>FLEN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10886-2023</t>
        </is>
      </c>
      <c r="B436" s="1" t="n">
        <v>44991</v>
      </c>
      <c r="C436" s="1" t="n">
        <v>46001</v>
      </c>
      <c r="D436" t="inlineStr">
        <is>
          <t>SÖDERMANLANDS LÄN</t>
        </is>
      </c>
      <c r="E436" t="inlineStr">
        <is>
          <t>FLEN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4742-2023</t>
        </is>
      </c>
      <c r="B437" s="1" t="n">
        <v>44957</v>
      </c>
      <c r="C437" s="1" t="n">
        <v>46001</v>
      </c>
      <c r="D437" t="inlineStr">
        <is>
          <t>SÖDERMANLANDS LÄN</t>
        </is>
      </c>
      <c r="E437" t="inlineStr">
        <is>
          <t>FLEN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8793-2022</t>
        </is>
      </c>
      <c r="B438" s="1" t="n">
        <v>44614</v>
      </c>
      <c r="C438" s="1" t="n">
        <v>46001</v>
      </c>
      <c r="D438" t="inlineStr">
        <is>
          <t>SÖDERMANLANDS LÄN</t>
        </is>
      </c>
      <c r="E438" t="inlineStr">
        <is>
          <t>FLEN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27724-2023</t>
        </is>
      </c>
      <c r="B439" s="1" t="n">
        <v>45097</v>
      </c>
      <c r="C439" s="1" t="n">
        <v>46001</v>
      </c>
      <c r="D439" t="inlineStr">
        <is>
          <t>SÖDERMANLANDS LÄN</t>
        </is>
      </c>
      <c r="E439" t="inlineStr">
        <is>
          <t>FLEN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42388-2023</t>
        </is>
      </c>
      <c r="B440" s="1" t="n">
        <v>45180</v>
      </c>
      <c r="C440" s="1" t="n">
        <v>46001</v>
      </c>
      <c r="D440" t="inlineStr">
        <is>
          <t>SÖDERMANLANDS LÄN</t>
        </is>
      </c>
      <c r="E440" t="inlineStr">
        <is>
          <t>FLEN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35118-2024</t>
        </is>
      </c>
      <c r="B441" s="1" t="n">
        <v>45528</v>
      </c>
      <c r="C441" s="1" t="n">
        <v>46001</v>
      </c>
      <c r="D441" t="inlineStr">
        <is>
          <t>SÖDERMANLANDS LÄN</t>
        </is>
      </c>
      <c r="E441" t="inlineStr">
        <is>
          <t>FLEN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72314-2021</t>
        </is>
      </c>
      <c r="B442" s="1" t="n">
        <v>44544</v>
      </c>
      <c r="C442" s="1" t="n">
        <v>46001</v>
      </c>
      <c r="D442" t="inlineStr">
        <is>
          <t>SÖDERMANLANDS LÄN</t>
        </is>
      </c>
      <c r="E442" t="inlineStr">
        <is>
          <t>FLEN</t>
        </is>
      </c>
      <c r="G442" t="n">
        <v>13.8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41630-2023</t>
        </is>
      </c>
      <c r="B443" s="1" t="n">
        <v>45175</v>
      </c>
      <c r="C443" s="1" t="n">
        <v>46001</v>
      </c>
      <c r="D443" t="inlineStr">
        <is>
          <t>SÖDERMANLANDS LÄN</t>
        </is>
      </c>
      <c r="E443" t="inlineStr">
        <is>
          <t>FLEN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38753-2023</t>
        </is>
      </c>
      <c r="B444" s="1" t="n">
        <v>45163.40603009259</v>
      </c>
      <c r="C444" s="1" t="n">
        <v>46001</v>
      </c>
      <c r="D444" t="inlineStr">
        <is>
          <t>SÖDERMANLANDS LÄN</t>
        </is>
      </c>
      <c r="E444" t="inlineStr">
        <is>
          <t>FLEN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60255-2021</t>
        </is>
      </c>
      <c r="B445" s="1" t="n">
        <v>44495</v>
      </c>
      <c r="C445" s="1" t="n">
        <v>46001</v>
      </c>
      <c r="D445" t="inlineStr">
        <is>
          <t>SÖDERMANLANDS LÄN</t>
        </is>
      </c>
      <c r="E445" t="inlineStr">
        <is>
          <t>FLEN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57686-2024</t>
        </is>
      </c>
      <c r="B446" s="1" t="n">
        <v>45630</v>
      </c>
      <c r="C446" s="1" t="n">
        <v>46001</v>
      </c>
      <c r="D446" t="inlineStr">
        <is>
          <t>SÖDERMANLANDS LÄN</t>
        </is>
      </c>
      <c r="E446" t="inlineStr">
        <is>
          <t>FLEN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4536-2024</t>
        </is>
      </c>
      <c r="B447" s="1" t="n">
        <v>45327.68914351852</v>
      </c>
      <c r="C447" s="1" t="n">
        <v>46001</v>
      </c>
      <c r="D447" t="inlineStr">
        <is>
          <t>SÖDERMANLANDS LÄN</t>
        </is>
      </c>
      <c r="E447" t="inlineStr">
        <is>
          <t>FLEN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38331-2023</t>
        </is>
      </c>
      <c r="B448" s="1" t="n">
        <v>45161</v>
      </c>
      <c r="C448" s="1" t="n">
        <v>46001</v>
      </c>
      <c r="D448" t="inlineStr">
        <is>
          <t>SÖDERMANLANDS LÄN</t>
        </is>
      </c>
      <c r="E448" t="inlineStr">
        <is>
          <t>FLEN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4724-2024</t>
        </is>
      </c>
      <c r="B449" s="1" t="n">
        <v>45328.60582175926</v>
      </c>
      <c r="C449" s="1" t="n">
        <v>46001</v>
      </c>
      <c r="D449" t="inlineStr">
        <is>
          <t>SÖDERMANLANDS LÄN</t>
        </is>
      </c>
      <c r="E449" t="inlineStr">
        <is>
          <t>FLEN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10246-2025</t>
        </is>
      </c>
      <c r="B450" s="1" t="n">
        <v>45720</v>
      </c>
      <c r="C450" s="1" t="n">
        <v>46001</v>
      </c>
      <c r="D450" t="inlineStr">
        <is>
          <t>SÖDERMANLANDS LÄN</t>
        </is>
      </c>
      <c r="E450" t="inlineStr">
        <is>
          <t>FLEN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10745-2022</t>
        </is>
      </c>
      <c r="B451" s="1" t="n">
        <v>44624</v>
      </c>
      <c r="C451" s="1" t="n">
        <v>46001</v>
      </c>
      <c r="D451" t="inlineStr">
        <is>
          <t>SÖDERMANLANDS LÄN</t>
        </is>
      </c>
      <c r="E451" t="inlineStr">
        <is>
          <t>FLEN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8293-2022</t>
        </is>
      </c>
      <c r="B452" s="1" t="n">
        <v>44610.44100694444</v>
      </c>
      <c r="C452" s="1" t="n">
        <v>46001</v>
      </c>
      <c r="D452" t="inlineStr">
        <is>
          <t>SÖDERMANLANDS LÄN</t>
        </is>
      </c>
      <c r="E452" t="inlineStr">
        <is>
          <t>FLEN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45107-2023</t>
        </is>
      </c>
      <c r="B453" s="1" t="n">
        <v>45191</v>
      </c>
      <c r="C453" s="1" t="n">
        <v>46001</v>
      </c>
      <c r="D453" t="inlineStr">
        <is>
          <t>SÖDERMANLANDS LÄN</t>
        </is>
      </c>
      <c r="E453" t="inlineStr">
        <is>
          <t>FLEN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6725-2022</t>
        </is>
      </c>
      <c r="B454" s="1" t="n">
        <v>44602</v>
      </c>
      <c r="C454" s="1" t="n">
        <v>46001</v>
      </c>
      <c r="D454" t="inlineStr">
        <is>
          <t>SÖDERMANLANDS LÄN</t>
        </is>
      </c>
      <c r="E454" t="inlineStr">
        <is>
          <t>FLEN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31352-2023</t>
        </is>
      </c>
      <c r="B455" s="1" t="n">
        <v>45114</v>
      </c>
      <c r="C455" s="1" t="n">
        <v>46001</v>
      </c>
      <c r="D455" t="inlineStr">
        <is>
          <t>SÖDERMANLANDS LÄN</t>
        </is>
      </c>
      <c r="E455" t="inlineStr">
        <is>
          <t>FLEN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4657-2024</t>
        </is>
      </c>
      <c r="B456" s="1" t="n">
        <v>45328</v>
      </c>
      <c r="C456" s="1" t="n">
        <v>46001</v>
      </c>
      <c r="D456" t="inlineStr">
        <is>
          <t>SÖDERMANLANDS LÄN</t>
        </is>
      </c>
      <c r="E456" t="inlineStr">
        <is>
          <t>FLEN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40420-2024</t>
        </is>
      </c>
      <c r="B457" s="1" t="n">
        <v>45555</v>
      </c>
      <c r="C457" s="1" t="n">
        <v>46001</v>
      </c>
      <c r="D457" t="inlineStr">
        <is>
          <t>SÖDERMANLANDS LÄN</t>
        </is>
      </c>
      <c r="E457" t="inlineStr">
        <is>
          <t>FLEN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1199-2025</t>
        </is>
      </c>
      <c r="B458" s="1" t="n">
        <v>45667</v>
      </c>
      <c r="C458" s="1" t="n">
        <v>46001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39335-2023</t>
        </is>
      </c>
      <c r="B459" s="1" t="n">
        <v>45166</v>
      </c>
      <c r="C459" s="1" t="n">
        <v>46001</v>
      </c>
      <c r="D459" t="inlineStr">
        <is>
          <t>SÖDERMANLANDS LÄN</t>
        </is>
      </c>
      <c r="E459" t="inlineStr">
        <is>
          <t>FLEN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1242-2022</t>
        </is>
      </c>
      <c r="B460" s="1" t="n">
        <v>44572</v>
      </c>
      <c r="C460" s="1" t="n">
        <v>46001</v>
      </c>
      <c r="D460" t="inlineStr">
        <is>
          <t>SÖDERMANLANDS LÄN</t>
        </is>
      </c>
      <c r="E460" t="inlineStr">
        <is>
          <t>FLEN</t>
        </is>
      </c>
      <c r="F460" t="inlineStr">
        <is>
          <t>Övriga statliga verk och myndigheter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69588-2021</t>
        </is>
      </c>
      <c r="B461" s="1" t="n">
        <v>44531</v>
      </c>
      <c r="C461" s="1" t="n">
        <v>46001</v>
      </c>
      <c r="D461" t="inlineStr">
        <is>
          <t>SÖDERMANLANDS LÄN</t>
        </is>
      </c>
      <c r="E461" t="inlineStr">
        <is>
          <t>FLEN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4502-2025</t>
        </is>
      </c>
      <c r="B462" s="1" t="n">
        <v>45686</v>
      </c>
      <c r="C462" s="1" t="n">
        <v>46001</v>
      </c>
      <c r="D462" t="inlineStr">
        <is>
          <t>SÖDERMANLANDS LÄN</t>
        </is>
      </c>
      <c r="E462" t="inlineStr">
        <is>
          <t>FLEN</t>
        </is>
      </c>
      <c r="F462" t="inlineStr">
        <is>
          <t>Kyrkan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11747-2022</t>
        </is>
      </c>
      <c r="B463" s="1" t="n">
        <v>44634.55490740741</v>
      </c>
      <c r="C463" s="1" t="n">
        <v>46001</v>
      </c>
      <c r="D463" t="inlineStr">
        <is>
          <t>SÖDERMANLANDS LÄN</t>
        </is>
      </c>
      <c r="E463" t="inlineStr">
        <is>
          <t>FLEN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45923-2023</t>
        </is>
      </c>
      <c r="B464" s="1" t="n">
        <v>45189</v>
      </c>
      <c r="C464" s="1" t="n">
        <v>46001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48858-2023</t>
        </is>
      </c>
      <c r="B465" s="1" t="n">
        <v>45209.44743055556</v>
      </c>
      <c r="C465" s="1" t="n">
        <v>46001</v>
      </c>
      <c r="D465" t="inlineStr">
        <is>
          <t>SÖDERMANLANDS LÄN</t>
        </is>
      </c>
      <c r="E465" t="inlineStr">
        <is>
          <t>FLEN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8903-2022</t>
        </is>
      </c>
      <c r="B466" s="1" t="n">
        <v>44614</v>
      </c>
      <c r="C466" s="1" t="n">
        <v>46001</v>
      </c>
      <c r="D466" t="inlineStr">
        <is>
          <t>SÖDERMANLANDS LÄN</t>
        </is>
      </c>
      <c r="E466" t="inlineStr">
        <is>
          <t>FLEN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1620-2025</t>
        </is>
      </c>
      <c r="B467" s="1" t="n">
        <v>45670</v>
      </c>
      <c r="C467" s="1" t="n">
        <v>46001</v>
      </c>
      <c r="D467" t="inlineStr">
        <is>
          <t>SÖDERMANLANDS LÄN</t>
        </is>
      </c>
      <c r="E467" t="inlineStr">
        <is>
          <t>FLEN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16937-2022</t>
        </is>
      </c>
      <c r="B468" s="1" t="n">
        <v>44676</v>
      </c>
      <c r="C468" s="1" t="n">
        <v>46001</v>
      </c>
      <c r="D468" t="inlineStr">
        <is>
          <t>SÖDERMANLANDS LÄN</t>
        </is>
      </c>
      <c r="E468" t="inlineStr">
        <is>
          <t>FLEN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23716-2024</t>
        </is>
      </c>
      <c r="B469" s="1" t="n">
        <v>45454.79756944445</v>
      </c>
      <c r="C469" s="1" t="n">
        <v>46001</v>
      </c>
      <c r="D469" t="inlineStr">
        <is>
          <t>SÖDERMANLANDS LÄN</t>
        </is>
      </c>
      <c r="E469" t="inlineStr">
        <is>
          <t>FLEN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14106-2025</t>
        </is>
      </c>
      <c r="B470" s="1" t="n">
        <v>45740</v>
      </c>
      <c r="C470" s="1" t="n">
        <v>46001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33024-2022</t>
        </is>
      </c>
      <c r="B471" s="1" t="n">
        <v>44785.33699074074</v>
      </c>
      <c r="C471" s="1" t="n">
        <v>46001</v>
      </c>
      <c r="D471" t="inlineStr">
        <is>
          <t>SÖDERMANLANDS LÄN</t>
        </is>
      </c>
      <c r="E471" t="inlineStr">
        <is>
          <t>FLEN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53509-2023</t>
        </is>
      </c>
      <c r="B472" s="1" t="n">
        <v>45230</v>
      </c>
      <c r="C472" s="1" t="n">
        <v>46001</v>
      </c>
      <c r="D472" t="inlineStr">
        <is>
          <t>SÖDERMANLANDS LÄN</t>
        </is>
      </c>
      <c r="E472" t="inlineStr">
        <is>
          <t>FLEN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46401-2022</t>
        </is>
      </c>
      <c r="B473" s="1" t="n">
        <v>44846</v>
      </c>
      <c r="C473" s="1" t="n">
        <v>46001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39891-2022</t>
        </is>
      </c>
      <c r="B474" s="1" t="n">
        <v>44819.65010416666</v>
      </c>
      <c r="C474" s="1" t="n">
        <v>46001</v>
      </c>
      <c r="D474" t="inlineStr">
        <is>
          <t>SÖDERMANLANDS LÄN</t>
        </is>
      </c>
      <c r="E474" t="inlineStr">
        <is>
          <t>FLEN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21167-2023</t>
        </is>
      </c>
      <c r="B475" s="1" t="n">
        <v>45057</v>
      </c>
      <c r="C475" s="1" t="n">
        <v>46001</v>
      </c>
      <c r="D475" t="inlineStr">
        <is>
          <t>SÖDERMANLANDS LÄN</t>
        </is>
      </c>
      <c r="E475" t="inlineStr">
        <is>
          <t>FLEN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40286-2023</t>
        </is>
      </c>
      <c r="B476" s="1" t="n">
        <v>45169</v>
      </c>
      <c r="C476" s="1" t="n">
        <v>46001</v>
      </c>
      <c r="D476" t="inlineStr">
        <is>
          <t>SÖDERMANLANDS LÄN</t>
        </is>
      </c>
      <c r="E476" t="inlineStr">
        <is>
          <t>FLEN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25823-2022</t>
        </is>
      </c>
      <c r="B477" s="1" t="n">
        <v>44733</v>
      </c>
      <c r="C477" s="1" t="n">
        <v>46001</v>
      </c>
      <c r="D477" t="inlineStr">
        <is>
          <t>SÖDERMANLANDS LÄN</t>
        </is>
      </c>
      <c r="E477" t="inlineStr">
        <is>
          <t>FLEN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59599-2022</t>
        </is>
      </c>
      <c r="B478" s="1" t="n">
        <v>44907.71084490741</v>
      </c>
      <c r="C478" s="1" t="n">
        <v>46001</v>
      </c>
      <c r="D478" t="inlineStr">
        <is>
          <t>SÖDERMANLANDS LÄN</t>
        </is>
      </c>
      <c r="E478" t="inlineStr">
        <is>
          <t>FLEN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31427-2022</t>
        </is>
      </c>
      <c r="B479" s="1" t="n">
        <v>44774</v>
      </c>
      <c r="C479" s="1" t="n">
        <v>46001</v>
      </c>
      <c r="D479" t="inlineStr">
        <is>
          <t>SÖDERMANLANDS LÄN</t>
        </is>
      </c>
      <c r="E479" t="inlineStr">
        <is>
          <t>FLEN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2901-2024</t>
        </is>
      </c>
      <c r="B480" s="1" t="n">
        <v>45315</v>
      </c>
      <c r="C480" s="1" t="n">
        <v>46001</v>
      </c>
      <c r="D480" t="inlineStr">
        <is>
          <t>SÖDERMANLANDS LÄN</t>
        </is>
      </c>
      <c r="E480" t="inlineStr">
        <is>
          <t>FLEN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37256-2022</t>
        </is>
      </c>
      <c r="B481" s="1" t="n">
        <v>44807</v>
      </c>
      <c r="C481" s="1" t="n">
        <v>46001</v>
      </c>
      <c r="D481" t="inlineStr">
        <is>
          <t>SÖDERMANLANDS LÄN</t>
        </is>
      </c>
      <c r="E481" t="inlineStr">
        <is>
          <t>FLEN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55445-2022</t>
        </is>
      </c>
      <c r="B482" s="1" t="n">
        <v>44887</v>
      </c>
      <c r="C482" s="1" t="n">
        <v>46001</v>
      </c>
      <c r="D482" t="inlineStr">
        <is>
          <t>SÖDERMANLANDS LÄN</t>
        </is>
      </c>
      <c r="E482" t="inlineStr">
        <is>
          <t>FLEN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12277-2024</t>
        </is>
      </c>
      <c r="B483" s="1" t="n">
        <v>45378.50372685185</v>
      </c>
      <c r="C483" s="1" t="n">
        <v>46001</v>
      </c>
      <c r="D483" t="inlineStr">
        <is>
          <t>SÖDERMANLANDS LÄN</t>
        </is>
      </c>
      <c r="E483" t="inlineStr">
        <is>
          <t>FLEN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39053-2023</t>
        </is>
      </c>
      <c r="B484" s="1" t="n">
        <v>45163</v>
      </c>
      <c r="C484" s="1" t="n">
        <v>46001</v>
      </c>
      <c r="D484" t="inlineStr">
        <is>
          <t>SÖDERMANLANDS LÄN</t>
        </is>
      </c>
      <c r="E484" t="inlineStr">
        <is>
          <t>FLEN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58377-2023</t>
        </is>
      </c>
      <c r="B485" s="1" t="n">
        <v>45250</v>
      </c>
      <c r="C485" s="1" t="n">
        <v>46001</v>
      </c>
      <c r="D485" t="inlineStr">
        <is>
          <t>SÖDERMANLANDS LÄN</t>
        </is>
      </c>
      <c r="E485" t="inlineStr">
        <is>
          <t>FLEN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69388-2020</t>
        </is>
      </c>
      <c r="B486" s="1" t="n">
        <v>44193</v>
      </c>
      <c r="C486" s="1" t="n">
        <v>46001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3798-2024</t>
        </is>
      </c>
      <c r="B487" s="1" t="n">
        <v>45321</v>
      </c>
      <c r="C487" s="1" t="n">
        <v>46001</v>
      </c>
      <c r="D487" t="inlineStr">
        <is>
          <t>SÖDERMANLANDS LÄN</t>
        </is>
      </c>
      <c r="E487" t="inlineStr">
        <is>
          <t>FLEN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59817-2022</t>
        </is>
      </c>
      <c r="B488" s="1" t="n">
        <v>44900</v>
      </c>
      <c r="C488" s="1" t="n">
        <v>46001</v>
      </c>
      <c r="D488" t="inlineStr">
        <is>
          <t>SÖDERMANLANDS LÄN</t>
        </is>
      </c>
      <c r="E488" t="inlineStr">
        <is>
          <t>FLEN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2087-2024</t>
        </is>
      </c>
      <c r="B489" s="1" t="n">
        <v>45309</v>
      </c>
      <c r="C489" s="1" t="n">
        <v>46001</v>
      </c>
      <c r="D489" t="inlineStr">
        <is>
          <t>SÖDERMANLANDS LÄN</t>
        </is>
      </c>
      <c r="E489" t="inlineStr">
        <is>
          <t>FLEN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5109-2023</t>
        </is>
      </c>
      <c r="B490" s="1" t="n">
        <v>44958</v>
      </c>
      <c r="C490" s="1" t="n">
        <v>46001</v>
      </c>
      <c r="D490" t="inlineStr">
        <is>
          <t>SÖDERMANLANDS LÄN</t>
        </is>
      </c>
      <c r="E490" t="inlineStr">
        <is>
          <t>FLEN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51925-2022</t>
        </is>
      </c>
      <c r="B491" s="1" t="n">
        <v>44868</v>
      </c>
      <c r="C491" s="1" t="n">
        <v>46001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17222-2021</t>
        </is>
      </c>
      <c r="B492" s="1" t="n">
        <v>44297</v>
      </c>
      <c r="C492" s="1" t="n">
        <v>46001</v>
      </c>
      <c r="D492" t="inlineStr">
        <is>
          <t>SÖDERMANLANDS LÄN</t>
        </is>
      </c>
      <c r="E492" t="inlineStr">
        <is>
          <t>FLEN</t>
        </is>
      </c>
      <c r="G492" t="n">
        <v>10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6982-2024</t>
        </is>
      </c>
      <c r="B493" s="1" t="n">
        <v>45343</v>
      </c>
      <c r="C493" s="1" t="n">
        <v>46001</v>
      </c>
      <c r="D493" t="inlineStr">
        <is>
          <t>SÖDERMANLANDS LÄN</t>
        </is>
      </c>
      <c r="E493" t="inlineStr">
        <is>
          <t>FLEN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10771-2022</t>
        </is>
      </c>
      <c r="B494" s="1" t="n">
        <v>44624</v>
      </c>
      <c r="C494" s="1" t="n">
        <v>46001</v>
      </c>
      <c r="D494" t="inlineStr">
        <is>
          <t>SÖDERMANLANDS LÄN</t>
        </is>
      </c>
      <c r="E494" t="inlineStr">
        <is>
          <t>FLEN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10828-2022</t>
        </is>
      </c>
      <c r="B495" s="1" t="n">
        <v>44624</v>
      </c>
      <c r="C495" s="1" t="n">
        <v>46001</v>
      </c>
      <c r="D495" t="inlineStr">
        <is>
          <t>SÖDERMANLANDS LÄN</t>
        </is>
      </c>
      <c r="E495" t="inlineStr">
        <is>
          <t>FLEN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16908-2024</t>
        </is>
      </c>
      <c r="B496" s="1" t="n">
        <v>45411</v>
      </c>
      <c r="C496" s="1" t="n">
        <v>46001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7163-2023</t>
        </is>
      </c>
      <c r="B497" s="1" t="n">
        <v>44970</v>
      </c>
      <c r="C497" s="1" t="n">
        <v>46001</v>
      </c>
      <c r="D497" t="inlineStr">
        <is>
          <t>SÖDERMANLANDS LÄN</t>
        </is>
      </c>
      <c r="E497" t="inlineStr">
        <is>
          <t>FLEN</t>
        </is>
      </c>
      <c r="F497" t="inlineStr">
        <is>
          <t>Kommuner</t>
        </is>
      </c>
      <c r="G497" t="n">
        <v>11.2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57356-2022</t>
        </is>
      </c>
      <c r="B498" s="1" t="n">
        <v>44896</v>
      </c>
      <c r="C498" s="1" t="n">
        <v>46001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57046-2023</t>
        </is>
      </c>
      <c r="B499" s="1" t="n">
        <v>45244</v>
      </c>
      <c r="C499" s="1" t="n">
        <v>46001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35507-2024</t>
        </is>
      </c>
      <c r="B500" s="1" t="n">
        <v>45531</v>
      </c>
      <c r="C500" s="1" t="n">
        <v>46001</v>
      </c>
      <c r="D500" t="inlineStr">
        <is>
          <t>SÖDERMANLANDS LÄN</t>
        </is>
      </c>
      <c r="E500" t="inlineStr">
        <is>
          <t>FLEN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48826-2022</t>
        </is>
      </c>
      <c r="B501" s="1" t="n">
        <v>44859</v>
      </c>
      <c r="C501" s="1" t="n">
        <v>46001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31028-2024</t>
        </is>
      </c>
      <c r="B502" s="1" t="n">
        <v>45501.40141203703</v>
      </c>
      <c r="C502" s="1" t="n">
        <v>46001</v>
      </c>
      <c r="D502" t="inlineStr">
        <is>
          <t>SÖDERMANLANDS LÄN</t>
        </is>
      </c>
      <c r="E502" t="inlineStr">
        <is>
          <t>FLEN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50045-2024</t>
        </is>
      </c>
      <c r="B503" s="1" t="n">
        <v>45600.30909722222</v>
      </c>
      <c r="C503" s="1" t="n">
        <v>46001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4259-2023</t>
        </is>
      </c>
      <c r="B504" s="1" t="n">
        <v>44953.54269675926</v>
      </c>
      <c r="C504" s="1" t="n">
        <v>46001</v>
      </c>
      <c r="D504" t="inlineStr">
        <is>
          <t>SÖDERMANLANDS LÄN</t>
        </is>
      </c>
      <c r="E504" t="inlineStr">
        <is>
          <t>FLEN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66511-2020</t>
        </is>
      </c>
      <c r="B505" s="1" t="n">
        <v>44178</v>
      </c>
      <c r="C505" s="1" t="n">
        <v>46001</v>
      </c>
      <c r="D505" t="inlineStr">
        <is>
          <t>SÖDERMANLANDS LÄN</t>
        </is>
      </c>
      <c r="E505" t="inlineStr">
        <is>
          <t>FLEN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476-2022</t>
        </is>
      </c>
      <c r="B506" s="1" t="n">
        <v>44566</v>
      </c>
      <c r="C506" s="1" t="n">
        <v>46001</v>
      </c>
      <c r="D506" t="inlineStr">
        <is>
          <t>SÖDERMANLANDS LÄN</t>
        </is>
      </c>
      <c r="E506" t="inlineStr">
        <is>
          <t>FLEN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16902-2025</t>
        </is>
      </c>
      <c r="B507" s="1" t="n">
        <v>45752</v>
      </c>
      <c r="C507" s="1" t="n">
        <v>46001</v>
      </c>
      <c r="D507" t="inlineStr">
        <is>
          <t>SÖDERMANLANDS LÄN</t>
        </is>
      </c>
      <c r="E507" t="inlineStr">
        <is>
          <t>FLEN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10738-2022</t>
        </is>
      </c>
      <c r="B508" s="1" t="n">
        <v>44624</v>
      </c>
      <c r="C508" s="1" t="n">
        <v>46001</v>
      </c>
      <c r="D508" t="inlineStr">
        <is>
          <t>SÖDERMANLANDS LÄN</t>
        </is>
      </c>
      <c r="E508" t="inlineStr">
        <is>
          <t>FLEN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9237-2021</t>
        </is>
      </c>
      <c r="B509" s="1" t="n">
        <v>44250</v>
      </c>
      <c r="C509" s="1" t="n">
        <v>46001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3169-2021</t>
        </is>
      </c>
      <c r="B510" s="1" t="n">
        <v>44217</v>
      </c>
      <c r="C510" s="1" t="n">
        <v>46001</v>
      </c>
      <c r="D510" t="inlineStr">
        <is>
          <t>SÖDERMANLANDS LÄN</t>
        </is>
      </c>
      <c r="E510" t="inlineStr">
        <is>
          <t>FLEN</t>
        </is>
      </c>
      <c r="F510" t="inlineStr">
        <is>
          <t>Holmen skog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41894-2021</t>
        </is>
      </c>
      <c r="B511" s="1" t="n">
        <v>44425</v>
      </c>
      <c r="C511" s="1" t="n">
        <v>46001</v>
      </c>
      <c r="D511" t="inlineStr">
        <is>
          <t>SÖDERMANLANDS LÄN</t>
        </is>
      </c>
      <c r="E511" t="inlineStr">
        <is>
          <t>FLEN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5582-2023</t>
        </is>
      </c>
      <c r="B512" s="1" t="n">
        <v>44960</v>
      </c>
      <c r="C512" s="1" t="n">
        <v>46001</v>
      </c>
      <c r="D512" t="inlineStr">
        <is>
          <t>SÖDERMANLANDS LÄN</t>
        </is>
      </c>
      <c r="E512" t="inlineStr">
        <is>
          <t>FLEN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5852-2022</t>
        </is>
      </c>
      <c r="B513" s="1" t="n">
        <v>44596</v>
      </c>
      <c r="C513" s="1" t="n">
        <v>46001</v>
      </c>
      <c r="D513" t="inlineStr">
        <is>
          <t>SÖDERMANLANDS LÄN</t>
        </is>
      </c>
      <c r="E513" t="inlineStr">
        <is>
          <t>FLEN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29002-2021</t>
        </is>
      </c>
      <c r="B514" s="1" t="n">
        <v>44358</v>
      </c>
      <c r="C514" s="1" t="n">
        <v>46001</v>
      </c>
      <c r="D514" t="inlineStr">
        <is>
          <t>SÖDERMANLANDS LÄN</t>
        </is>
      </c>
      <c r="E514" t="inlineStr">
        <is>
          <t>FLEN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5971-2021</t>
        </is>
      </c>
      <c r="B515" s="1" t="n">
        <v>44230</v>
      </c>
      <c r="C515" s="1" t="n">
        <v>46001</v>
      </c>
      <c r="D515" t="inlineStr">
        <is>
          <t>SÖDERMANLANDS LÄN</t>
        </is>
      </c>
      <c r="E515" t="inlineStr">
        <is>
          <t>FLEN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10980-2021</t>
        </is>
      </c>
      <c r="B516" s="1" t="n">
        <v>44260</v>
      </c>
      <c r="C516" s="1" t="n">
        <v>46001</v>
      </c>
      <c r="D516" t="inlineStr">
        <is>
          <t>SÖDERMANLANDS LÄN</t>
        </is>
      </c>
      <c r="E516" t="inlineStr">
        <is>
          <t>FLEN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48749-2022</t>
        </is>
      </c>
      <c r="B517" s="1" t="n">
        <v>44855</v>
      </c>
      <c r="C517" s="1" t="n">
        <v>46001</v>
      </c>
      <c r="D517" t="inlineStr">
        <is>
          <t>SÖDERMANLANDS LÄN</t>
        </is>
      </c>
      <c r="E517" t="inlineStr">
        <is>
          <t>FLEN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48774-2022</t>
        </is>
      </c>
      <c r="B518" s="1" t="n">
        <v>44855</v>
      </c>
      <c r="C518" s="1" t="n">
        <v>46001</v>
      </c>
      <c r="D518" t="inlineStr">
        <is>
          <t>SÖDERMANLANDS LÄN</t>
        </is>
      </c>
      <c r="E518" t="inlineStr">
        <is>
          <t>FLEN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34783-2023</t>
        </is>
      </c>
      <c r="B519" s="1" t="n">
        <v>45140</v>
      </c>
      <c r="C519" s="1" t="n">
        <v>46001</v>
      </c>
      <c r="D519" t="inlineStr">
        <is>
          <t>SÖDERMANLANDS LÄN</t>
        </is>
      </c>
      <c r="E519" t="inlineStr">
        <is>
          <t>FLEN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48497-2021</t>
        </is>
      </c>
      <c r="B520" s="1" t="n">
        <v>44449</v>
      </c>
      <c r="C520" s="1" t="n">
        <v>46001</v>
      </c>
      <c r="D520" t="inlineStr">
        <is>
          <t>SÖDERMANLANDS LÄN</t>
        </is>
      </c>
      <c r="E520" t="inlineStr">
        <is>
          <t>FLEN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26036-2023</t>
        </is>
      </c>
      <c r="B521" s="1" t="n">
        <v>45091.32778935185</v>
      </c>
      <c r="C521" s="1" t="n">
        <v>46001</v>
      </c>
      <c r="D521" t="inlineStr">
        <is>
          <t>SÖDERMANLANDS LÄN</t>
        </is>
      </c>
      <c r="E521" t="inlineStr">
        <is>
          <t>FLEN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22957-2023</t>
        </is>
      </c>
      <c r="B522" s="1" t="n">
        <v>45072.65648148148</v>
      </c>
      <c r="C522" s="1" t="n">
        <v>46001</v>
      </c>
      <c r="D522" t="inlineStr">
        <is>
          <t>SÖDERMANLANDS LÄN</t>
        </is>
      </c>
      <c r="E522" t="inlineStr">
        <is>
          <t>FLEN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8762-2021</t>
        </is>
      </c>
      <c r="B523" s="1" t="n">
        <v>44246</v>
      </c>
      <c r="C523" s="1" t="n">
        <v>46001</v>
      </c>
      <c r="D523" t="inlineStr">
        <is>
          <t>SÖDERMANLANDS LÄN</t>
        </is>
      </c>
      <c r="E523" t="inlineStr">
        <is>
          <t>FLEN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29148-2024</t>
        </is>
      </c>
      <c r="B524" s="1" t="n">
        <v>45482</v>
      </c>
      <c r="C524" s="1" t="n">
        <v>46001</v>
      </c>
      <c r="D524" t="inlineStr">
        <is>
          <t>SÖDERMANLANDS LÄN</t>
        </is>
      </c>
      <c r="E524" t="inlineStr">
        <is>
          <t>FLEN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49891-2023</t>
        </is>
      </c>
      <c r="B525" s="1" t="n">
        <v>45213</v>
      </c>
      <c r="C525" s="1" t="n">
        <v>46001</v>
      </c>
      <c r="D525" t="inlineStr">
        <is>
          <t>SÖDERMANLANDS LÄN</t>
        </is>
      </c>
      <c r="E525" t="inlineStr">
        <is>
          <t>FLEN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31965-2024</t>
        </is>
      </c>
      <c r="B526" s="1" t="n">
        <v>45510.53577546297</v>
      </c>
      <c r="C526" s="1" t="n">
        <v>46001</v>
      </c>
      <c r="D526" t="inlineStr">
        <is>
          <t>SÖDERMANLANDS LÄN</t>
        </is>
      </c>
      <c r="E526" t="inlineStr">
        <is>
          <t>FLEN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60937-2022</t>
        </is>
      </c>
      <c r="B527" s="1" t="n">
        <v>44914.6196875</v>
      </c>
      <c r="C527" s="1" t="n">
        <v>46001</v>
      </c>
      <c r="D527" t="inlineStr">
        <is>
          <t>SÖDERMANLANDS LÄN</t>
        </is>
      </c>
      <c r="E527" t="inlineStr">
        <is>
          <t>FLEN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66230-2021</t>
        </is>
      </c>
      <c r="B528" s="1" t="n">
        <v>44518</v>
      </c>
      <c r="C528" s="1" t="n">
        <v>46001</v>
      </c>
      <c r="D528" t="inlineStr">
        <is>
          <t>SÖDERMANLANDS LÄN</t>
        </is>
      </c>
      <c r="E528" t="inlineStr">
        <is>
          <t>FLEN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29195-2023</t>
        </is>
      </c>
      <c r="B529" s="1" t="n">
        <v>45105</v>
      </c>
      <c r="C529" s="1" t="n">
        <v>46001</v>
      </c>
      <c r="D529" t="inlineStr">
        <is>
          <t>SÖDERMANLANDS LÄN</t>
        </is>
      </c>
      <c r="E529" t="inlineStr">
        <is>
          <t>FLEN</t>
        </is>
      </c>
      <c r="F529" t="inlineStr">
        <is>
          <t>Övriga statliga verk och myndigheter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33107-2022</t>
        </is>
      </c>
      <c r="B530" s="1" t="n">
        <v>44785.4987962963</v>
      </c>
      <c r="C530" s="1" t="n">
        <v>46001</v>
      </c>
      <c r="D530" t="inlineStr">
        <is>
          <t>SÖDERMANLANDS LÄN</t>
        </is>
      </c>
      <c r="E530" t="inlineStr">
        <is>
          <t>FLEN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33103-2022</t>
        </is>
      </c>
      <c r="B531" s="1" t="n">
        <v>44785</v>
      </c>
      <c r="C531" s="1" t="n">
        <v>46001</v>
      </c>
      <c r="D531" t="inlineStr">
        <is>
          <t>SÖDERMANLANDS LÄN</t>
        </is>
      </c>
      <c r="E531" t="inlineStr">
        <is>
          <t>FLEN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44194-2024</t>
        </is>
      </c>
      <c r="B532" s="1" t="n">
        <v>45573.31581018519</v>
      </c>
      <c r="C532" s="1" t="n">
        <v>46001</v>
      </c>
      <c r="D532" t="inlineStr">
        <is>
          <t>SÖDERMANLANDS LÄN</t>
        </is>
      </c>
      <c r="E532" t="inlineStr">
        <is>
          <t>FLEN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13587-2022</t>
        </is>
      </c>
      <c r="B533" s="1" t="n">
        <v>44648</v>
      </c>
      <c r="C533" s="1" t="n">
        <v>46001</v>
      </c>
      <c r="D533" t="inlineStr">
        <is>
          <t>SÖDERMANLANDS LÄN</t>
        </is>
      </c>
      <c r="E533" t="inlineStr">
        <is>
          <t>FLEN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52541-2021</t>
        </is>
      </c>
      <c r="B534" s="1" t="n">
        <v>44463</v>
      </c>
      <c r="C534" s="1" t="n">
        <v>46001</v>
      </c>
      <c r="D534" t="inlineStr">
        <is>
          <t>SÖDERMANLANDS LÄN</t>
        </is>
      </c>
      <c r="E534" t="inlineStr">
        <is>
          <t>FLEN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9892-2023</t>
        </is>
      </c>
      <c r="B535" s="1" t="n">
        <v>44979</v>
      </c>
      <c r="C535" s="1" t="n">
        <v>46001</v>
      </c>
      <c r="D535" t="inlineStr">
        <is>
          <t>SÖDERMANLANDS LÄN</t>
        </is>
      </c>
      <c r="E535" t="inlineStr">
        <is>
          <t>FLEN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20980-2023</t>
        </is>
      </c>
      <c r="B536" s="1" t="n">
        <v>45056</v>
      </c>
      <c r="C536" s="1" t="n">
        <v>46001</v>
      </c>
      <c r="D536" t="inlineStr">
        <is>
          <t>SÖDERMANLANDS LÄN</t>
        </is>
      </c>
      <c r="E536" t="inlineStr">
        <is>
          <t>FLEN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4348-2021</t>
        </is>
      </c>
      <c r="B537" s="1" t="n">
        <v>44223</v>
      </c>
      <c r="C537" s="1" t="n">
        <v>46001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26663-2022</t>
        </is>
      </c>
      <c r="B538" s="1" t="n">
        <v>44739</v>
      </c>
      <c r="C538" s="1" t="n">
        <v>46001</v>
      </c>
      <c r="D538" t="inlineStr">
        <is>
          <t>SÖDERMANLANDS LÄN</t>
        </is>
      </c>
      <c r="E538" t="inlineStr">
        <is>
          <t>FLEN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31083-2022</t>
        </is>
      </c>
      <c r="B539" s="1" t="n">
        <v>44769</v>
      </c>
      <c r="C539" s="1" t="n">
        <v>46001</v>
      </c>
      <c r="D539" t="inlineStr">
        <is>
          <t>SÖDERMANLANDS LÄN</t>
        </is>
      </c>
      <c r="E539" t="inlineStr">
        <is>
          <t>FLEN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34721-2023</t>
        </is>
      </c>
      <c r="B540" s="1" t="n">
        <v>45141</v>
      </c>
      <c r="C540" s="1" t="n">
        <v>46001</v>
      </c>
      <c r="D540" t="inlineStr">
        <is>
          <t>SÖDERMANLANDS LÄN</t>
        </is>
      </c>
      <c r="E540" t="inlineStr">
        <is>
          <t>FLEN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8891-2023</t>
        </is>
      </c>
      <c r="B541" s="1" t="n">
        <v>44979.32887731482</v>
      </c>
      <c r="C541" s="1" t="n">
        <v>46001</v>
      </c>
      <c r="D541" t="inlineStr">
        <is>
          <t>SÖDERMANLANDS LÄN</t>
        </is>
      </c>
      <c r="E541" t="inlineStr">
        <is>
          <t>FLEN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17654-2023</t>
        </is>
      </c>
      <c r="B542" s="1" t="n">
        <v>45036.84393518518</v>
      </c>
      <c r="C542" s="1" t="n">
        <v>46001</v>
      </c>
      <c r="D542" t="inlineStr">
        <is>
          <t>SÖDERMANLANDS LÄN</t>
        </is>
      </c>
      <c r="E542" t="inlineStr">
        <is>
          <t>FLEN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2388-2025</t>
        </is>
      </c>
      <c r="B543" s="1" t="n">
        <v>45672</v>
      </c>
      <c r="C543" s="1" t="n">
        <v>46001</v>
      </c>
      <c r="D543" t="inlineStr">
        <is>
          <t>SÖDERMANLANDS LÄN</t>
        </is>
      </c>
      <c r="E543" t="inlineStr">
        <is>
          <t>FLEN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51872-2022</t>
        </is>
      </c>
      <c r="B544" s="1" t="n">
        <v>44872.59371527778</v>
      </c>
      <c r="C544" s="1" t="n">
        <v>46001</v>
      </c>
      <c r="D544" t="inlineStr">
        <is>
          <t>SÖDERMANLANDS LÄN</t>
        </is>
      </c>
      <c r="E544" t="inlineStr">
        <is>
          <t>FLEN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1180-2025</t>
        </is>
      </c>
      <c r="B545" s="1" t="n">
        <v>45667</v>
      </c>
      <c r="C545" s="1" t="n">
        <v>46001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23650-2023</t>
        </is>
      </c>
      <c r="B546" s="1" t="n">
        <v>45073</v>
      </c>
      <c r="C546" s="1" t="n">
        <v>46001</v>
      </c>
      <c r="D546" t="inlineStr">
        <is>
          <t>SÖDERMANLANDS LÄN</t>
        </is>
      </c>
      <c r="E546" t="inlineStr">
        <is>
          <t>FLEN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56869-2023</t>
        </is>
      </c>
      <c r="B547" s="1" t="n">
        <v>45239</v>
      </c>
      <c r="C547" s="1" t="n">
        <v>46001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56996-2023</t>
        </is>
      </c>
      <c r="B548" s="1" t="n">
        <v>45244.67170138889</v>
      </c>
      <c r="C548" s="1" t="n">
        <v>46001</v>
      </c>
      <c r="D548" t="inlineStr">
        <is>
          <t>SÖDERMANLANDS LÄN</t>
        </is>
      </c>
      <c r="E548" t="inlineStr">
        <is>
          <t>FLEN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20791-2022</t>
        </is>
      </c>
      <c r="B549" s="1" t="n">
        <v>44701</v>
      </c>
      <c r="C549" s="1" t="n">
        <v>46001</v>
      </c>
      <c r="D549" t="inlineStr">
        <is>
          <t>SÖDERMANLANDS LÄN</t>
        </is>
      </c>
      <c r="E549" t="inlineStr">
        <is>
          <t>FLEN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16938-2025</t>
        </is>
      </c>
      <c r="B550" s="1" t="n">
        <v>45755.41969907407</v>
      </c>
      <c r="C550" s="1" t="n">
        <v>46001</v>
      </c>
      <c r="D550" t="inlineStr">
        <is>
          <t>SÖDERMANLANDS LÄN</t>
        </is>
      </c>
      <c r="E550" t="inlineStr">
        <is>
          <t>FLEN</t>
        </is>
      </c>
      <c r="F550" t="inlineStr">
        <is>
          <t>Kyrkan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62579-2023</t>
        </is>
      </c>
      <c r="B551" s="1" t="n">
        <v>45270</v>
      </c>
      <c r="C551" s="1" t="n">
        <v>46001</v>
      </c>
      <c r="D551" t="inlineStr">
        <is>
          <t>SÖDERMANLANDS LÄN</t>
        </is>
      </c>
      <c r="E551" t="inlineStr">
        <is>
          <t>FLEN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1617-2025</t>
        </is>
      </c>
      <c r="B552" s="1" t="n">
        <v>45670</v>
      </c>
      <c r="C552" s="1" t="n">
        <v>46001</v>
      </c>
      <c r="D552" t="inlineStr">
        <is>
          <t>SÖDERMANLANDS LÄN</t>
        </is>
      </c>
      <c r="E552" t="inlineStr">
        <is>
          <t>FLEN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38135-2023</t>
        </is>
      </c>
      <c r="B553" s="1" t="n">
        <v>45161</v>
      </c>
      <c r="C553" s="1" t="n">
        <v>46001</v>
      </c>
      <c r="D553" t="inlineStr">
        <is>
          <t>SÖDERMANLANDS LÄN</t>
        </is>
      </c>
      <c r="E553" t="inlineStr">
        <is>
          <t>FLEN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33228-2024</t>
        </is>
      </c>
      <c r="B554" s="1" t="n">
        <v>45518.57210648148</v>
      </c>
      <c r="C554" s="1" t="n">
        <v>46001</v>
      </c>
      <c r="D554" t="inlineStr">
        <is>
          <t>SÖDERMANLANDS LÄN</t>
        </is>
      </c>
      <c r="E554" t="inlineStr">
        <is>
          <t>FLEN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44561-2024</t>
        </is>
      </c>
      <c r="B555" s="1" t="n">
        <v>45574</v>
      </c>
      <c r="C555" s="1" t="n">
        <v>46001</v>
      </c>
      <c r="D555" t="inlineStr">
        <is>
          <t>SÖDERMANLANDS LÄN</t>
        </is>
      </c>
      <c r="E555" t="inlineStr">
        <is>
          <t>FLEN</t>
        </is>
      </c>
      <c r="F555" t="inlineStr">
        <is>
          <t>Övriga statliga verk och myndigheter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10256-2024</t>
        </is>
      </c>
      <c r="B556" s="1" t="n">
        <v>45365</v>
      </c>
      <c r="C556" s="1" t="n">
        <v>46001</v>
      </c>
      <c r="D556" t="inlineStr">
        <is>
          <t>SÖDERMANLANDS LÄN</t>
        </is>
      </c>
      <c r="E556" t="inlineStr">
        <is>
          <t>FLEN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543-2024</t>
        </is>
      </c>
      <c r="B557" s="1" t="n">
        <v>45299</v>
      </c>
      <c r="C557" s="1" t="n">
        <v>46001</v>
      </c>
      <c r="D557" t="inlineStr">
        <is>
          <t>SÖDERMANLANDS LÄN</t>
        </is>
      </c>
      <c r="E557" t="inlineStr">
        <is>
          <t>FLEN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545-2024</t>
        </is>
      </c>
      <c r="B558" s="1" t="n">
        <v>45299</v>
      </c>
      <c r="C558" s="1" t="n">
        <v>46001</v>
      </c>
      <c r="D558" t="inlineStr">
        <is>
          <t>SÖDERMANLANDS LÄN</t>
        </is>
      </c>
      <c r="E558" t="inlineStr">
        <is>
          <t>FLEN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15904-2023</t>
        </is>
      </c>
      <c r="B559" s="1" t="n">
        <v>45022</v>
      </c>
      <c r="C559" s="1" t="n">
        <v>46001</v>
      </c>
      <c r="D559" t="inlineStr">
        <is>
          <t>SÖDERMANLANDS LÄN</t>
        </is>
      </c>
      <c r="E559" t="inlineStr">
        <is>
          <t>FLEN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32407-2023</t>
        </is>
      </c>
      <c r="B560" s="1" t="n">
        <v>45110</v>
      </c>
      <c r="C560" s="1" t="n">
        <v>46001</v>
      </c>
      <c r="D560" t="inlineStr">
        <is>
          <t>SÖDERMANLANDS LÄN</t>
        </is>
      </c>
      <c r="E560" t="inlineStr">
        <is>
          <t>FLEN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22015-2021</t>
        </is>
      </c>
      <c r="B561" s="1" t="n">
        <v>44323</v>
      </c>
      <c r="C561" s="1" t="n">
        <v>46001</v>
      </c>
      <c r="D561" t="inlineStr">
        <is>
          <t>SÖDERMANLANDS LÄN</t>
        </is>
      </c>
      <c r="E561" t="inlineStr">
        <is>
          <t>FLEN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36096-2023</t>
        </is>
      </c>
      <c r="B562" s="1" t="n">
        <v>45149</v>
      </c>
      <c r="C562" s="1" t="n">
        <v>46001</v>
      </c>
      <c r="D562" t="inlineStr">
        <is>
          <t>SÖDERMANLANDS LÄN</t>
        </is>
      </c>
      <c r="E562" t="inlineStr">
        <is>
          <t>FLEN</t>
        </is>
      </c>
      <c r="F562" t="inlineStr">
        <is>
          <t>Kyrkan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40408-2024</t>
        </is>
      </c>
      <c r="B563" s="1" t="n">
        <v>45555</v>
      </c>
      <c r="C563" s="1" t="n">
        <v>46001</v>
      </c>
      <c r="D563" t="inlineStr">
        <is>
          <t>SÖDERMANLANDS LÄN</t>
        </is>
      </c>
      <c r="E563" t="inlineStr">
        <is>
          <t>FLEN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49820-2023</t>
        </is>
      </c>
      <c r="B564" s="1" t="n">
        <v>45211</v>
      </c>
      <c r="C564" s="1" t="n">
        <v>46001</v>
      </c>
      <c r="D564" t="inlineStr">
        <is>
          <t>SÖDERMANLANDS LÄN</t>
        </is>
      </c>
      <c r="E564" t="inlineStr">
        <is>
          <t>FLEN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5331-2024</t>
        </is>
      </c>
      <c r="B565" s="1" t="n">
        <v>45331</v>
      </c>
      <c r="C565" s="1" t="n">
        <v>46001</v>
      </c>
      <c r="D565" t="inlineStr">
        <is>
          <t>SÖDERMANLANDS LÄN</t>
        </is>
      </c>
      <c r="E565" t="inlineStr">
        <is>
          <t>FLEN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1186-2025</t>
        </is>
      </c>
      <c r="B566" s="1" t="n">
        <v>45667</v>
      </c>
      <c r="C566" s="1" t="n">
        <v>46001</v>
      </c>
      <c r="D566" t="inlineStr">
        <is>
          <t>SÖDERMANLANDS LÄN</t>
        </is>
      </c>
      <c r="E566" t="inlineStr">
        <is>
          <t>FLEN</t>
        </is>
      </c>
      <c r="F566" t="inlineStr">
        <is>
          <t>Holmen skog AB</t>
        </is>
      </c>
      <c r="G566" t="n">
        <v>13.4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37283-2024</t>
        </is>
      </c>
      <c r="B567" s="1" t="n">
        <v>45540.43278935185</v>
      </c>
      <c r="C567" s="1" t="n">
        <v>46001</v>
      </c>
      <c r="D567" t="inlineStr">
        <is>
          <t>SÖDERMANLANDS LÄN</t>
        </is>
      </c>
      <c r="E567" t="inlineStr">
        <is>
          <t>FLEN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34612-2023</t>
        </is>
      </c>
      <c r="B568" s="1" t="n">
        <v>45140</v>
      </c>
      <c r="C568" s="1" t="n">
        <v>46001</v>
      </c>
      <c r="D568" t="inlineStr">
        <is>
          <t>SÖDERMANLANDS LÄN</t>
        </is>
      </c>
      <c r="E568" t="inlineStr">
        <is>
          <t>FLEN</t>
        </is>
      </c>
      <c r="F568" t="inlineStr">
        <is>
          <t>Kyrkan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780-2023</t>
        </is>
      </c>
      <c r="B569" s="1" t="n">
        <v>44931</v>
      </c>
      <c r="C569" s="1" t="n">
        <v>46001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2738-2022</t>
        </is>
      </c>
      <c r="B570" s="1" t="n">
        <v>44580.82798611111</v>
      </c>
      <c r="C570" s="1" t="n">
        <v>46001</v>
      </c>
      <c r="D570" t="inlineStr">
        <is>
          <t>SÖDERMANLANDS LÄN</t>
        </is>
      </c>
      <c r="E570" t="inlineStr">
        <is>
          <t>FLEN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43008-2023</t>
        </is>
      </c>
      <c r="B571" s="1" t="n">
        <v>45182</v>
      </c>
      <c r="C571" s="1" t="n">
        <v>46001</v>
      </c>
      <c r="D571" t="inlineStr">
        <is>
          <t>SÖDERMANLANDS LÄN</t>
        </is>
      </c>
      <c r="E571" t="inlineStr">
        <is>
          <t>FLEN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50646-2023</t>
        </is>
      </c>
      <c r="B572" s="1" t="n">
        <v>45217.47643518518</v>
      </c>
      <c r="C572" s="1" t="n">
        <v>46001</v>
      </c>
      <c r="D572" t="inlineStr">
        <is>
          <t>SÖDERMANLANDS LÄN</t>
        </is>
      </c>
      <c r="E572" t="inlineStr">
        <is>
          <t>FLEN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22028-2023</t>
        </is>
      </c>
      <c r="B573" s="1" t="n">
        <v>45066</v>
      </c>
      <c r="C573" s="1" t="n">
        <v>46001</v>
      </c>
      <c r="D573" t="inlineStr">
        <is>
          <t>SÖDERMANLANDS LÄN</t>
        </is>
      </c>
      <c r="E573" t="inlineStr">
        <is>
          <t>FLEN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59439-2022</t>
        </is>
      </c>
      <c r="B574" s="1" t="n">
        <v>44907.39300925926</v>
      </c>
      <c r="C574" s="1" t="n">
        <v>46001</v>
      </c>
      <c r="D574" t="inlineStr">
        <is>
          <t>SÖDERMANLANDS LÄN</t>
        </is>
      </c>
      <c r="E574" t="inlineStr">
        <is>
          <t>FLEN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1209-2025</t>
        </is>
      </c>
      <c r="B575" s="1" t="n">
        <v>45667</v>
      </c>
      <c r="C575" s="1" t="n">
        <v>46001</v>
      </c>
      <c r="D575" t="inlineStr">
        <is>
          <t>SÖDERMANLANDS LÄN</t>
        </is>
      </c>
      <c r="E575" t="inlineStr">
        <is>
          <t>FLEN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53507-2023</t>
        </is>
      </c>
      <c r="B576" s="1" t="n">
        <v>45230</v>
      </c>
      <c r="C576" s="1" t="n">
        <v>46001</v>
      </c>
      <c r="D576" t="inlineStr">
        <is>
          <t>SÖDERMANLANDS LÄN</t>
        </is>
      </c>
      <c r="E576" t="inlineStr">
        <is>
          <t>FLEN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53518-2023</t>
        </is>
      </c>
      <c r="B577" s="1" t="n">
        <v>45230</v>
      </c>
      <c r="C577" s="1" t="n">
        <v>46001</v>
      </c>
      <c r="D577" t="inlineStr">
        <is>
          <t>SÖDERMANLANDS LÄN</t>
        </is>
      </c>
      <c r="E577" t="inlineStr">
        <is>
          <t>FLEN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14599-2023</t>
        </is>
      </c>
      <c r="B578" s="1" t="n">
        <v>45013</v>
      </c>
      <c r="C578" s="1" t="n">
        <v>46001</v>
      </c>
      <c r="D578" t="inlineStr">
        <is>
          <t>SÖDERMANLANDS LÄN</t>
        </is>
      </c>
      <c r="E578" t="inlineStr">
        <is>
          <t>FLEN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12704-2025</t>
        </is>
      </c>
      <c r="B579" s="1" t="n">
        <v>45733.46799768518</v>
      </c>
      <c r="C579" s="1" t="n">
        <v>46001</v>
      </c>
      <c r="D579" t="inlineStr">
        <is>
          <t>SÖDERMANLANDS LÄN</t>
        </is>
      </c>
      <c r="E579" t="inlineStr">
        <is>
          <t>FLEN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42731-2024</t>
        </is>
      </c>
      <c r="B580" s="1" t="n">
        <v>45566</v>
      </c>
      <c r="C580" s="1" t="n">
        <v>46001</v>
      </c>
      <c r="D580" t="inlineStr">
        <is>
          <t>SÖDERMANLANDS LÄN</t>
        </is>
      </c>
      <c r="E580" t="inlineStr">
        <is>
          <t>FLEN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57044-2023</t>
        </is>
      </c>
      <c r="B581" s="1" t="n">
        <v>45244</v>
      </c>
      <c r="C581" s="1" t="n">
        <v>46001</v>
      </c>
      <c r="D581" t="inlineStr">
        <is>
          <t>SÖDERMANLANDS LÄN</t>
        </is>
      </c>
      <c r="E581" t="inlineStr">
        <is>
          <t>FLEN</t>
        </is>
      </c>
      <c r="F581" t="inlineStr">
        <is>
          <t>Övriga statliga verk och myndigheter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13233-2024</t>
        </is>
      </c>
      <c r="B582" s="1" t="n">
        <v>45386</v>
      </c>
      <c r="C582" s="1" t="n">
        <v>46001</v>
      </c>
      <c r="D582" t="inlineStr">
        <is>
          <t>SÖDERMANLANDS LÄN</t>
        </is>
      </c>
      <c r="E582" t="inlineStr">
        <is>
          <t>FLEN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1239-2025</t>
        </is>
      </c>
      <c r="B583" s="1" t="n">
        <v>45667</v>
      </c>
      <c r="C583" s="1" t="n">
        <v>46001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20788-2025</t>
        </is>
      </c>
      <c r="B584" s="1" t="n">
        <v>45776.62307870371</v>
      </c>
      <c r="C584" s="1" t="n">
        <v>46001</v>
      </c>
      <c r="D584" t="inlineStr">
        <is>
          <t>SÖDERMANLANDS LÄN</t>
        </is>
      </c>
      <c r="E584" t="inlineStr">
        <is>
          <t>FLEN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20833-2025</t>
        </is>
      </c>
      <c r="B585" s="1" t="n">
        <v>45776.80291666667</v>
      </c>
      <c r="C585" s="1" t="n">
        <v>46001</v>
      </c>
      <c r="D585" t="inlineStr">
        <is>
          <t>SÖDERMANLANDS LÄN</t>
        </is>
      </c>
      <c r="E585" t="inlineStr">
        <is>
          <t>FLEN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20952-2025</t>
        </is>
      </c>
      <c r="B586" s="1" t="n">
        <v>45777.44011574074</v>
      </c>
      <c r="C586" s="1" t="n">
        <v>46001</v>
      </c>
      <c r="D586" t="inlineStr">
        <is>
          <t>SÖDERMANLANDS LÄN</t>
        </is>
      </c>
      <c r="E586" t="inlineStr">
        <is>
          <t>FLEN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20875-2025</t>
        </is>
      </c>
      <c r="B587" s="1" t="n">
        <v>45777</v>
      </c>
      <c r="C587" s="1" t="n">
        <v>46001</v>
      </c>
      <c r="D587" t="inlineStr">
        <is>
          <t>SÖDERMANLANDS LÄN</t>
        </is>
      </c>
      <c r="E587" t="inlineStr">
        <is>
          <t>FLEN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21004-2025</t>
        </is>
      </c>
      <c r="B588" s="1" t="n">
        <v>45777.491875</v>
      </c>
      <c r="C588" s="1" t="n">
        <v>46001</v>
      </c>
      <c r="D588" t="inlineStr">
        <is>
          <t>SÖDERMANLANDS LÄN</t>
        </is>
      </c>
      <c r="E588" t="inlineStr">
        <is>
          <t>FLEN</t>
        </is>
      </c>
      <c r="F588" t="inlineStr">
        <is>
          <t>Holmen skog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20849-2025</t>
        </is>
      </c>
      <c r="B589" s="1" t="n">
        <v>45777</v>
      </c>
      <c r="C589" s="1" t="n">
        <v>46001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20702-2025</t>
        </is>
      </c>
      <c r="B590" s="1" t="n">
        <v>45776</v>
      </c>
      <c r="C590" s="1" t="n">
        <v>46001</v>
      </c>
      <c r="D590" t="inlineStr">
        <is>
          <t>SÖDERMANLANDS LÄN</t>
        </is>
      </c>
      <c r="E590" t="inlineStr">
        <is>
          <t>FLEN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7960-2024</t>
        </is>
      </c>
      <c r="B591" s="1" t="n">
        <v>45350.57226851852</v>
      </c>
      <c r="C591" s="1" t="n">
        <v>46001</v>
      </c>
      <c r="D591" t="inlineStr">
        <is>
          <t>SÖDERMANLANDS LÄN</t>
        </is>
      </c>
      <c r="E591" t="inlineStr">
        <is>
          <t>FLEN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59051-2023</t>
        </is>
      </c>
      <c r="B592" s="1" t="n">
        <v>45252.77672453703</v>
      </c>
      <c r="C592" s="1" t="n">
        <v>46001</v>
      </c>
      <c r="D592" t="inlineStr">
        <is>
          <t>SÖDERMANLANDS LÄN</t>
        </is>
      </c>
      <c r="E592" t="inlineStr">
        <is>
          <t>FLEN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13909-2023</t>
        </is>
      </c>
      <c r="B593" s="1" t="n">
        <v>45008.36534722222</v>
      </c>
      <c r="C593" s="1" t="n">
        <v>46001</v>
      </c>
      <c r="D593" t="inlineStr">
        <is>
          <t>SÖDERMANLANDS LÄN</t>
        </is>
      </c>
      <c r="E593" t="inlineStr">
        <is>
          <t>FLEN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47055-2022</t>
        </is>
      </c>
      <c r="B594" s="1" t="n">
        <v>44852.40068287037</v>
      </c>
      <c r="C594" s="1" t="n">
        <v>46001</v>
      </c>
      <c r="D594" t="inlineStr">
        <is>
          <t>SÖDERMANLANDS LÄN</t>
        </is>
      </c>
      <c r="E594" t="inlineStr">
        <is>
          <t>FLEN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46115-2023</t>
        </is>
      </c>
      <c r="B595" s="1" t="n">
        <v>45196</v>
      </c>
      <c r="C595" s="1" t="n">
        <v>46001</v>
      </c>
      <c r="D595" t="inlineStr">
        <is>
          <t>SÖDERMANLANDS LÄN</t>
        </is>
      </c>
      <c r="E595" t="inlineStr">
        <is>
          <t>FLEN</t>
        </is>
      </c>
      <c r="F595" t="inlineStr">
        <is>
          <t>Kyrkan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54736-2022</t>
        </is>
      </c>
      <c r="B596" s="1" t="n">
        <v>44883.57304398148</v>
      </c>
      <c r="C596" s="1" t="n">
        <v>46001</v>
      </c>
      <c r="D596" t="inlineStr">
        <is>
          <t>SÖDERMANLANDS LÄN</t>
        </is>
      </c>
      <c r="E596" t="inlineStr">
        <is>
          <t>FLEN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56308-2024</t>
        </is>
      </c>
      <c r="B597" s="1" t="n">
        <v>45624.70232638889</v>
      </c>
      <c r="C597" s="1" t="n">
        <v>46001</v>
      </c>
      <c r="D597" t="inlineStr">
        <is>
          <t>SÖDERMANLANDS LÄN</t>
        </is>
      </c>
      <c r="E597" t="inlineStr">
        <is>
          <t>FLEN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2025-12-10T10:24:57Z</dcterms:created>
  <dcterms:modified xmlns:dcterms="http://purl.org/dc/terms/" xmlns:xsi="http://www.w3.org/2001/XMLSchema-instance" xsi:type="dcterms:W3CDTF">2025-12-10T10:24:58Z</dcterms:modified>
</cp:coreProperties>
</file>