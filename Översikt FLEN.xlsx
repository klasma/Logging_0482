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46257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46257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46257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46257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46257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46257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46257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46257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46257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48952-2023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46257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12.8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11</v>
      </c>
      <c r="U26" t="n">
        <v>0</v>
      </c>
      <c r="V26" s="2" t="inlineStr">
        <is>
          <t>Dropptaggsvamp
Tallticka
Vedskivlav
Blåmossa
Grovticka</t>
        </is>
      </c>
      <c r="W26">
        <f>HYPERLINK("https://klasma.github.io/Logging_0482/artfynd/A 48952-2023 artfynd.xlsx", "A 48952-2023")</f>
        <v/>
      </c>
      <c r="X26">
        <f>HYPERLINK("https://klasma.github.io/Logging_0482/kartor/A 48952-2023 karta.png", "A 48952-2023")</f>
        <v/>
      </c>
      <c r="Y26">
        <f>HYPERLINK("https://klasma.github.io/Logging_0482/kartor_geotiff/A 48952-2023 georefererad karta.tif", "A 48952-2023")</f>
        <v/>
      </c>
      <c r="AA26">
        <f>HYPERLINK("https://klasma.github.io/Logging_0482/klagomål/A 48952-2023 FSC-klagomål.docx", "A 48952-2023")</f>
        <v/>
      </c>
      <c r="AB26">
        <f>HYPERLINK("https://klasma.github.io/Logging_0482/klagomålsmail/A 48952-2023 FSC-klagomål mail.docx", "A 48952-2023")</f>
        <v/>
      </c>
      <c r="AC26">
        <f>HYPERLINK("https://klasma.github.io/Logging_0482/tillsyn/A 48952-2023 tillsynsbegäran.docx", "A 48952-2023")</f>
        <v/>
      </c>
      <c r="AD26">
        <f>HYPERLINK("https://klasma.github.io/Logging_0482/tillsynsmail/A 48952-2023 tillsynsbegäran mail.docx", "A 48952-2023")</f>
        <v/>
      </c>
    </row>
    <row r="27" ht="15" customHeight="1">
      <c r="A27" t="inlineStr">
        <is>
          <t>A 33219-2024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46257</v>
      </c>
      <c r="F27" t="inlineStr">
        <is>
          <t>SÖDERMANLANDS LÄN</t>
        </is>
      </c>
      <c r="G27" t="inlineStr">
        <is>
          <t>FLEN</t>
        </is>
      </c>
      <c r="I27" t="n">
        <v>2.5</v>
      </c>
      <c r="J27" t="n">
        <v>3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7</v>
      </c>
      <c r="V27" s="2" t="inlineStr">
        <is>
          <t>Knärot
Svinrot
Zontaggsvamp
Blåsippa
Mattlummer</t>
        </is>
      </c>
      <c r="W27">
        <f>HYPERLINK("https://klasma.github.io/Logging_0482/artfynd/A 33219-2024 artfynd.xlsx", "A 33219-2024")</f>
        <v/>
      </c>
      <c r="X27">
        <f>HYPERLINK("https://klasma.github.io/Logging_0482/kartor/A 33219-2024 karta.png", "A 33219-2024")</f>
        <v/>
      </c>
      <c r="Y27">
        <f>HYPERLINK("https://klasma.github.io/Logging_0482/kartor_geotiff/A 33219-2024 georefererad karta.tif", "A 33219-2024")</f>
        <v/>
      </c>
      <c r="Z27">
        <f>HYPERLINK("https://klasma.github.io/Logging_0482/knärot/A 33219-2024 karta knärot.png", "A 33219-2024")</f>
        <v/>
      </c>
      <c r="AA27">
        <f>HYPERLINK("https://klasma.github.io/Logging_0482/klagomål/A 33219-2024 FSC-klagomål.docx", "A 33219-2024")</f>
        <v/>
      </c>
      <c r="AB27">
        <f>HYPERLINK("https://klasma.github.io/Logging_0482/klagomålsmail/A 33219-2024 FSC-klagomål mail.docx", "A 33219-2024")</f>
        <v/>
      </c>
      <c r="AC27">
        <f>HYPERLINK("https://klasma.github.io/Logging_0482/tillsyn/A 33219-2024 tillsynsbegäran.docx", "A 33219-2024")</f>
        <v/>
      </c>
      <c r="AD27">
        <f>HYPERLINK("https://klasma.github.io/Logging_0482/tillsynsmail/A 33219-2024 tillsynsbegäran mail.docx", "A 33219-2024")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46257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46257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46257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46257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46257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46257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46257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46257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46257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46257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46257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50343-2024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46257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Svartöra
Tallticka
Blåsippa
Vildkaprifol</t>
        </is>
      </c>
      <c r="W39">
        <f>HYPERLINK("https://klasma.github.io/Logging_0482/artfynd/A 50343-2024 artfynd.xlsx", "A 50343-2024")</f>
        <v/>
      </c>
      <c r="X39">
        <f>HYPERLINK("https://klasma.github.io/Logging_0482/kartor/A 50343-2024 karta.png", "A 50343-2024")</f>
        <v/>
      </c>
      <c r="Y39">
        <f>HYPERLINK("https://klasma.github.io/Logging_0482/kartor_geotiff/A 50343-2024 georefererad karta.tif", "A 50343-2024")</f>
        <v/>
      </c>
      <c r="AA39">
        <f>HYPERLINK("https://klasma.github.io/Logging_0482/klagomål/A 50343-2024 FSC-klagomål.docx", "A 50343-2024")</f>
        <v/>
      </c>
      <c r="AB39">
        <f>HYPERLINK("https://klasma.github.io/Logging_0482/klagomålsmail/A 50343-2024 FSC-klagomål mail.docx", "A 50343-2024")</f>
        <v/>
      </c>
      <c r="AC39">
        <f>HYPERLINK("https://klasma.github.io/Logging_0482/tillsyn/A 50343-2024 tillsynsbegäran.docx", "A 50343-2024")</f>
        <v/>
      </c>
      <c r="AD39">
        <f>HYPERLINK("https://klasma.github.io/Logging_0482/tillsynsmail/A 50343-2024 tillsynsbegäran mail.docx", "A 50343-2024")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46257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46257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46257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46257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46257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46257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46257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46257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46257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46257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46257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38465-2025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46257</v>
      </c>
      <c r="F51" t="inlineStr">
        <is>
          <t>SÖDERMANLANDS LÄN</t>
        </is>
      </c>
      <c r="G51" t="inlineStr">
        <is>
          <t>FLEN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Gullklöver
Nattviol</t>
        </is>
      </c>
      <c r="W51">
        <f>HYPERLINK("https://klasma.github.io/Logging_0482/artfynd/A 38465-2025 artfynd.xlsx", "A 38465-2025")</f>
        <v/>
      </c>
      <c r="X51">
        <f>HYPERLINK("https://klasma.github.io/Logging_0482/kartor/A 38465-2025 karta.png", "A 38465-2025")</f>
        <v/>
      </c>
      <c r="Y51">
        <f>HYPERLINK("https://klasma.github.io/Logging_0482/kartor_geotiff/A 38465-2025 georefererad karta.tif", "A 38465-2025")</f>
        <v/>
      </c>
      <c r="AA51">
        <f>HYPERLINK("https://klasma.github.io/Logging_0482/klagomål/A 38465-2025 FSC-klagomål.docx", "A 38465-2025")</f>
        <v/>
      </c>
      <c r="AB51">
        <f>HYPERLINK("https://klasma.github.io/Logging_0482/klagomålsmail/A 38465-2025 FSC-klagomål mail.docx", "A 38465-2025")</f>
        <v/>
      </c>
      <c r="AC51">
        <f>HYPERLINK("https://klasma.github.io/Logging_0482/tillsyn/A 38465-2025 tillsynsbegäran.docx", "A 38465-2025")</f>
        <v/>
      </c>
      <c r="AD51">
        <f>HYPERLINK("https://klasma.github.io/Logging_0482/tillsynsmail/A 38465-2025 tillsynsbegäran mail.docx", "A 38465-2025")</f>
        <v/>
      </c>
    </row>
    <row r="52" ht="15" customHeight="1">
      <c r="A52" t="inlineStr">
        <is>
          <t>A 38466-2025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46257</v>
      </c>
      <c r="F52" t="inlineStr">
        <is>
          <t>SÖDERMANLANDS LÄN</t>
        </is>
      </c>
      <c r="G52" t="inlineStr">
        <is>
          <t>FLEN</t>
        </is>
      </c>
      <c r="I52" t="n">
        <v>5.4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Svinrot
Blåsippa
Gullviva</t>
        </is>
      </c>
      <c r="W52">
        <f>HYPERLINK("https://klasma.github.io/Logging_0482/artfynd/A 38466-2025 artfynd.xlsx", "A 38466-2025")</f>
        <v/>
      </c>
      <c r="X52">
        <f>HYPERLINK("https://klasma.github.io/Logging_0482/kartor/A 38466-2025 karta.png", "A 38466-2025")</f>
        <v/>
      </c>
      <c r="Y52">
        <f>HYPERLINK("https://klasma.github.io/Logging_0482/kartor_geotiff/A 38466-2025 georefererad karta.tif", "A 38466-2025")</f>
        <v/>
      </c>
      <c r="AA52">
        <f>HYPERLINK("https://klasma.github.io/Logging_0482/klagomål/A 38466-2025 FSC-klagomål.docx", "A 38466-2025")</f>
        <v/>
      </c>
      <c r="AB52">
        <f>HYPERLINK("https://klasma.github.io/Logging_0482/klagomålsmail/A 38466-2025 FSC-klagomål mail.docx", "A 38466-2025")</f>
        <v/>
      </c>
      <c r="AC52">
        <f>HYPERLINK("https://klasma.github.io/Logging_0482/tillsyn/A 38466-2025 tillsynsbegäran.docx", "A 38466-2025")</f>
        <v/>
      </c>
      <c r="AD52">
        <f>HYPERLINK("https://klasma.github.io/Logging_0482/tillsynsmail/A 38466-2025 tillsynsbegäran mail.docx", "A 38466-2025")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46257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46257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46257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46257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Tallkötticka
Grönpyrola
Kamjordstjärna</t>
        </is>
      </c>
      <c r="W56">
        <f>HYPERLINK("https://klasma.github.io/Logging_0482/artfynd/A 1149-2025 artfynd.xlsx", "A 1149-2025")</f>
        <v/>
      </c>
      <c r="X56">
        <f>HYPERLINK("https://klasma.github.io/Logging_0482/kartor/A 1149-2025 karta.png", "A 1149-2025")</f>
        <v/>
      </c>
      <c r="Y56">
        <f>HYPERLINK("https://klasma.github.io/Logging_0482/kartor_geotiff/A 1149-2025 georefererad karta.tif", "A 1149-2025")</f>
        <v/>
      </c>
      <c r="AA56">
        <f>HYPERLINK("https://klasma.github.io/Logging_0482/klagomål/A 1149-2025 FSC-klagomål.docx", "A 1149-2025")</f>
        <v/>
      </c>
      <c r="AB56">
        <f>HYPERLINK("https://klasma.github.io/Logging_0482/klagomålsmail/A 1149-2025 FSC-klagomål mail.docx", "A 1149-2025")</f>
        <v/>
      </c>
      <c r="AC56">
        <f>HYPERLINK("https://klasma.github.io/Logging_0482/tillsyn/A 1149-2025 tillsynsbegäran.docx", "A 1149-2025")</f>
        <v/>
      </c>
      <c r="AD56">
        <f>HYPERLINK("https://klasma.github.io/Logging_0482/tillsynsmail/A 1149-2025 tillsynsbegäran mail.docx", "A 1149-2025")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46257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46257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46257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46257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A 54302-2025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46257</v>
      </c>
      <c r="F61" t="inlineStr">
        <is>
          <t>SÖDERMANLANDS LÄN</t>
        </is>
      </c>
      <c r="G61" t="inlineStr">
        <is>
          <t>FLEN</t>
        </is>
      </c>
      <c r="I61" t="n">
        <v>12.6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2</v>
      </c>
      <c r="V61" s="2" t="inlineStr">
        <is>
          <t>Dofttaggsvamp
Svinrot
Mattlummer</t>
        </is>
      </c>
      <c r="W61">
        <f>HYPERLINK("https://klasma.github.io/Logging_0482/artfynd/A 54302-2025 artfynd.xlsx", "A 54302-2025")</f>
        <v/>
      </c>
      <c r="X61">
        <f>HYPERLINK("https://klasma.github.io/Logging_0482/kartor/A 54302-2025 karta.png", "A 54302-2025")</f>
        <v/>
      </c>
      <c r="Y61">
        <f>HYPERLINK("https://klasma.github.io/Logging_0482/kartor_geotiff/A 54302-2025 georefererad karta.tif", "A 54302-2025")</f>
        <v/>
      </c>
      <c r="AA61">
        <f>HYPERLINK("https://klasma.github.io/Logging_0482/klagomål/A 54302-2025 FSC-klagomål.docx", "A 54302-2025")</f>
        <v/>
      </c>
      <c r="AB61">
        <f>HYPERLINK("https://klasma.github.io/Logging_0482/klagomålsmail/A 54302-2025 FSC-klagomål mail.docx", "A 54302-2025")</f>
        <v/>
      </c>
      <c r="AC61">
        <f>HYPERLINK("https://klasma.github.io/Logging_0482/tillsyn/A 54302-2025 tillsynsbegäran.docx", "A 54302-2025")</f>
        <v/>
      </c>
      <c r="AD61">
        <f>HYPERLINK("https://klasma.github.io/Logging_0482/tillsynsmail/A 54302-2025 tillsynsbegäran mail.docx", "A 54302-2025")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46257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46257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46257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46257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46257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46257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46257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22883-2022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46257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2.7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Gullklöver
Vippärt</t>
        </is>
      </c>
      <c r="W69">
        <f>HYPERLINK("https://klasma.github.io/Logging_0482/artfynd/A 22883-2022 artfynd.xlsx", "A 22883-2022")</f>
        <v/>
      </c>
      <c r="X69">
        <f>HYPERLINK("https://klasma.github.io/Logging_0482/kartor/A 22883-2022 karta.png", "A 22883-2022")</f>
        <v/>
      </c>
      <c r="Y69">
        <f>HYPERLINK("https://klasma.github.io/Logging_0482/kartor_geotiff/A 22883-2022 georefererad karta.tif", "A 22883-2022")</f>
        <v/>
      </c>
      <c r="AA69">
        <f>HYPERLINK("https://klasma.github.io/Logging_0482/klagomål/A 22883-2022 FSC-klagomål.docx", "A 22883-2022")</f>
        <v/>
      </c>
      <c r="AB69">
        <f>HYPERLINK("https://klasma.github.io/Logging_0482/klagomålsmail/A 22883-2022 FSC-klagomål mail.docx", "A 22883-2022")</f>
        <v/>
      </c>
      <c r="AC69">
        <f>HYPERLINK("https://klasma.github.io/Logging_0482/tillsyn/A 22883-2022 tillsynsbegäran.docx", "A 22883-2022")</f>
        <v/>
      </c>
      <c r="AD69">
        <f>HYPERLINK("https://klasma.github.io/Logging_0482/tillsynsmail/A 22883-2022 tillsynsbegäran mail.docx", "A 22883-2022")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46257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46257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46257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55092-2021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46257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Sälg
Huggorm</t>
        </is>
      </c>
      <c r="W73">
        <f>HYPERLINK("https://klasma.github.io/Logging_0482/artfynd/A 55092-2021 artfynd.xlsx", "A 55092-2021")</f>
        <v/>
      </c>
      <c r="X73">
        <f>HYPERLINK("https://klasma.github.io/Logging_0482/kartor/A 55092-2021 karta.png", "A 55092-2021")</f>
        <v/>
      </c>
      <c r="Y73">
        <f>HYPERLINK("https://klasma.github.io/Logging_0482/kartor_geotiff/A 55092-2021 georefererad karta.tif", "A 55092-2021")</f>
        <v/>
      </c>
      <c r="AA73">
        <f>HYPERLINK("https://klasma.github.io/Logging_0482/klagomål/A 55092-2021 FSC-klagomål.docx", "A 55092-2021")</f>
        <v/>
      </c>
      <c r="AB73">
        <f>HYPERLINK("https://klasma.github.io/Logging_0482/klagomålsmail/A 55092-2021 FSC-klagomål mail.docx", "A 55092-2021")</f>
        <v/>
      </c>
      <c r="AC73">
        <f>HYPERLINK("https://klasma.github.io/Logging_0482/tillsyn/A 55092-2021 tillsynsbegäran.docx", "A 55092-2021")</f>
        <v/>
      </c>
      <c r="AD73">
        <f>HYPERLINK("https://klasma.github.io/Logging_0482/tillsynsmail/A 55092-2021 tillsynsbegäran mail.docx", "A 55092-2021")</f>
        <v/>
      </c>
    </row>
    <row r="74" ht="15" customHeight="1">
      <c r="A74" t="inlineStr">
        <is>
          <t>A 7506-2023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44971</v>
      </c>
      <c r="E74" s="1" t="n">
        <v>46257</v>
      </c>
      <c r="F74" t="inlineStr">
        <is>
          <t>SÖDERMANLANDS LÄN</t>
        </is>
      </c>
      <c r="G74" t="inlineStr">
        <is>
          <t>FLEN</t>
        </is>
      </c>
      <c r="I74" t="n">
        <v>3.3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Slåtterfibbla
Svinrot</t>
        </is>
      </c>
      <c r="W74">
        <f>HYPERLINK("https://klasma.github.io/Logging_0482/artfynd/A 7506-2023 artfynd.xlsx", "A 7506-2023")</f>
        <v/>
      </c>
      <c r="X74">
        <f>HYPERLINK("https://klasma.github.io/Logging_0482/kartor/A 7506-2023 karta.png", "A 7506-2023")</f>
        <v/>
      </c>
      <c r="Y74">
        <f>HYPERLINK("https://klasma.github.io/Logging_0482/kartor_geotiff/A 7506-2023 georefererad karta.tif", "A 7506-2023")</f>
        <v/>
      </c>
      <c r="AA74">
        <f>HYPERLINK("https://klasma.github.io/Logging_0482/klagomål/A 7506-2023 FSC-klagomål.docx", "A 7506-2023")</f>
        <v/>
      </c>
      <c r="AB74">
        <f>HYPERLINK("https://klasma.github.io/Logging_0482/klagomålsmail/A 7506-2023 FSC-klagomål mail.docx", "A 7506-2023")</f>
        <v/>
      </c>
      <c r="AC74">
        <f>HYPERLINK("https://klasma.github.io/Logging_0482/tillsyn/A 7506-2023 tillsynsbegäran.docx", "A 7506-2023")</f>
        <v/>
      </c>
      <c r="AD74">
        <f>HYPERLINK("https://klasma.github.io/Logging_0482/tillsynsmail/A 7506-2023 tillsynsbegäran mail.docx", "A 7506-2023")</f>
        <v/>
      </c>
    </row>
    <row r="75" ht="15" customHeight="1">
      <c r="A75" t="inlineStr">
        <is>
          <t>A 49255-2021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46257</v>
      </c>
      <c r="F75" t="inlineStr">
        <is>
          <t>SÖDERMANLANDS LÄN</t>
        </is>
      </c>
      <c r="G75" t="inlineStr">
        <is>
          <t>FLEN</t>
        </is>
      </c>
      <c r="I75" t="n">
        <v>15.6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Backstarr
Revlummer</t>
        </is>
      </c>
      <c r="W75">
        <f>HYPERLINK("https://klasma.github.io/Logging_0482/artfynd/A 49255-2021 artfynd.xlsx", "A 49255-2021")</f>
        <v/>
      </c>
      <c r="X75">
        <f>HYPERLINK("https://klasma.github.io/Logging_0482/kartor/A 49255-2021 karta.png", "A 49255-2021")</f>
        <v/>
      </c>
      <c r="Y75">
        <f>HYPERLINK("https://klasma.github.io/Logging_0482/kartor_geotiff/A 49255-2021 georefererad karta.tif", "A 49255-2021")</f>
        <v/>
      </c>
      <c r="AA75">
        <f>HYPERLINK("https://klasma.github.io/Logging_0482/klagomål/A 49255-2021 FSC-klagomål.docx", "A 49255-2021")</f>
        <v/>
      </c>
      <c r="AB75">
        <f>HYPERLINK("https://klasma.github.io/Logging_0482/klagomålsmail/A 49255-2021 FSC-klagomål mail.docx", "A 49255-2021")</f>
        <v/>
      </c>
      <c r="AC75">
        <f>HYPERLINK("https://klasma.github.io/Logging_0482/tillsyn/A 49255-2021 tillsynsbegäran.docx", "A 49255-2021")</f>
        <v/>
      </c>
      <c r="AD75">
        <f>HYPERLINK("https://klasma.github.io/Logging_0482/tillsynsmail/A 49255-2021 tillsynsbegäran mail.docx", "A 49255-2021")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46257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46257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46257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46257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46257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46257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15557-2026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46257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0</v>
      </c>
      <c r="V82" s="2" t="inlineStr">
        <is>
          <t>Gullklöver
Svinrot</t>
        </is>
      </c>
      <c r="W82">
        <f>HYPERLINK("https://klasma.github.io/Logging_0482/artfynd/A 15557-2026 artfynd.xlsx", "A 15557-2026")</f>
        <v/>
      </c>
      <c r="X82">
        <f>HYPERLINK("https://klasma.github.io/Logging_0482/kartor/A 15557-2026 karta.png", "A 15557-2026")</f>
        <v/>
      </c>
      <c r="Y82">
        <f>HYPERLINK("https://klasma.github.io/Logging_0482/kartor_geotiff/A 15557-2026 georefererad karta.tif", "A 15557-2026")</f>
        <v/>
      </c>
      <c r="AA82">
        <f>HYPERLINK("https://klasma.github.io/Logging_0482/klagomål/A 15557-2026 FSC-klagomål.docx", "A 15557-2026")</f>
        <v/>
      </c>
      <c r="AB82">
        <f>HYPERLINK("https://klasma.github.io/Logging_0482/klagomålsmail/A 15557-2026 FSC-klagomål mail.docx", "A 15557-2026")</f>
        <v/>
      </c>
      <c r="AC82">
        <f>HYPERLINK("https://klasma.github.io/Logging_0482/tillsyn/A 15557-2026 tillsynsbegäran.docx", "A 15557-2026")</f>
        <v/>
      </c>
      <c r="AD82">
        <f>HYPERLINK("https://klasma.github.io/Logging_0482/tillsynsmail/A 15557-2026 tillsynsbegäran mail.docx", "A 15557-2026")</f>
        <v/>
      </c>
    </row>
    <row r="83" ht="15" customHeight="1">
      <c r="A83" t="inlineStr">
        <is>
          <t>A 8887-2026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46068</v>
      </c>
      <c r="E83" s="1" t="n">
        <v>46257</v>
      </c>
      <c r="F83" t="inlineStr">
        <is>
          <t>SÖDERMANLANDS LÄN</t>
        </is>
      </c>
      <c r="G83" t="inlineStr">
        <is>
          <t>FLEN</t>
        </is>
      </c>
      <c r="I83" t="n">
        <v>2.1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Större vattensalamander
Mindre vattensalamander</t>
        </is>
      </c>
      <c r="W83">
        <f>HYPERLINK("https://klasma.github.io/Logging_0482/artfynd/A 8887-2026 artfynd.xlsx", "A 8887-2026")</f>
        <v/>
      </c>
      <c r="X83">
        <f>HYPERLINK("https://klasma.github.io/Logging_0482/kartor/A 8887-2026 karta.png", "A 8887-2026")</f>
        <v/>
      </c>
      <c r="Y83">
        <f>HYPERLINK("https://klasma.github.io/Logging_0482/kartor_geotiff/A 8887-2026 georefererad karta.tif", "A 8887-2026")</f>
        <v/>
      </c>
      <c r="AA83">
        <f>HYPERLINK("https://klasma.github.io/Logging_0482/klagomål/A 8887-2026 FSC-klagomål.docx", "A 8887-2026")</f>
        <v/>
      </c>
      <c r="AB83">
        <f>HYPERLINK("https://klasma.github.io/Logging_0482/klagomålsmail/A 8887-2026 FSC-klagomål mail.docx", "A 8887-2026")</f>
        <v/>
      </c>
      <c r="AC83">
        <f>HYPERLINK("https://klasma.github.io/Logging_0482/tillsyn/A 8887-2026 tillsynsbegäran.docx", "A 8887-2026")</f>
        <v/>
      </c>
      <c r="AD83">
        <f>HYPERLINK("https://klasma.github.io/Logging_0482/tillsynsmail/A 8887-2026 tillsynsbegäran mail.docx", "A 8887-2026")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46257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46257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Motaggsvamp
Blodticka</t>
        </is>
      </c>
      <c r="W85">
        <f>HYPERLINK("https://klasma.github.io/Logging_0482/artfynd/A 39240-2023 artfynd.xlsx", "A 39240-2023")</f>
        <v/>
      </c>
      <c r="X85">
        <f>HYPERLINK("https://klasma.github.io/Logging_0482/kartor/A 39240-2023 karta.png", "A 39240-2023")</f>
        <v/>
      </c>
      <c r="Y85">
        <f>HYPERLINK("https://klasma.github.io/Logging_0482/kartor_geotiff/A 39240-2023 georefererad karta.tif", "A 39240-2023")</f>
        <v/>
      </c>
      <c r="AA85">
        <f>HYPERLINK("https://klasma.github.io/Logging_0482/klagomål/A 39240-2023 FSC-klagomål.docx", "A 39240-2023")</f>
        <v/>
      </c>
      <c r="AB85">
        <f>HYPERLINK("https://klasma.github.io/Logging_0482/klagomålsmail/A 39240-2023 FSC-klagomål mail.docx", "A 39240-2023")</f>
        <v/>
      </c>
      <c r="AC85">
        <f>HYPERLINK("https://klasma.github.io/Logging_0482/tillsyn/A 39240-2023 tillsynsbegäran.docx", "A 39240-2023")</f>
        <v/>
      </c>
      <c r="AD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46257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Gullklöver
Svinrot</t>
        </is>
      </c>
      <c r="W86">
        <f>HYPERLINK("https://klasma.github.io/Logging_0482/artfynd/A 47194-2022 artfynd.xlsx", "A 47194-2022")</f>
        <v/>
      </c>
      <c r="X86">
        <f>HYPERLINK("https://klasma.github.io/Logging_0482/kartor/A 47194-2022 karta.png", "A 47194-2022")</f>
        <v/>
      </c>
      <c r="Y86">
        <f>HYPERLINK("https://klasma.github.io/Logging_0482/kartor_geotiff/A 47194-2022 georefererad karta.tif", "A 47194-2022")</f>
        <v/>
      </c>
      <c r="AA86">
        <f>HYPERLINK("https://klasma.github.io/Logging_0482/klagomål/A 47194-2022 FSC-klagomål.docx", "A 47194-2022")</f>
        <v/>
      </c>
      <c r="AB86">
        <f>HYPERLINK("https://klasma.github.io/Logging_0482/klagomålsmail/A 47194-2022 FSC-klagomål mail.docx", "A 47194-2022")</f>
        <v/>
      </c>
      <c r="AC86">
        <f>HYPERLINK("https://klasma.github.io/Logging_0482/tillsyn/A 47194-2022 tillsynsbegäran.docx", "A 47194-2022")</f>
        <v/>
      </c>
      <c r="AD86">
        <f>HYPERLINK("https://klasma.github.io/Logging_0482/tillsynsmail/A 47194-2022 tillsynsbegäran mail.docx", "A 47194-2022")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46257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52858-2023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46257</v>
      </c>
      <c r="F88" t="inlineStr">
        <is>
          <t>SÖDERMANLANDS LÄN</t>
        </is>
      </c>
      <c r="G88" t="inlineStr">
        <is>
          <t>FLEN</t>
        </is>
      </c>
      <c r="I88" t="n">
        <v>3.6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1</v>
      </c>
      <c r="V88" s="2" t="inlineStr">
        <is>
          <t>Mindre hackspett
Tallticka</t>
        </is>
      </c>
      <c r="W88">
        <f>HYPERLINK("https://klasma.github.io/Logging_0482/artfynd/A 52858-2023 artfynd.xlsx", "A 52858-2023")</f>
        <v/>
      </c>
      <c r="X88">
        <f>HYPERLINK("https://klasma.github.io/Logging_0482/kartor/A 52858-2023 karta.png", "A 52858-2023")</f>
        <v/>
      </c>
      <c r="Y88">
        <f>HYPERLINK("https://klasma.github.io/Logging_0482/kartor_geotiff/A 52858-2023 georefererad karta.tif", "A 52858-2023")</f>
        <v/>
      </c>
      <c r="AA88">
        <f>HYPERLINK("https://klasma.github.io/Logging_0482/klagomål/A 52858-2023 FSC-klagomål.docx", "A 52858-2023")</f>
        <v/>
      </c>
      <c r="AB88">
        <f>HYPERLINK("https://klasma.github.io/Logging_0482/klagomålsmail/A 52858-2023 FSC-klagomål mail.docx", "A 52858-2023")</f>
        <v/>
      </c>
      <c r="AC88">
        <f>HYPERLINK("https://klasma.github.io/Logging_0482/tillsyn/A 52858-2023 tillsynsbegäran.docx", "A 52858-2023")</f>
        <v/>
      </c>
      <c r="AD88">
        <f>HYPERLINK("https://klasma.github.io/Logging_0482/tillsynsmail/A 52858-2023 tillsynsbegäran mail.docx", "A 52858-2023")</f>
        <v/>
      </c>
      <c r="AE88">
        <f>HYPERLINK("https://klasma.github.io/Logging_0482/fåglar/A 52858-2023 prioriterade fågelarter.docx", "A 52858-2023")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46257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46257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22511-2026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46155</v>
      </c>
      <c r="E91" s="1" t="n">
        <v>46257</v>
      </c>
      <c r="F91" t="inlineStr">
        <is>
          <t>SÖDERMANLANDS LÄN</t>
        </is>
      </c>
      <c r="G91" t="inlineStr">
        <is>
          <t>FLEN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Ormbär
Skriftlav</t>
        </is>
      </c>
      <c r="W91">
        <f>HYPERLINK("https://klasma.github.io/Logging_0482/artfynd/A 22511-2026 artfynd.xlsx", "A 22511-2026")</f>
        <v/>
      </c>
      <c r="X91">
        <f>HYPERLINK("https://klasma.github.io/Logging_0482/kartor/A 22511-2026 karta.png", "A 22511-2026")</f>
        <v/>
      </c>
      <c r="Y91">
        <f>HYPERLINK("https://klasma.github.io/Logging_0482/kartor_geotiff/A 22511-2026 georefererad karta.tif", "A 22511-2026")</f>
        <v/>
      </c>
      <c r="AA91">
        <f>HYPERLINK("https://klasma.github.io/Logging_0482/klagomål/A 22511-2026 FSC-klagomål.docx", "A 22511-2026")</f>
        <v/>
      </c>
      <c r="AB91">
        <f>HYPERLINK("https://klasma.github.io/Logging_0482/klagomålsmail/A 22511-2026 FSC-klagomål mail.docx", "A 22511-2026")</f>
        <v/>
      </c>
      <c r="AC91">
        <f>HYPERLINK("https://klasma.github.io/Logging_0482/tillsyn/A 22511-2026 tillsynsbegäran.docx", "A 22511-2026")</f>
        <v/>
      </c>
      <c r="AD91">
        <f>HYPERLINK("https://klasma.github.io/Logging_0482/tillsynsmail/A 22511-2026 tillsynsbegäran mail.docx", "A 22511-2026")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46257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46257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46257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46257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46257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46257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46257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6982-2024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46257</v>
      </c>
      <c r="F99" t="inlineStr">
        <is>
          <t>SÖDERMANLANDS LÄN</t>
        </is>
      </c>
      <c r="G99" t="inlineStr">
        <is>
          <t>FLEN</t>
        </is>
      </c>
      <c r="I99" t="n">
        <v>1.1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HYPERLINK("https://klasma.github.io/Logging_0482/artfynd/A 6982-2024 artfynd.xlsx", "A 6982-2024")</f>
        <v/>
      </c>
      <c r="X99">
        <f>HYPERLINK("https://klasma.github.io/Logging_0482/kartor/A 6982-2024 karta.png", "A 6982-2024")</f>
        <v/>
      </c>
      <c r="Y99">
        <f>HYPERLINK("https://klasma.github.io/Logging_0482/kartor_geotiff/A 6982-2024 georefererad karta.tif", "A 6982-2024")</f>
        <v/>
      </c>
      <c r="AA99">
        <f>HYPERLINK("https://klasma.github.io/Logging_0482/klagomål/A 6982-2024 FSC-klagomål.docx", "A 6982-2024")</f>
        <v/>
      </c>
      <c r="AB99">
        <f>HYPERLINK("https://klasma.github.io/Logging_0482/klagomålsmail/A 6982-2024 FSC-klagomål mail.docx", "A 6982-2024")</f>
        <v/>
      </c>
      <c r="AC99">
        <f>HYPERLINK("https://klasma.github.io/Logging_0482/tillsyn/A 6982-2024 tillsynsbegäran.docx", "A 6982-2024")</f>
        <v/>
      </c>
      <c r="AD99">
        <f>HYPERLINK("https://klasma.github.io/Logging_0482/tillsynsmail/A 6982-2024 tillsynsbegäran mail.docx", "A 6982-2024")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46257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dunört</t>
        </is>
      </c>
      <c r="W100">
        <f>HYPERLINK("https://klasma.github.io/Logging_0482/artfynd/A 34823-2023 artfynd.xlsx", "A 34823-2023")</f>
        <v/>
      </c>
      <c r="X100">
        <f>HYPERLINK("https://klasma.github.io/Logging_0482/kartor/A 34823-2023 karta.png", "A 34823-2023")</f>
        <v/>
      </c>
      <c r="Y100">
        <f>HYPERLINK("https://klasma.github.io/Logging_0482/kartor_geotiff/A 34823-2023 georefererad karta.tif", "A 34823-2023")</f>
        <v/>
      </c>
      <c r="AA100">
        <f>HYPERLINK("https://klasma.github.io/Logging_0482/klagomål/A 34823-2023 FSC-klagomål.docx", "A 34823-2023")</f>
        <v/>
      </c>
      <c r="AB100">
        <f>HYPERLINK("https://klasma.github.io/Logging_0482/klagomålsmail/A 34823-2023 FSC-klagomål mail.docx", "A 34823-2023")</f>
        <v/>
      </c>
      <c r="AC100">
        <f>HYPERLINK("https://klasma.github.io/Logging_0482/tillsyn/A 34823-2023 tillsynsbegäran.docx", "A 34823-2023")</f>
        <v/>
      </c>
      <c r="AD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46257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Åkerrödtoppa</t>
        </is>
      </c>
      <c r="W101">
        <f>HYPERLINK("https://klasma.github.io/Logging_0482/artfynd/A 31972-2024 artfynd.xlsx", "A 31972-2024")</f>
        <v/>
      </c>
      <c r="X101">
        <f>HYPERLINK("https://klasma.github.io/Logging_0482/kartor/A 31972-2024 karta.png", "A 31972-2024")</f>
        <v/>
      </c>
      <c r="Y101">
        <f>HYPERLINK("https://klasma.github.io/Logging_0482/kartor_geotiff/A 31972-2024 georefererad karta.tif", "A 31972-2024")</f>
        <v/>
      </c>
      <c r="AA101">
        <f>HYPERLINK("https://klasma.github.io/Logging_0482/klagomål/A 31972-2024 FSC-klagomål.docx", "A 31972-2024")</f>
        <v/>
      </c>
      <c r="AB101">
        <f>HYPERLINK("https://klasma.github.io/Logging_0482/klagomålsmail/A 31972-2024 FSC-klagomål mail.docx", "A 31972-2024")</f>
        <v/>
      </c>
      <c r="AC101">
        <f>HYPERLINK("https://klasma.github.io/Logging_0482/tillsyn/A 31972-2024 tillsynsbegäran.docx", "A 31972-2024")</f>
        <v/>
      </c>
      <c r="AD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43008-2023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46257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Gullklöver</t>
        </is>
      </c>
      <c r="W102">
        <f>HYPERLINK("https://klasma.github.io/Logging_0482/artfynd/A 43008-2023 artfynd.xlsx", "A 43008-2023")</f>
        <v/>
      </c>
      <c r="X102">
        <f>HYPERLINK("https://klasma.github.io/Logging_0482/kartor/A 43008-2023 karta.png", "A 43008-2023")</f>
        <v/>
      </c>
      <c r="Y102">
        <f>HYPERLINK("https://klasma.github.io/Logging_0482/kartor_geotiff/A 43008-2023 georefererad karta.tif", "A 43008-2023")</f>
        <v/>
      </c>
      <c r="AA102">
        <f>HYPERLINK("https://klasma.github.io/Logging_0482/klagomål/A 43008-2023 FSC-klagomål.docx", "A 43008-2023")</f>
        <v/>
      </c>
      <c r="AB102">
        <f>HYPERLINK("https://klasma.github.io/Logging_0482/klagomålsmail/A 43008-2023 FSC-klagomål mail.docx", "A 43008-2023")</f>
        <v/>
      </c>
      <c r="AC102">
        <f>HYPERLINK("https://klasma.github.io/Logging_0482/tillsyn/A 43008-2023 tillsynsbegäran.docx", "A 43008-2023")</f>
        <v/>
      </c>
      <c r="AD102">
        <f>HYPERLINK("https://klasma.github.io/Logging_0482/tillsynsmail/A 43008-2023 tillsynsbegäran mail.docx", "A 43008-2023")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46257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46257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34721-2023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46257</v>
      </c>
      <c r="F105" t="inlineStr">
        <is>
          <t>SÖDERMANLANDS LÄN</t>
        </is>
      </c>
      <c r="G105" t="inlineStr">
        <is>
          <t>FLEN</t>
        </is>
      </c>
      <c r="I105" t="n">
        <v>4.1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34721-2023 artfynd.xlsx", "A 34721-2023")</f>
        <v/>
      </c>
      <c r="X105">
        <f>HYPERLINK("https://klasma.github.io/Logging_0482/kartor/A 34721-2023 karta.png", "A 34721-2023")</f>
        <v/>
      </c>
      <c r="Y105">
        <f>HYPERLINK("https://klasma.github.io/Logging_0482/kartor_geotiff/A 34721-2023 georefererad karta.tif", "A 34721-2023")</f>
        <v/>
      </c>
      <c r="AA105">
        <f>HYPERLINK("https://klasma.github.io/Logging_0482/klagomål/A 34721-2023 FSC-klagomål.docx", "A 34721-2023")</f>
        <v/>
      </c>
      <c r="AB105">
        <f>HYPERLINK("https://klasma.github.io/Logging_0482/klagomålsmail/A 34721-2023 FSC-klagomål mail.docx", "A 34721-2023")</f>
        <v/>
      </c>
      <c r="AC105">
        <f>HYPERLINK("https://klasma.github.io/Logging_0482/tillsyn/A 34721-2023 tillsynsbegäran.docx", "A 34721-2023")</f>
        <v/>
      </c>
      <c r="AD105">
        <f>HYPERLINK("https://klasma.github.io/Logging_0482/tillsynsmail/A 34721-2023 tillsynsbegäran mail.docx", "A 34721-2023")</f>
        <v/>
      </c>
    </row>
    <row r="106" ht="15" customHeight="1">
      <c r="A106" t="inlineStr">
        <is>
          <t>A 66230-2021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44518</v>
      </c>
      <c r="E106" s="1" t="n">
        <v>46257</v>
      </c>
      <c r="F106" t="inlineStr">
        <is>
          <t>SÖDERMANLANDS LÄN</t>
        </is>
      </c>
      <c r="G106" t="inlineStr">
        <is>
          <t>FLEN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66230-2021 artfynd.xlsx", "A 66230-2021")</f>
        <v/>
      </c>
      <c r="X106">
        <f>HYPERLINK("https://klasma.github.io/Logging_0482/kartor/A 66230-2021 karta.png", "A 66230-2021")</f>
        <v/>
      </c>
      <c r="Y106">
        <f>HYPERLINK("https://klasma.github.io/Logging_0482/kartor_geotiff/A 66230-2021 georefererad karta.tif", "A 66230-2021")</f>
        <v/>
      </c>
      <c r="AA106">
        <f>HYPERLINK("https://klasma.github.io/Logging_0482/klagomål/A 66230-2021 FSC-klagomål.docx", "A 66230-2021")</f>
        <v/>
      </c>
      <c r="AB106">
        <f>HYPERLINK("https://klasma.github.io/Logging_0482/klagomålsmail/A 66230-2021 FSC-klagomål mail.docx", "A 66230-2021")</f>
        <v/>
      </c>
      <c r="AC106">
        <f>HYPERLINK("https://klasma.github.io/Logging_0482/tillsyn/A 66230-2021 tillsynsbegäran.docx", "A 66230-2021")</f>
        <v/>
      </c>
      <c r="AD106">
        <f>HYPERLINK("https://klasma.github.io/Logging_0482/tillsynsmail/A 66230-2021 tillsynsbegäran mail.docx", "A 66230-2021")</f>
        <v/>
      </c>
    </row>
    <row r="107" ht="15" customHeight="1">
      <c r="A107" t="inlineStr">
        <is>
          <t>A 52563-2021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44463</v>
      </c>
      <c r="E107" s="1" t="n">
        <v>46257</v>
      </c>
      <c r="F107" t="inlineStr">
        <is>
          <t>SÖDERMANLANDS LÄN</t>
        </is>
      </c>
      <c r="G107" t="inlineStr">
        <is>
          <t>FLEN</t>
        </is>
      </c>
      <c r="I107" t="n">
        <v>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Gulsparv</t>
        </is>
      </c>
      <c r="W107">
        <f>HYPERLINK("https://klasma.github.io/Logging_0482/artfynd/A 52563-2021 artfynd.xlsx", "A 52563-2021")</f>
        <v/>
      </c>
      <c r="X107">
        <f>HYPERLINK("https://klasma.github.io/Logging_0482/kartor/A 52563-2021 karta.png", "A 52563-2021")</f>
        <v/>
      </c>
      <c r="Y107">
        <f>HYPERLINK("https://klasma.github.io/Logging_0482/kartor_geotiff/A 52563-2021 georefererad karta.tif", "A 52563-2021")</f>
        <v/>
      </c>
      <c r="AA107">
        <f>HYPERLINK("https://klasma.github.io/Logging_0482/klagomål/A 52563-2021 FSC-klagomål.docx", "A 52563-2021")</f>
        <v/>
      </c>
      <c r="AB107">
        <f>HYPERLINK("https://klasma.github.io/Logging_0482/klagomålsmail/A 52563-2021 FSC-klagomål mail.docx", "A 52563-2021")</f>
        <v/>
      </c>
      <c r="AC107">
        <f>HYPERLINK("https://klasma.github.io/Logging_0482/tillsyn/A 52563-2021 tillsynsbegäran.docx", "A 52563-2021")</f>
        <v/>
      </c>
      <c r="AD107">
        <f>HYPERLINK("https://klasma.github.io/Logging_0482/tillsynsmail/A 52563-2021 tillsynsbegäran mail.docx", "A 52563-2021")</f>
        <v/>
      </c>
      <c r="AE107">
        <f>HYPERLINK("https://klasma.github.io/Logging_0482/fåglar/A 52563-2021 prioriterade fågelarter.docx", "A 52563-2021")</f>
        <v/>
      </c>
    </row>
    <row r="108" ht="15" customHeight="1">
      <c r="A108" t="inlineStr">
        <is>
          <t>A 1242-2022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44572</v>
      </c>
      <c r="E108" s="1" t="n">
        <v>46257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9.300000000000001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1242-2022 artfynd.xlsx", "A 1242-2022")</f>
        <v/>
      </c>
      <c r="X108">
        <f>HYPERLINK("https://klasma.github.io/Logging_0482/kartor/A 1242-2022 karta.png", "A 1242-2022")</f>
        <v/>
      </c>
      <c r="Y108">
        <f>HYPERLINK("https://klasma.github.io/Logging_0482/kartor_geotiff/A 1242-2022 georefererad karta.tif", "A 1242-2022")</f>
        <v/>
      </c>
      <c r="AA108">
        <f>HYPERLINK("https://klasma.github.io/Logging_0482/klagomål/A 1242-2022 FSC-klagomål.docx", "A 1242-2022")</f>
        <v/>
      </c>
      <c r="AB108">
        <f>HYPERLINK("https://klasma.github.io/Logging_0482/klagomålsmail/A 1242-2022 FSC-klagomål mail.docx", "A 1242-2022")</f>
        <v/>
      </c>
      <c r="AC108">
        <f>HYPERLINK("https://klasma.github.io/Logging_0482/tillsyn/A 1242-2022 tillsynsbegäran.docx", "A 1242-2022")</f>
        <v/>
      </c>
      <c r="AD108">
        <f>HYPERLINK("https://klasma.github.io/Logging_0482/tillsynsmail/A 1242-2022 tillsynsbegäran mail.docx", "A 1242-2022")</f>
        <v/>
      </c>
    </row>
    <row r="109" ht="15" customHeight="1">
      <c r="A109" t="inlineStr">
        <is>
          <t>A 14101-2025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46257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1.3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HYPERLINK("https://klasma.github.io/Logging_0482/artfynd/A 14101-2025 artfynd.xlsx", "A 14101-2025")</f>
        <v/>
      </c>
      <c r="X109">
        <f>HYPERLINK("https://klasma.github.io/Logging_0482/kartor/A 14101-2025 karta.png", "A 14101-2025")</f>
        <v/>
      </c>
      <c r="Y109">
        <f>HYPERLINK("https://klasma.github.io/Logging_0482/kartor_geotiff/A 14101-2025 georefererad karta.tif", "A 14101-2025")</f>
        <v/>
      </c>
      <c r="AA109">
        <f>HYPERLINK("https://klasma.github.io/Logging_0482/klagomål/A 14101-2025 FSC-klagomål.docx", "A 14101-2025")</f>
        <v/>
      </c>
      <c r="AB109">
        <f>HYPERLINK("https://klasma.github.io/Logging_0482/klagomålsmail/A 14101-2025 FSC-klagomål mail.docx", "A 14101-2025")</f>
        <v/>
      </c>
      <c r="AC109">
        <f>HYPERLINK("https://klasma.github.io/Logging_0482/tillsyn/A 14101-2025 tillsynsbegäran.docx", "A 14101-2025")</f>
        <v/>
      </c>
      <c r="AD109">
        <f>HYPERLINK("https://klasma.github.io/Logging_0482/tillsynsmail/A 14101-2025 tillsynsbegäran mail.docx", "A 14101-2025")</f>
        <v/>
      </c>
    </row>
    <row r="110" ht="15" customHeight="1">
      <c r="A110" t="inlineStr">
        <is>
          <t>A 13858-2023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46257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Svedjenäva</t>
        </is>
      </c>
      <c r="W110">
        <f>HYPERLINK("https://klasma.github.io/Logging_0482/artfynd/A 13858-2023 artfynd.xlsx", "A 13858-2023")</f>
        <v/>
      </c>
      <c r="X110">
        <f>HYPERLINK("https://klasma.github.io/Logging_0482/kartor/A 13858-2023 karta.png", "A 13858-2023")</f>
        <v/>
      </c>
      <c r="Y110">
        <f>HYPERLINK("https://klasma.github.io/Logging_0482/kartor_geotiff/A 13858-2023 georefererad karta.tif", "A 13858-2023")</f>
        <v/>
      </c>
      <c r="AA110">
        <f>HYPERLINK("https://klasma.github.io/Logging_0482/klagomål/A 13858-2023 FSC-klagomål.docx", "A 13858-2023")</f>
        <v/>
      </c>
      <c r="AB110">
        <f>HYPERLINK("https://klasma.github.io/Logging_0482/klagomålsmail/A 13858-2023 FSC-klagomål mail.docx", "A 13858-2023")</f>
        <v/>
      </c>
      <c r="AC110">
        <f>HYPERLINK("https://klasma.github.io/Logging_0482/tillsyn/A 13858-2023 tillsynsbegäran.docx", "A 13858-2023")</f>
        <v/>
      </c>
      <c r="AD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37317-2023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45156</v>
      </c>
      <c r="E111" s="1" t="n">
        <v>46257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5.1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Svavelriska</t>
        </is>
      </c>
      <c r="W111">
        <f>HYPERLINK("https://klasma.github.io/Logging_0482/artfynd/A 37317-2023 artfynd.xlsx", "A 37317-2023")</f>
        <v/>
      </c>
      <c r="X111">
        <f>HYPERLINK("https://klasma.github.io/Logging_0482/kartor/A 37317-2023 karta.png", "A 37317-2023")</f>
        <v/>
      </c>
      <c r="Y111">
        <f>HYPERLINK("https://klasma.github.io/Logging_0482/kartor_geotiff/A 37317-2023 georefererad karta.tif", "A 37317-2023")</f>
        <v/>
      </c>
      <c r="AA111">
        <f>HYPERLINK("https://klasma.github.io/Logging_0482/klagomål/A 37317-2023 FSC-klagomål.docx", "A 37317-2023")</f>
        <v/>
      </c>
      <c r="AB111">
        <f>HYPERLINK("https://klasma.github.io/Logging_0482/klagomålsmail/A 37317-2023 FSC-klagomål mail.docx", "A 37317-2023")</f>
        <v/>
      </c>
      <c r="AC111">
        <f>HYPERLINK("https://klasma.github.io/Logging_0482/tillsyn/A 37317-2023 tillsynsbegäran.docx", "A 37317-2023")</f>
        <v/>
      </c>
      <c r="AD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60529-2024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46257</v>
      </c>
      <c r="F112" t="inlineStr">
        <is>
          <t>SÖDERMANLANDS LÄN</t>
        </is>
      </c>
      <c r="G112" t="inlineStr">
        <is>
          <t>FLEN</t>
        </is>
      </c>
      <c r="I112" t="n">
        <v>2.5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Skarp dropptaggsvamp</t>
        </is>
      </c>
      <c r="W112">
        <f>HYPERLINK("https://klasma.github.io/Logging_0482/artfynd/A 60529-2024 artfynd.xlsx", "A 60529-2024")</f>
        <v/>
      </c>
      <c r="X112">
        <f>HYPERLINK("https://klasma.github.io/Logging_0482/kartor/A 60529-2024 karta.png", "A 60529-2024")</f>
        <v/>
      </c>
      <c r="Y112">
        <f>HYPERLINK("https://klasma.github.io/Logging_0482/kartor_geotiff/A 60529-2024 georefererad karta.tif", "A 60529-2024")</f>
        <v/>
      </c>
      <c r="AA112">
        <f>HYPERLINK("https://klasma.github.io/Logging_0482/klagomål/A 60529-2024 FSC-klagomål.docx", "A 60529-2024")</f>
        <v/>
      </c>
      <c r="AB112">
        <f>HYPERLINK("https://klasma.github.io/Logging_0482/klagomålsmail/A 60529-2024 FSC-klagomål mail.docx", "A 60529-2024")</f>
        <v/>
      </c>
      <c r="AC112">
        <f>HYPERLINK("https://klasma.github.io/Logging_0482/tillsyn/A 60529-2024 tillsynsbegäran.docx", "A 60529-2024")</f>
        <v/>
      </c>
      <c r="AD112">
        <f>HYPERLINK("https://klasma.github.io/Logging_0482/tillsynsmail/A 60529-2024 tillsynsbegäran mail.docx", "A 60529-2024")</f>
        <v/>
      </c>
    </row>
    <row r="113" ht="15" customHeight="1">
      <c r="A113" t="inlineStr">
        <is>
          <t>A 53339-2023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46257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Blåsippa</t>
        </is>
      </c>
      <c r="W113">
        <f>HYPERLINK("https://klasma.github.io/Logging_0482/artfynd/A 53339-2023 artfynd.xlsx", "A 53339-2023")</f>
        <v/>
      </c>
      <c r="X113">
        <f>HYPERLINK("https://klasma.github.io/Logging_0482/kartor/A 53339-2023 karta.png", "A 53339-2023")</f>
        <v/>
      </c>
      <c r="Y113">
        <f>HYPERLINK("https://klasma.github.io/Logging_0482/kartor_geotiff/A 53339-2023 georefererad karta.tif", "A 53339-2023")</f>
        <v/>
      </c>
      <c r="AA113">
        <f>HYPERLINK("https://klasma.github.io/Logging_0482/klagomål/A 53339-2023 FSC-klagomål.docx", "A 53339-2023")</f>
        <v/>
      </c>
      <c r="AB113">
        <f>HYPERLINK("https://klasma.github.io/Logging_0482/klagomålsmail/A 53339-2023 FSC-klagomål mail.docx", "A 53339-2023")</f>
        <v/>
      </c>
      <c r="AC113">
        <f>HYPERLINK("https://klasma.github.io/Logging_0482/tillsyn/A 53339-2023 tillsynsbegäran.docx", "A 53339-2023")</f>
        <v/>
      </c>
      <c r="AD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46257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37283-2024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45540</v>
      </c>
      <c r="E115" s="1" t="n">
        <v>46257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37283-2024 artfynd.xlsx", "A 37283-2024")</f>
        <v/>
      </c>
      <c r="X115">
        <f>HYPERLINK("https://klasma.github.io/Logging_0482/kartor/A 37283-2024 karta.png", "A 37283-2024")</f>
        <v/>
      </c>
      <c r="Y115">
        <f>HYPERLINK("https://klasma.github.io/Logging_0482/kartor_geotiff/A 37283-2024 georefererad karta.tif", "A 37283-2024")</f>
        <v/>
      </c>
      <c r="AA115">
        <f>HYPERLINK("https://klasma.github.io/Logging_0482/klagomål/A 37283-2024 FSC-klagomål.docx", "A 37283-2024")</f>
        <v/>
      </c>
      <c r="AB115">
        <f>HYPERLINK("https://klasma.github.io/Logging_0482/klagomålsmail/A 37283-2024 FSC-klagomål mail.docx", "A 37283-2024")</f>
        <v/>
      </c>
      <c r="AC115">
        <f>HYPERLINK("https://klasma.github.io/Logging_0482/tillsyn/A 37283-2024 tillsynsbegäran.docx", "A 37283-2024")</f>
        <v/>
      </c>
      <c r="AD115">
        <f>HYPERLINK("https://klasma.github.io/Logging_0482/tillsynsmail/A 37283-2024 tillsynsbegäran mail.docx", "A 37283-2024")</f>
        <v/>
      </c>
    </row>
    <row r="116" ht="15" customHeight="1">
      <c r="A116" t="inlineStr">
        <is>
          <t>A 7525-2024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45348</v>
      </c>
      <c r="E116" s="1" t="n">
        <v>46257</v>
      </c>
      <c r="F116" t="inlineStr">
        <is>
          <t>SÖDERMANLANDS LÄN</t>
        </is>
      </c>
      <c r="G116" t="inlineStr">
        <is>
          <t>FLEN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Vanlig backsmörblomma</t>
        </is>
      </c>
      <c r="W116">
        <f>HYPERLINK("https://klasma.github.io/Logging_0482/artfynd/A 7525-2024 artfynd.xlsx", "A 7525-2024")</f>
        <v/>
      </c>
      <c r="X116">
        <f>HYPERLINK("https://klasma.github.io/Logging_0482/kartor/A 7525-2024 karta.png", "A 7525-2024")</f>
        <v/>
      </c>
      <c r="Y116">
        <f>HYPERLINK("https://klasma.github.io/Logging_0482/kartor_geotiff/A 7525-2024 georefererad karta.tif", "A 7525-2024")</f>
        <v/>
      </c>
      <c r="AA116">
        <f>HYPERLINK("https://klasma.github.io/Logging_0482/klagomål/A 7525-2024 FSC-klagomål.docx", "A 7525-2024")</f>
        <v/>
      </c>
      <c r="AB116">
        <f>HYPERLINK("https://klasma.github.io/Logging_0482/klagomålsmail/A 7525-2024 FSC-klagomål mail.docx", "A 7525-2024")</f>
        <v/>
      </c>
      <c r="AC116">
        <f>HYPERLINK("https://klasma.github.io/Logging_0482/tillsyn/A 7525-2024 tillsynsbegäran.docx", "A 7525-2024")</f>
        <v/>
      </c>
      <c r="AD116">
        <f>HYPERLINK("https://klasma.github.io/Logging_0482/tillsynsmail/A 7525-2024 tillsynsbegäran mail.docx", "A 7525-2024")</f>
        <v/>
      </c>
    </row>
    <row r="117" ht="15" customHeight="1">
      <c r="A117" t="inlineStr">
        <is>
          <t>A 31427-2022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46257</v>
      </c>
      <c r="F117" t="inlineStr">
        <is>
          <t>SÖDERMANLANDS LÄN</t>
        </is>
      </c>
      <c r="G117" t="inlineStr">
        <is>
          <t>FLEN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Älg</t>
        </is>
      </c>
      <c r="W117">
        <f>HYPERLINK("https://klasma.github.io/Logging_0482/artfynd/A 31427-2022 artfynd.xlsx", "A 31427-2022")</f>
        <v/>
      </c>
      <c r="X117">
        <f>HYPERLINK("https://klasma.github.io/Logging_0482/kartor/A 31427-2022 karta.png", "A 31427-2022")</f>
        <v/>
      </c>
      <c r="Y117">
        <f>HYPERLINK("https://klasma.github.io/Logging_0482/kartor_geotiff/A 31427-2022 georefererad karta.tif", "A 31427-2022")</f>
        <v/>
      </c>
      <c r="AA117">
        <f>HYPERLINK("https://klasma.github.io/Logging_0482/klagomål/A 31427-2022 FSC-klagomål.docx", "A 31427-2022")</f>
        <v/>
      </c>
      <c r="AB117">
        <f>HYPERLINK("https://klasma.github.io/Logging_0482/klagomålsmail/A 31427-2022 FSC-klagomål mail.docx", "A 31427-2022")</f>
        <v/>
      </c>
      <c r="AC117">
        <f>HYPERLINK("https://klasma.github.io/Logging_0482/tillsyn/A 31427-2022 tillsynsbegäran.docx", "A 31427-2022")</f>
        <v/>
      </c>
      <c r="AD117">
        <f>HYPERLINK("https://klasma.github.io/Logging_0482/tillsynsmail/A 31427-2022 tillsynsbegäran mail.docx", "A 31427-2022")</f>
        <v/>
      </c>
    </row>
    <row r="118" ht="15" customHeight="1">
      <c r="A118" t="inlineStr">
        <is>
          <t>A 14113-2025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46257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3.6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14113-2025 artfynd.xlsx", "A 14113-2025")</f>
        <v/>
      </c>
      <c r="X118">
        <f>HYPERLINK("https://klasma.github.io/Logging_0482/kartor/A 14113-2025 karta.png", "A 14113-2025")</f>
        <v/>
      </c>
      <c r="Y118">
        <f>HYPERLINK("https://klasma.github.io/Logging_0482/kartor_geotiff/A 14113-2025 georefererad karta.tif", "A 14113-2025")</f>
        <v/>
      </c>
      <c r="AA118">
        <f>HYPERLINK("https://klasma.github.io/Logging_0482/klagomål/A 14113-2025 FSC-klagomål.docx", "A 14113-2025")</f>
        <v/>
      </c>
      <c r="AB118">
        <f>HYPERLINK("https://klasma.github.io/Logging_0482/klagomålsmail/A 14113-2025 FSC-klagomål mail.docx", "A 14113-2025")</f>
        <v/>
      </c>
      <c r="AC118">
        <f>HYPERLINK("https://klasma.github.io/Logging_0482/tillsyn/A 14113-2025 tillsynsbegäran.docx", "A 14113-2025")</f>
        <v/>
      </c>
      <c r="AD118">
        <f>HYPERLINK("https://klasma.github.io/Logging_0482/tillsynsmail/A 14113-2025 tillsynsbegäran mail.docx", "A 14113-2025")</f>
        <v/>
      </c>
    </row>
    <row r="119" ht="15" customHeight="1">
      <c r="A119" t="inlineStr">
        <is>
          <t>A 52546-2021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46257</v>
      </c>
      <c r="F119" t="inlineStr">
        <is>
          <t>SÖDERMANLANDS LÄN</t>
        </is>
      </c>
      <c r="G119" t="inlineStr">
        <is>
          <t>FLEN</t>
        </is>
      </c>
      <c r="I119" t="n">
        <v>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Mindre bastardsvärmare</t>
        </is>
      </c>
      <c r="W119">
        <f>HYPERLINK("https://klasma.github.io/Logging_0482/artfynd/A 52546-2021 artfynd.xlsx", "A 52546-2021")</f>
        <v/>
      </c>
      <c r="X119">
        <f>HYPERLINK("https://klasma.github.io/Logging_0482/kartor/A 52546-2021 karta.png", "A 52546-2021")</f>
        <v/>
      </c>
      <c r="Y119">
        <f>HYPERLINK("https://klasma.github.io/Logging_0482/kartor_geotiff/A 52546-2021 georefererad karta.tif", "A 52546-2021")</f>
        <v/>
      </c>
      <c r="AA119">
        <f>HYPERLINK("https://klasma.github.io/Logging_0482/klagomål/A 52546-2021 FSC-klagomål.docx", "A 52546-2021")</f>
        <v/>
      </c>
      <c r="AB119">
        <f>HYPERLINK("https://klasma.github.io/Logging_0482/klagomålsmail/A 52546-2021 FSC-klagomål mail.docx", "A 52546-2021")</f>
        <v/>
      </c>
      <c r="AC119">
        <f>HYPERLINK("https://klasma.github.io/Logging_0482/tillsyn/A 52546-2021 tillsynsbegäran.docx", "A 52546-2021")</f>
        <v/>
      </c>
      <c r="AD119">
        <f>HYPERLINK("https://klasma.github.io/Logging_0482/tillsynsmail/A 52546-2021 tillsynsbegäran mail.docx", "A 52546-2021")</f>
        <v/>
      </c>
    </row>
    <row r="120" ht="15" customHeight="1">
      <c r="A120" t="inlineStr">
        <is>
          <t>A 45120-2021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46257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45120-2021 artfynd.xlsx", "A 45120-2021")</f>
        <v/>
      </c>
      <c r="X120">
        <f>HYPERLINK("https://klasma.github.io/Logging_0482/kartor/A 45120-2021 karta.png", "A 45120-2021")</f>
        <v/>
      </c>
      <c r="Y120">
        <f>HYPERLINK("https://klasma.github.io/Logging_0482/kartor_geotiff/A 45120-2021 georefererad karta.tif", "A 45120-2021")</f>
        <v/>
      </c>
      <c r="AA120">
        <f>HYPERLINK("https://klasma.github.io/Logging_0482/klagomål/A 45120-2021 FSC-klagomål.docx", "A 45120-2021")</f>
        <v/>
      </c>
      <c r="AB120">
        <f>HYPERLINK("https://klasma.github.io/Logging_0482/klagomålsmail/A 45120-2021 FSC-klagomål mail.docx", "A 45120-2021")</f>
        <v/>
      </c>
      <c r="AC120">
        <f>HYPERLINK("https://klasma.github.io/Logging_0482/tillsyn/A 45120-2021 tillsynsbegäran.docx", "A 45120-2021")</f>
        <v/>
      </c>
      <c r="AD120">
        <f>HYPERLINK("https://klasma.github.io/Logging_0482/tillsynsmail/A 45120-2021 tillsynsbegäran mail.docx", "A 45120-2021")</f>
        <v/>
      </c>
    </row>
    <row r="121" ht="15" customHeight="1">
      <c r="A121" t="inlineStr">
        <is>
          <t>A 46987-2024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46257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Svinrot</t>
        </is>
      </c>
      <c r="W121">
        <f>HYPERLINK("https://klasma.github.io/Logging_0482/artfynd/A 46987-2024 artfynd.xlsx", "A 46987-2024")</f>
        <v/>
      </c>
      <c r="X121">
        <f>HYPERLINK("https://klasma.github.io/Logging_0482/kartor/A 46987-2024 karta.png", "A 46987-2024")</f>
        <v/>
      </c>
      <c r="Y121">
        <f>HYPERLINK("https://klasma.github.io/Logging_0482/kartor_geotiff/A 46987-2024 georefererad karta.tif", "A 46987-2024")</f>
        <v/>
      </c>
      <c r="AA121">
        <f>HYPERLINK("https://klasma.github.io/Logging_0482/klagomål/A 46987-2024 FSC-klagomål.docx", "A 46987-2024")</f>
        <v/>
      </c>
      <c r="AB121">
        <f>HYPERLINK("https://klasma.github.io/Logging_0482/klagomålsmail/A 46987-2024 FSC-klagomål mail.docx", "A 46987-2024")</f>
        <v/>
      </c>
      <c r="AC121">
        <f>HYPERLINK("https://klasma.github.io/Logging_0482/tillsyn/A 46987-2024 tillsynsbegäran.docx", "A 46987-2024")</f>
        <v/>
      </c>
      <c r="AD121">
        <f>HYPERLINK("https://klasma.github.io/Logging_0482/tillsynsmail/A 46987-2024 tillsynsbegäran mail.docx", "A 46987-2024")</f>
        <v/>
      </c>
    </row>
    <row r="122" ht="15" customHeight="1">
      <c r="A122" t="inlineStr">
        <is>
          <t>A 10770-2022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46257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Svinrot</t>
        </is>
      </c>
      <c r="W122">
        <f>HYPERLINK("https://klasma.github.io/Logging_0482/artfynd/A 10770-2022 artfynd.xlsx", "A 10770-2022")</f>
        <v/>
      </c>
      <c r="X122">
        <f>HYPERLINK("https://klasma.github.io/Logging_0482/kartor/A 10770-2022 karta.png", "A 10770-2022")</f>
        <v/>
      </c>
      <c r="Y122">
        <f>HYPERLINK("https://klasma.github.io/Logging_0482/kartor_geotiff/A 10770-2022 georefererad karta.tif", "A 10770-2022")</f>
        <v/>
      </c>
      <c r="AA122">
        <f>HYPERLINK("https://klasma.github.io/Logging_0482/klagomål/A 10770-2022 FSC-klagomål.docx", "A 10770-2022")</f>
        <v/>
      </c>
      <c r="AB122">
        <f>HYPERLINK("https://klasma.github.io/Logging_0482/klagomålsmail/A 10770-2022 FSC-klagomål mail.docx", "A 10770-2022")</f>
        <v/>
      </c>
      <c r="AC122">
        <f>HYPERLINK("https://klasma.github.io/Logging_0482/tillsyn/A 10770-2022 tillsynsbegäran.docx", "A 10770-2022")</f>
        <v/>
      </c>
      <c r="AD122">
        <f>HYPERLINK("https://klasma.github.io/Logging_0482/tillsynsmail/A 10770-2022 tillsynsbegäran mail.docx", "A 10770-2022")</f>
        <v/>
      </c>
    </row>
    <row r="123" ht="15" customHeight="1">
      <c r="A123" t="inlineStr">
        <is>
          <t>A 39036-2023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46257</v>
      </c>
      <c r="F123" t="inlineStr">
        <is>
          <t>SÖDERMANLANDS LÄN</t>
        </is>
      </c>
      <c r="G123" t="inlineStr">
        <is>
          <t>FLEN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HYPERLINK("https://klasma.github.io/Logging_0482/artfynd/A 39036-2023 artfynd.xlsx", "A 39036-2023")</f>
        <v/>
      </c>
      <c r="X123">
        <f>HYPERLINK("https://klasma.github.io/Logging_0482/kartor/A 39036-2023 karta.png", "A 39036-2023")</f>
        <v/>
      </c>
      <c r="Y123">
        <f>HYPERLINK("https://klasma.github.io/Logging_0482/kartor_geotiff/A 39036-2023 georefererad karta.tif", "A 39036-2023")</f>
        <v/>
      </c>
      <c r="AA123">
        <f>HYPERLINK("https://klasma.github.io/Logging_0482/klagomål/A 39036-2023 FSC-klagomål.docx", "A 39036-2023")</f>
        <v/>
      </c>
      <c r="AB123">
        <f>HYPERLINK("https://klasma.github.io/Logging_0482/klagomålsmail/A 39036-2023 FSC-klagomål mail.docx", "A 39036-2023")</f>
        <v/>
      </c>
      <c r="AC123">
        <f>HYPERLINK("https://klasma.github.io/Logging_0482/tillsyn/A 39036-2023 tillsynsbegäran.docx", "A 39036-2023")</f>
        <v/>
      </c>
      <c r="AD123">
        <f>HYPERLINK("https://klasma.github.io/Logging_0482/tillsynsmail/A 39036-2023 tillsynsbegäran mail.docx", "A 39036-2023")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46257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46257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2036-2026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46257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HYPERLINK("https://klasma.github.io/Logging_0482/artfynd/A 2036-2026 artfynd.xlsx", "A 2036-2026")</f>
        <v/>
      </c>
      <c r="X126">
        <f>HYPERLINK("https://klasma.github.io/Logging_0482/kartor/A 2036-2026 karta.png", "A 2036-2026")</f>
        <v/>
      </c>
      <c r="Y126">
        <f>HYPERLINK("https://klasma.github.io/Logging_0482/kartor_geotiff/A 2036-2026 georefererad karta.tif", "A 2036-2026")</f>
        <v/>
      </c>
      <c r="Z126">
        <f>HYPERLINK("https://klasma.github.io/Logging_0482/knärot/A 2036-2026 karta knärot.png", "A 2036-2026")</f>
        <v/>
      </c>
      <c r="AA126">
        <f>HYPERLINK("https://klasma.github.io/Logging_0482/klagomål/A 2036-2026 FSC-klagomål.docx", "A 2036-2026")</f>
        <v/>
      </c>
      <c r="AB126">
        <f>HYPERLINK("https://klasma.github.io/Logging_0482/klagomålsmail/A 2036-2026 FSC-klagomål mail.docx", "A 2036-2026")</f>
        <v/>
      </c>
      <c r="AC126">
        <f>HYPERLINK("https://klasma.github.io/Logging_0482/tillsyn/A 2036-2026 tillsynsbegäran.docx", "A 2036-2026")</f>
        <v/>
      </c>
      <c r="AD126">
        <f>HYPERLINK("https://klasma.github.io/Logging_0482/tillsynsmail/A 2036-2026 tillsynsbegäran mail.docx", "A 2036-2026")</f>
        <v/>
      </c>
    </row>
    <row r="127" ht="15" customHeight="1">
      <c r="A127" t="inlineStr">
        <is>
          <t>A 60591-2022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46257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HYPERLINK("https://klasma.github.io/Logging_0482/artfynd/A 60591-2022 artfynd.xlsx", "A 60591-2022")</f>
        <v/>
      </c>
      <c r="X127">
        <f>HYPERLINK("https://klasma.github.io/Logging_0482/kartor/A 60591-2022 karta.png", "A 60591-2022")</f>
        <v/>
      </c>
      <c r="Y127">
        <f>HYPERLINK("https://klasma.github.io/Logging_0482/kartor_geotiff/A 60591-2022 georefererad karta.tif", "A 60591-2022")</f>
        <v/>
      </c>
      <c r="AA127">
        <f>HYPERLINK("https://klasma.github.io/Logging_0482/klagomål/A 60591-2022 FSC-klagomål.docx", "A 60591-2022")</f>
        <v/>
      </c>
      <c r="AB127">
        <f>HYPERLINK("https://klasma.github.io/Logging_0482/klagomålsmail/A 60591-2022 FSC-klagomål mail.docx", "A 60591-2022")</f>
        <v/>
      </c>
      <c r="AC127">
        <f>HYPERLINK("https://klasma.github.io/Logging_0482/tillsyn/A 60591-2022 tillsynsbegäran.docx", "A 60591-2022")</f>
        <v/>
      </c>
      <c r="AD127">
        <f>HYPERLINK("https://klasma.github.io/Logging_0482/tillsynsmail/A 60591-2022 tillsynsbegäran mail.docx", "A 60591-2022")</f>
        <v/>
      </c>
    </row>
    <row r="128" ht="15" customHeight="1">
      <c r="A128" t="inlineStr">
        <is>
          <t>A 4259-2023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46257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4259-2023 artfynd.xlsx", "A 4259-2023")</f>
        <v/>
      </c>
      <c r="X128">
        <f>HYPERLINK("https://klasma.github.io/Logging_0482/kartor/A 4259-2023 karta.png", "A 4259-2023")</f>
        <v/>
      </c>
      <c r="Y128">
        <f>HYPERLINK("https://klasma.github.io/Logging_0482/kartor_geotiff/A 4259-2023 georefererad karta.tif", "A 4259-2023")</f>
        <v/>
      </c>
      <c r="AA128">
        <f>HYPERLINK("https://klasma.github.io/Logging_0482/klagomål/A 4259-2023 FSC-klagomål.docx", "A 4259-2023")</f>
        <v/>
      </c>
      <c r="AB128">
        <f>HYPERLINK("https://klasma.github.io/Logging_0482/klagomålsmail/A 4259-2023 FSC-klagomål mail.docx", "A 4259-2023")</f>
        <v/>
      </c>
      <c r="AC128">
        <f>HYPERLINK("https://klasma.github.io/Logging_0482/tillsyn/A 4259-2023 tillsynsbegäran.docx", "A 4259-2023")</f>
        <v/>
      </c>
      <c r="AD128">
        <f>HYPERLINK("https://klasma.github.io/Logging_0482/tillsynsmail/A 4259-2023 tillsynsbegäran mail.docx", "A 4259-2023")</f>
        <v/>
      </c>
    </row>
    <row r="129" ht="15" customHeight="1">
      <c r="A129" t="inlineStr">
        <is>
          <t>A 24179-2026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46257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24179-2026 artfynd.xlsx", "A 24179-2026")</f>
        <v/>
      </c>
      <c r="X129">
        <f>HYPERLINK("https://klasma.github.io/Logging_0482/kartor/A 24179-2026 karta.png", "A 24179-2026")</f>
        <v/>
      </c>
      <c r="Y129">
        <f>HYPERLINK("https://klasma.github.io/Logging_0482/kartor_geotiff/A 24179-2026 georefererad karta.tif", "A 24179-2026")</f>
        <v/>
      </c>
      <c r="AA129">
        <f>HYPERLINK("https://klasma.github.io/Logging_0482/klagomål/A 24179-2026 FSC-klagomål.docx", "A 24179-2026")</f>
        <v/>
      </c>
      <c r="AB129">
        <f>HYPERLINK("https://klasma.github.io/Logging_0482/klagomålsmail/A 24179-2026 FSC-klagomål mail.docx", "A 24179-2026")</f>
        <v/>
      </c>
      <c r="AC129">
        <f>HYPERLINK("https://klasma.github.io/Logging_0482/tillsyn/A 24179-2026 tillsynsbegäran.docx", "A 24179-2026")</f>
        <v/>
      </c>
      <c r="AD129">
        <f>HYPERLINK("https://klasma.github.io/Logging_0482/tillsynsmail/A 24179-2026 tillsynsbegäran mail.docx", "A 24179-2026")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46257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46257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46257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9446-2026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46257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9446-2026 artfynd.xlsx", "A 9446-2026")</f>
        <v/>
      </c>
      <c r="X133">
        <f>HYPERLINK("https://klasma.github.io/Logging_0482/kartor/A 9446-2026 karta.png", "A 9446-2026")</f>
        <v/>
      </c>
      <c r="Y133">
        <f>HYPERLINK("https://klasma.github.io/Logging_0482/kartor_geotiff/A 9446-2026 georefererad karta.tif", "A 9446-2026")</f>
        <v/>
      </c>
      <c r="AA133">
        <f>HYPERLINK("https://klasma.github.io/Logging_0482/klagomål/A 9446-2026 FSC-klagomål.docx", "A 9446-2026")</f>
        <v/>
      </c>
      <c r="AB133">
        <f>HYPERLINK("https://klasma.github.io/Logging_0482/klagomålsmail/A 9446-2026 FSC-klagomål mail.docx", "A 9446-2026")</f>
        <v/>
      </c>
      <c r="AC133">
        <f>HYPERLINK("https://klasma.github.io/Logging_0482/tillsyn/A 9446-2026 tillsynsbegäran.docx", "A 9446-2026")</f>
        <v/>
      </c>
      <c r="AD133">
        <f>HYPERLINK("https://klasma.github.io/Logging_0482/tillsynsmail/A 9446-2026 tillsynsbegäran mail.docx", "A 9446-2026")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46257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10999-2026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46257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10999-2026 artfynd.xlsx", "A 10999-2026")</f>
        <v/>
      </c>
      <c r="X135">
        <f>HYPERLINK("https://klasma.github.io/Logging_0482/kartor/A 10999-2026 karta.png", "A 10999-2026")</f>
        <v/>
      </c>
      <c r="Y135">
        <f>HYPERLINK("https://klasma.github.io/Logging_0482/kartor_geotiff/A 10999-2026 georefererad karta.tif", "A 10999-2026")</f>
        <v/>
      </c>
      <c r="AA135">
        <f>HYPERLINK("https://klasma.github.io/Logging_0482/klagomål/A 10999-2026 FSC-klagomål.docx", "A 10999-2026")</f>
        <v/>
      </c>
      <c r="AB135">
        <f>HYPERLINK("https://klasma.github.io/Logging_0482/klagomålsmail/A 10999-2026 FSC-klagomål mail.docx", "A 10999-2026")</f>
        <v/>
      </c>
      <c r="AC135">
        <f>HYPERLINK("https://klasma.github.io/Logging_0482/tillsyn/A 10999-2026 tillsynsbegäran.docx", "A 10999-2026")</f>
        <v/>
      </c>
      <c r="AD135">
        <f>HYPERLINK("https://klasma.github.io/Logging_0482/tillsynsmail/A 10999-2026 tillsynsbegäran mail.docx", "A 10999-2026")</f>
        <v/>
      </c>
    </row>
    <row r="136" ht="15" customHeight="1">
      <c r="A136" t="inlineStr">
        <is>
          <t>A 26052-2026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46257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HYPERLINK("https://klasma.github.io/Logging_0482/artfynd/A 26052-2026 artfynd.xlsx", "A 26052-2026")</f>
        <v/>
      </c>
      <c r="X136">
        <f>HYPERLINK("https://klasma.github.io/Logging_0482/kartor/A 26052-2026 karta.png", "A 26052-2026")</f>
        <v/>
      </c>
      <c r="Y136">
        <f>HYPERLINK("https://klasma.github.io/Logging_0482/kartor_geotiff/A 26052-2026 georefererad karta.tif", "A 26052-2026")</f>
        <v/>
      </c>
      <c r="AA136">
        <f>HYPERLINK("https://klasma.github.io/Logging_0482/klagomål/A 26052-2026 FSC-klagomål.docx", "A 26052-2026")</f>
        <v/>
      </c>
      <c r="AB136">
        <f>HYPERLINK("https://klasma.github.io/Logging_0482/klagomålsmail/A 26052-2026 FSC-klagomål mail.docx", "A 26052-2026")</f>
        <v/>
      </c>
      <c r="AC136">
        <f>HYPERLINK("https://klasma.github.io/Logging_0482/tillsyn/A 26052-2026 tillsynsbegäran.docx", "A 26052-2026")</f>
        <v/>
      </c>
      <c r="AD136">
        <f>HYPERLINK("https://klasma.github.io/Logging_0482/tillsynsmail/A 26052-2026 tillsynsbegäran mail.docx", "A 26052-2026")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46257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50202-2022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46257</v>
      </c>
      <c r="F138" t="inlineStr">
        <is>
          <t>SÖDERMANLANDS LÄN</t>
        </is>
      </c>
      <c r="G138" t="inlineStr">
        <is>
          <t>FLEN</t>
        </is>
      </c>
      <c r="H138" t="inlineStr">
        <is>
          <t>Kyrkan</t>
        </is>
      </c>
      <c r="I138" t="n">
        <v>5.8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50202-2022 artfynd.xlsx", "A 50202-2022")</f>
        <v/>
      </c>
      <c r="X138">
        <f>HYPERLINK("https://klasma.github.io/Logging_0482/kartor/A 50202-2022 karta.png", "A 50202-2022")</f>
        <v/>
      </c>
      <c r="Y138">
        <f>HYPERLINK("https://klasma.github.io/Logging_0482/kartor_geotiff/A 50202-2022 georefererad karta.tif", "A 50202-2022")</f>
        <v/>
      </c>
      <c r="AA138">
        <f>HYPERLINK("https://klasma.github.io/Logging_0482/klagomål/A 50202-2022 FSC-klagomål.docx", "A 50202-2022")</f>
        <v/>
      </c>
      <c r="AB138">
        <f>HYPERLINK("https://klasma.github.io/Logging_0482/klagomålsmail/A 50202-2022 FSC-klagomål mail.docx", "A 50202-2022")</f>
        <v/>
      </c>
      <c r="AC138">
        <f>HYPERLINK("https://klasma.github.io/Logging_0482/tillsyn/A 50202-2022 tillsynsbegäran.docx", "A 50202-2022")</f>
        <v/>
      </c>
      <c r="AD138">
        <f>HYPERLINK("https://klasma.github.io/Logging_0482/tillsynsmail/A 50202-2022 tillsynsbegäran mail.docx", "A 50202-2022")</f>
        <v/>
      </c>
    </row>
    <row r="139" ht="15" customHeight="1">
      <c r="A139" t="inlineStr">
        <is>
          <t>A 7973-2024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46257</v>
      </c>
      <c r="F139" t="inlineStr">
        <is>
          <t>SÖDERMANLANDS LÄN</t>
        </is>
      </c>
      <c r="G139" t="inlineStr">
        <is>
          <t>FLEN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Vippärt</t>
        </is>
      </c>
      <c r="W139">
        <f>HYPERLINK("https://klasma.github.io/Logging_0482/artfynd/A 7973-2024 artfynd.xlsx", "A 7973-2024")</f>
        <v/>
      </c>
      <c r="X139">
        <f>HYPERLINK("https://klasma.github.io/Logging_0482/kartor/A 7973-2024 karta.png", "A 7973-2024")</f>
        <v/>
      </c>
      <c r="Y139">
        <f>HYPERLINK("https://klasma.github.io/Logging_0482/kartor_geotiff/A 7973-2024 georefererad karta.tif", "A 7973-2024")</f>
        <v/>
      </c>
      <c r="AA139">
        <f>HYPERLINK("https://klasma.github.io/Logging_0482/klagomål/A 7973-2024 FSC-klagomål.docx", "A 7973-2024")</f>
        <v/>
      </c>
      <c r="AB139">
        <f>HYPERLINK("https://klasma.github.io/Logging_0482/klagomålsmail/A 7973-2024 FSC-klagomål mail.docx", "A 7973-2024")</f>
        <v/>
      </c>
      <c r="AC139">
        <f>HYPERLINK("https://klasma.github.io/Logging_0482/tillsyn/A 7973-2024 tillsynsbegäran.docx", "A 7973-2024")</f>
        <v/>
      </c>
      <c r="AD139">
        <f>HYPERLINK("https://klasma.github.io/Logging_0482/tillsynsmail/A 7973-2024 tillsynsbegäran mail.docx", "A 7973-2024")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46257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47756-2022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44854</v>
      </c>
      <c r="E141" s="1" t="n">
        <v>46257</v>
      </c>
      <c r="F141" t="inlineStr">
        <is>
          <t>SÖDERMANLANDS LÄN</t>
        </is>
      </c>
      <c r="G141" t="inlineStr">
        <is>
          <t>FLEN</t>
        </is>
      </c>
      <c r="I141" t="n">
        <v>2.4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47756-2022 artfynd.xlsx", "A 47756-2022")</f>
        <v/>
      </c>
      <c r="X141">
        <f>HYPERLINK("https://klasma.github.io/Logging_0482/kartor/A 47756-2022 karta.png", "A 47756-2022")</f>
        <v/>
      </c>
      <c r="Y141">
        <f>HYPERLINK("https://klasma.github.io/Logging_0482/kartor_geotiff/A 47756-2022 georefererad karta.tif", "A 47756-2022")</f>
        <v/>
      </c>
      <c r="AA141">
        <f>HYPERLINK("https://klasma.github.io/Logging_0482/klagomål/A 47756-2022 FSC-klagomål.docx", "A 47756-2022")</f>
        <v/>
      </c>
      <c r="AB141">
        <f>HYPERLINK("https://klasma.github.io/Logging_0482/klagomålsmail/A 47756-2022 FSC-klagomål mail.docx", "A 47756-2022")</f>
        <v/>
      </c>
      <c r="AC141">
        <f>HYPERLINK("https://klasma.github.io/Logging_0482/tillsyn/A 47756-2022 tillsynsbegäran.docx", "A 47756-2022")</f>
        <v/>
      </c>
      <c r="AD141">
        <f>HYPERLINK("https://klasma.github.io/Logging_0482/tillsynsmail/A 47756-2022 tillsynsbegäran mail.docx", "A 47756-2022")</f>
        <v/>
      </c>
    </row>
    <row r="142" ht="15" customHeight="1">
      <c r="A142" t="inlineStr">
        <is>
          <t>A 62535-2021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46257</v>
      </c>
      <c r="F142" t="inlineStr">
        <is>
          <t>SÖDERMANLANDS LÄN</t>
        </is>
      </c>
      <c r="G142" t="inlineStr">
        <is>
          <t>FLEN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HYPERLINK("https://klasma.github.io/Logging_0482/artfynd/A 62535-2021 artfynd.xlsx", "A 62535-2021")</f>
        <v/>
      </c>
      <c r="X142">
        <f>HYPERLINK("https://klasma.github.io/Logging_0482/kartor/A 62535-2021 karta.png", "A 62535-2021")</f>
        <v/>
      </c>
      <c r="Y142">
        <f>HYPERLINK("https://klasma.github.io/Logging_0482/kartor_geotiff/A 62535-2021 georefererad karta.tif", "A 62535-2021")</f>
        <v/>
      </c>
      <c r="AA142">
        <f>HYPERLINK("https://klasma.github.io/Logging_0482/klagomål/A 62535-2021 FSC-klagomål.docx", "A 62535-2021")</f>
        <v/>
      </c>
      <c r="AB142">
        <f>HYPERLINK("https://klasma.github.io/Logging_0482/klagomålsmail/A 62535-2021 FSC-klagomål mail.docx", "A 62535-2021")</f>
        <v/>
      </c>
      <c r="AC142">
        <f>HYPERLINK("https://klasma.github.io/Logging_0482/tillsyn/A 62535-2021 tillsynsbegäran.docx", "A 62535-2021")</f>
        <v/>
      </c>
      <c r="AD142">
        <f>HYPERLINK("https://klasma.github.io/Logging_0482/tillsynsmail/A 62535-2021 tillsynsbegäran mail.docx", "A 62535-2021")</f>
        <v/>
      </c>
    </row>
    <row r="143" ht="15" customHeight="1">
      <c r="A143" t="inlineStr">
        <is>
          <t>A 14273-2025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46257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Vedskivlav</t>
        </is>
      </c>
      <c r="W143">
        <f>HYPERLINK("https://klasma.github.io/Logging_0482/artfynd/A 14273-2025 artfynd.xlsx", "A 14273-2025")</f>
        <v/>
      </c>
      <c r="X143">
        <f>HYPERLINK("https://klasma.github.io/Logging_0482/kartor/A 14273-2025 karta.png", "A 14273-2025")</f>
        <v/>
      </c>
      <c r="Y143">
        <f>HYPERLINK("https://klasma.github.io/Logging_0482/kartor_geotiff/A 14273-2025 georefererad karta.tif", "A 14273-2025")</f>
        <v/>
      </c>
      <c r="AA143">
        <f>HYPERLINK("https://klasma.github.io/Logging_0482/klagomål/A 14273-2025 FSC-klagomål.docx", "A 14273-2025")</f>
        <v/>
      </c>
      <c r="AB143">
        <f>HYPERLINK("https://klasma.github.io/Logging_0482/klagomålsmail/A 14273-2025 FSC-klagomål mail.docx", "A 14273-2025")</f>
        <v/>
      </c>
      <c r="AC143">
        <f>HYPERLINK("https://klasma.github.io/Logging_0482/tillsyn/A 14273-2025 tillsynsbegäran.docx", "A 14273-2025")</f>
        <v/>
      </c>
      <c r="AD143">
        <f>HYPERLINK("https://klasma.github.io/Logging_0482/tillsynsmail/A 14273-2025 tillsynsbegäran mail.docx", "A 14273-2025")</f>
        <v/>
      </c>
    </row>
    <row r="144" ht="15" customHeight="1">
      <c r="A144" t="inlineStr">
        <is>
          <t>A 30406-2026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46209</v>
      </c>
      <c r="E144" s="1" t="n">
        <v>46257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HYPERLINK("https://klasma.github.io/Logging_0482/artfynd/A 30406-2026 artfynd.xlsx", "A 30406-2026")</f>
        <v/>
      </c>
      <c r="X144">
        <f>HYPERLINK("https://klasma.github.io/Logging_0482/kartor/A 30406-2026 karta.png", "A 30406-2026")</f>
        <v/>
      </c>
      <c r="Y144">
        <f>HYPERLINK("https://klasma.github.io/Logging_0482/kartor_geotiff/A 30406-2026 georefererad karta.tif", "A 30406-2026")</f>
        <v/>
      </c>
      <c r="AA144">
        <f>HYPERLINK("https://klasma.github.io/Logging_0482/klagomål/A 30406-2026 FSC-klagomål.docx", "A 30406-2026")</f>
        <v/>
      </c>
      <c r="AB144">
        <f>HYPERLINK("https://klasma.github.io/Logging_0482/klagomålsmail/A 30406-2026 FSC-klagomål mail.docx", "A 30406-2026")</f>
        <v/>
      </c>
      <c r="AC144">
        <f>HYPERLINK("https://klasma.github.io/Logging_0482/tillsyn/A 30406-2026 tillsynsbegäran.docx", "A 30406-2026")</f>
        <v/>
      </c>
      <c r="AD144">
        <f>HYPERLINK("https://klasma.github.io/Logging_0482/tillsynsmail/A 30406-2026 tillsynsbegäran mail.docx", "A 30406-2026")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46257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46257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21704-2026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46257</v>
      </c>
      <c r="F147" t="inlineStr">
        <is>
          <t>SÖDERMANLANDS LÄN</t>
        </is>
      </c>
      <c r="G147" t="inlineStr">
        <is>
          <t>FLEN</t>
        </is>
      </c>
      <c r="I147" t="n">
        <v>10.2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Kandelabersvamp</t>
        </is>
      </c>
      <c r="W147">
        <f>HYPERLINK("https://klasma.github.io/Logging_0482/artfynd/A 21704-2026 artfynd.xlsx", "A 21704-2026")</f>
        <v/>
      </c>
      <c r="X147">
        <f>HYPERLINK("https://klasma.github.io/Logging_0482/kartor/A 21704-2026 karta.png", "A 21704-2026")</f>
        <v/>
      </c>
      <c r="Y147">
        <f>HYPERLINK("https://klasma.github.io/Logging_0482/kartor_geotiff/A 21704-2026 georefererad karta.tif", "A 21704-2026")</f>
        <v/>
      </c>
      <c r="AA147">
        <f>HYPERLINK("https://klasma.github.io/Logging_0482/klagomål/A 21704-2026 FSC-klagomål.docx", "A 21704-2026")</f>
        <v/>
      </c>
      <c r="AB147">
        <f>HYPERLINK("https://klasma.github.io/Logging_0482/klagomålsmail/A 21704-2026 FSC-klagomål mail.docx", "A 21704-2026")</f>
        <v/>
      </c>
      <c r="AC147">
        <f>HYPERLINK("https://klasma.github.io/Logging_0482/tillsyn/A 21704-2026 tillsynsbegäran.docx", "A 21704-2026")</f>
        <v/>
      </c>
      <c r="AD147">
        <f>HYPERLINK("https://klasma.github.io/Logging_0482/tillsynsmail/A 21704-2026 tillsynsbegäran mail.docx", "A 21704-2026")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46257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46257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46257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46257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46257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46257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46257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46257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46257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46257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46257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46257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46257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46257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46257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46257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46257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46257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46257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46257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46257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46257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46257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46257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46257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46257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46257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46257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46257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46257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46257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46257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46257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46257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46257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46257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46257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46257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46257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46257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46257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46257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46257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46257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46257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46257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46257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46257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46257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46257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46257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46257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46257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46257</v>
      </c>
      <c r="F201" t="inlineStr">
        <is>
          <t>SÖDERMANLANDS LÄN</t>
        </is>
      </c>
      <c r="G201" t="inlineStr">
        <is>
          <t>FLEN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46257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46257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44566</v>
      </c>
      <c r="E204" s="1" t="n">
        <v>46257</v>
      </c>
      <c r="F204" t="inlineStr">
        <is>
          <t>SÖDERMANLANDS LÄN</t>
        </is>
      </c>
      <c r="G204" t="inlineStr">
        <is>
          <t>FLEN</t>
        </is>
      </c>
      <c r="H204" t="inlineStr">
        <is>
          <t>Kyrkan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46257</v>
      </c>
      <c r="F205" t="inlineStr">
        <is>
          <t>SÖDERMANLANDS LÄN</t>
        </is>
      </c>
      <c r="G205" t="inlineStr">
        <is>
          <t>FLEN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46257</v>
      </c>
      <c r="F206" t="inlineStr">
        <is>
          <t>SÖDERMANLANDS LÄN</t>
        </is>
      </c>
      <c r="G206" t="inlineStr">
        <is>
          <t>FLEN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46257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44785</v>
      </c>
      <c r="E208" s="1" t="n">
        <v>46257</v>
      </c>
      <c r="F208" t="inlineStr">
        <is>
          <t>SÖDERMANLANDS LÄN</t>
        </is>
      </c>
      <c r="G208" t="inlineStr">
        <is>
          <t>FLEN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44616</v>
      </c>
      <c r="E209" s="1" t="n">
        <v>46257</v>
      </c>
      <c r="F209" t="inlineStr">
        <is>
          <t>SÖDERMANLANDS LÄN</t>
        </is>
      </c>
      <c r="G209" t="inlineStr">
        <is>
          <t>FLEN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46257</v>
      </c>
      <c r="F210" t="inlineStr">
        <is>
          <t>SÖDERMANLANDS LÄN</t>
        </is>
      </c>
      <c r="G210" t="inlineStr">
        <is>
          <t>FLEN</t>
        </is>
      </c>
      <c r="H210" t="inlineStr">
        <is>
          <t>Övriga statliga verk och myndigheter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44643</v>
      </c>
      <c r="E211" s="1" t="n">
        <v>46257</v>
      </c>
      <c r="F211" t="inlineStr">
        <is>
          <t>SÖDERMANLANDS LÄN</t>
        </is>
      </c>
      <c r="G211" t="inlineStr">
        <is>
          <t>FLEN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44448</v>
      </c>
      <c r="E212" s="1" t="n">
        <v>46257</v>
      </c>
      <c r="F212" t="inlineStr">
        <is>
          <t>SÖDERMANLANDS LÄN</t>
        </is>
      </c>
      <c r="G212" t="inlineStr">
        <is>
          <t>FLEN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52692-2021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44466</v>
      </c>
      <c r="E213" s="1" t="n">
        <v>46257</v>
      </c>
      <c r="F213" t="inlineStr">
        <is>
          <t>SÖDERMANLANDS LÄN</t>
        </is>
      </c>
      <c r="G213" t="inlineStr">
        <is>
          <t>FLEN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46257</v>
      </c>
      <c r="F214" t="inlineStr">
        <is>
          <t>SÖDERMANLANDS LÄN</t>
        </is>
      </c>
      <c r="G214" t="inlineStr">
        <is>
          <t>FLEN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46257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46257</v>
      </c>
      <c r="F216" t="inlineStr">
        <is>
          <t>SÖDERMANLANDS LÄN</t>
        </is>
      </c>
      <c r="G216" t="inlineStr">
        <is>
          <t>FLEN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46257</v>
      </c>
      <c r="F217" t="inlineStr">
        <is>
          <t>SÖDERMANLANDS LÄN</t>
        </is>
      </c>
      <c r="G217" t="inlineStr">
        <is>
          <t>FLEN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46257</v>
      </c>
      <c r="F218" t="inlineStr">
        <is>
          <t>SÖDERMANLANDS LÄN</t>
        </is>
      </c>
      <c r="G218" t="inlineStr">
        <is>
          <t>FLEN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46257</v>
      </c>
      <c r="F219" t="inlineStr">
        <is>
          <t>SÖDERMANLANDS LÄN</t>
        </is>
      </c>
      <c r="G219" t="inlineStr">
        <is>
          <t>FLEN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46257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46257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44868</v>
      </c>
      <c r="E222" s="1" t="n">
        <v>46257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45213</v>
      </c>
      <c r="E223" s="1" t="n">
        <v>46257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46257</v>
      </c>
      <c r="F224" t="inlineStr">
        <is>
          <t>SÖDERMANLANDS LÄN</t>
        </is>
      </c>
      <c r="G224" t="inlineStr">
        <is>
          <t>FLEN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46257</v>
      </c>
      <c r="F225" t="inlineStr">
        <is>
          <t>SÖDERMANLANDS LÄN</t>
        </is>
      </c>
      <c r="G225" t="inlineStr">
        <is>
          <t>FLEN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45104</v>
      </c>
      <c r="E226" s="1" t="n">
        <v>46257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45378</v>
      </c>
      <c r="E227" s="1" t="n">
        <v>46257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46257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45280</v>
      </c>
      <c r="E229" s="1" t="n">
        <v>46257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44862</v>
      </c>
      <c r="E230" s="1" t="n">
        <v>46257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65869-2021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46257</v>
      </c>
      <c r="F231" t="inlineStr">
        <is>
          <t>SÖDERMANLANDS LÄN</t>
        </is>
      </c>
      <c r="G231" t="inlineStr">
        <is>
          <t>FLEN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67464-2021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44524</v>
      </c>
      <c r="E232" s="1" t="n">
        <v>46257</v>
      </c>
      <c r="F232" t="inlineStr">
        <is>
          <t>SÖDERMANLANDS LÄN</t>
        </is>
      </c>
      <c r="G232" t="inlineStr">
        <is>
          <t>FLEN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69588-2021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46257</v>
      </c>
      <c r="F233" t="inlineStr">
        <is>
          <t>SÖDERMANLANDS LÄN</t>
        </is>
      </c>
      <c r="G233" t="inlineStr">
        <is>
          <t>FLEN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66979-2021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44522</v>
      </c>
      <c r="E234" s="1" t="n">
        <v>46257</v>
      </c>
      <c r="F234" t="inlineStr">
        <is>
          <t>SÖDERMANLANDS LÄN</t>
        </is>
      </c>
      <c r="G234" t="inlineStr">
        <is>
          <t>FLEN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45411</v>
      </c>
      <c r="E235" s="1" t="n">
        <v>46257</v>
      </c>
      <c r="F235" t="inlineStr">
        <is>
          <t>SÖDERMANLANDS LÄN</t>
        </is>
      </c>
      <c r="G235" t="inlineStr">
        <is>
          <t>FLEN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46257</v>
      </c>
      <c r="F236" t="inlineStr">
        <is>
          <t>SÖDERMANLANDS LÄN</t>
        </is>
      </c>
      <c r="G236" t="inlineStr">
        <is>
          <t>FLEN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46257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44785</v>
      </c>
      <c r="E238" s="1" t="n">
        <v>46257</v>
      </c>
      <c r="F238" t="inlineStr">
        <is>
          <t>SÖDERMANLANDS LÄN</t>
        </is>
      </c>
      <c r="G238" t="inlineStr">
        <is>
          <t>FLEN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45830</v>
      </c>
      <c r="E239" s="1" t="n">
        <v>46257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45830</v>
      </c>
      <c r="E240" s="1" t="n">
        <v>46257</v>
      </c>
      <c r="F240" t="inlineStr">
        <is>
          <t>SÖDERMANLANDS LÄN</t>
        </is>
      </c>
      <c r="G240" t="inlineStr">
        <is>
          <t>FLEN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45081</v>
      </c>
      <c r="E241" s="1" t="n">
        <v>46257</v>
      </c>
      <c r="F241" t="inlineStr">
        <is>
          <t>SÖDERMANLANDS LÄN</t>
        </is>
      </c>
      <c r="G241" t="inlineStr">
        <is>
          <t>FLEN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46257</v>
      </c>
      <c r="F242" t="inlineStr">
        <is>
          <t>SÖDERMANLANDS LÄN</t>
        </is>
      </c>
      <c r="G242" t="inlineStr">
        <is>
          <t>FLEN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44986</v>
      </c>
      <c r="E243" s="1" t="n">
        <v>46257</v>
      </c>
      <c r="F243" t="inlineStr">
        <is>
          <t>SÖDERMANLANDS LÄN</t>
        </is>
      </c>
      <c r="G243" t="inlineStr">
        <is>
          <t>FLEN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44988</v>
      </c>
      <c r="E244" s="1" t="n">
        <v>46257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45228</v>
      </c>
      <c r="E245" s="1" t="n">
        <v>46257</v>
      </c>
      <c r="F245" t="inlineStr">
        <is>
          <t>SÖDERMANLANDS LÄN</t>
        </is>
      </c>
      <c r="G245" t="inlineStr">
        <is>
          <t>FLEN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60937-2022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44914</v>
      </c>
      <c r="E246" s="1" t="n">
        <v>46257</v>
      </c>
      <c r="F246" t="inlineStr">
        <is>
          <t>SÖDERMANLANDS LÄN</t>
        </is>
      </c>
      <c r="G246" t="inlineStr">
        <is>
          <t>FLEN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45022</v>
      </c>
      <c r="E247" s="1" t="n">
        <v>46257</v>
      </c>
      <c r="F247" t="inlineStr">
        <is>
          <t>SÖDERMANLANDS LÄN</t>
        </is>
      </c>
      <c r="G247" t="inlineStr">
        <is>
          <t>FLEN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60255-2021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44495</v>
      </c>
      <c r="E248" s="1" t="n">
        <v>46257</v>
      </c>
      <c r="F248" t="inlineStr">
        <is>
          <t>SÖDERMANLANDS LÄN</t>
        </is>
      </c>
      <c r="G248" t="inlineStr">
        <is>
          <t>FLEN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46257</v>
      </c>
      <c r="F249" t="inlineStr">
        <is>
          <t>SÖDERMANLANDS LÄN</t>
        </is>
      </c>
      <c r="G249" t="inlineStr">
        <is>
          <t>FLEN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46257</v>
      </c>
      <c r="F250" t="inlineStr">
        <is>
          <t>SÖDERMANLANDS LÄN</t>
        </is>
      </c>
      <c r="G250" t="inlineStr">
        <is>
          <t>FLEN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46257</v>
      </c>
      <c r="F251" t="inlineStr">
        <is>
          <t>SÖDERMANLANDS LÄN</t>
        </is>
      </c>
      <c r="G251" t="inlineStr">
        <is>
          <t>FLEN</t>
        </is>
      </c>
      <c r="H251" t="inlineStr">
        <is>
          <t>Övriga statliga verk och myndigheter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72314-2021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44544</v>
      </c>
      <c r="E252" s="1" t="n">
        <v>46257</v>
      </c>
      <c r="F252" t="inlineStr">
        <is>
          <t>SÖDERMANLANDS LÄN</t>
        </is>
      </c>
      <c r="G252" t="inlineStr">
        <is>
          <t>FLEN</t>
        </is>
      </c>
      <c r="I252" t="n">
        <v>13.8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44778</v>
      </c>
      <c r="E253" s="1" t="n">
        <v>46257</v>
      </c>
      <c r="F253" t="inlineStr">
        <is>
          <t>SÖDERMANLANDS LÄN</t>
        </is>
      </c>
      <c r="G253" t="inlineStr">
        <is>
          <t>FLEN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46257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46257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52541-2021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44463</v>
      </c>
      <c r="E256" s="1" t="n">
        <v>46257</v>
      </c>
      <c r="F256" t="inlineStr">
        <is>
          <t>SÖDERMANLANDS LÄN</t>
        </is>
      </c>
      <c r="G256" t="inlineStr">
        <is>
          <t>FLEN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45331</v>
      </c>
      <c r="E257" s="1" t="n">
        <v>46257</v>
      </c>
      <c r="F257" t="inlineStr">
        <is>
          <t>SÖDERMANLANDS LÄN</t>
        </is>
      </c>
      <c r="G257" t="inlineStr">
        <is>
          <t>FLEN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45066</v>
      </c>
      <c r="E258" s="1" t="n">
        <v>46257</v>
      </c>
      <c r="F258" t="inlineStr">
        <is>
          <t>SÖDERMANLANDS LÄN</t>
        </is>
      </c>
      <c r="G258" t="inlineStr">
        <is>
          <t>FLEN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46257</v>
      </c>
      <c r="F259" t="inlineStr">
        <is>
          <t>SÖDERMANLANDS LÄN</t>
        </is>
      </c>
      <c r="G259" t="inlineStr">
        <is>
          <t>FLEN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46257</v>
      </c>
      <c r="F260" t="inlineStr">
        <is>
          <t>SÖDERMANLANDS LÄN</t>
        </is>
      </c>
      <c r="G260" t="inlineStr">
        <is>
          <t>FLEN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46257</v>
      </c>
      <c r="F261" t="inlineStr">
        <is>
          <t>SÖDERMANLANDS LÄN</t>
        </is>
      </c>
      <c r="G261" t="inlineStr">
        <is>
          <t>FLEN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45068</v>
      </c>
      <c r="E262" s="1" t="n">
        <v>46257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45510</v>
      </c>
      <c r="E263" s="1" t="n">
        <v>46257</v>
      </c>
      <c r="F263" t="inlineStr">
        <is>
          <t>SÖDERMANLANDS LÄN</t>
        </is>
      </c>
      <c r="G263" t="inlineStr">
        <is>
          <t>FLEN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46257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44448</v>
      </c>
      <c r="E265" s="1" t="n">
        <v>46257</v>
      </c>
      <c r="F265" t="inlineStr">
        <is>
          <t>SÖDERMANLANDS LÄN</t>
        </is>
      </c>
      <c r="G265" t="inlineStr">
        <is>
          <t>FLEN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46257</v>
      </c>
      <c r="F266" t="inlineStr">
        <is>
          <t>SÖDERMANLANDS LÄN</t>
        </is>
      </c>
      <c r="G266" t="inlineStr">
        <is>
          <t>FLEN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44796</v>
      </c>
      <c r="E267" s="1" t="n">
        <v>46257</v>
      </c>
      <c r="F267" t="inlineStr">
        <is>
          <t>SÖDERMANLANDS LÄN</t>
        </is>
      </c>
      <c r="G267" t="inlineStr">
        <is>
          <t>FLEN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44864</v>
      </c>
      <c r="E268" s="1" t="n">
        <v>46257</v>
      </c>
      <c r="F268" t="inlineStr">
        <is>
          <t>SÖDERMANLANDS LÄN</t>
        </is>
      </c>
      <c r="G268" t="inlineStr">
        <is>
          <t>FLEN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46257</v>
      </c>
      <c r="F269" t="inlineStr">
        <is>
          <t>SÖDERMANLANDS LÄN</t>
        </is>
      </c>
      <c r="G269" t="inlineStr">
        <is>
          <t>FLEN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46257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46257</v>
      </c>
      <c r="F271" t="inlineStr">
        <is>
          <t>SÖDERMANLANDS LÄN</t>
        </is>
      </c>
      <c r="G271" t="inlineStr">
        <is>
          <t>FLEN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44855</v>
      </c>
      <c r="E272" s="1" t="n">
        <v>46257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46257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46257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45482</v>
      </c>
      <c r="E275" s="1" t="n">
        <v>46257</v>
      </c>
      <c r="F275" t="inlineStr">
        <is>
          <t>SÖDERMANLANDS LÄN</t>
        </is>
      </c>
      <c r="G275" t="inlineStr">
        <is>
          <t>FLEN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46257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46257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52980-2023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46257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45528</v>
      </c>
      <c r="E279" s="1" t="n">
        <v>46257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46257</v>
      </c>
      <c r="F280" t="inlineStr">
        <is>
          <t>SÖDERMANLANDS LÄN</t>
        </is>
      </c>
      <c r="G280" t="inlineStr">
        <is>
          <t>FLEN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46257</v>
      </c>
      <c r="F281" t="inlineStr">
        <is>
          <t>SÖDERMANLANDS LÄN</t>
        </is>
      </c>
      <c r="G281" t="inlineStr">
        <is>
          <t>FLEN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46257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62579-2023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45270</v>
      </c>
      <c r="E283" s="1" t="n">
        <v>46257</v>
      </c>
      <c r="F283" t="inlineStr">
        <is>
          <t>SÖDERMANLANDS LÄN</t>
        </is>
      </c>
      <c r="G283" t="inlineStr">
        <is>
          <t>FLEN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46257</v>
      </c>
      <c r="F284" t="inlineStr">
        <is>
          <t>SÖDERMANLANDS LÄN</t>
        </is>
      </c>
      <c r="G284" t="inlineStr">
        <is>
          <t>FLEN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46257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46257</v>
      </c>
      <c r="F286" t="inlineStr">
        <is>
          <t>SÖDERMANLANDS LÄN</t>
        </is>
      </c>
      <c r="G286" t="inlineStr">
        <is>
          <t>FLEN</t>
        </is>
      </c>
      <c r="H286" t="inlineStr">
        <is>
          <t>Kommuner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48497-2021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44449</v>
      </c>
      <c r="E287" s="1" t="n">
        <v>46257</v>
      </c>
      <c r="F287" t="inlineStr">
        <is>
          <t>SÖDERMANLANDS LÄN</t>
        </is>
      </c>
      <c r="G287" t="inlineStr">
        <is>
          <t>FLEN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46257</v>
      </c>
      <c r="F288" t="inlineStr">
        <is>
          <t>SÖDERMANLANDS LÄN</t>
        </is>
      </c>
      <c r="G288" t="inlineStr">
        <is>
          <t>FLEN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46257</v>
      </c>
      <c r="F289" t="inlineStr">
        <is>
          <t>SÖDERMANLANDS LÄN</t>
        </is>
      </c>
      <c r="G289" t="inlineStr">
        <is>
          <t>FLEN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45149</v>
      </c>
      <c r="E290" s="1" t="n">
        <v>46257</v>
      </c>
      <c r="F290" t="inlineStr">
        <is>
          <t>SÖDERMANLANDS LÄN</t>
        </is>
      </c>
      <c r="G290" t="inlineStr">
        <is>
          <t>FLEN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46257</v>
      </c>
      <c r="F291" t="inlineStr">
        <is>
          <t>SÖDERMANLANDS LÄN</t>
        </is>
      </c>
      <c r="G291" t="inlineStr">
        <is>
          <t>FLEN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44733</v>
      </c>
      <c r="E292" s="1" t="n">
        <v>46257</v>
      </c>
      <c r="F292" t="inlineStr">
        <is>
          <t>SÖDERMANLANDS LÄN</t>
        </is>
      </c>
      <c r="G292" t="inlineStr">
        <is>
          <t>FLEN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46257</v>
      </c>
      <c r="F293" t="inlineStr">
        <is>
          <t>SÖDERMANLANDS LÄN</t>
        </is>
      </c>
      <c r="G293" t="inlineStr">
        <is>
          <t>FLEN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46257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46257</v>
      </c>
      <c r="F295" t="inlineStr">
        <is>
          <t>SÖDERMANLANDS LÄN</t>
        </is>
      </c>
      <c r="G295" t="inlineStr">
        <is>
          <t>FLEN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46257</v>
      </c>
      <c r="F296" t="inlineStr">
        <is>
          <t>SÖDERMANLANDS LÄN</t>
        </is>
      </c>
      <c r="G296" t="inlineStr">
        <is>
          <t>FLEN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46257</v>
      </c>
      <c r="F297" t="inlineStr">
        <is>
          <t>SÖDERMANLANDS LÄN</t>
        </is>
      </c>
      <c r="G297" t="inlineStr">
        <is>
          <t>FLEN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46257</v>
      </c>
      <c r="F298" t="inlineStr">
        <is>
          <t>SÖDERMANLANDS LÄN</t>
        </is>
      </c>
      <c r="G298" t="inlineStr">
        <is>
          <t>FLEN</t>
        </is>
      </c>
      <c r="H298" t="inlineStr">
        <is>
          <t>Övriga statliga verk och myndigheter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54283-2025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45964</v>
      </c>
      <c r="E299" s="1" t="n">
        <v>46257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54282-2025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45964</v>
      </c>
      <c r="E300" s="1" t="n">
        <v>46257</v>
      </c>
      <c r="F300" t="inlineStr">
        <is>
          <t>SÖDERMANLANDS LÄN</t>
        </is>
      </c>
      <c r="G300" t="inlineStr">
        <is>
          <t>FLEN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44991</v>
      </c>
      <c r="E301" s="1" t="n">
        <v>46257</v>
      </c>
      <c r="F301" t="inlineStr">
        <is>
          <t>SÖDERMANLANDS LÄN</t>
        </is>
      </c>
      <c r="G301" t="inlineStr">
        <is>
          <t>FLEN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66867-2021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44522</v>
      </c>
      <c r="E302" s="1" t="n">
        <v>46257</v>
      </c>
      <c r="F302" t="inlineStr">
        <is>
          <t>SÖDERMANLANDS LÄN</t>
        </is>
      </c>
      <c r="G302" t="inlineStr">
        <is>
          <t>FLEN</t>
        </is>
      </c>
      <c r="H302" t="inlineStr">
        <is>
          <t>Kyrkan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44931</v>
      </c>
      <c r="E303" s="1" t="n">
        <v>46257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46257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44979</v>
      </c>
      <c r="E305" s="1" t="n">
        <v>46257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46257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46257</v>
      </c>
      <c r="F307" t="inlineStr">
        <is>
          <t>SÖDERMANLANDS LÄN</t>
        </is>
      </c>
      <c r="G307" t="inlineStr">
        <is>
          <t>FLEN</t>
        </is>
      </c>
      <c r="H307" t="inlineStr">
        <is>
          <t>Övriga statliga verk och myndigheter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45230</v>
      </c>
      <c r="E308" s="1" t="n">
        <v>46257</v>
      </c>
      <c r="F308" t="inlineStr">
        <is>
          <t>SÖDERMANLANDS LÄN</t>
        </is>
      </c>
      <c r="G308" t="inlineStr">
        <is>
          <t>FLEN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46257</v>
      </c>
      <c r="F309" t="inlineStr">
        <is>
          <t>SÖDERMANLANDS LÄN</t>
        </is>
      </c>
      <c r="G309" t="inlineStr">
        <is>
          <t>FLEN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46257</v>
      </c>
      <c r="F310" t="inlineStr">
        <is>
          <t>SÖDERMANLANDS LÄN</t>
        </is>
      </c>
      <c r="G310" t="inlineStr">
        <is>
          <t>FLEN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46257</v>
      </c>
      <c r="F311" t="inlineStr">
        <is>
          <t>SÖDERMANLANDS LÄN</t>
        </is>
      </c>
      <c r="G311" t="inlineStr">
        <is>
          <t>FLEN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56573-2025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45974</v>
      </c>
      <c r="E312" s="1" t="n">
        <v>46257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10828-2022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46257</v>
      </c>
      <c r="F313" t="inlineStr">
        <is>
          <t>SÖDERMANLANDS LÄN</t>
        </is>
      </c>
      <c r="G313" t="inlineStr">
        <is>
          <t>FLEN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44859</v>
      </c>
      <c r="E314" s="1" t="n">
        <v>46257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46257</v>
      </c>
      <c r="F315" t="inlineStr">
        <is>
          <t>SÖDERMANLANDS LÄN</t>
        </is>
      </c>
      <c r="G315" t="inlineStr">
        <is>
          <t>FLEN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44624</v>
      </c>
      <c r="E316" s="1" t="n">
        <v>46257</v>
      </c>
      <c r="F316" t="inlineStr">
        <is>
          <t>SÖDERMANLANDS LÄN</t>
        </is>
      </c>
      <c r="G316" t="inlineStr">
        <is>
          <t>FLEN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46257</v>
      </c>
      <c r="F317" t="inlineStr">
        <is>
          <t>SÖDERMANLANDS LÄN</t>
        </is>
      </c>
      <c r="G317" t="inlineStr">
        <is>
          <t>FLEN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46257</v>
      </c>
      <c r="F318" t="inlineStr">
        <is>
          <t>SÖDERMANLANDS LÄN</t>
        </is>
      </c>
      <c r="G318" t="inlineStr">
        <is>
          <t>FLEN</t>
        </is>
      </c>
      <c r="H318" t="inlineStr">
        <is>
          <t>Övriga statliga verk och myndigheter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46257</v>
      </c>
      <c r="F319" t="inlineStr">
        <is>
          <t>SÖDERMANLANDS LÄN</t>
        </is>
      </c>
      <c r="G319" t="inlineStr">
        <is>
          <t>FLEN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46257</v>
      </c>
      <c r="F320" t="inlineStr">
        <is>
          <t>SÖDERMANLANDS LÄN</t>
        </is>
      </c>
      <c r="G320" t="inlineStr">
        <is>
          <t>FLEN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46257</v>
      </c>
      <c r="F321" t="inlineStr">
        <is>
          <t>SÖDERMANLANDS LÄN</t>
        </is>
      </c>
      <c r="G321" t="inlineStr">
        <is>
          <t>FLEN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46257</v>
      </c>
      <c r="F322" t="inlineStr">
        <is>
          <t>SÖDERMANLANDS LÄN</t>
        </is>
      </c>
      <c r="G322" t="inlineStr">
        <is>
          <t>FLEN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46257</v>
      </c>
      <c r="F323" t="inlineStr">
        <is>
          <t>SÖDERMANLANDS LÄN</t>
        </is>
      </c>
      <c r="G323" t="inlineStr">
        <is>
          <t>FLEN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45729</v>
      </c>
      <c r="E324" s="1" t="n">
        <v>46257</v>
      </c>
      <c r="F324" t="inlineStr">
        <is>
          <t>SÖDERMANLANDS LÄN</t>
        </is>
      </c>
      <c r="G324" t="inlineStr">
        <is>
          <t>FLEN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46257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45311</v>
      </c>
      <c r="E326" s="1" t="n">
        <v>46257</v>
      </c>
      <c r="F326" t="inlineStr">
        <is>
          <t>SÖDERMANLANDS LÄN</t>
        </is>
      </c>
      <c r="G326" t="inlineStr">
        <is>
          <t>FLEN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44588</v>
      </c>
      <c r="E327" s="1" t="n">
        <v>46257</v>
      </c>
      <c r="F327" t="inlineStr">
        <is>
          <t>SÖDERMANLANDS LÄN</t>
        </is>
      </c>
      <c r="G327" t="inlineStr">
        <is>
          <t>FLEN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44909</v>
      </c>
      <c r="E328" s="1" t="n">
        <v>46257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46257</v>
      </c>
      <c r="F329" t="inlineStr">
        <is>
          <t>SÖDERMANLANDS LÄN</t>
        </is>
      </c>
      <c r="G329" t="inlineStr">
        <is>
          <t>FLEN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59910-2025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46257</v>
      </c>
      <c r="F330" t="inlineStr">
        <is>
          <t>SÖDERMANLANDS LÄN</t>
        </is>
      </c>
      <c r="G330" t="inlineStr">
        <is>
          <t>FLEN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46257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46257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46257</v>
      </c>
      <c r="F333" t="inlineStr">
        <is>
          <t>SÖDERMANLANDS LÄN</t>
        </is>
      </c>
      <c r="G333" t="inlineStr">
        <is>
          <t>FLEN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57356-2022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46257</v>
      </c>
      <c r="F334" t="inlineStr">
        <is>
          <t>SÖDERMANLANDS LÄN</t>
        </is>
      </c>
      <c r="G334" t="inlineStr">
        <is>
          <t>FLEN</t>
        </is>
      </c>
      <c r="H334" t="inlineStr">
        <is>
          <t>Övriga statliga verk och myndigheter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45993</v>
      </c>
      <c r="E335" s="1" t="n">
        <v>46257</v>
      </c>
      <c r="F335" t="inlineStr">
        <is>
          <t>SÖDERMANLANDS LÄN</t>
        </is>
      </c>
      <c r="G335" t="inlineStr">
        <is>
          <t>FLEN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51872-2022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44872</v>
      </c>
      <c r="E336" s="1" t="n">
        <v>46257</v>
      </c>
      <c r="F336" t="inlineStr">
        <is>
          <t>SÖDERMANLANDS LÄN</t>
        </is>
      </c>
      <c r="G336" t="inlineStr">
        <is>
          <t>FLEN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46257</v>
      </c>
      <c r="F337" t="inlineStr">
        <is>
          <t>SÖDERMANLANDS LÄN</t>
        </is>
      </c>
      <c r="G337" t="inlineStr">
        <is>
          <t>FLEN</t>
        </is>
      </c>
      <c r="H337" t="inlineStr">
        <is>
          <t>Kyrkan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46257</v>
      </c>
      <c r="F338" t="inlineStr">
        <is>
          <t>SÖDERMANLANDS LÄN</t>
        </is>
      </c>
      <c r="G338" t="inlineStr">
        <is>
          <t>FLEN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46257</v>
      </c>
      <c r="F339" t="inlineStr">
        <is>
          <t>SÖDERMANLANDS LÄN</t>
        </is>
      </c>
      <c r="G339" t="inlineStr">
        <is>
          <t>FLEN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46257</v>
      </c>
      <c r="F340" t="inlineStr">
        <is>
          <t>SÖDERMANLANDS LÄN</t>
        </is>
      </c>
      <c r="G340" t="inlineStr">
        <is>
          <t>FLEN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46257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44859</v>
      </c>
      <c r="E342" s="1" t="n">
        <v>46257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46257</v>
      </c>
      <c r="F343" t="inlineStr">
        <is>
          <t>SÖDERMANLANDS LÄN</t>
        </is>
      </c>
      <c r="G343" t="inlineStr">
        <is>
          <t>FLEN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46257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46257</v>
      </c>
      <c r="F345" t="inlineStr">
        <is>
          <t>SÖDERMANLANDS LÄN</t>
        </is>
      </c>
      <c r="G345" t="inlineStr">
        <is>
          <t>FLEN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45057</v>
      </c>
      <c r="E346" s="1" t="n">
        <v>46257</v>
      </c>
      <c r="F346" t="inlineStr">
        <is>
          <t>SÖDERMANLANDS LÄN</t>
        </is>
      </c>
      <c r="G346" t="inlineStr">
        <is>
          <t>FLEN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44676</v>
      </c>
      <c r="E347" s="1" t="n">
        <v>46257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45228</v>
      </c>
      <c r="E348" s="1" t="n">
        <v>46257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46257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14599-2023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45013</v>
      </c>
      <c r="E350" s="1" t="n">
        <v>46257</v>
      </c>
      <c r="F350" t="inlineStr">
        <is>
          <t>SÖDERMANLANDS LÄN</t>
        </is>
      </c>
      <c r="G350" t="inlineStr">
        <is>
          <t>FLEN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46257</v>
      </c>
      <c r="F351" t="inlineStr">
        <is>
          <t>SÖDERMANLANDS LÄN</t>
        </is>
      </c>
      <c r="G351" t="inlineStr">
        <is>
          <t>FLEN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46257</v>
      </c>
      <c r="F352" t="inlineStr">
        <is>
          <t>SÖDERMANLANDS LÄN</t>
        </is>
      </c>
      <c r="G352" t="inlineStr">
        <is>
          <t>FLEN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17125-2023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45034</v>
      </c>
      <c r="E353" s="1" t="n">
        <v>46257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44602</v>
      </c>
      <c r="E354" s="1" t="n">
        <v>46257</v>
      </c>
      <c r="F354" t="inlineStr">
        <is>
          <t>SÖDERMANLANDS LÄN</t>
        </is>
      </c>
      <c r="G354" t="inlineStr">
        <is>
          <t>FLEN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50796-2021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44459</v>
      </c>
      <c r="E355" s="1" t="n">
        <v>46257</v>
      </c>
      <c r="F355" t="inlineStr">
        <is>
          <t>SÖDERMANLANDS LÄN</t>
        </is>
      </c>
      <c r="G355" t="inlineStr">
        <is>
          <t>FLEN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44899</v>
      </c>
      <c r="E356" s="1" t="n">
        <v>46257</v>
      </c>
      <c r="F356" t="inlineStr">
        <is>
          <t>SÖDERMANLANDS LÄN</t>
        </is>
      </c>
      <c r="G356" t="inlineStr">
        <is>
          <t>FLEN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46257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45398</v>
      </c>
      <c r="E358" s="1" t="n">
        <v>46257</v>
      </c>
      <c r="F358" t="inlineStr">
        <is>
          <t>SÖDERMANLANDS LÄN</t>
        </is>
      </c>
      <c r="G358" t="inlineStr">
        <is>
          <t>FLEN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46257</v>
      </c>
      <c r="F359" t="inlineStr">
        <is>
          <t>SÖDERMANLANDS LÄN</t>
        </is>
      </c>
      <c r="G359" t="inlineStr">
        <is>
          <t>FLEN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27146-2022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46257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46257</v>
      </c>
      <c r="F361" t="inlineStr">
        <is>
          <t>SÖDERMANLANDS LÄN</t>
        </is>
      </c>
      <c r="G361" t="inlineStr">
        <is>
          <t>FLEN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45667</v>
      </c>
      <c r="E362" s="1" t="n">
        <v>46257</v>
      </c>
      <c r="F362" t="inlineStr">
        <is>
          <t>SÖDERMANLANDS LÄN</t>
        </is>
      </c>
      <c r="G362" t="inlineStr">
        <is>
          <t>FLEN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46257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30423-2022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44761</v>
      </c>
      <c r="E364" s="1" t="n">
        <v>46257</v>
      </c>
      <c r="F364" t="inlineStr">
        <is>
          <t>SÖDERMANLANDS LÄN</t>
        </is>
      </c>
      <c r="G364" t="inlineStr">
        <is>
          <t>FLEN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46257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42731-2024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45566</v>
      </c>
      <c r="E366" s="1" t="n">
        <v>46257</v>
      </c>
      <c r="F366" t="inlineStr">
        <is>
          <t>SÖDERMANLANDS LÄN</t>
        </is>
      </c>
      <c r="G366" t="inlineStr">
        <is>
          <t>FLEN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46257</v>
      </c>
      <c r="F367" t="inlineStr">
        <is>
          <t>SÖDERMANLANDS LÄN</t>
        </is>
      </c>
      <c r="G367" t="inlineStr">
        <is>
          <t>FLEN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46257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44838</v>
      </c>
      <c r="E369" s="1" t="n">
        <v>46257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46257</v>
      </c>
      <c r="F370" t="inlineStr">
        <is>
          <t>SÖDERMANLANDS LÄN</t>
        </is>
      </c>
      <c r="G370" t="inlineStr">
        <is>
          <t>FLEN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43394-2021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44432</v>
      </c>
      <c r="E371" s="1" t="n">
        <v>46257</v>
      </c>
      <c r="F371" t="inlineStr">
        <is>
          <t>SÖDERMANLANDS LÄN</t>
        </is>
      </c>
      <c r="G371" t="inlineStr">
        <is>
          <t>FLEN</t>
        </is>
      </c>
      <c r="I371" t="n">
        <v>14.4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46257</v>
      </c>
      <c r="F372" t="inlineStr">
        <is>
          <t>SÖDERMANLANDS LÄN</t>
        </is>
      </c>
      <c r="G372" t="inlineStr">
        <is>
          <t>FLEN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46257</v>
      </c>
      <c r="F373" t="inlineStr">
        <is>
          <t>SÖDERMANLANDS LÄN</t>
        </is>
      </c>
      <c r="G373" t="inlineStr">
        <is>
          <t>FLEN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44911</v>
      </c>
      <c r="E374" s="1" t="n">
        <v>46257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46257</v>
      </c>
      <c r="F375" t="inlineStr">
        <is>
          <t>SÖDERMANLANDS LÄN</t>
        </is>
      </c>
      <c r="G375" t="inlineStr">
        <is>
          <t>FLEN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46257</v>
      </c>
      <c r="F376" t="inlineStr">
        <is>
          <t>SÖDERMANLANDS LÄN</t>
        </is>
      </c>
      <c r="G376" t="inlineStr">
        <is>
          <t>FLEN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46257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46257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46257</v>
      </c>
      <c r="F379" t="inlineStr">
        <is>
          <t>SÖDERMANLANDS LÄN</t>
        </is>
      </c>
      <c r="G379" t="inlineStr">
        <is>
          <t>FLEN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46257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46257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46257</v>
      </c>
      <c r="F382" t="inlineStr">
        <is>
          <t>SÖDERMANLANDS LÄN</t>
        </is>
      </c>
      <c r="G382" t="inlineStr">
        <is>
          <t>FLEN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46168</v>
      </c>
      <c r="E383" s="1" t="n">
        <v>46257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46257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46257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  <c r="Z385">
        <f>HYPERLINK("https://klasma.github.io/Logging_0482/knärot/A 24450-2026 karta knärot.png", "A 24450-2026")</f>
        <v/>
      </c>
      <c r="AA385">
        <f>HYPERLINK("https://klasma.github.io/Logging_0482/klagomål/A 24450-2026 FSC-klagomål.docx", "A 24450-2026")</f>
        <v/>
      </c>
      <c r="AB385">
        <f>HYPERLINK("https://klasma.github.io/Logging_0482/klagomålsmail/A 24450-2026 FSC-klagomål mail.docx", "A 24450-2026")</f>
        <v/>
      </c>
      <c r="AC385">
        <f>HYPERLINK("https://klasma.github.io/Logging_0482/tillsyn/A 24450-2026 tillsynsbegäran.docx", "A 24450-2026")</f>
        <v/>
      </c>
      <c r="AD385">
        <f>HYPERLINK("https://klasma.github.io/Logging_0482/tillsynsmail/A 24450-2026 tillsynsbegäran mail.docx", "A 24450-2026")</f>
        <v/>
      </c>
    </row>
    <row r="386" ht="15" customHeight="1">
      <c r="A386" t="inlineStr">
        <is>
          <t>A 14412-2023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46257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46257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46257</v>
      </c>
      <c r="F388" t="inlineStr">
        <is>
          <t>SÖDERMANLANDS LÄN</t>
        </is>
      </c>
      <c r="G388" t="inlineStr">
        <is>
          <t>FLEN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56497-2022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44887</v>
      </c>
      <c r="E389" s="1" t="n">
        <v>46257</v>
      </c>
      <c r="F389" t="inlineStr">
        <is>
          <t>SÖDERMANLANDS LÄN</t>
        </is>
      </c>
      <c r="G389" t="inlineStr">
        <is>
          <t>FLEN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46257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46257</v>
      </c>
      <c r="F391" t="inlineStr">
        <is>
          <t>SÖDERMANLANDS LÄN</t>
        </is>
      </c>
      <c r="G391" t="inlineStr">
        <is>
          <t>FLEN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54781-2024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45618</v>
      </c>
      <c r="E392" s="1" t="n">
        <v>46257</v>
      </c>
      <c r="F392" t="inlineStr">
        <is>
          <t>SÖDERMANLANDS LÄN</t>
        </is>
      </c>
      <c r="G392" t="inlineStr">
        <is>
          <t>FLEN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44958</v>
      </c>
      <c r="E393" s="1" t="n">
        <v>46257</v>
      </c>
      <c r="F393" t="inlineStr">
        <is>
          <t>SÖDERMANLANDS LÄN</t>
        </is>
      </c>
      <c r="G393" t="inlineStr">
        <is>
          <t>FLEN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46257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59599-2022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44907</v>
      </c>
      <c r="E395" s="1" t="n">
        <v>46257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46257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45072</v>
      </c>
      <c r="E397" s="1" t="n">
        <v>46257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46257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47872-2025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45932</v>
      </c>
      <c r="E399" s="1" t="n">
        <v>46257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45114</v>
      </c>
      <c r="E400" s="1" t="n">
        <v>46257</v>
      </c>
      <c r="F400" t="inlineStr">
        <is>
          <t>SÖDERMANLANDS LÄN</t>
        </is>
      </c>
      <c r="G400" t="inlineStr">
        <is>
          <t>FLEN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46257</v>
      </c>
      <c r="F401" t="inlineStr">
        <is>
          <t>SÖDERMANLANDS LÄN</t>
        </is>
      </c>
      <c r="G401" t="inlineStr">
        <is>
          <t>FLEN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46257</v>
      </c>
      <c r="F402" t="inlineStr">
        <is>
          <t>SÖDERMANLANDS LÄN</t>
        </is>
      </c>
      <c r="G402" t="inlineStr">
        <is>
          <t>FLEN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46257</v>
      </c>
      <c r="F403" t="inlineStr">
        <is>
          <t>SÖDERMANLANDS LÄN</t>
        </is>
      </c>
      <c r="G403" t="inlineStr">
        <is>
          <t>FLEN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46257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46257</v>
      </c>
      <c r="F405" t="inlineStr">
        <is>
          <t>SÖDERMANLANDS LÄN</t>
        </is>
      </c>
      <c r="G405" t="inlineStr">
        <is>
          <t>FLEN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46257</v>
      </c>
      <c r="F406" t="inlineStr">
        <is>
          <t>SÖDERMANLANDS LÄN</t>
        </is>
      </c>
      <c r="G406" t="inlineStr">
        <is>
          <t>FLEN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46257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46257</v>
      </c>
      <c r="F408" t="inlineStr">
        <is>
          <t>SÖDERMANLANDS LÄN</t>
        </is>
      </c>
      <c r="G408" t="inlineStr">
        <is>
          <t>FLEN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46257</v>
      </c>
      <c r="F409" t="inlineStr">
        <is>
          <t>SÖDERMANLANDS LÄN</t>
        </is>
      </c>
      <c r="G409" t="inlineStr">
        <is>
          <t>FLEN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46257</v>
      </c>
      <c r="F410" t="inlineStr">
        <is>
          <t>SÖDERMANLANDS LÄN</t>
        </is>
      </c>
      <c r="G410" t="inlineStr">
        <is>
          <t>FLEN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45030</v>
      </c>
      <c r="E411" s="1" t="n">
        <v>46257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44887</v>
      </c>
      <c r="E412" s="1" t="n">
        <v>46257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46257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46257</v>
      </c>
      <c r="F414" t="inlineStr">
        <is>
          <t>SÖDERMANLANDS LÄN</t>
        </is>
      </c>
      <c r="G414" t="inlineStr">
        <is>
          <t>FLEN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42936-2021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44431</v>
      </c>
      <c r="E415" s="1" t="n">
        <v>46257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46257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46257</v>
      </c>
      <c r="F417" t="inlineStr">
        <is>
          <t>SÖDERMANLANDS LÄN</t>
        </is>
      </c>
      <c r="G417" t="inlineStr">
        <is>
          <t>FLEN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45501</v>
      </c>
      <c r="E418" s="1" t="n">
        <v>46257</v>
      </c>
      <c r="F418" t="inlineStr">
        <is>
          <t>SÖDERMANLANDS LÄN</t>
        </is>
      </c>
      <c r="G418" t="inlineStr">
        <is>
          <t>FLEN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46257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46257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46257</v>
      </c>
      <c r="F421" t="inlineStr">
        <is>
          <t>SÖDERMANLANDS LÄN</t>
        </is>
      </c>
      <c r="G421" t="inlineStr">
        <is>
          <t>FLEN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46257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46257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46257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46257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46082</v>
      </c>
      <c r="E426" s="1" t="n">
        <v>46257</v>
      </c>
      <c r="F426" t="inlineStr">
        <is>
          <t>SÖDERMANLANDS LÄN</t>
        </is>
      </c>
      <c r="G426" t="inlineStr">
        <is>
          <t>FLEN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46257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46401-2022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46257</v>
      </c>
      <c r="F428" t="inlineStr">
        <is>
          <t>SÖDERMANLANDS LÄN</t>
        </is>
      </c>
      <c r="G428" t="inlineStr">
        <is>
          <t>FLEN</t>
        </is>
      </c>
      <c r="H428" t="inlineStr">
        <is>
          <t>Kyrkan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46257</v>
      </c>
      <c r="F429" t="inlineStr">
        <is>
          <t>SÖDERMANLANDS LÄN</t>
        </is>
      </c>
      <c r="G429" t="inlineStr">
        <is>
          <t>FLEN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46257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46257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46257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46257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46257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46229</v>
      </c>
      <c r="E435" s="1" t="n">
        <v>46257</v>
      </c>
      <c r="F435" t="inlineStr">
        <is>
          <t>SÖDERMANLANDS LÄN</t>
        </is>
      </c>
      <c r="G435" t="inlineStr">
        <is>
          <t>FLEN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46257</v>
      </c>
      <c r="F436" t="inlineStr">
        <is>
          <t>SÖDERMANLANDS LÄN</t>
        </is>
      </c>
      <c r="G436" t="inlineStr">
        <is>
          <t>FLEN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46257</v>
      </c>
      <c r="F437" t="inlineStr">
        <is>
          <t>SÖDERMANLANDS LÄN</t>
        </is>
      </c>
      <c r="G437" t="inlineStr">
        <is>
          <t>FLEN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46257</v>
      </c>
      <c r="F438" t="inlineStr">
        <is>
          <t>SÖDERMANLANDS LÄN</t>
        </is>
      </c>
      <c r="G438" t="inlineStr">
        <is>
          <t>FLEN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45225</v>
      </c>
      <c r="E439" s="1" t="n">
        <v>46257</v>
      </c>
      <c r="F439" t="inlineStr">
        <is>
          <t>SÖDERMANLANDS LÄN</t>
        </is>
      </c>
      <c r="G439" t="inlineStr">
        <is>
          <t>FLEN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46257</v>
      </c>
      <c r="F440" t="inlineStr">
        <is>
          <t>SÖDERMANLANDS LÄN</t>
        </is>
      </c>
      <c r="G440" t="inlineStr">
        <is>
          <t>FLEN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46257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47187-2022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46257</v>
      </c>
      <c r="F442" t="inlineStr">
        <is>
          <t>SÖDERMANLANDS LÄN</t>
        </is>
      </c>
      <c r="G442" t="inlineStr">
        <is>
          <t>FLEN</t>
        </is>
      </c>
      <c r="H442" t="inlineStr">
        <is>
          <t>Övriga statliga verk och myndigheter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45441</v>
      </c>
      <c r="E443" s="1" t="n">
        <v>46257</v>
      </c>
      <c r="F443" t="inlineStr">
        <is>
          <t>SÖDERMANLANDS LÄN</t>
        </is>
      </c>
      <c r="G443" t="inlineStr">
        <is>
          <t>FLEN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46257</v>
      </c>
      <c r="F444" t="inlineStr">
        <is>
          <t>SÖDERMANLANDS LÄN</t>
        </is>
      </c>
      <c r="G444" t="inlineStr">
        <is>
          <t>FLEN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46257</v>
      </c>
      <c r="F445" t="inlineStr">
        <is>
          <t>SÖDERMANLANDS LÄN</t>
        </is>
      </c>
      <c r="G445" t="inlineStr">
        <is>
          <t>FLEN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46257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46257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46257</v>
      </c>
      <c r="F448" t="inlineStr">
        <is>
          <t>SÖDERMANLANDS LÄN</t>
        </is>
      </c>
      <c r="G448" t="inlineStr">
        <is>
          <t>FLEN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37286-2024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45540</v>
      </c>
      <c r="E449" s="1" t="n">
        <v>46257</v>
      </c>
      <c r="F449" t="inlineStr">
        <is>
          <t>SÖDERMANLANDS LÄN</t>
        </is>
      </c>
      <c r="G449" t="inlineStr">
        <is>
          <t>FLEN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46257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46257</v>
      </c>
      <c r="F451" t="inlineStr">
        <is>
          <t>SÖDERMANLANDS LÄN</t>
        </is>
      </c>
      <c r="G451" t="inlineStr">
        <is>
          <t>FLEN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46257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46257</v>
      </c>
      <c r="F453" t="inlineStr">
        <is>
          <t>SÖDERMANLANDS LÄN</t>
        </is>
      </c>
      <c r="G453" t="inlineStr">
        <is>
          <t>FLEN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46257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46257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46257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46257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46257</v>
      </c>
      <c r="F458" t="inlineStr">
        <is>
          <t>SÖDERMANLANDS LÄN</t>
        </is>
      </c>
      <c r="G458" t="inlineStr">
        <is>
          <t>FLEN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46257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46257</v>
      </c>
      <c r="F460" t="inlineStr">
        <is>
          <t>SÖDERMANLANDS LÄN</t>
        </is>
      </c>
      <c r="G460" t="inlineStr">
        <is>
          <t>FLEN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46257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46257</v>
      </c>
      <c r="F462" t="inlineStr">
        <is>
          <t>SÖDERMANLANDS LÄN</t>
        </is>
      </c>
      <c r="G462" t="inlineStr">
        <is>
          <t>FLEN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46257</v>
      </c>
      <c r="F463" t="inlineStr">
        <is>
          <t>SÖDERMANLANDS LÄN</t>
        </is>
      </c>
      <c r="G463" t="inlineStr">
        <is>
          <t>FLEN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46257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73923-2021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44553</v>
      </c>
      <c r="E465" s="1" t="n">
        <v>46257</v>
      </c>
      <c r="F465" t="inlineStr">
        <is>
          <t>SÖDERMANLANDS LÄN</t>
        </is>
      </c>
      <c r="G465" t="inlineStr">
        <is>
          <t>FLEN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19072-2026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46257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46257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45345</v>
      </c>
      <c r="E468" s="1" t="n">
        <v>46257</v>
      </c>
      <c r="F468" t="inlineStr">
        <is>
          <t>SÖDERMANLANDS LÄN</t>
        </is>
      </c>
      <c r="G468" t="inlineStr">
        <is>
          <t>FLEN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46257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46257</v>
      </c>
      <c r="F470" t="inlineStr">
        <is>
          <t>SÖDERMANLANDS LÄN</t>
        </is>
      </c>
      <c r="G470" t="inlineStr">
        <is>
          <t>FLEN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45888</v>
      </c>
      <c r="E471" s="1" t="n">
        <v>46257</v>
      </c>
      <c r="F471" t="inlineStr">
        <is>
          <t>SÖDERMANLANDS LÄN</t>
        </is>
      </c>
      <c r="G471" t="inlineStr">
        <is>
          <t>FLEN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44648</v>
      </c>
      <c r="E472" s="1" t="n">
        <v>46257</v>
      </c>
      <c r="F472" t="inlineStr">
        <is>
          <t>SÖDERMANLANDS LÄN</t>
        </is>
      </c>
      <c r="G472" t="inlineStr">
        <is>
          <t>FLEN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45805</v>
      </c>
      <c r="E473" s="1" t="n">
        <v>46257</v>
      </c>
      <c r="F473" t="inlineStr">
        <is>
          <t>SÖDERMANLANDS LÄN</t>
        </is>
      </c>
      <c r="G473" t="inlineStr">
        <is>
          <t>FLEN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45718</v>
      </c>
      <c r="E474" s="1" t="n">
        <v>46257</v>
      </c>
      <c r="F474" t="inlineStr">
        <is>
          <t>SÖDERMANLANDS LÄN</t>
        </is>
      </c>
      <c r="G474" t="inlineStr">
        <is>
          <t>FLEN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44739</v>
      </c>
      <c r="E475" s="1" t="n">
        <v>46257</v>
      </c>
      <c r="F475" t="inlineStr">
        <is>
          <t>SÖDERMANLANDS LÄN</t>
        </is>
      </c>
      <c r="G475" t="inlineStr">
        <is>
          <t>FLEN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45454</v>
      </c>
      <c r="E476" s="1" t="n">
        <v>46257</v>
      </c>
      <c r="F476" t="inlineStr">
        <is>
          <t>SÖDERMANLANDS LÄN</t>
        </is>
      </c>
      <c r="G476" t="inlineStr">
        <is>
          <t>FLEN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46257</v>
      </c>
      <c r="F477" t="inlineStr">
        <is>
          <t>SÖDERMANLANDS LÄN</t>
        </is>
      </c>
      <c r="G477" t="inlineStr">
        <is>
          <t>FLEN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45789</v>
      </c>
      <c r="E478" s="1" t="n">
        <v>46257</v>
      </c>
      <c r="F478" t="inlineStr">
        <is>
          <t>SÖDERMANLANDS LÄN</t>
        </is>
      </c>
      <c r="G478" t="inlineStr">
        <is>
          <t>FLEN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46257</v>
      </c>
      <c r="F479" t="inlineStr">
        <is>
          <t>SÖDERMANLANDS LÄN</t>
        </is>
      </c>
      <c r="G479" t="inlineStr">
        <is>
          <t>FLEN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46257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44580</v>
      </c>
      <c r="E481" s="1" t="n">
        <v>46257</v>
      </c>
      <c r="F481" t="inlineStr">
        <is>
          <t>SÖDERMANLANDS LÄN</t>
        </is>
      </c>
      <c r="G481" t="inlineStr">
        <is>
          <t>FLEN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46257</v>
      </c>
      <c r="F482" t="inlineStr">
        <is>
          <t>SÖDERMANLANDS LÄN</t>
        </is>
      </c>
      <c r="G482" t="inlineStr">
        <is>
          <t>FLEN</t>
        </is>
      </c>
      <c r="H482" t="inlineStr">
        <is>
          <t>Kyrkan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46249</v>
      </c>
      <c r="E483" s="1" t="n">
        <v>46257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46251</v>
      </c>
      <c r="E484" s="1" t="n">
        <v>46257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33730-2026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46251</v>
      </c>
      <c r="E485" s="1" t="n">
        <v>46257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46257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56229-2025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45974</v>
      </c>
      <c r="E487" s="1" t="n">
        <v>46257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46257</v>
      </c>
      <c r="F488" t="inlineStr">
        <is>
          <t>SÖDERMANLANDS LÄN</t>
        </is>
      </c>
      <c r="G488" t="inlineStr">
        <is>
          <t>FLEN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33936-2026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46250</v>
      </c>
      <c r="E489" s="1" t="n">
        <v>46257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44769</v>
      </c>
      <c r="E490" s="1" t="n">
        <v>46257</v>
      </c>
      <c r="F490" t="inlineStr">
        <is>
          <t>SÖDERMANLANDS LÄN</t>
        </is>
      </c>
      <c r="G490" t="inlineStr">
        <is>
          <t>FLEN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45110</v>
      </c>
      <c r="E491" s="1" t="n">
        <v>46257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46257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46257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46257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46257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46257</v>
      </c>
      <c r="F496" t="inlineStr">
        <is>
          <t>SÖDERMANLANDS LÄN</t>
        </is>
      </c>
      <c r="G496" t="inlineStr">
        <is>
          <t>FLEN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46257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45175</v>
      </c>
      <c r="E498" s="1" t="n">
        <v>46257</v>
      </c>
      <c r="F498" t="inlineStr">
        <is>
          <t>SÖDERMANLANDS LÄN</t>
        </is>
      </c>
      <c r="G498" t="inlineStr">
        <is>
          <t>FLEN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46257</v>
      </c>
      <c r="F499" t="inlineStr">
        <is>
          <t>SÖDERMANLANDS LÄN</t>
        </is>
      </c>
      <c r="G499" t="inlineStr">
        <is>
          <t>FLEN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45895</v>
      </c>
      <c r="E500" s="1" t="n">
        <v>46257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46257</v>
      </c>
      <c r="F501" t="inlineStr">
        <is>
          <t>SÖDERMANLANDS LÄN</t>
        </is>
      </c>
      <c r="G501" t="inlineStr">
        <is>
          <t>FLEN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59439-2022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46257</v>
      </c>
      <c r="F502" t="inlineStr">
        <is>
          <t>SÖDERMANLANDS LÄN</t>
        </is>
      </c>
      <c r="G502" t="inlineStr">
        <is>
          <t>FLEN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45365</v>
      </c>
      <c r="E503" s="1" t="n">
        <v>46257</v>
      </c>
      <c r="F503" t="inlineStr">
        <is>
          <t>SÖDERMANLANDS LÄN</t>
        </is>
      </c>
      <c r="G503" t="inlineStr">
        <is>
          <t>FLEN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45244</v>
      </c>
      <c r="E504" s="1" t="n">
        <v>46257</v>
      </c>
      <c r="F504" t="inlineStr">
        <is>
          <t>SÖDERMANLANDS LÄN</t>
        </is>
      </c>
      <c r="G504" t="inlineStr">
        <is>
          <t>FLEN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46257</v>
      </c>
      <c r="F505" t="inlineStr">
        <is>
          <t>SÖDERMANLANDS LÄN</t>
        </is>
      </c>
      <c r="G505" t="inlineStr">
        <is>
          <t>FLEN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44807</v>
      </c>
      <c r="E506" s="1" t="n">
        <v>46257</v>
      </c>
      <c r="F506" t="inlineStr">
        <is>
          <t>SÖDERMANLANDS LÄN</t>
        </is>
      </c>
      <c r="G506" t="inlineStr">
        <is>
          <t>FLEN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44634</v>
      </c>
      <c r="E507" s="1" t="n">
        <v>46257</v>
      </c>
      <c r="F507" t="inlineStr">
        <is>
          <t>SÖDERMANLANDS LÄN</t>
        </is>
      </c>
      <c r="G507" t="inlineStr">
        <is>
          <t>FLEN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45791</v>
      </c>
      <c r="E508" s="1" t="n">
        <v>46257</v>
      </c>
      <c r="F508" t="inlineStr">
        <is>
          <t>SÖDERMANLANDS LÄN</t>
        </is>
      </c>
      <c r="G508" t="inlineStr">
        <is>
          <t>FLEN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41806-2023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45176</v>
      </c>
      <c r="E509" s="1" t="n">
        <v>46257</v>
      </c>
      <c r="F509" t="inlineStr">
        <is>
          <t>SÖDERMANLANDS LÄN</t>
        </is>
      </c>
      <c r="G509" t="inlineStr">
        <is>
          <t>FLEN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45993</v>
      </c>
      <c r="E510" s="1" t="n">
        <v>46257</v>
      </c>
      <c r="F510" t="inlineStr">
        <is>
          <t>SÖDERMANLANDS LÄN</t>
        </is>
      </c>
      <c r="G510" t="inlineStr">
        <is>
          <t>FLEN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46257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46257</v>
      </c>
      <c r="F512" t="inlineStr">
        <is>
          <t>SÖDERMANLANDS LÄN</t>
        </is>
      </c>
      <c r="G512" t="inlineStr">
        <is>
          <t>FLEN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45256</v>
      </c>
      <c r="E513" s="1" t="n">
        <v>46257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46257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45448</v>
      </c>
      <c r="E515" s="1" t="n">
        <v>46257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13233-2024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45386</v>
      </c>
      <c r="E516" s="1" t="n">
        <v>46257</v>
      </c>
      <c r="F516" t="inlineStr">
        <is>
          <t>SÖDERMANLANDS LÄN</t>
        </is>
      </c>
      <c r="G516" t="inlineStr">
        <is>
          <t>FLEN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8293-2022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44610</v>
      </c>
      <c r="E517" s="1" t="n">
        <v>46257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45014</v>
      </c>
      <c r="E518" s="1" t="n">
        <v>46257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46257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46257</v>
      </c>
      <c r="F520" t="inlineStr">
        <is>
          <t>SÖDERMANLANDS LÄN</t>
        </is>
      </c>
      <c r="G520" t="inlineStr">
        <is>
          <t>FLEN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4899-2023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44958</v>
      </c>
      <c r="E521" s="1" t="n">
        <v>46257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20952-2025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45777</v>
      </c>
      <c r="E522" s="1" t="n">
        <v>46257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46257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46257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46257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46257</v>
      </c>
      <c r="F526" t="inlineStr">
        <is>
          <t>SÖDERMANLANDS LÄN</t>
        </is>
      </c>
      <c r="G526" t="inlineStr">
        <is>
          <t>FLEN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44883</v>
      </c>
      <c r="E527" s="1" t="n">
        <v>46257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44852</v>
      </c>
      <c r="E528" s="1" t="n">
        <v>46257</v>
      </c>
      <c r="F528" t="inlineStr">
        <is>
          <t>SÖDERMANLANDS LÄN</t>
        </is>
      </c>
      <c r="G528" t="inlineStr">
        <is>
          <t>FLEN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46257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46257</v>
      </c>
      <c r="F530" t="inlineStr">
        <is>
          <t>SÖDERMANLANDS LÄN</t>
        </is>
      </c>
      <c r="G530" t="inlineStr">
        <is>
          <t>FLEN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46257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46257</v>
      </c>
      <c r="F532" t="inlineStr">
        <is>
          <t>SÖDERMANLANDS LÄN</t>
        </is>
      </c>
      <c r="G532" t="inlineStr">
        <is>
          <t>FLEN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45610</v>
      </c>
      <c r="E533" s="1" t="n">
        <v>46257</v>
      </c>
      <c r="F533" t="inlineStr">
        <is>
          <t>SÖDERMANLANDS LÄN</t>
        </is>
      </c>
      <c r="G533" t="inlineStr">
        <is>
          <t>FLEN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40412-2024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45555</v>
      </c>
      <c r="E534" s="1" t="n">
        <v>46257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46257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46257</v>
      </c>
      <c r="F536" t="inlineStr">
        <is>
          <t>SÖDERMANLANDS LÄN</t>
        </is>
      </c>
      <c r="G536" t="inlineStr">
        <is>
          <t>FLEN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46257</v>
      </c>
      <c r="F537" t="inlineStr">
        <is>
          <t>SÖDERMANLANDS LÄN</t>
        </is>
      </c>
      <c r="G537" t="inlineStr">
        <is>
          <t>FLEN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46257</v>
      </c>
      <c r="F538" t="inlineStr">
        <is>
          <t>SÖDERMANLANDS LÄN</t>
        </is>
      </c>
      <c r="G538" t="inlineStr">
        <is>
          <t>FLEN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458-2023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44964</v>
      </c>
      <c r="E539" s="1" t="n">
        <v>46257</v>
      </c>
      <c r="F539" t="inlineStr">
        <is>
          <t>SÖDERMANLANDS LÄN</t>
        </is>
      </c>
      <c r="G539" t="inlineStr">
        <is>
          <t>FLEN</t>
        </is>
      </c>
      <c r="H539" t="inlineStr">
        <is>
          <t>Kyrkan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292-2025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45686</v>
      </c>
      <c r="E540" s="1" t="n">
        <v>46257</v>
      </c>
      <c r="F540" t="inlineStr">
        <is>
          <t>SÖDERMANLANDS LÄN</t>
        </is>
      </c>
      <c r="G540" t="inlineStr">
        <is>
          <t>FLEN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3723-2022</t>
        </is>
      </c>
      <c r="B541" t="inlineStr">
        <is>
          <t>samrådsanmälan</t>
        </is>
      </c>
      <c r="C541" t="inlineStr">
        <is>
          <t>Åtgärd i nyckelbiotop</t>
        </is>
      </c>
      <c r="D541" s="1" t="n">
        <v>44742</v>
      </c>
      <c r="E541" s="1" t="n">
        <v>46257</v>
      </c>
      <c r="F541" t="inlineStr">
        <is>
          <t>SÖDERMANLANDS LÄN</t>
        </is>
      </c>
      <c r="G541" t="inlineStr">
        <is>
          <t>FLEN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46257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46257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1976-2024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45446</v>
      </c>
      <c r="E544" s="1" t="n">
        <v>46257</v>
      </c>
      <c r="F544" t="inlineStr">
        <is>
          <t>SÖDERMANLANDS LÄN</t>
        </is>
      </c>
      <c r="G544" t="inlineStr">
        <is>
          <t>FLEN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1287-2024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45403</v>
      </c>
      <c r="E545" s="1" t="n">
        <v>46257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1528-2026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46164</v>
      </c>
      <c r="E546" s="1" t="n">
        <v>46257</v>
      </c>
      <c r="F546" t="inlineStr">
        <is>
          <t>SÖDERMANLANDS LÄN</t>
        </is>
      </c>
      <c r="G546" t="inlineStr">
        <is>
          <t>FLEN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2026-08-23T01:48:40Z</dcterms:created>
  <dcterms:modified xmlns:dcterms="http://purl.org/dc/terms/" xmlns:xsi="http://www.w3.org/2001/XMLSchema-instance" xsi:type="dcterms:W3CDTF">2026-08-23T01:48:40Z</dcterms:modified>
</cp:coreProperties>
</file>