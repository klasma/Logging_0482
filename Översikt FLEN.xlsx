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46224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46224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46224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46224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46224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46224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46224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46224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46224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46224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46224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46224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46224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46224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46224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46224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46224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46224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46224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46224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46224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46224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46224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46224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46224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46224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46224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46224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46224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46224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46224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46224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46224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46224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46224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46224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46224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46224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46224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46224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46224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46224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46224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46224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46224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46224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46224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46224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46224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46224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46224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46224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46224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46224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46224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50215-2022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46224</v>
      </c>
      <c r="F73" t="inlineStr">
        <is>
          <t>SÖDERMANLANDS LÄN</t>
        </is>
      </c>
      <c r="G73" t="inlineStr">
        <is>
          <t>FLEN</t>
        </is>
      </c>
      <c r="H73" t="inlineStr">
        <is>
          <t>Kyrkan</t>
        </is>
      </c>
      <c r="I73" t="n">
        <v>2.2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Äkta lopplummer</t>
        </is>
      </c>
      <c r="W73">
        <f>HYPERLINK("https://klasma.github.io/Logging_0482/artfynd/A 50215-2022 artfynd.xlsx", "A 50215-2022")</f>
        <v/>
      </c>
      <c r="X73">
        <f>HYPERLINK("https://klasma.github.io/Logging_0482/kartor/A 50215-2022 karta.png", "A 50215-2022")</f>
        <v/>
      </c>
      <c r="Y73">
        <f>HYPERLINK("https://klasma.github.io/Logging_0482/kartor_geotiff/A 50215-2022 georefererad karta.tif", "A 50215-2022")</f>
        <v/>
      </c>
      <c r="Z73">
        <f>HYPERLINK("https://klasma.github.io/Logging_0482/knärot/A 50215-2022 karta knärot.png", "A 50215-2022")</f>
        <v/>
      </c>
      <c r="AA73">
        <f>HYPERLINK("https://klasma.github.io/Logging_0482/klagomål/A 50215-2022 FSC-klagomål.docx", "A 50215-2022")</f>
        <v/>
      </c>
      <c r="AB73">
        <f>HYPERLINK("https://klasma.github.io/Logging_0482/klagomålsmail/A 50215-2022 FSC-klagomål mail.docx", "A 50215-2022")</f>
        <v/>
      </c>
      <c r="AC73">
        <f>HYPERLINK("https://klasma.github.io/Logging_0482/tillsyn/A 50215-2022 tillsynsbegäran.docx", "A 50215-2022")</f>
        <v/>
      </c>
      <c r="AD73">
        <f>HYPERLINK("https://klasma.github.io/Logging_0482/tillsynsmail/A 50215-2022 tillsynsbegäran mail.docx", "A 50215-2022")</f>
        <v/>
      </c>
    </row>
    <row r="74" ht="15" customHeight="1">
      <c r="A74" t="inlineStr">
        <is>
          <t>A 15452-2024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46224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Svinrot
Älg</t>
        </is>
      </c>
      <c r="W74">
        <f>HYPERLINK("https://klasma.github.io/Logging_0482/artfynd/A 15452-2024 artfynd.xlsx", "A 15452-2024")</f>
        <v/>
      </c>
      <c r="X74">
        <f>HYPERLINK("https://klasma.github.io/Logging_0482/kartor/A 15452-2024 karta.png", "A 15452-2024")</f>
        <v/>
      </c>
      <c r="Y74">
        <f>HYPERLINK("https://klasma.github.io/Logging_0482/kartor_geotiff/A 15452-2024 georefererad karta.tif", "A 15452-2024")</f>
        <v/>
      </c>
      <c r="AA74">
        <f>HYPERLINK("https://klasma.github.io/Logging_0482/klagomål/A 15452-2024 FSC-klagomål.docx", "A 15452-2024")</f>
        <v/>
      </c>
      <c r="AB74">
        <f>HYPERLINK("https://klasma.github.io/Logging_0482/klagomålsmail/A 15452-2024 FSC-klagomål mail.docx", "A 15452-2024")</f>
        <v/>
      </c>
      <c r="AC74">
        <f>HYPERLINK("https://klasma.github.io/Logging_0482/tillsyn/A 15452-2024 tillsynsbegäran.docx", "A 15452-2024")</f>
        <v/>
      </c>
      <c r="AD74">
        <f>HYPERLINK("https://klasma.github.io/Logging_0482/tillsynsmail/A 15452-2024 tillsynsbegäran mail.docx", "A 15452-2024")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46224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4330-2026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46224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4.9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Backstarr
Blåsippa</t>
        </is>
      </c>
      <c r="W76">
        <f>HYPERLINK("https://klasma.github.io/Logging_0482/artfynd/A 4330-2026 artfynd.xlsx", "A 4330-2026")</f>
        <v/>
      </c>
      <c r="X76">
        <f>HYPERLINK("https://klasma.github.io/Logging_0482/kartor/A 4330-2026 karta.png", "A 4330-2026")</f>
        <v/>
      </c>
      <c r="Y76">
        <f>HYPERLINK("https://klasma.github.io/Logging_0482/kartor_geotiff/A 4330-2026 georefererad karta.tif", "A 4330-2026")</f>
        <v/>
      </c>
      <c r="AA76">
        <f>HYPERLINK("https://klasma.github.io/Logging_0482/klagomål/A 4330-2026 FSC-klagomål.docx", "A 4330-2026")</f>
        <v/>
      </c>
      <c r="AB76">
        <f>HYPERLINK("https://klasma.github.io/Logging_0482/klagomålsmail/A 4330-2026 FSC-klagomål mail.docx", "A 4330-2026")</f>
        <v/>
      </c>
      <c r="AC76">
        <f>HYPERLINK("https://klasma.github.io/Logging_0482/tillsyn/A 4330-2026 tillsynsbegäran.docx", "A 4330-2026")</f>
        <v/>
      </c>
      <c r="AD76">
        <f>HYPERLINK("https://klasma.github.io/Logging_0482/tillsynsmail/A 4330-2026 tillsynsbegäran mail.docx", "A 4330-2026")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46224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46224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Större vattensalamander
Mindre vattensalamander</t>
        </is>
      </c>
      <c r="W78">
        <f>HYPERLINK("https://klasma.github.io/Logging_0482/artfynd/A 8887-2026 artfynd.xlsx", "A 8887-2026")</f>
        <v/>
      </c>
      <c r="X78">
        <f>HYPERLINK("https://klasma.github.io/Logging_0482/kartor/A 8887-2026 karta.png", "A 8887-2026")</f>
        <v/>
      </c>
      <c r="Y78">
        <f>HYPERLINK("https://klasma.github.io/Logging_0482/kartor_geotiff/A 8887-2026 georefererad karta.tif", "A 8887-2026")</f>
        <v/>
      </c>
      <c r="AA78">
        <f>HYPERLINK("https://klasma.github.io/Logging_0482/klagomål/A 8887-2026 FSC-klagomål.docx", "A 8887-2026")</f>
        <v/>
      </c>
      <c r="AB78">
        <f>HYPERLINK("https://klasma.github.io/Logging_0482/klagomålsmail/A 8887-2026 FSC-klagomål mail.docx", "A 8887-2026")</f>
        <v/>
      </c>
      <c r="AC78">
        <f>HYPERLINK("https://klasma.github.io/Logging_0482/tillsyn/A 8887-2026 tillsynsbegäran.docx", "A 8887-2026")</f>
        <v/>
      </c>
      <c r="AD78">
        <f>HYPERLINK("https://klasma.github.io/Logging_0482/tillsynsmail/A 8887-2026 tillsynsbegäran mail.docx", "A 8887-2026")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46224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38882-2021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44411</v>
      </c>
      <c r="E80" s="1" t="n">
        <v>46224</v>
      </c>
      <c r="F80" t="inlineStr">
        <is>
          <t>SÖDERMANLANDS LÄN</t>
        </is>
      </c>
      <c r="G80" t="inlineStr">
        <is>
          <t>FLEN</t>
        </is>
      </c>
      <c r="I80" t="n">
        <v>3.4</v>
      </c>
      <c r="J80" t="n">
        <v>1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Grönpyrola</t>
        </is>
      </c>
      <c r="W80">
        <f>HYPERLINK("https://klasma.github.io/Logging_0482/artfynd/A 38882-2021 artfynd.xlsx", "A 38882-2021")</f>
        <v/>
      </c>
      <c r="X80">
        <f>HYPERLINK("https://klasma.github.io/Logging_0482/kartor/A 38882-2021 karta.png", "A 38882-2021")</f>
        <v/>
      </c>
      <c r="Y80">
        <f>HYPERLINK("https://klasma.github.io/Logging_0482/kartor_geotiff/A 38882-2021 georefererad karta.tif", "A 38882-2021")</f>
        <v/>
      </c>
      <c r="Z80">
        <f>HYPERLINK("https://klasma.github.io/Logging_0482/knärot/A 38882-2021 karta knärot.png", "A 38882-2021")</f>
        <v/>
      </c>
      <c r="AA80">
        <f>HYPERLINK("https://klasma.github.io/Logging_0482/klagomål/A 38882-2021 FSC-klagomål.docx", "A 38882-2021")</f>
        <v/>
      </c>
      <c r="AB80">
        <f>HYPERLINK("https://klasma.github.io/Logging_0482/klagomålsmail/A 38882-2021 FSC-klagomål mail.docx", "A 38882-2021")</f>
        <v/>
      </c>
      <c r="AC80">
        <f>HYPERLINK("https://klasma.github.io/Logging_0482/tillsyn/A 38882-2021 tillsynsbegäran.docx", "A 38882-2021")</f>
        <v/>
      </c>
      <c r="AD80">
        <f>HYPERLINK("https://klasma.github.io/Logging_0482/tillsynsmail/A 38882-2021 tillsynsbegäran mail.docx", "A 38882-2021")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46224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46224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Bombmurkla
Blåsippa</t>
        </is>
      </c>
      <c r="W82">
        <f>HYPERLINK("https://klasma.github.io/Logging_0482/artfynd/A 22101-2023 artfynd.xlsx", "A 22101-2023")</f>
        <v/>
      </c>
      <c r="X82">
        <f>HYPERLINK("https://klasma.github.io/Logging_0482/kartor/A 22101-2023 karta.png", "A 22101-2023")</f>
        <v/>
      </c>
      <c r="Y82">
        <f>HYPERLINK("https://klasma.github.io/Logging_0482/kartor_geotiff/A 22101-2023 georefererad karta.tif", "A 22101-2023")</f>
        <v/>
      </c>
      <c r="AA82">
        <f>HYPERLINK("https://klasma.github.io/Logging_0482/klagomål/A 22101-2023 FSC-klagomål.docx", "A 22101-2023")</f>
        <v/>
      </c>
      <c r="AB82">
        <f>HYPERLINK("https://klasma.github.io/Logging_0482/klagomålsmail/A 22101-2023 FSC-klagomål mail.docx", "A 22101-2023")</f>
        <v/>
      </c>
      <c r="AC82">
        <f>HYPERLINK("https://klasma.github.io/Logging_0482/tillsyn/A 22101-2023 tillsynsbegäran.docx", "A 22101-2023")</f>
        <v/>
      </c>
      <c r="AD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46224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46224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46224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46224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Gullklöver
Svinrot</t>
        </is>
      </c>
      <c r="W86">
        <f>HYPERLINK("https://klasma.github.io/Logging_0482/artfynd/A 47194-2022 artfynd.xlsx", "A 47194-2022")</f>
        <v/>
      </c>
      <c r="X86">
        <f>HYPERLINK("https://klasma.github.io/Logging_0482/kartor/A 47194-2022 karta.png", "A 47194-2022")</f>
        <v/>
      </c>
      <c r="Y86">
        <f>HYPERLINK("https://klasma.github.io/Logging_0482/kartor_geotiff/A 47194-2022 georefererad karta.tif", "A 47194-2022")</f>
        <v/>
      </c>
      <c r="AA86">
        <f>HYPERLINK("https://klasma.github.io/Logging_0482/klagomål/A 47194-2022 FSC-klagomål.docx", "A 47194-2022")</f>
        <v/>
      </c>
      <c r="AB86">
        <f>HYPERLINK("https://klasma.github.io/Logging_0482/klagomålsmail/A 47194-2022 FSC-klagomål mail.docx", "A 47194-2022")</f>
        <v/>
      </c>
      <c r="AC86">
        <f>HYPERLINK("https://klasma.github.io/Logging_0482/tillsyn/A 47194-2022 tillsynsbegäran.docx", "A 47194-2022")</f>
        <v/>
      </c>
      <c r="AD86">
        <f>HYPERLINK("https://klasma.github.io/Logging_0482/tillsynsmail/A 47194-2022 tillsynsbegäran mail.docx", "A 47194-2022")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46224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46224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15557-2026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46224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Gullklöver
Svinrot</t>
        </is>
      </c>
      <c r="W89">
        <f>HYPERLINK("https://klasma.github.io/Logging_0482/artfynd/A 15557-2026 artfynd.xlsx", "A 15557-2026")</f>
        <v/>
      </c>
      <c r="X89">
        <f>HYPERLINK("https://klasma.github.io/Logging_0482/kartor/A 15557-2026 karta.png", "A 15557-2026")</f>
        <v/>
      </c>
      <c r="Y89">
        <f>HYPERLINK("https://klasma.github.io/Logging_0482/kartor_geotiff/A 15557-2026 georefererad karta.tif", "A 15557-2026")</f>
        <v/>
      </c>
      <c r="AA89">
        <f>HYPERLINK("https://klasma.github.io/Logging_0482/klagomål/A 15557-2026 FSC-klagomål.docx", "A 15557-2026")</f>
        <v/>
      </c>
      <c r="AB89">
        <f>HYPERLINK("https://klasma.github.io/Logging_0482/klagomålsmail/A 15557-2026 FSC-klagomål mail.docx", "A 15557-2026")</f>
        <v/>
      </c>
      <c r="AC89">
        <f>HYPERLINK("https://klasma.github.io/Logging_0482/tillsyn/A 15557-2026 tillsynsbegäran.docx", "A 15557-2026")</f>
        <v/>
      </c>
      <c r="AD89">
        <f>HYPERLINK("https://klasma.github.io/Logging_0482/tillsynsmail/A 15557-2026 tillsynsbegäran mail.docx", "A 15557-2026")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46224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46224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46224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46224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46224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46224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46224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46224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46224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46224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46224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46224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56308-2024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46224</v>
      </c>
      <c r="F102" t="inlineStr">
        <is>
          <t>SÖDERMANLANDS LÄN</t>
        </is>
      </c>
      <c r="G102" t="inlineStr">
        <is>
          <t>FLEN</t>
        </is>
      </c>
      <c r="I102" t="n">
        <v>2.1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56308-2024 artfynd.xlsx", "A 56308-2024")</f>
        <v/>
      </c>
      <c r="X102">
        <f>HYPERLINK("https://klasma.github.io/Logging_0482/kartor/A 56308-2024 karta.png", "A 56308-2024")</f>
        <v/>
      </c>
      <c r="Y102">
        <f>HYPERLINK("https://klasma.github.io/Logging_0482/kartor_geotiff/A 56308-2024 georefererad karta.tif", "A 56308-2024")</f>
        <v/>
      </c>
      <c r="AA102">
        <f>HYPERLINK("https://klasma.github.io/Logging_0482/klagomål/A 56308-2024 FSC-klagomål.docx", "A 56308-2024")</f>
        <v/>
      </c>
      <c r="AB102">
        <f>HYPERLINK("https://klasma.github.io/Logging_0482/klagomålsmail/A 56308-2024 FSC-klagomål mail.docx", "A 56308-2024")</f>
        <v/>
      </c>
      <c r="AC102">
        <f>HYPERLINK("https://klasma.github.io/Logging_0482/tillsyn/A 56308-2024 tillsynsbegäran.docx", "A 56308-2024")</f>
        <v/>
      </c>
      <c r="AD102">
        <f>HYPERLINK("https://klasma.github.io/Logging_0482/tillsynsmail/A 56308-2024 tillsynsbegäran mail.docx", "A 56308-2024")</f>
        <v/>
      </c>
    </row>
    <row r="103" ht="15" customHeight="1">
      <c r="A103" t="inlineStr">
        <is>
          <t>A 52563-2021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44463</v>
      </c>
      <c r="E103" s="1" t="n">
        <v>46224</v>
      </c>
      <c r="F103" t="inlineStr">
        <is>
          <t>SÖDERMANLANDS LÄN</t>
        </is>
      </c>
      <c r="G103" t="inlineStr">
        <is>
          <t>FLEN</t>
        </is>
      </c>
      <c r="I103" t="n">
        <v>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Gulsparv</t>
        </is>
      </c>
      <c r="W103">
        <f>HYPERLINK("https://klasma.github.io/Logging_0482/artfynd/A 52563-2021 artfynd.xlsx", "A 52563-2021")</f>
        <v/>
      </c>
      <c r="X103">
        <f>HYPERLINK("https://klasma.github.io/Logging_0482/kartor/A 52563-2021 karta.png", "A 52563-2021")</f>
        <v/>
      </c>
      <c r="Y103">
        <f>HYPERLINK("https://klasma.github.io/Logging_0482/kartor_geotiff/A 52563-2021 georefererad karta.tif", "A 52563-2021")</f>
        <v/>
      </c>
      <c r="AA103">
        <f>HYPERLINK("https://klasma.github.io/Logging_0482/klagomål/A 52563-2021 FSC-klagomål.docx", "A 52563-2021")</f>
        <v/>
      </c>
      <c r="AB103">
        <f>HYPERLINK("https://klasma.github.io/Logging_0482/klagomålsmail/A 52563-2021 FSC-klagomål mail.docx", "A 52563-2021")</f>
        <v/>
      </c>
      <c r="AC103">
        <f>HYPERLINK("https://klasma.github.io/Logging_0482/tillsyn/A 52563-2021 tillsynsbegäran.docx", "A 52563-2021")</f>
        <v/>
      </c>
      <c r="AD103">
        <f>HYPERLINK("https://klasma.github.io/Logging_0482/tillsynsmail/A 52563-2021 tillsynsbegäran mail.docx", "A 52563-2021")</f>
        <v/>
      </c>
      <c r="AE103">
        <f>HYPERLINK("https://klasma.github.io/Logging_0482/fåglar/A 52563-2021 prioriterade fågelarter.docx", "A 52563-2021")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46224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13858-2023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45007</v>
      </c>
      <c r="E105" s="1" t="n">
        <v>46224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Svedjenäva</t>
        </is>
      </c>
      <c r="W105">
        <f>HYPERLINK("https://klasma.github.io/Logging_0482/artfynd/A 13858-2023 artfynd.xlsx", "A 13858-2023")</f>
        <v/>
      </c>
      <c r="X105">
        <f>HYPERLINK("https://klasma.github.io/Logging_0482/kartor/A 13858-2023 karta.png", "A 13858-2023")</f>
        <v/>
      </c>
      <c r="Y105">
        <f>HYPERLINK("https://klasma.github.io/Logging_0482/kartor_geotiff/A 13858-2023 georefererad karta.tif", "A 13858-2023")</f>
        <v/>
      </c>
      <c r="AA105">
        <f>HYPERLINK("https://klasma.github.io/Logging_0482/klagomål/A 13858-2023 FSC-klagomål.docx", "A 13858-2023")</f>
        <v/>
      </c>
      <c r="AB105">
        <f>HYPERLINK("https://klasma.github.io/Logging_0482/klagomålsmail/A 13858-2023 FSC-klagomål mail.docx", "A 13858-2023")</f>
        <v/>
      </c>
      <c r="AC105">
        <f>HYPERLINK("https://klasma.github.io/Logging_0482/tillsyn/A 13858-2023 tillsynsbegäran.docx", "A 13858-2023")</f>
        <v/>
      </c>
      <c r="AD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37283-2024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45540</v>
      </c>
      <c r="E106" s="1" t="n">
        <v>46224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Gullklöver</t>
        </is>
      </c>
      <c r="W106">
        <f>HYPERLINK("https://klasma.github.io/Logging_0482/artfynd/A 37283-2024 artfynd.xlsx", "A 37283-2024")</f>
        <v/>
      </c>
      <c r="X106">
        <f>HYPERLINK("https://klasma.github.io/Logging_0482/kartor/A 37283-2024 karta.png", "A 37283-2024")</f>
        <v/>
      </c>
      <c r="Y106">
        <f>HYPERLINK("https://klasma.github.io/Logging_0482/kartor_geotiff/A 37283-2024 georefererad karta.tif", "A 37283-2024")</f>
        <v/>
      </c>
      <c r="AA106">
        <f>HYPERLINK("https://klasma.github.io/Logging_0482/klagomål/A 37283-2024 FSC-klagomål.docx", "A 37283-2024")</f>
        <v/>
      </c>
      <c r="AB106">
        <f>HYPERLINK("https://klasma.github.io/Logging_0482/klagomålsmail/A 37283-2024 FSC-klagomål mail.docx", "A 37283-2024")</f>
        <v/>
      </c>
      <c r="AC106">
        <f>HYPERLINK("https://klasma.github.io/Logging_0482/tillsyn/A 37283-2024 tillsynsbegäran.docx", "A 37283-2024")</f>
        <v/>
      </c>
      <c r="AD106">
        <f>HYPERLINK("https://klasma.github.io/Logging_0482/tillsynsmail/A 37283-2024 tillsynsbegäran mail.docx", "A 37283-2024")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46224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46224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31427-2022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46224</v>
      </c>
      <c r="F109" t="inlineStr">
        <is>
          <t>SÖDERMANLANDS LÄN</t>
        </is>
      </c>
      <c r="G109" t="inlineStr">
        <is>
          <t>FLEN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HYPERLINK("https://klasma.github.io/Logging_0482/artfynd/A 31427-2022 artfynd.xlsx", "A 31427-2022")</f>
        <v/>
      </c>
      <c r="X109">
        <f>HYPERLINK("https://klasma.github.io/Logging_0482/kartor/A 31427-2022 karta.png", "A 31427-2022")</f>
        <v/>
      </c>
      <c r="Y109">
        <f>HYPERLINK("https://klasma.github.io/Logging_0482/kartor_geotiff/A 31427-2022 georefererad karta.tif", "A 31427-2022")</f>
        <v/>
      </c>
      <c r="AA109">
        <f>HYPERLINK("https://klasma.github.io/Logging_0482/klagomål/A 31427-2022 FSC-klagomål.docx", "A 31427-2022")</f>
        <v/>
      </c>
      <c r="AB109">
        <f>HYPERLINK("https://klasma.github.io/Logging_0482/klagomålsmail/A 31427-2022 FSC-klagomål mail.docx", "A 31427-2022")</f>
        <v/>
      </c>
      <c r="AC109">
        <f>HYPERLINK("https://klasma.github.io/Logging_0482/tillsyn/A 31427-2022 tillsynsbegäran.docx", "A 31427-2022")</f>
        <v/>
      </c>
      <c r="AD109">
        <f>HYPERLINK("https://klasma.github.io/Logging_0482/tillsynsmail/A 31427-2022 tillsynsbegäran mail.docx", "A 31427-2022")</f>
        <v/>
      </c>
    </row>
    <row r="110" ht="15" customHeight="1">
      <c r="A110" t="inlineStr">
        <is>
          <t>A 14113-2025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46224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14113-2025 artfynd.xlsx", "A 14113-2025")</f>
        <v/>
      </c>
      <c r="X110">
        <f>HYPERLINK("https://klasma.github.io/Logging_0482/kartor/A 14113-2025 karta.png", "A 14113-2025")</f>
        <v/>
      </c>
      <c r="Y110">
        <f>HYPERLINK("https://klasma.github.io/Logging_0482/kartor_geotiff/A 14113-2025 georefererad karta.tif", "A 14113-2025")</f>
        <v/>
      </c>
      <c r="AA110">
        <f>HYPERLINK("https://klasma.github.io/Logging_0482/klagomål/A 14113-2025 FSC-klagomål.docx", "A 14113-2025")</f>
        <v/>
      </c>
      <c r="AB110">
        <f>HYPERLINK("https://klasma.github.io/Logging_0482/klagomålsmail/A 14113-2025 FSC-klagomål mail.docx", "A 14113-2025")</f>
        <v/>
      </c>
      <c r="AC110">
        <f>HYPERLINK("https://klasma.github.io/Logging_0482/tillsyn/A 14113-2025 tillsynsbegäran.docx", "A 14113-2025")</f>
        <v/>
      </c>
      <c r="AD110">
        <f>HYPERLINK("https://klasma.github.io/Logging_0482/tillsynsmail/A 14113-2025 tillsynsbegäran mail.docx", "A 14113-2025")</f>
        <v/>
      </c>
    </row>
    <row r="111" ht="15" customHeight="1">
      <c r="A111" t="inlineStr">
        <is>
          <t>A 52579-2025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46224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52579-2025 artfynd.xlsx", "A 52579-2025")</f>
        <v/>
      </c>
      <c r="X111">
        <f>HYPERLINK("https://klasma.github.io/Logging_0482/kartor/A 52579-2025 karta.png", "A 52579-2025")</f>
        <v/>
      </c>
      <c r="Y111">
        <f>HYPERLINK("https://klasma.github.io/Logging_0482/kartor_geotiff/A 52579-2025 georefererad karta.tif", "A 52579-2025")</f>
        <v/>
      </c>
      <c r="AA111">
        <f>HYPERLINK("https://klasma.github.io/Logging_0482/klagomål/A 52579-2025 FSC-klagomål.docx", "A 52579-2025")</f>
        <v/>
      </c>
      <c r="AB111">
        <f>HYPERLINK("https://klasma.github.io/Logging_0482/klagomålsmail/A 52579-2025 FSC-klagomål mail.docx", "A 52579-2025")</f>
        <v/>
      </c>
      <c r="AC111">
        <f>HYPERLINK("https://klasma.github.io/Logging_0482/tillsyn/A 52579-2025 tillsynsbegäran.docx", "A 52579-2025")</f>
        <v/>
      </c>
      <c r="AD111">
        <f>HYPERLINK("https://klasma.github.io/Logging_0482/tillsynsmail/A 52579-2025 tillsynsbegäran mail.docx", "A 52579-2025")</f>
        <v/>
      </c>
    </row>
    <row r="112" ht="15" customHeight="1">
      <c r="A112" t="inlineStr">
        <is>
          <t>A 2043-2026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46224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2.1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Scharlakansvaxing</t>
        </is>
      </c>
      <c r="W112">
        <f>HYPERLINK("https://klasma.github.io/Logging_0482/artfynd/A 2043-2026 artfynd.xlsx", "A 2043-2026")</f>
        <v/>
      </c>
      <c r="X112">
        <f>HYPERLINK("https://klasma.github.io/Logging_0482/kartor/A 2043-2026 karta.png", "A 2043-2026")</f>
        <v/>
      </c>
      <c r="Y112">
        <f>HYPERLINK("https://klasma.github.io/Logging_0482/kartor_geotiff/A 2043-2026 georefererad karta.tif", "A 2043-2026")</f>
        <v/>
      </c>
      <c r="AA112">
        <f>HYPERLINK("https://klasma.github.io/Logging_0482/klagomål/A 2043-2026 FSC-klagomål.docx", "A 2043-2026")</f>
        <v/>
      </c>
      <c r="AB112">
        <f>HYPERLINK("https://klasma.github.io/Logging_0482/klagomålsmail/A 2043-2026 FSC-klagomål mail.docx", "A 2043-2026")</f>
        <v/>
      </c>
      <c r="AC112">
        <f>HYPERLINK("https://klasma.github.io/Logging_0482/tillsyn/A 2043-2026 tillsynsbegäran.docx", "A 2043-2026")</f>
        <v/>
      </c>
      <c r="AD112">
        <f>HYPERLINK("https://klasma.github.io/Logging_0482/tillsynsmail/A 2043-2026 tillsynsbegäran mail.docx", "A 2043-2026")</f>
        <v/>
      </c>
    </row>
    <row r="113" ht="15" customHeight="1">
      <c r="A113" t="inlineStr">
        <is>
          <t>A 2036-2026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46224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HYPERLINK("https://klasma.github.io/Logging_0482/artfynd/A 2036-2026 artfynd.xlsx", "A 2036-2026")</f>
        <v/>
      </c>
      <c r="X113">
        <f>HYPERLINK("https://klasma.github.io/Logging_0482/kartor/A 2036-2026 karta.png", "A 2036-2026")</f>
        <v/>
      </c>
      <c r="Y113">
        <f>HYPERLINK("https://klasma.github.io/Logging_0482/kartor_geotiff/A 2036-2026 georefererad karta.tif", "A 2036-2026")</f>
        <v/>
      </c>
      <c r="Z113">
        <f>HYPERLINK("https://klasma.github.io/Logging_0482/knärot/A 2036-2026 karta knärot.png", "A 2036-2026")</f>
        <v/>
      </c>
      <c r="AA113">
        <f>HYPERLINK("https://klasma.github.io/Logging_0482/klagomål/A 2036-2026 FSC-klagomål.docx", "A 2036-2026")</f>
        <v/>
      </c>
      <c r="AB113">
        <f>HYPERLINK("https://klasma.github.io/Logging_0482/klagomålsmail/A 2036-2026 FSC-klagomål mail.docx", "A 2036-2026")</f>
        <v/>
      </c>
      <c r="AC113">
        <f>HYPERLINK("https://klasma.github.io/Logging_0482/tillsyn/A 2036-2026 tillsynsbegäran.docx", "A 2036-2026")</f>
        <v/>
      </c>
      <c r="AD113">
        <f>HYPERLINK("https://klasma.github.io/Logging_0482/tillsynsmail/A 2036-2026 tillsynsbegäran mail.docx", "A 2036-2026")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46224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55092-2021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46224</v>
      </c>
      <c r="F115" t="inlineStr">
        <is>
          <t>SÖDERMANLANDS LÄN</t>
        </is>
      </c>
      <c r="G115" t="inlineStr">
        <is>
          <t>FLEN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Huggorm</t>
        </is>
      </c>
      <c r="W115">
        <f>HYPERLINK("https://klasma.github.io/Logging_0482/artfynd/A 55092-2021 artfynd.xlsx", "A 55092-2021")</f>
        <v/>
      </c>
      <c r="X115">
        <f>HYPERLINK("https://klasma.github.io/Logging_0482/kartor/A 55092-2021 karta.png", "A 55092-2021")</f>
        <v/>
      </c>
      <c r="Y115">
        <f>HYPERLINK("https://klasma.github.io/Logging_0482/kartor_geotiff/A 55092-2021 georefererad karta.tif", "A 55092-2021")</f>
        <v/>
      </c>
      <c r="AA115">
        <f>HYPERLINK("https://klasma.github.io/Logging_0482/klagomål/A 55092-2021 FSC-klagomål.docx", "A 55092-2021")</f>
        <v/>
      </c>
      <c r="AB115">
        <f>HYPERLINK("https://klasma.github.io/Logging_0482/klagomålsmail/A 55092-2021 FSC-klagomål mail.docx", "A 55092-2021")</f>
        <v/>
      </c>
      <c r="AC115">
        <f>HYPERLINK("https://klasma.github.io/Logging_0482/tillsyn/A 55092-2021 tillsynsbegäran.docx", "A 55092-2021")</f>
        <v/>
      </c>
      <c r="AD115">
        <f>HYPERLINK("https://klasma.github.io/Logging_0482/tillsynsmail/A 55092-2021 tillsynsbegäran mail.docx", "A 55092-2021")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46224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46224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9446-2026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46071</v>
      </c>
      <c r="E118" s="1" t="n">
        <v>46224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9446-2026 artfynd.xlsx", "A 9446-2026")</f>
        <v/>
      </c>
      <c r="X118">
        <f>HYPERLINK("https://klasma.github.io/Logging_0482/kartor/A 9446-2026 karta.png", "A 9446-2026")</f>
        <v/>
      </c>
      <c r="Y118">
        <f>HYPERLINK("https://klasma.github.io/Logging_0482/kartor_geotiff/A 9446-2026 georefererad karta.tif", "A 9446-2026")</f>
        <v/>
      </c>
      <c r="AA118">
        <f>HYPERLINK("https://klasma.github.io/Logging_0482/klagomål/A 9446-2026 FSC-klagomål.docx", "A 9446-2026")</f>
        <v/>
      </c>
      <c r="AB118">
        <f>HYPERLINK("https://klasma.github.io/Logging_0482/klagomålsmail/A 9446-2026 FSC-klagomål mail.docx", "A 9446-2026")</f>
        <v/>
      </c>
      <c r="AC118">
        <f>HYPERLINK("https://klasma.github.io/Logging_0482/tillsyn/A 9446-2026 tillsynsbegäran.docx", "A 9446-2026")</f>
        <v/>
      </c>
      <c r="AD118">
        <f>HYPERLINK("https://klasma.github.io/Logging_0482/tillsynsmail/A 9446-2026 tillsynsbegäran mail.docx", "A 9446-2026")</f>
        <v/>
      </c>
    </row>
    <row r="119" ht="15" customHeight="1">
      <c r="A119" t="inlineStr">
        <is>
          <t>A 10999-2026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46224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10999-2026 artfynd.xlsx", "A 10999-2026")</f>
        <v/>
      </c>
      <c r="X119">
        <f>HYPERLINK("https://klasma.github.io/Logging_0482/kartor/A 10999-2026 karta.png", "A 10999-2026")</f>
        <v/>
      </c>
      <c r="Y119">
        <f>HYPERLINK("https://klasma.github.io/Logging_0482/kartor_geotiff/A 10999-2026 georefererad karta.tif", "A 10999-2026")</f>
        <v/>
      </c>
      <c r="AA119">
        <f>HYPERLINK("https://klasma.github.io/Logging_0482/klagomål/A 10999-2026 FSC-klagomål.docx", "A 10999-2026")</f>
        <v/>
      </c>
      <c r="AB119">
        <f>HYPERLINK("https://klasma.github.io/Logging_0482/klagomålsmail/A 10999-2026 FSC-klagomål mail.docx", "A 10999-2026")</f>
        <v/>
      </c>
      <c r="AC119">
        <f>HYPERLINK("https://klasma.github.io/Logging_0482/tillsyn/A 10999-2026 tillsynsbegäran.docx", "A 10999-2026")</f>
        <v/>
      </c>
      <c r="AD119">
        <f>HYPERLINK("https://klasma.github.io/Logging_0482/tillsynsmail/A 10999-2026 tillsynsbegäran mail.docx", "A 10999-2026")</f>
        <v/>
      </c>
    </row>
    <row r="120" ht="15" customHeight="1">
      <c r="A120" t="inlineStr">
        <is>
          <t>A 34721-2023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46224</v>
      </c>
      <c r="F120" t="inlineStr">
        <is>
          <t>SÖDERMANLANDS LÄN</t>
        </is>
      </c>
      <c r="G120" t="inlineStr">
        <is>
          <t>FLEN</t>
        </is>
      </c>
      <c r="I120" t="n">
        <v>4.1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34721-2023 artfynd.xlsx", "A 34721-2023")</f>
        <v/>
      </c>
      <c r="X120">
        <f>HYPERLINK("https://klasma.github.io/Logging_0482/kartor/A 34721-2023 karta.png", "A 34721-2023")</f>
        <v/>
      </c>
      <c r="Y120">
        <f>HYPERLINK("https://klasma.github.io/Logging_0482/kartor_geotiff/A 34721-2023 georefererad karta.tif", "A 34721-2023")</f>
        <v/>
      </c>
      <c r="AA120">
        <f>HYPERLINK("https://klasma.github.io/Logging_0482/klagomål/A 34721-2023 FSC-klagomål.docx", "A 34721-2023")</f>
        <v/>
      </c>
      <c r="AB120">
        <f>HYPERLINK("https://klasma.github.io/Logging_0482/klagomålsmail/A 34721-2023 FSC-klagomål mail.docx", "A 34721-2023")</f>
        <v/>
      </c>
      <c r="AC120">
        <f>HYPERLINK("https://klasma.github.io/Logging_0482/tillsyn/A 34721-2023 tillsynsbegäran.docx", "A 34721-2023")</f>
        <v/>
      </c>
      <c r="AD120">
        <f>HYPERLINK("https://klasma.github.io/Logging_0482/tillsynsmail/A 34721-2023 tillsynsbegäran mail.docx", "A 34721-2023")</f>
        <v/>
      </c>
    </row>
    <row r="121" ht="15" customHeight="1">
      <c r="A121" t="inlineStr">
        <is>
          <t>A 66230-2021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46224</v>
      </c>
      <c r="F121" t="inlineStr">
        <is>
          <t>SÖDERMANLANDS LÄN</t>
        </is>
      </c>
      <c r="G121" t="inlineStr">
        <is>
          <t>FLEN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Svinrot</t>
        </is>
      </c>
      <c r="W121">
        <f>HYPERLINK("https://klasma.github.io/Logging_0482/artfynd/A 66230-2021 artfynd.xlsx", "A 66230-2021")</f>
        <v/>
      </c>
      <c r="X121">
        <f>HYPERLINK("https://klasma.github.io/Logging_0482/kartor/A 66230-2021 karta.png", "A 66230-2021")</f>
        <v/>
      </c>
      <c r="Y121">
        <f>HYPERLINK("https://klasma.github.io/Logging_0482/kartor_geotiff/A 66230-2021 georefererad karta.tif", "A 66230-2021")</f>
        <v/>
      </c>
      <c r="AA121">
        <f>HYPERLINK("https://klasma.github.io/Logging_0482/klagomål/A 66230-2021 FSC-klagomål.docx", "A 66230-2021")</f>
        <v/>
      </c>
      <c r="AB121">
        <f>HYPERLINK("https://klasma.github.io/Logging_0482/klagomålsmail/A 66230-2021 FSC-klagomål mail.docx", "A 66230-2021")</f>
        <v/>
      </c>
      <c r="AC121">
        <f>HYPERLINK("https://klasma.github.io/Logging_0482/tillsyn/A 66230-2021 tillsynsbegäran.docx", "A 66230-2021")</f>
        <v/>
      </c>
      <c r="AD121">
        <f>HYPERLINK("https://klasma.github.io/Logging_0482/tillsynsmail/A 66230-2021 tillsynsbegäran mail.docx", "A 66230-2021")</f>
        <v/>
      </c>
    </row>
    <row r="122" ht="15" customHeight="1">
      <c r="A122" t="inlineStr">
        <is>
          <t>A 1242-2022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46224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Slåtterfibbla</t>
        </is>
      </c>
      <c r="W122">
        <f>HYPERLINK("https://klasma.github.io/Logging_0482/artfynd/A 1242-2022 artfynd.xlsx", "A 1242-2022")</f>
        <v/>
      </c>
      <c r="X122">
        <f>HYPERLINK("https://klasma.github.io/Logging_0482/kartor/A 1242-2022 karta.png", "A 1242-2022")</f>
        <v/>
      </c>
      <c r="Y122">
        <f>HYPERLINK("https://klasma.github.io/Logging_0482/kartor_geotiff/A 1242-2022 georefererad karta.tif", "A 1242-2022")</f>
        <v/>
      </c>
      <c r="AA122">
        <f>HYPERLINK("https://klasma.github.io/Logging_0482/klagomål/A 1242-2022 FSC-klagomål.docx", "A 1242-2022")</f>
        <v/>
      </c>
      <c r="AB122">
        <f>HYPERLINK("https://klasma.github.io/Logging_0482/klagomålsmail/A 1242-2022 FSC-klagomål mail.docx", "A 1242-2022")</f>
        <v/>
      </c>
      <c r="AC122">
        <f>HYPERLINK("https://klasma.github.io/Logging_0482/tillsyn/A 1242-2022 tillsynsbegäran.docx", "A 1242-2022")</f>
        <v/>
      </c>
      <c r="AD122">
        <f>HYPERLINK("https://klasma.github.io/Logging_0482/tillsynsmail/A 1242-2022 tillsynsbegäran mail.docx", "A 1242-2022")</f>
        <v/>
      </c>
    </row>
    <row r="123" ht="15" customHeight="1">
      <c r="A123" t="inlineStr">
        <is>
          <t>A 14101-2025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46224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1.3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HYPERLINK("https://klasma.github.io/Logging_0482/artfynd/A 14101-2025 artfynd.xlsx", "A 14101-2025")</f>
        <v/>
      </c>
      <c r="X123">
        <f>HYPERLINK("https://klasma.github.io/Logging_0482/kartor/A 14101-2025 karta.png", "A 14101-2025")</f>
        <v/>
      </c>
      <c r="Y123">
        <f>HYPERLINK("https://klasma.github.io/Logging_0482/kartor_geotiff/A 14101-2025 georefererad karta.tif", "A 14101-2025")</f>
        <v/>
      </c>
      <c r="AA123">
        <f>HYPERLINK("https://klasma.github.io/Logging_0482/klagomål/A 14101-2025 FSC-klagomål.docx", "A 14101-2025")</f>
        <v/>
      </c>
      <c r="AB123">
        <f>HYPERLINK("https://klasma.github.io/Logging_0482/klagomålsmail/A 14101-2025 FSC-klagomål mail.docx", "A 14101-2025")</f>
        <v/>
      </c>
      <c r="AC123">
        <f>HYPERLINK("https://klasma.github.io/Logging_0482/tillsyn/A 14101-2025 tillsynsbegäran.docx", "A 14101-2025")</f>
        <v/>
      </c>
      <c r="AD123">
        <f>HYPERLINK("https://klasma.github.io/Logging_0482/tillsynsmail/A 14101-2025 tillsynsbegäran mail.docx", "A 14101-2025")</f>
        <v/>
      </c>
    </row>
    <row r="124" ht="15" customHeight="1">
      <c r="A124" t="inlineStr">
        <is>
          <t>A 37317-2023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46224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5.1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Svavelriska</t>
        </is>
      </c>
      <c r="W124">
        <f>HYPERLINK("https://klasma.github.io/Logging_0482/artfynd/A 37317-2023 artfynd.xlsx", "A 37317-2023")</f>
        <v/>
      </c>
      <c r="X124">
        <f>HYPERLINK("https://klasma.github.io/Logging_0482/kartor/A 37317-2023 karta.png", "A 37317-2023")</f>
        <v/>
      </c>
      <c r="Y124">
        <f>HYPERLINK("https://klasma.github.io/Logging_0482/kartor_geotiff/A 37317-2023 georefererad karta.tif", "A 37317-2023")</f>
        <v/>
      </c>
      <c r="AA124">
        <f>HYPERLINK("https://klasma.github.io/Logging_0482/klagomål/A 37317-2023 FSC-klagomål.docx", "A 37317-2023")</f>
        <v/>
      </c>
      <c r="AB124">
        <f>HYPERLINK("https://klasma.github.io/Logging_0482/klagomålsmail/A 37317-2023 FSC-klagomål mail.docx", "A 37317-2023")</f>
        <v/>
      </c>
      <c r="AC124">
        <f>HYPERLINK("https://klasma.github.io/Logging_0482/tillsyn/A 37317-2023 tillsynsbegäran.docx", "A 37317-2023")</f>
        <v/>
      </c>
      <c r="AD124">
        <f>HYPERLINK("https://klasma.github.io/Logging_0482/tillsynsmail/A 37317-2023 tillsynsbegäran mail.docx", "A 37317-2023")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46224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53339-2023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46224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53339-2023 artfynd.xlsx", "A 53339-2023")</f>
        <v/>
      </c>
      <c r="X126">
        <f>HYPERLINK("https://klasma.github.io/Logging_0482/kartor/A 53339-2023 karta.png", "A 53339-2023")</f>
        <v/>
      </c>
      <c r="Y126">
        <f>HYPERLINK("https://klasma.github.io/Logging_0482/kartor_geotiff/A 53339-2023 georefererad karta.tif", "A 53339-2023")</f>
        <v/>
      </c>
      <c r="AA126">
        <f>HYPERLINK("https://klasma.github.io/Logging_0482/klagomål/A 53339-2023 FSC-klagomål.docx", "A 53339-2023")</f>
        <v/>
      </c>
      <c r="AB126">
        <f>HYPERLINK("https://klasma.github.io/Logging_0482/klagomålsmail/A 53339-2023 FSC-klagomål mail.docx", "A 53339-2023")</f>
        <v/>
      </c>
      <c r="AC126">
        <f>HYPERLINK("https://klasma.github.io/Logging_0482/tillsyn/A 53339-2023 tillsynsbegäran.docx", "A 53339-2023")</f>
        <v/>
      </c>
      <c r="AD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16095-2026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46108</v>
      </c>
      <c r="E127" s="1" t="n">
        <v>46224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Bivråk</t>
        </is>
      </c>
      <c r="W127">
        <f>HYPERLINK("https://klasma.github.io/Logging_0482/artfynd/A 16095-2026 artfynd.xlsx", "A 16095-2026")</f>
        <v/>
      </c>
      <c r="X127">
        <f>HYPERLINK("https://klasma.github.io/Logging_0482/kartor/A 16095-2026 karta.png", "A 16095-2026")</f>
        <v/>
      </c>
      <c r="Y127">
        <f>HYPERLINK("https://klasma.github.io/Logging_0482/kartor_geotiff/A 16095-2026 georefererad karta.tif", "A 16095-2026")</f>
        <v/>
      </c>
      <c r="AA127">
        <f>HYPERLINK("https://klasma.github.io/Logging_0482/klagomål/A 16095-2026 FSC-klagomål.docx", "A 16095-2026")</f>
        <v/>
      </c>
      <c r="AB127">
        <f>HYPERLINK("https://klasma.github.io/Logging_0482/klagomålsmail/A 16095-2026 FSC-klagomål mail.docx", "A 16095-2026")</f>
        <v/>
      </c>
      <c r="AC127">
        <f>HYPERLINK("https://klasma.github.io/Logging_0482/tillsyn/A 16095-2026 tillsynsbegäran.docx", "A 16095-2026")</f>
        <v/>
      </c>
      <c r="AD127">
        <f>HYPERLINK("https://klasma.github.io/Logging_0482/tillsynsmail/A 16095-2026 tillsynsbegäran mail.docx", "A 16095-2026")</f>
        <v/>
      </c>
      <c r="AE127">
        <f>HYPERLINK("https://klasma.github.io/Logging_0482/fåglar/A 16095-2026 prioriterade fågelarter.docx", "A 16095-2026")</f>
        <v/>
      </c>
    </row>
    <row r="128" ht="15" customHeight="1">
      <c r="A128" t="inlineStr">
        <is>
          <t>A 52546-2021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44463</v>
      </c>
      <c r="E128" s="1" t="n">
        <v>46224</v>
      </c>
      <c r="F128" t="inlineStr">
        <is>
          <t>SÖDERMANLANDS LÄN</t>
        </is>
      </c>
      <c r="G128" t="inlineStr">
        <is>
          <t>FLEN</t>
        </is>
      </c>
      <c r="I128" t="n">
        <v>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Mindre bastardsvärmare</t>
        </is>
      </c>
      <c r="W128">
        <f>HYPERLINK("https://klasma.github.io/Logging_0482/artfynd/A 52546-2021 artfynd.xlsx", "A 52546-2021")</f>
        <v/>
      </c>
      <c r="X128">
        <f>HYPERLINK("https://klasma.github.io/Logging_0482/kartor/A 52546-2021 karta.png", "A 52546-2021")</f>
        <v/>
      </c>
      <c r="Y128">
        <f>HYPERLINK("https://klasma.github.io/Logging_0482/kartor_geotiff/A 52546-2021 georefererad karta.tif", "A 52546-2021")</f>
        <v/>
      </c>
      <c r="AA128">
        <f>HYPERLINK("https://klasma.github.io/Logging_0482/klagomål/A 52546-2021 FSC-klagomål.docx", "A 52546-2021")</f>
        <v/>
      </c>
      <c r="AB128">
        <f>HYPERLINK("https://klasma.github.io/Logging_0482/klagomålsmail/A 52546-2021 FSC-klagomål mail.docx", "A 52546-2021")</f>
        <v/>
      </c>
      <c r="AC128">
        <f>HYPERLINK("https://klasma.github.io/Logging_0482/tillsyn/A 52546-2021 tillsynsbegäran.docx", "A 52546-2021")</f>
        <v/>
      </c>
      <c r="AD128">
        <f>HYPERLINK("https://klasma.github.io/Logging_0482/tillsynsmail/A 52546-2021 tillsynsbegäran mail.docx", "A 52546-2021")</f>
        <v/>
      </c>
    </row>
    <row r="129" ht="15" customHeight="1">
      <c r="A129" t="inlineStr">
        <is>
          <t>A 45120-2021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46224</v>
      </c>
      <c r="F129" t="inlineStr">
        <is>
          <t>SÖDERMANLANDS LÄN</t>
        </is>
      </c>
      <c r="G129" t="inlineStr">
        <is>
          <t>FLEN</t>
        </is>
      </c>
      <c r="I129" t="n">
        <v>1.5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45120-2021 artfynd.xlsx", "A 45120-2021")</f>
        <v/>
      </c>
      <c r="X129">
        <f>HYPERLINK("https://klasma.github.io/Logging_0482/kartor/A 45120-2021 karta.png", "A 45120-2021")</f>
        <v/>
      </c>
      <c r="Y129">
        <f>HYPERLINK("https://klasma.github.io/Logging_0482/kartor_geotiff/A 45120-2021 georefererad karta.tif", "A 45120-2021")</f>
        <v/>
      </c>
      <c r="AA129">
        <f>HYPERLINK("https://klasma.github.io/Logging_0482/klagomål/A 45120-2021 FSC-klagomål.docx", "A 45120-2021")</f>
        <v/>
      </c>
      <c r="AB129">
        <f>HYPERLINK("https://klasma.github.io/Logging_0482/klagomålsmail/A 45120-2021 FSC-klagomål mail.docx", "A 45120-2021")</f>
        <v/>
      </c>
      <c r="AC129">
        <f>HYPERLINK("https://klasma.github.io/Logging_0482/tillsyn/A 45120-2021 tillsynsbegäran.docx", "A 45120-2021")</f>
        <v/>
      </c>
      <c r="AD129">
        <f>HYPERLINK("https://klasma.github.io/Logging_0482/tillsynsmail/A 45120-2021 tillsynsbegäran mail.docx", "A 45120-2021")</f>
        <v/>
      </c>
    </row>
    <row r="130" ht="15" customHeight="1">
      <c r="A130" t="inlineStr">
        <is>
          <t>A 46987-2024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46224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46987-2024 artfynd.xlsx", "A 46987-2024")</f>
        <v/>
      </c>
      <c r="X130">
        <f>HYPERLINK("https://klasma.github.io/Logging_0482/kartor/A 46987-2024 karta.png", "A 46987-2024")</f>
        <v/>
      </c>
      <c r="Y130">
        <f>HYPERLINK("https://klasma.github.io/Logging_0482/kartor_geotiff/A 46987-2024 georefererad karta.tif", "A 46987-2024")</f>
        <v/>
      </c>
      <c r="AA130">
        <f>HYPERLINK("https://klasma.github.io/Logging_0482/klagomål/A 46987-2024 FSC-klagomål.docx", "A 46987-2024")</f>
        <v/>
      </c>
      <c r="AB130">
        <f>HYPERLINK("https://klasma.github.io/Logging_0482/klagomålsmail/A 46987-2024 FSC-klagomål mail.docx", "A 46987-2024")</f>
        <v/>
      </c>
      <c r="AC130">
        <f>HYPERLINK("https://klasma.github.io/Logging_0482/tillsyn/A 46987-2024 tillsynsbegäran.docx", "A 46987-2024")</f>
        <v/>
      </c>
      <c r="AD130">
        <f>HYPERLINK("https://klasma.github.io/Logging_0482/tillsynsmail/A 46987-2024 tillsynsbegäran mail.docx", "A 46987-2024")</f>
        <v/>
      </c>
    </row>
    <row r="131" ht="15" customHeight="1">
      <c r="A131" t="inlineStr">
        <is>
          <t>A 10770-2022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44624</v>
      </c>
      <c r="E131" s="1" t="n">
        <v>46224</v>
      </c>
      <c r="F131" t="inlineStr">
        <is>
          <t>SÖDERMANLANDS LÄN</t>
        </is>
      </c>
      <c r="G131" t="inlineStr">
        <is>
          <t>FLEN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10770-2022 artfynd.xlsx", "A 10770-2022")</f>
        <v/>
      </c>
      <c r="X131">
        <f>HYPERLINK("https://klasma.github.io/Logging_0482/kartor/A 10770-2022 karta.png", "A 10770-2022")</f>
        <v/>
      </c>
      <c r="Y131">
        <f>HYPERLINK("https://klasma.github.io/Logging_0482/kartor_geotiff/A 10770-2022 georefererad karta.tif", "A 10770-2022")</f>
        <v/>
      </c>
      <c r="AA131">
        <f>HYPERLINK("https://klasma.github.io/Logging_0482/klagomål/A 10770-2022 FSC-klagomål.docx", "A 10770-2022")</f>
        <v/>
      </c>
      <c r="AB131">
        <f>HYPERLINK("https://klasma.github.io/Logging_0482/klagomålsmail/A 10770-2022 FSC-klagomål mail.docx", "A 10770-2022")</f>
        <v/>
      </c>
      <c r="AC131">
        <f>HYPERLINK("https://klasma.github.io/Logging_0482/tillsyn/A 10770-2022 tillsynsbegäran.docx", "A 10770-2022")</f>
        <v/>
      </c>
      <c r="AD131">
        <f>HYPERLINK("https://klasma.github.io/Logging_0482/tillsynsmail/A 10770-2022 tillsynsbegäran mail.docx", "A 10770-2022")</f>
        <v/>
      </c>
    </row>
    <row r="132" ht="15" customHeight="1">
      <c r="A132" t="inlineStr">
        <is>
          <t>A 39036-2023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46224</v>
      </c>
      <c r="F132" t="inlineStr">
        <is>
          <t>SÖDERMANLANDS LÄN</t>
        </is>
      </c>
      <c r="G132" t="inlineStr">
        <is>
          <t>FLEN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Igelkott</t>
        </is>
      </c>
      <c r="W132">
        <f>HYPERLINK("https://klasma.github.io/Logging_0482/artfynd/A 39036-2023 artfynd.xlsx", "A 39036-2023")</f>
        <v/>
      </c>
      <c r="X132">
        <f>HYPERLINK("https://klasma.github.io/Logging_0482/kartor/A 39036-2023 karta.png", "A 39036-2023")</f>
        <v/>
      </c>
      <c r="Y132">
        <f>HYPERLINK("https://klasma.github.io/Logging_0482/kartor_geotiff/A 39036-2023 georefererad karta.tif", "A 39036-2023")</f>
        <v/>
      </c>
      <c r="AA132">
        <f>HYPERLINK("https://klasma.github.io/Logging_0482/klagomål/A 39036-2023 FSC-klagomål.docx", "A 39036-2023")</f>
        <v/>
      </c>
      <c r="AB132">
        <f>HYPERLINK("https://klasma.github.io/Logging_0482/klagomålsmail/A 39036-2023 FSC-klagomål mail.docx", "A 39036-2023")</f>
        <v/>
      </c>
      <c r="AC132">
        <f>HYPERLINK("https://klasma.github.io/Logging_0482/tillsyn/A 39036-2023 tillsynsbegäran.docx", "A 39036-2023")</f>
        <v/>
      </c>
      <c r="AD132">
        <f>HYPERLINK("https://klasma.github.io/Logging_0482/tillsynsmail/A 39036-2023 tillsynsbegäran mail.docx", "A 39036-2023")</f>
        <v/>
      </c>
    </row>
    <row r="133" ht="15" customHeight="1">
      <c r="A133" t="inlineStr">
        <is>
          <t>A 12371-2022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46224</v>
      </c>
      <c r="F133" t="inlineStr">
        <is>
          <t>SÖDERMANLANDS LÄN</t>
        </is>
      </c>
      <c r="G133" t="inlineStr">
        <is>
          <t>FLEN</t>
        </is>
      </c>
      <c r="H133" t="inlineStr">
        <is>
          <t>Kommuner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12371-2022 artfynd.xlsx", "A 12371-2022")</f>
        <v/>
      </c>
      <c r="X133">
        <f>HYPERLINK("https://klasma.github.io/Logging_0482/kartor/A 12371-2022 karta.png", "A 12371-2022")</f>
        <v/>
      </c>
      <c r="Y133">
        <f>HYPERLINK("https://klasma.github.io/Logging_0482/kartor_geotiff/A 12371-2022 georefererad karta.tif", "A 12371-2022")</f>
        <v/>
      </c>
      <c r="AA133">
        <f>HYPERLINK("https://klasma.github.io/Logging_0482/klagomål/A 12371-2022 FSC-klagomål.docx", "A 12371-2022")</f>
        <v/>
      </c>
      <c r="AB133">
        <f>HYPERLINK("https://klasma.github.io/Logging_0482/klagomålsmail/A 12371-2022 FSC-klagomål mail.docx", "A 12371-2022")</f>
        <v/>
      </c>
      <c r="AC133">
        <f>HYPERLINK("https://klasma.github.io/Logging_0482/tillsyn/A 12371-2022 tillsynsbegäran.docx", "A 12371-2022")</f>
        <v/>
      </c>
      <c r="AD133">
        <f>HYPERLINK("https://klasma.github.io/Logging_0482/tillsynsmail/A 12371-2022 tillsynsbegäran mail.docx", "A 12371-2022")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46224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Grönpyrola</t>
        </is>
      </c>
      <c r="W134">
        <f>HYPERLINK("https://klasma.github.io/Logging_0482/artfynd/A 60591-2022 artfynd.xlsx", "A 60591-2022")</f>
        <v/>
      </c>
      <c r="X134">
        <f>HYPERLINK("https://klasma.github.io/Logging_0482/kartor/A 60591-2022 karta.png", "A 60591-2022")</f>
        <v/>
      </c>
      <c r="Y134">
        <f>HYPERLINK("https://klasma.github.io/Logging_0482/kartor_geotiff/A 60591-2022 georefererad karta.tif", "A 60591-2022")</f>
        <v/>
      </c>
      <c r="AA134">
        <f>HYPERLINK("https://klasma.github.io/Logging_0482/klagomål/A 60591-2022 FSC-klagomål.docx", "A 60591-2022")</f>
        <v/>
      </c>
      <c r="AB134">
        <f>HYPERLINK("https://klasma.github.io/Logging_0482/klagomålsmail/A 60591-2022 FSC-klagomål mail.docx", "A 60591-2022")</f>
        <v/>
      </c>
      <c r="AC134">
        <f>HYPERLINK("https://klasma.github.io/Logging_0482/tillsyn/A 60591-2022 tillsynsbegäran.docx", "A 60591-2022")</f>
        <v/>
      </c>
      <c r="AD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46224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4259-2023 artfynd.xlsx", "A 4259-2023")</f>
        <v/>
      </c>
      <c r="X135">
        <f>HYPERLINK("https://klasma.github.io/Logging_0482/kartor/A 4259-2023 karta.png", "A 4259-2023")</f>
        <v/>
      </c>
      <c r="Y135">
        <f>HYPERLINK("https://klasma.github.io/Logging_0482/kartor_geotiff/A 4259-2023 georefererad karta.tif", "A 4259-2023")</f>
        <v/>
      </c>
      <c r="AA135">
        <f>HYPERLINK("https://klasma.github.io/Logging_0482/klagomål/A 4259-2023 FSC-klagomål.docx", "A 4259-2023")</f>
        <v/>
      </c>
      <c r="AB135">
        <f>HYPERLINK("https://klasma.github.io/Logging_0482/klagomålsmail/A 4259-2023 FSC-klagomål mail.docx", "A 4259-2023")</f>
        <v/>
      </c>
      <c r="AC135">
        <f>HYPERLINK("https://klasma.github.io/Logging_0482/tillsyn/A 4259-2023 tillsynsbegäran.docx", "A 4259-2023")</f>
        <v/>
      </c>
      <c r="AD135">
        <f>HYPERLINK("https://klasma.github.io/Logging_0482/tillsynsmail/A 4259-2023 tillsynsbegäran mail.docx", "A 4259-2023")</f>
        <v/>
      </c>
    </row>
    <row r="136" ht="15" customHeight="1">
      <c r="A136" t="inlineStr">
        <is>
          <t>A 12306-2022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44637</v>
      </c>
      <c r="E136" s="1" t="n">
        <v>46224</v>
      </c>
      <c r="F136" t="inlineStr">
        <is>
          <t>SÖDERMANLANDS LÄN</t>
        </is>
      </c>
      <c r="G136" t="inlineStr">
        <is>
          <t>FLEN</t>
        </is>
      </c>
      <c r="I136" t="n">
        <v>3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HYPERLINK("https://klasma.github.io/Logging_0482/artfynd/A 12306-2022 artfynd.xlsx", "A 12306-2022")</f>
        <v/>
      </c>
      <c r="X136">
        <f>HYPERLINK("https://klasma.github.io/Logging_0482/kartor/A 12306-2022 karta.png", "A 12306-2022")</f>
        <v/>
      </c>
      <c r="Y136">
        <f>HYPERLINK("https://klasma.github.io/Logging_0482/kartor_geotiff/A 12306-2022 georefererad karta.tif", "A 12306-2022")</f>
        <v/>
      </c>
      <c r="AA136">
        <f>HYPERLINK("https://klasma.github.io/Logging_0482/klagomål/A 12306-2022 FSC-klagomål.docx", "A 12306-2022")</f>
        <v/>
      </c>
      <c r="AB136">
        <f>HYPERLINK("https://klasma.github.io/Logging_0482/klagomålsmail/A 12306-2022 FSC-klagomål mail.docx", "A 12306-2022")</f>
        <v/>
      </c>
      <c r="AC136">
        <f>HYPERLINK("https://klasma.github.io/Logging_0482/tillsyn/A 12306-2022 tillsynsbegäran.docx", "A 12306-2022")</f>
        <v/>
      </c>
      <c r="AD136">
        <f>HYPERLINK("https://klasma.github.io/Logging_0482/tillsynsmail/A 12306-2022 tillsynsbegäran mail.docx", "A 12306-2022")</f>
        <v/>
      </c>
      <c r="AE136">
        <f>HYPERLINK("https://klasma.github.io/Logging_0482/fåglar/A 12306-2022 prioriterade fågelarter.docx", "A 12306-2022")</f>
        <v/>
      </c>
    </row>
    <row r="137" ht="15" customHeight="1">
      <c r="A137" t="inlineStr">
        <is>
          <t>A 29195-2023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46224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3.9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Plattlummer</t>
        </is>
      </c>
      <c r="W137">
        <f>HYPERLINK("https://klasma.github.io/Logging_0482/artfynd/A 29195-2023 artfynd.xlsx", "A 29195-2023")</f>
        <v/>
      </c>
      <c r="X137">
        <f>HYPERLINK("https://klasma.github.io/Logging_0482/kartor/A 29195-2023 karta.png", "A 29195-2023")</f>
        <v/>
      </c>
      <c r="Y137">
        <f>HYPERLINK("https://klasma.github.io/Logging_0482/kartor_geotiff/A 29195-2023 georefererad karta.tif", "A 29195-2023")</f>
        <v/>
      </c>
      <c r="AA137">
        <f>HYPERLINK("https://klasma.github.io/Logging_0482/klagomål/A 29195-2023 FSC-klagomål.docx", "A 29195-2023")</f>
        <v/>
      </c>
      <c r="AB137">
        <f>HYPERLINK("https://klasma.github.io/Logging_0482/klagomålsmail/A 29195-2023 FSC-klagomål mail.docx", "A 29195-2023")</f>
        <v/>
      </c>
      <c r="AC137">
        <f>HYPERLINK("https://klasma.github.io/Logging_0482/tillsyn/A 29195-2023 tillsynsbegäran.docx", "A 29195-2023")</f>
        <v/>
      </c>
      <c r="AD137">
        <f>HYPERLINK("https://klasma.github.io/Logging_0482/tillsynsmail/A 29195-2023 tillsynsbegäran mail.docx", "A 29195-2023")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46224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60562-2021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44495</v>
      </c>
      <c r="E139" s="1" t="n">
        <v>46224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60562-2021 artfynd.xlsx", "A 60562-2021")</f>
        <v/>
      </c>
      <c r="X139">
        <f>HYPERLINK("https://klasma.github.io/Logging_0482/kartor/A 60562-2021 karta.png", "A 60562-2021")</f>
        <v/>
      </c>
      <c r="Y139">
        <f>HYPERLINK("https://klasma.github.io/Logging_0482/kartor_geotiff/A 60562-2021 georefererad karta.tif", "A 60562-2021")</f>
        <v/>
      </c>
      <c r="AA139">
        <f>HYPERLINK("https://klasma.github.io/Logging_0482/klagomål/A 60562-2021 FSC-klagomål.docx", "A 60562-2021")</f>
        <v/>
      </c>
      <c r="AB139">
        <f>HYPERLINK("https://klasma.github.io/Logging_0482/klagomålsmail/A 60562-2021 FSC-klagomål mail.docx", "A 60562-2021")</f>
        <v/>
      </c>
      <c r="AC139">
        <f>HYPERLINK("https://klasma.github.io/Logging_0482/tillsyn/A 60562-2021 tillsynsbegäran.docx", "A 60562-2021")</f>
        <v/>
      </c>
      <c r="AD139">
        <f>HYPERLINK("https://klasma.github.io/Logging_0482/tillsynsmail/A 60562-2021 tillsynsbegäran mail.docx", "A 60562-2021")</f>
        <v/>
      </c>
    </row>
    <row r="140" ht="15" customHeight="1">
      <c r="A140" t="inlineStr">
        <is>
          <t>A 50202-2022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46224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5.8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50202-2022 artfynd.xlsx", "A 50202-2022")</f>
        <v/>
      </c>
      <c r="X140">
        <f>HYPERLINK("https://klasma.github.io/Logging_0482/kartor/A 50202-2022 karta.png", "A 50202-2022")</f>
        <v/>
      </c>
      <c r="Y140">
        <f>HYPERLINK("https://klasma.github.io/Logging_0482/kartor_geotiff/A 50202-2022 georefererad karta.tif", "A 50202-2022")</f>
        <v/>
      </c>
      <c r="AA140">
        <f>HYPERLINK("https://klasma.github.io/Logging_0482/klagomål/A 50202-2022 FSC-klagomål.docx", "A 50202-2022")</f>
        <v/>
      </c>
      <c r="AB140">
        <f>HYPERLINK("https://klasma.github.io/Logging_0482/klagomålsmail/A 50202-2022 FSC-klagomål mail.docx", "A 50202-2022")</f>
        <v/>
      </c>
      <c r="AC140">
        <f>HYPERLINK("https://klasma.github.io/Logging_0482/tillsyn/A 50202-2022 tillsynsbegäran.docx", "A 50202-2022")</f>
        <v/>
      </c>
      <c r="AD140">
        <f>HYPERLINK("https://klasma.github.io/Logging_0482/tillsynsmail/A 50202-2022 tillsynsbegäran mail.docx", "A 50202-2022")</f>
        <v/>
      </c>
    </row>
    <row r="141" ht="15" customHeight="1">
      <c r="A141" t="inlineStr">
        <is>
          <t>A 54302-2025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46224</v>
      </c>
      <c r="F141" t="inlineStr">
        <is>
          <t>SÖDERMANLANDS LÄN</t>
        </is>
      </c>
      <c r="G141" t="inlineStr">
        <is>
          <t>FLEN</t>
        </is>
      </c>
      <c r="I141" t="n">
        <v>12.6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Dofttaggsvamp</t>
        </is>
      </c>
      <c r="W141">
        <f>HYPERLINK("https://klasma.github.io/Logging_0482/artfynd/A 54302-2025 artfynd.xlsx", "A 54302-2025")</f>
        <v/>
      </c>
      <c r="X141">
        <f>HYPERLINK("https://klasma.github.io/Logging_0482/kartor/A 54302-2025 karta.png", "A 54302-2025")</f>
        <v/>
      </c>
      <c r="Y141">
        <f>HYPERLINK("https://klasma.github.io/Logging_0482/kartor_geotiff/A 54302-2025 georefererad karta.tif", "A 54302-2025")</f>
        <v/>
      </c>
      <c r="AA141">
        <f>HYPERLINK("https://klasma.github.io/Logging_0482/klagomål/A 54302-2025 FSC-klagomål.docx", "A 54302-2025")</f>
        <v/>
      </c>
      <c r="AB141">
        <f>HYPERLINK("https://klasma.github.io/Logging_0482/klagomålsmail/A 54302-2025 FSC-klagomål mail.docx", "A 54302-2025")</f>
        <v/>
      </c>
      <c r="AC141">
        <f>HYPERLINK("https://klasma.github.io/Logging_0482/tillsyn/A 54302-2025 tillsynsbegäran.docx", "A 54302-2025")</f>
        <v/>
      </c>
      <c r="AD141">
        <f>HYPERLINK("https://klasma.github.io/Logging_0482/tillsynsmail/A 54302-2025 tillsynsbegäran mail.docx", "A 54302-2025")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46224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12056-2024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46224</v>
      </c>
      <c r="F143" t="inlineStr">
        <is>
          <t>SÖDERMANLANDS LÄN</t>
        </is>
      </c>
      <c r="G143" t="inlineStr">
        <is>
          <t>FLEN</t>
        </is>
      </c>
      <c r="I143" t="n">
        <v>8.4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Fjällig taggsvamp s.str.</t>
        </is>
      </c>
      <c r="W143">
        <f>HYPERLINK("https://klasma.github.io/Logging_0482/artfynd/A 12056-2024 artfynd.xlsx", "A 12056-2024")</f>
        <v/>
      </c>
      <c r="X143">
        <f>HYPERLINK("https://klasma.github.io/Logging_0482/kartor/A 12056-2024 karta.png", "A 12056-2024")</f>
        <v/>
      </c>
      <c r="Y143">
        <f>HYPERLINK("https://klasma.github.io/Logging_0482/kartor_geotiff/A 12056-2024 georefererad karta.tif", "A 12056-2024")</f>
        <v/>
      </c>
      <c r="AA143">
        <f>HYPERLINK("https://klasma.github.io/Logging_0482/klagomål/A 12056-2024 FSC-klagomål.docx", "A 12056-2024")</f>
        <v/>
      </c>
      <c r="AB143">
        <f>HYPERLINK("https://klasma.github.io/Logging_0482/klagomålsmail/A 12056-2024 FSC-klagomål mail.docx", "A 12056-2024")</f>
        <v/>
      </c>
      <c r="AC143">
        <f>HYPERLINK("https://klasma.github.io/Logging_0482/tillsyn/A 12056-2024 tillsynsbegäran.docx", "A 12056-2024")</f>
        <v/>
      </c>
      <c r="AD143">
        <f>HYPERLINK("https://klasma.github.io/Logging_0482/tillsynsmail/A 12056-2024 tillsynsbegäran mail.docx", "A 12056-2024")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46224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30406-2026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46209</v>
      </c>
      <c r="E145" s="1" t="n">
        <v>46224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HYPERLINK("https://klasma.github.io/Logging_0482/artfynd/A 30406-2026 artfynd.xlsx", "A 30406-2026")</f>
        <v/>
      </c>
      <c r="X145">
        <f>HYPERLINK("https://klasma.github.io/Logging_0482/kartor/A 30406-2026 karta.png", "A 30406-2026")</f>
        <v/>
      </c>
      <c r="Y145">
        <f>HYPERLINK("https://klasma.github.io/Logging_0482/kartor_geotiff/A 30406-2026 georefererad karta.tif", "A 30406-2026")</f>
        <v/>
      </c>
      <c r="AA145">
        <f>HYPERLINK("https://klasma.github.io/Logging_0482/klagomål/A 30406-2026 FSC-klagomål.docx", "A 30406-2026")</f>
        <v/>
      </c>
      <c r="AB145">
        <f>HYPERLINK("https://klasma.github.io/Logging_0482/klagomålsmail/A 30406-2026 FSC-klagomål mail.docx", "A 30406-2026")</f>
        <v/>
      </c>
      <c r="AC145">
        <f>HYPERLINK("https://klasma.github.io/Logging_0482/tillsyn/A 30406-2026 tillsynsbegäran.docx", "A 30406-2026")</f>
        <v/>
      </c>
      <c r="AD145">
        <f>HYPERLINK("https://klasma.github.io/Logging_0482/tillsynsmail/A 30406-2026 tillsynsbegäran mail.docx", "A 30406-2026")</f>
        <v/>
      </c>
    </row>
    <row r="146" ht="15" customHeight="1">
      <c r="A146" t="inlineStr">
        <is>
          <t>A 62535-2021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46224</v>
      </c>
      <c r="F146" t="inlineStr">
        <is>
          <t>SÖDERMANLANDS LÄN</t>
        </is>
      </c>
      <c r="G146" t="inlineStr">
        <is>
          <t>FLEN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HYPERLINK("https://klasma.github.io/Logging_0482/artfynd/A 62535-2021 artfynd.xlsx", "A 62535-2021")</f>
        <v/>
      </c>
      <c r="X146">
        <f>HYPERLINK("https://klasma.github.io/Logging_0482/kartor/A 62535-2021 karta.png", "A 62535-2021")</f>
        <v/>
      </c>
      <c r="Y146">
        <f>HYPERLINK("https://klasma.github.io/Logging_0482/kartor_geotiff/A 62535-2021 georefererad karta.tif", "A 62535-2021")</f>
        <v/>
      </c>
      <c r="AA146">
        <f>HYPERLINK("https://klasma.github.io/Logging_0482/klagomål/A 62535-2021 FSC-klagomål.docx", "A 62535-2021")</f>
        <v/>
      </c>
      <c r="AB146">
        <f>HYPERLINK("https://klasma.github.io/Logging_0482/klagomålsmail/A 62535-2021 FSC-klagomål mail.docx", "A 62535-2021")</f>
        <v/>
      </c>
      <c r="AC146">
        <f>HYPERLINK("https://klasma.github.io/Logging_0482/tillsyn/A 62535-2021 tillsynsbegäran.docx", "A 62535-2021")</f>
        <v/>
      </c>
      <c r="AD146">
        <f>HYPERLINK("https://klasma.github.io/Logging_0482/tillsynsmail/A 62535-2021 tillsynsbegäran mail.docx", "A 62535-2021")</f>
        <v/>
      </c>
    </row>
    <row r="147" ht="15" customHeight="1">
      <c r="A147" t="inlineStr">
        <is>
          <t>A 14273-2025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46224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Vedskivlav</t>
        </is>
      </c>
      <c r="W147">
        <f>HYPERLINK("https://klasma.github.io/Logging_0482/artfynd/A 14273-2025 artfynd.xlsx", "A 14273-2025")</f>
        <v/>
      </c>
      <c r="X147">
        <f>HYPERLINK("https://klasma.github.io/Logging_0482/kartor/A 14273-2025 karta.png", "A 14273-2025")</f>
        <v/>
      </c>
      <c r="Y147">
        <f>HYPERLINK("https://klasma.github.io/Logging_0482/kartor_geotiff/A 14273-2025 georefererad karta.tif", "A 14273-2025")</f>
        <v/>
      </c>
      <c r="AA147">
        <f>HYPERLINK("https://klasma.github.io/Logging_0482/klagomål/A 14273-2025 FSC-klagomål.docx", "A 14273-2025")</f>
        <v/>
      </c>
      <c r="AB147">
        <f>HYPERLINK("https://klasma.github.io/Logging_0482/klagomålsmail/A 14273-2025 FSC-klagomål mail.docx", "A 14273-2025")</f>
        <v/>
      </c>
      <c r="AC147">
        <f>HYPERLINK("https://klasma.github.io/Logging_0482/tillsyn/A 14273-2025 tillsynsbegäran.docx", "A 14273-2025")</f>
        <v/>
      </c>
      <c r="AD147">
        <f>HYPERLINK("https://klasma.github.io/Logging_0482/tillsynsmail/A 14273-2025 tillsynsbegäran mail.docx", "A 14273-2025")</f>
        <v/>
      </c>
    </row>
    <row r="148" ht="15" customHeight="1">
      <c r="A148" t="inlineStr">
        <is>
          <t>A 24179-2026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46224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24179-2026 artfynd.xlsx", "A 24179-2026")</f>
        <v/>
      </c>
      <c r="X148">
        <f>HYPERLINK("https://klasma.github.io/Logging_0482/kartor/A 24179-2026 karta.png", "A 24179-2026")</f>
        <v/>
      </c>
      <c r="Y148">
        <f>HYPERLINK("https://klasma.github.io/Logging_0482/kartor_geotiff/A 24179-2026 georefererad karta.tif", "A 24179-2026")</f>
        <v/>
      </c>
      <c r="AA148">
        <f>HYPERLINK("https://klasma.github.io/Logging_0482/klagomål/A 24179-2026 FSC-klagomål.docx", "A 24179-2026")</f>
        <v/>
      </c>
      <c r="AB148">
        <f>HYPERLINK("https://klasma.github.io/Logging_0482/klagomålsmail/A 24179-2026 FSC-klagomål mail.docx", "A 24179-2026")</f>
        <v/>
      </c>
      <c r="AC148">
        <f>HYPERLINK("https://klasma.github.io/Logging_0482/tillsyn/A 24179-2026 tillsynsbegäran.docx", "A 24179-2026")</f>
        <v/>
      </c>
      <c r="AD148">
        <f>HYPERLINK("https://klasma.github.io/Logging_0482/tillsynsmail/A 24179-2026 tillsynsbegäran mail.docx", "A 24179-2026")</f>
        <v/>
      </c>
    </row>
    <row r="149" ht="15" customHeight="1">
      <c r="A149" t="inlineStr">
        <is>
          <t>A 49820-2023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46224</v>
      </c>
      <c r="F149" t="inlineStr">
        <is>
          <t>SÖDERMANLANDS LÄN</t>
        </is>
      </c>
      <c r="G149" t="inlineStr">
        <is>
          <t>FLEN</t>
        </is>
      </c>
      <c r="I149" t="n">
        <v>3.2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Gullviva</t>
        </is>
      </c>
      <c r="W149">
        <f>HYPERLINK("https://klasma.github.io/Logging_0482/artfynd/A 49820-2023 artfynd.xlsx", "A 49820-2023")</f>
        <v/>
      </c>
      <c r="X149">
        <f>HYPERLINK("https://klasma.github.io/Logging_0482/kartor/A 49820-2023 karta.png", "A 49820-2023")</f>
        <v/>
      </c>
      <c r="Y149">
        <f>HYPERLINK("https://klasma.github.io/Logging_0482/kartor_geotiff/A 49820-2023 georefererad karta.tif", "A 49820-2023")</f>
        <v/>
      </c>
      <c r="AA149">
        <f>HYPERLINK("https://klasma.github.io/Logging_0482/klagomål/A 49820-2023 FSC-klagomål.docx", "A 49820-2023")</f>
        <v/>
      </c>
      <c r="AB149">
        <f>HYPERLINK("https://klasma.github.io/Logging_0482/klagomålsmail/A 49820-2023 FSC-klagomål mail.docx", "A 49820-2023")</f>
        <v/>
      </c>
      <c r="AC149">
        <f>HYPERLINK("https://klasma.github.io/Logging_0482/tillsyn/A 49820-2023 tillsynsbegäran.docx", "A 49820-2023")</f>
        <v/>
      </c>
      <c r="AD149">
        <f>HYPERLINK("https://klasma.github.io/Logging_0482/tillsynsmail/A 49820-2023 tillsynsbegäran mail.docx", "A 49820-2023")</f>
        <v/>
      </c>
    </row>
    <row r="150" ht="15" customHeight="1">
      <c r="A150" t="inlineStr">
        <is>
          <t>A 45107-2023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46224</v>
      </c>
      <c r="F150" t="inlineStr">
        <is>
          <t>SÖDERMANLANDS LÄN</t>
        </is>
      </c>
      <c r="G150" t="inlineStr">
        <is>
          <t>FLEN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Brudborste</t>
        </is>
      </c>
      <c r="W150">
        <f>HYPERLINK("https://klasma.github.io/Logging_0482/artfynd/A 45107-2023 artfynd.xlsx", "A 45107-2023")</f>
        <v/>
      </c>
      <c r="X150">
        <f>HYPERLINK("https://klasma.github.io/Logging_0482/kartor/A 45107-2023 karta.png", "A 45107-2023")</f>
        <v/>
      </c>
      <c r="Y150">
        <f>HYPERLINK("https://klasma.github.io/Logging_0482/kartor_geotiff/A 45107-2023 georefererad karta.tif", "A 45107-2023")</f>
        <v/>
      </c>
      <c r="AA150">
        <f>HYPERLINK("https://klasma.github.io/Logging_0482/klagomål/A 45107-2023 FSC-klagomål.docx", "A 45107-2023")</f>
        <v/>
      </c>
      <c r="AB150">
        <f>HYPERLINK("https://klasma.github.io/Logging_0482/klagomålsmail/A 45107-2023 FSC-klagomål mail.docx", "A 45107-2023")</f>
        <v/>
      </c>
      <c r="AC150">
        <f>HYPERLINK("https://klasma.github.io/Logging_0482/tillsyn/A 45107-2023 tillsynsbegäran.docx", "A 45107-2023")</f>
        <v/>
      </c>
      <c r="AD150">
        <f>HYPERLINK("https://klasma.github.io/Logging_0482/tillsynsmail/A 45107-2023 tillsynsbegäran mail.docx", "A 45107-2023")</f>
        <v/>
      </c>
    </row>
    <row r="151" ht="15" customHeight="1">
      <c r="A151" t="inlineStr">
        <is>
          <t>A 26310-2026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46224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Spillkråka</t>
        </is>
      </c>
      <c r="W151">
        <f>HYPERLINK("https://klasma.github.io/Logging_0482/artfynd/A 26310-2026 artfynd.xlsx", "A 26310-2026")</f>
        <v/>
      </c>
      <c r="X151">
        <f>HYPERLINK("https://klasma.github.io/Logging_0482/kartor/A 26310-2026 karta.png", "A 26310-2026")</f>
        <v/>
      </c>
      <c r="Y151">
        <f>HYPERLINK("https://klasma.github.io/Logging_0482/kartor_geotiff/A 26310-2026 georefererad karta.tif", "A 26310-2026")</f>
        <v/>
      </c>
      <c r="AA151">
        <f>HYPERLINK("https://klasma.github.io/Logging_0482/klagomål/A 26310-2026 FSC-klagomål.docx", "A 26310-2026")</f>
        <v/>
      </c>
      <c r="AB151">
        <f>HYPERLINK("https://klasma.github.io/Logging_0482/klagomålsmail/A 26310-2026 FSC-klagomål mail.docx", "A 26310-2026")</f>
        <v/>
      </c>
      <c r="AC151">
        <f>HYPERLINK("https://klasma.github.io/Logging_0482/tillsyn/A 26310-2026 tillsynsbegäran.docx", "A 26310-2026")</f>
        <v/>
      </c>
      <c r="AD151">
        <f>HYPERLINK("https://klasma.github.io/Logging_0482/tillsynsmail/A 26310-2026 tillsynsbegäran mail.docx", "A 26310-2026")</f>
        <v/>
      </c>
      <c r="AE151">
        <f>HYPERLINK("https://klasma.github.io/Logging_0482/fåglar/A 26310-2026 prioriterade fågelarter.docx", "A 26310-2026")</f>
        <v/>
      </c>
    </row>
    <row r="152" ht="15" customHeight="1">
      <c r="A152" t="inlineStr">
        <is>
          <t>A 26052-2026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46224</v>
      </c>
      <c r="F152" t="inlineStr">
        <is>
          <t>SÖDERMANLANDS LÄN</t>
        </is>
      </c>
      <c r="G152" t="inlineStr">
        <is>
          <t>FLEN</t>
        </is>
      </c>
      <c r="H152" t="inlineStr">
        <is>
          <t>Holmen skog AB</t>
        </is>
      </c>
      <c r="I152" t="n">
        <v>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HYPERLINK("https://klasma.github.io/Logging_0482/artfynd/A 26052-2026 artfynd.xlsx", "A 26052-2026")</f>
        <v/>
      </c>
      <c r="X152">
        <f>HYPERLINK("https://klasma.github.io/Logging_0482/kartor/A 26052-2026 karta.png", "A 26052-2026")</f>
        <v/>
      </c>
      <c r="Y152">
        <f>HYPERLINK("https://klasma.github.io/Logging_0482/kartor_geotiff/A 26052-2026 georefererad karta.tif", "A 26052-2026")</f>
        <v/>
      </c>
      <c r="AA152">
        <f>HYPERLINK("https://klasma.github.io/Logging_0482/klagomål/A 26052-2026 FSC-klagomål.docx", "A 26052-2026")</f>
        <v/>
      </c>
      <c r="AB152">
        <f>HYPERLINK("https://klasma.github.io/Logging_0482/klagomålsmail/A 26052-2026 FSC-klagomål mail.docx", "A 26052-2026")</f>
        <v/>
      </c>
      <c r="AC152">
        <f>HYPERLINK("https://klasma.github.io/Logging_0482/tillsyn/A 26052-2026 tillsynsbegäran.docx", "A 26052-2026")</f>
        <v/>
      </c>
      <c r="AD152">
        <f>HYPERLINK("https://klasma.github.io/Logging_0482/tillsynsmail/A 26052-2026 tillsynsbegäran mail.docx", "A 26052-2026")</f>
        <v/>
      </c>
    </row>
    <row r="153" ht="15" customHeight="1">
      <c r="A153" t="inlineStr">
        <is>
          <t>A 46115-2023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46224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Ullticka</t>
        </is>
      </c>
      <c r="W153">
        <f>HYPERLINK("https://klasma.github.io/Logging_0482/artfynd/A 46115-2023 artfynd.xlsx", "A 46115-2023")</f>
        <v/>
      </c>
      <c r="X153">
        <f>HYPERLINK("https://klasma.github.io/Logging_0482/kartor/A 46115-2023 karta.png", "A 46115-2023")</f>
        <v/>
      </c>
      <c r="Y153">
        <f>HYPERLINK("https://klasma.github.io/Logging_0482/kartor_geotiff/A 46115-2023 georefererad karta.tif", "A 46115-2023")</f>
        <v/>
      </c>
      <c r="AA153">
        <f>HYPERLINK("https://klasma.github.io/Logging_0482/klagomål/A 46115-2023 FSC-klagomål.docx", "A 46115-2023")</f>
        <v/>
      </c>
      <c r="AB153">
        <f>HYPERLINK("https://klasma.github.io/Logging_0482/klagomålsmail/A 46115-2023 FSC-klagomål mail.docx", "A 46115-2023")</f>
        <v/>
      </c>
      <c r="AC153">
        <f>HYPERLINK("https://klasma.github.io/Logging_0482/tillsyn/A 46115-2023 tillsynsbegäran.docx", "A 46115-2023")</f>
        <v/>
      </c>
      <c r="AD153">
        <f>HYPERLINK("https://klasma.github.io/Logging_0482/tillsynsmail/A 46115-2023 tillsynsbegäran mail.docx", "A 46115-2023")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46224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46224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46224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46224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46224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46224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46224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46224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46224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46224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46224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46224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46224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46224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46224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46224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46224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46224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46224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46224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46224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46224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46224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46224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46224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46224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46224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39188-2021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44413</v>
      </c>
      <c r="E181" s="1" t="n">
        <v>46224</v>
      </c>
      <c r="F181" t="inlineStr">
        <is>
          <t>SÖDERMANLANDS LÄN</t>
        </is>
      </c>
      <c r="G181" t="inlineStr">
        <is>
          <t>FLEN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46224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46224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46224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41658-2021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44425</v>
      </c>
      <c r="E185" s="1" t="n">
        <v>46224</v>
      </c>
      <c r="F185" t="inlineStr">
        <is>
          <t>SÖDERMANLANDS LÄN</t>
        </is>
      </c>
      <c r="G185" t="inlineStr">
        <is>
          <t>FLEN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48166-2021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46224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46224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46224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46224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46224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46224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46224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46224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46224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46224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46224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46224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46224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46224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46224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46224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46224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46224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46224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46224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46224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46224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46224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46224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46224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46224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46224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46224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46224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46224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46224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46224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46224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46224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46224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46224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46224</v>
      </c>
      <c r="F222" t="inlineStr">
        <is>
          <t>SÖDERMANLANDS LÄN</t>
        </is>
      </c>
      <c r="G222" t="inlineStr">
        <is>
          <t>FLEN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46224</v>
      </c>
      <c r="F223" t="inlineStr">
        <is>
          <t>SÖDERMANLANDS LÄN</t>
        </is>
      </c>
      <c r="G223" t="inlineStr">
        <is>
          <t>FLEN</t>
        </is>
      </c>
      <c r="H223" t="inlineStr">
        <is>
          <t>Övriga statliga verk och myndigheter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46224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65869-2021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46224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69588-2021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46224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44785</v>
      </c>
      <c r="E227" s="1" t="n">
        <v>46224</v>
      </c>
      <c r="F227" t="inlineStr">
        <is>
          <t>SÖDERMANLANDS LÄN</t>
        </is>
      </c>
      <c r="G227" t="inlineStr">
        <is>
          <t>FLEN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46224</v>
      </c>
      <c r="F228" t="inlineStr">
        <is>
          <t>SÖDERMANLANDS LÄN</t>
        </is>
      </c>
      <c r="G228" t="inlineStr">
        <is>
          <t>FLEN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46224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46224</v>
      </c>
      <c r="F230" t="inlineStr">
        <is>
          <t>SÖDERMANLANDS LÄN</t>
        </is>
      </c>
      <c r="G230" t="inlineStr">
        <is>
          <t>FLEN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44495</v>
      </c>
      <c r="E231" s="1" t="n">
        <v>46224</v>
      </c>
      <c r="F231" t="inlineStr">
        <is>
          <t>SÖDERMANLANDS LÄN</t>
        </is>
      </c>
      <c r="G231" t="inlineStr">
        <is>
          <t>FLEN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45008</v>
      </c>
      <c r="E232" s="1" t="n">
        <v>46224</v>
      </c>
      <c r="F232" t="inlineStr">
        <is>
          <t>SÖDERMANLANDS LÄN</t>
        </is>
      </c>
      <c r="G232" t="inlineStr">
        <is>
          <t>FLEN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72314-2021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44544</v>
      </c>
      <c r="E233" s="1" t="n">
        <v>46224</v>
      </c>
      <c r="F233" t="inlineStr">
        <is>
          <t>SÖDERMANLANDS LÄN</t>
        </is>
      </c>
      <c r="G233" t="inlineStr">
        <is>
          <t>FLEN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45555</v>
      </c>
      <c r="E234" s="1" t="n">
        <v>46224</v>
      </c>
      <c r="F234" t="inlineStr">
        <is>
          <t>SÖDERMANLANDS LÄN</t>
        </is>
      </c>
      <c r="G234" t="inlineStr">
        <is>
          <t>FLEN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46224</v>
      </c>
      <c r="F235" t="inlineStr">
        <is>
          <t>SÖDERMANLANDS LÄN</t>
        </is>
      </c>
      <c r="G235" t="inlineStr">
        <is>
          <t>FLEN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46224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46224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46224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46224</v>
      </c>
      <c r="F239" t="inlineStr">
        <is>
          <t>SÖDERMANLANDS LÄN</t>
        </is>
      </c>
      <c r="G239" t="inlineStr">
        <is>
          <t>FLEN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47604-2021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44448</v>
      </c>
      <c r="E240" s="1" t="n">
        <v>46224</v>
      </c>
      <c r="F240" t="inlineStr">
        <is>
          <t>SÖDERMANLANDS LÄN</t>
        </is>
      </c>
      <c r="G240" t="inlineStr">
        <is>
          <t>FLEN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46224</v>
      </c>
      <c r="F241" t="inlineStr">
        <is>
          <t>SÖDERMANLANDS LÄN</t>
        </is>
      </c>
      <c r="G241" t="inlineStr">
        <is>
          <t>FLEN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46224</v>
      </c>
      <c r="F242" t="inlineStr">
        <is>
          <t>SÖDERMANLANDS LÄN</t>
        </is>
      </c>
      <c r="G242" t="inlineStr">
        <is>
          <t>FLEN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45225</v>
      </c>
      <c r="E243" s="1" t="n">
        <v>46224</v>
      </c>
      <c r="F243" t="inlineStr">
        <is>
          <t>SÖDERMANLANDS LÄN</t>
        </is>
      </c>
      <c r="G243" t="inlineStr">
        <is>
          <t>FLEN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44796</v>
      </c>
      <c r="E244" s="1" t="n">
        <v>46224</v>
      </c>
      <c r="F244" t="inlineStr">
        <is>
          <t>SÖDERMANLANDS LÄN</t>
        </is>
      </c>
      <c r="G244" t="inlineStr">
        <is>
          <t>FLEN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45482</v>
      </c>
      <c r="E245" s="1" t="n">
        <v>46224</v>
      </c>
      <c r="F245" t="inlineStr">
        <is>
          <t>SÖDERMANLANDS LÄN</t>
        </is>
      </c>
      <c r="G245" t="inlineStr">
        <is>
          <t>FLEN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46224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46224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52980-2023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46224</v>
      </c>
      <c r="F248" t="inlineStr">
        <is>
          <t>SÖDERMANLANDS LÄN</t>
        </is>
      </c>
      <c r="G248" t="inlineStr">
        <is>
          <t>FLEN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45610</v>
      </c>
      <c r="E249" s="1" t="n">
        <v>46224</v>
      </c>
      <c r="F249" t="inlineStr">
        <is>
          <t>SÖDERMANLANDS LÄN</t>
        </is>
      </c>
      <c r="G249" t="inlineStr">
        <is>
          <t>FLEN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46224</v>
      </c>
      <c r="F250" t="inlineStr">
        <is>
          <t>SÖDERMANLANDS LÄN</t>
        </is>
      </c>
      <c r="G250" t="inlineStr">
        <is>
          <t>FLEN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46224</v>
      </c>
      <c r="F251" t="inlineStr">
        <is>
          <t>SÖDERMANLANDS LÄN</t>
        </is>
      </c>
      <c r="G251" t="inlineStr">
        <is>
          <t>FLEN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46224</v>
      </c>
      <c r="F252" t="inlineStr">
        <is>
          <t>SÖDERMANLANDS LÄN</t>
        </is>
      </c>
      <c r="G252" t="inlineStr">
        <is>
          <t>FLEN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46224</v>
      </c>
      <c r="F253" t="inlineStr">
        <is>
          <t>SÖDERMANLANDS LÄN</t>
        </is>
      </c>
      <c r="G253" t="inlineStr">
        <is>
          <t>FLEN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46224</v>
      </c>
      <c r="F254" t="inlineStr">
        <is>
          <t>SÖDERMANLANDS LÄN</t>
        </is>
      </c>
      <c r="G254" t="inlineStr">
        <is>
          <t>FLEN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62579-2023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45270</v>
      </c>
      <c r="E255" s="1" t="n">
        <v>46224</v>
      </c>
      <c r="F255" t="inlineStr">
        <is>
          <t>SÖDERMANLANDS LÄN</t>
        </is>
      </c>
      <c r="G255" t="inlineStr">
        <is>
          <t>FLEN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46224</v>
      </c>
      <c r="F256" t="inlineStr">
        <is>
          <t>SÖDERMANLANDS LÄN</t>
        </is>
      </c>
      <c r="G256" t="inlineStr">
        <is>
          <t>FLEN</t>
        </is>
      </c>
      <c r="H256" t="inlineStr">
        <is>
          <t>Kommuner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46224</v>
      </c>
      <c r="F257" t="inlineStr">
        <is>
          <t>SÖDERMANLANDS LÄN</t>
        </is>
      </c>
      <c r="G257" t="inlineStr">
        <is>
          <t>FLEN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46224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46224</v>
      </c>
      <c r="F259" t="inlineStr">
        <is>
          <t>SÖDERMANLANDS LÄN</t>
        </is>
      </c>
      <c r="G259" t="inlineStr">
        <is>
          <t>FLEN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45149</v>
      </c>
      <c r="E260" s="1" t="n">
        <v>46224</v>
      </c>
      <c r="F260" t="inlineStr">
        <is>
          <t>SÖDERMANLANDS LÄN</t>
        </is>
      </c>
      <c r="G260" t="inlineStr">
        <is>
          <t>FLEN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46224</v>
      </c>
      <c r="F261" t="inlineStr">
        <is>
          <t>SÖDERMANLANDS LÄN</t>
        </is>
      </c>
      <c r="G261" t="inlineStr">
        <is>
          <t>FLEN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46224</v>
      </c>
      <c r="F262" t="inlineStr">
        <is>
          <t>SÖDERMANLANDS LÄN</t>
        </is>
      </c>
      <c r="G262" t="inlineStr">
        <is>
          <t>FLEN</t>
        </is>
      </c>
      <c r="I262" t="n">
        <v>8.699999999999999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46224</v>
      </c>
      <c r="F263" t="inlineStr">
        <is>
          <t>SÖDERMANLANDS LÄN</t>
        </is>
      </c>
      <c r="G263" t="inlineStr">
        <is>
          <t>FLEN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66867-2021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44522</v>
      </c>
      <c r="E264" s="1" t="n">
        <v>46224</v>
      </c>
      <c r="F264" t="inlineStr">
        <is>
          <t>SÖDERMANLANDS LÄN</t>
        </is>
      </c>
      <c r="G264" t="inlineStr">
        <is>
          <t>FLEN</t>
        </is>
      </c>
      <c r="H264" t="inlineStr">
        <is>
          <t>Kyrkan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46224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46224</v>
      </c>
      <c r="F266" t="inlineStr">
        <is>
          <t>SÖDERMANLANDS LÄN</t>
        </is>
      </c>
      <c r="G266" t="inlineStr">
        <is>
          <t>FLEN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46224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46224</v>
      </c>
      <c r="F268" t="inlineStr">
        <is>
          <t>SÖDERMANLANDS LÄN</t>
        </is>
      </c>
      <c r="G268" t="inlineStr">
        <is>
          <t>FLEN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45147</v>
      </c>
      <c r="E269" s="1" t="n">
        <v>46224</v>
      </c>
      <c r="F269" t="inlineStr">
        <is>
          <t>SÖDERMANLANDS LÄN</t>
        </is>
      </c>
      <c r="G269" t="inlineStr">
        <is>
          <t>FLEN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40961-2021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44421</v>
      </c>
      <c r="E270" s="1" t="n">
        <v>46224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46224</v>
      </c>
      <c r="F271" t="inlineStr">
        <is>
          <t>SÖDERMANLANDS LÄN</t>
        </is>
      </c>
      <c r="G271" t="inlineStr">
        <is>
          <t>FLEN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46224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45905</v>
      </c>
      <c r="E273" s="1" t="n">
        <v>46224</v>
      </c>
      <c r="F273" t="inlineStr">
        <is>
          <t>SÖDERMANLANDS LÄN</t>
        </is>
      </c>
      <c r="G273" t="inlineStr">
        <is>
          <t>FLEN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46224</v>
      </c>
      <c r="F274" t="inlineStr">
        <is>
          <t>SÖDERMANLANDS LÄN</t>
        </is>
      </c>
      <c r="G274" t="inlineStr">
        <is>
          <t>FLEN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48785-2022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44859</v>
      </c>
      <c r="E275" s="1" t="n">
        <v>46224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46224</v>
      </c>
      <c r="F276" t="inlineStr">
        <is>
          <t>SÖDERMANLANDS LÄN</t>
        </is>
      </c>
      <c r="G276" t="inlineStr">
        <is>
          <t>FLEN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44624</v>
      </c>
      <c r="E277" s="1" t="n">
        <v>46224</v>
      </c>
      <c r="F277" t="inlineStr">
        <is>
          <t>SÖDERMANLANDS LÄN</t>
        </is>
      </c>
      <c r="G277" t="inlineStr">
        <is>
          <t>FLEN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46224</v>
      </c>
      <c r="F278" t="inlineStr">
        <is>
          <t>SÖDERMANLANDS LÄN</t>
        </is>
      </c>
      <c r="G278" t="inlineStr">
        <is>
          <t>FLEN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46224</v>
      </c>
      <c r="F279" t="inlineStr">
        <is>
          <t>SÖDERMANLANDS LÄN</t>
        </is>
      </c>
      <c r="G279" t="inlineStr">
        <is>
          <t>FLEN</t>
        </is>
      </c>
      <c r="H279" t="inlineStr">
        <is>
          <t>Övriga statliga verk och myndigheter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46224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45830</v>
      </c>
      <c r="E281" s="1" t="n">
        <v>46224</v>
      </c>
      <c r="F281" t="inlineStr">
        <is>
          <t>SÖDERMANLANDS LÄN</t>
        </is>
      </c>
      <c r="G281" t="inlineStr">
        <is>
          <t>FLEN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45830</v>
      </c>
      <c r="E282" s="1" t="n">
        <v>46224</v>
      </c>
      <c r="F282" t="inlineStr">
        <is>
          <t>SÖDERMANLANDS LÄN</t>
        </is>
      </c>
      <c r="G282" t="inlineStr">
        <is>
          <t>FLEN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46224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46224</v>
      </c>
      <c r="F284" t="inlineStr">
        <is>
          <t>SÖDERMANLANDS LÄN</t>
        </is>
      </c>
      <c r="G284" t="inlineStr">
        <is>
          <t>FLEN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45932</v>
      </c>
      <c r="E285" s="1" t="n">
        <v>46224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46224</v>
      </c>
      <c r="F286" t="inlineStr">
        <is>
          <t>SÖDERMANLANDS LÄN</t>
        </is>
      </c>
      <c r="G286" t="inlineStr">
        <is>
          <t>FLEN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46224</v>
      </c>
      <c r="F287" t="inlineStr">
        <is>
          <t>SÖDERMANLANDS LÄN</t>
        </is>
      </c>
      <c r="G287" t="inlineStr">
        <is>
          <t>FLEN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57356-2022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46224</v>
      </c>
      <c r="F288" t="inlineStr">
        <is>
          <t>SÖDERMANLANDS LÄN</t>
        </is>
      </c>
      <c r="G288" t="inlineStr">
        <is>
          <t>FLEN</t>
        </is>
      </c>
      <c r="H288" t="inlineStr">
        <is>
          <t>Övriga statliga verk och myndigheter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46224</v>
      </c>
      <c r="F289" t="inlineStr">
        <is>
          <t>SÖDERMANLANDS LÄN</t>
        </is>
      </c>
      <c r="G289" t="inlineStr">
        <is>
          <t>FLEN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44859</v>
      </c>
      <c r="E290" s="1" t="n">
        <v>46224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45057</v>
      </c>
      <c r="E291" s="1" t="n">
        <v>46224</v>
      </c>
      <c r="F291" t="inlineStr">
        <is>
          <t>SÖDERMANLANDS LÄN</t>
        </is>
      </c>
      <c r="G291" t="inlineStr">
        <is>
          <t>FLEN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53121-2023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45228</v>
      </c>
      <c r="E292" s="1" t="n">
        <v>46224</v>
      </c>
      <c r="F292" t="inlineStr">
        <is>
          <t>SÖDERMANLANDS LÄN</t>
        </is>
      </c>
      <c r="G292" t="inlineStr">
        <is>
          <t>FLEN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46224</v>
      </c>
      <c r="F293" t="inlineStr">
        <is>
          <t>SÖDERMANLANDS LÄN</t>
        </is>
      </c>
      <c r="G293" t="inlineStr">
        <is>
          <t>FLEN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46224</v>
      </c>
      <c r="F294" t="inlineStr">
        <is>
          <t>SÖDERMANLANDS LÄN</t>
        </is>
      </c>
      <c r="G294" t="inlineStr">
        <is>
          <t>FLEN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45702</v>
      </c>
      <c r="E295" s="1" t="n">
        <v>46224</v>
      </c>
      <c r="F295" t="inlineStr">
        <is>
          <t>SÖDERMANLANDS LÄN</t>
        </is>
      </c>
      <c r="G295" t="inlineStr">
        <is>
          <t>FLEN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46224</v>
      </c>
      <c r="F296" t="inlineStr">
        <is>
          <t>SÖDERMANLANDS LÄN</t>
        </is>
      </c>
      <c r="G296" t="inlineStr">
        <is>
          <t>FLEN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46224</v>
      </c>
      <c r="F297" t="inlineStr">
        <is>
          <t>SÖDERMANLANDS LÄN</t>
        </is>
      </c>
      <c r="G297" t="inlineStr">
        <is>
          <t>FLEN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44899</v>
      </c>
      <c r="E298" s="1" t="n">
        <v>46224</v>
      </c>
      <c r="F298" t="inlineStr">
        <is>
          <t>SÖDERMANLANDS LÄN</t>
        </is>
      </c>
      <c r="G298" t="inlineStr">
        <is>
          <t>FLEN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46224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44602</v>
      </c>
      <c r="E300" s="1" t="n">
        <v>46224</v>
      </c>
      <c r="F300" t="inlineStr">
        <is>
          <t>SÖDERMANLANDS LÄN</t>
        </is>
      </c>
      <c r="G300" t="inlineStr">
        <is>
          <t>FLEN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54283-2025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45964</v>
      </c>
      <c r="E301" s="1" t="n">
        <v>46224</v>
      </c>
      <c r="F301" t="inlineStr">
        <is>
          <t>SÖDERMANLANDS LÄN</t>
        </is>
      </c>
      <c r="G301" t="inlineStr">
        <is>
          <t>FLEN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54282-2025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45964</v>
      </c>
      <c r="E302" s="1" t="n">
        <v>46224</v>
      </c>
      <c r="F302" t="inlineStr">
        <is>
          <t>SÖDERMANLANDS LÄN</t>
        </is>
      </c>
      <c r="G302" t="inlineStr">
        <is>
          <t>FLEN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45398</v>
      </c>
      <c r="E303" s="1" t="n">
        <v>46224</v>
      </c>
      <c r="F303" t="inlineStr">
        <is>
          <t>SÖDERMANLANDS LÄN</t>
        </is>
      </c>
      <c r="G303" t="inlineStr">
        <is>
          <t>FLEN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46224</v>
      </c>
      <c r="F304" t="inlineStr">
        <is>
          <t>SÖDERMANLANDS LÄN</t>
        </is>
      </c>
      <c r="G304" t="inlineStr">
        <is>
          <t>FLEN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46224</v>
      </c>
      <c r="F305" t="inlineStr">
        <is>
          <t>SÖDERMANLANDS LÄN</t>
        </is>
      </c>
      <c r="G305" t="inlineStr">
        <is>
          <t>FLEN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46224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45667</v>
      </c>
      <c r="E307" s="1" t="n">
        <v>46224</v>
      </c>
      <c r="F307" t="inlineStr">
        <is>
          <t>SÖDERMANLANDS LÄN</t>
        </is>
      </c>
      <c r="G307" t="inlineStr">
        <is>
          <t>FLEN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30423-2022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44761</v>
      </c>
      <c r="E308" s="1" t="n">
        <v>46224</v>
      </c>
      <c r="F308" t="inlineStr">
        <is>
          <t>SÖDERMANLANDS LÄN</t>
        </is>
      </c>
      <c r="G308" t="inlineStr">
        <is>
          <t>FLEN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42731-2024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45566</v>
      </c>
      <c r="E309" s="1" t="n">
        <v>46224</v>
      </c>
      <c r="F309" t="inlineStr">
        <is>
          <t>SÖDERMANLANDS LÄN</t>
        </is>
      </c>
      <c r="G309" t="inlineStr">
        <is>
          <t>FLEN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46224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45581</v>
      </c>
      <c r="E311" s="1" t="n">
        <v>46224</v>
      </c>
      <c r="F311" t="inlineStr">
        <is>
          <t>SÖDERMANLANDS LÄN</t>
        </is>
      </c>
      <c r="G311" t="inlineStr">
        <is>
          <t>FLEN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46224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44006-2022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46224</v>
      </c>
      <c r="F313" t="inlineStr">
        <is>
          <t>SÖDERMANLANDS LÄN</t>
        </is>
      </c>
      <c r="G313" t="inlineStr">
        <is>
          <t>FLEN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46224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46224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43394-2021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44432</v>
      </c>
      <c r="E316" s="1" t="n">
        <v>46224</v>
      </c>
      <c r="F316" t="inlineStr">
        <is>
          <t>SÖDERMANLANDS LÄN</t>
        </is>
      </c>
      <c r="G316" t="inlineStr">
        <is>
          <t>FLEN</t>
        </is>
      </c>
      <c r="I316" t="n">
        <v>14.4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46224</v>
      </c>
      <c r="F317" t="inlineStr">
        <is>
          <t>SÖDERMANLANDS LÄN</t>
        </is>
      </c>
      <c r="G317" t="inlineStr">
        <is>
          <t>FLEN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46224</v>
      </c>
      <c r="F318" t="inlineStr">
        <is>
          <t>SÖDERMANLANDS LÄN</t>
        </is>
      </c>
      <c r="G318" t="inlineStr">
        <is>
          <t>FLEN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46224</v>
      </c>
      <c r="F319" t="inlineStr">
        <is>
          <t>SÖDERMANLANDS LÄN</t>
        </is>
      </c>
      <c r="G319" t="inlineStr">
        <is>
          <t>FLEN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33103-2022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44785</v>
      </c>
      <c r="E320" s="1" t="n">
        <v>46224</v>
      </c>
      <c r="F320" t="inlineStr">
        <is>
          <t>SÖDERMANLANDS LÄN</t>
        </is>
      </c>
      <c r="G320" t="inlineStr">
        <is>
          <t>FLEN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44616</v>
      </c>
      <c r="E321" s="1" t="n">
        <v>46224</v>
      </c>
      <c r="F321" t="inlineStr">
        <is>
          <t>SÖDERMANLANDS LÄN</t>
        </is>
      </c>
      <c r="G321" t="inlineStr">
        <is>
          <t>FLEN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46224</v>
      </c>
      <c r="F322" t="inlineStr">
        <is>
          <t>SÖDERMANLANDS LÄN</t>
        </is>
      </c>
      <c r="G322" t="inlineStr">
        <is>
          <t>FLEN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46224</v>
      </c>
      <c r="F323" t="inlineStr">
        <is>
          <t>SÖDERMANLANDS LÄN</t>
        </is>
      </c>
      <c r="G323" t="inlineStr">
        <is>
          <t>FLEN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46224</v>
      </c>
      <c r="F324" t="inlineStr">
        <is>
          <t>SÖDERMANLANDS LÄN</t>
        </is>
      </c>
      <c r="G324" t="inlineStr">
        <is>
          <t>FLEN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52692-2021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46224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46224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46224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46224</v>
      </c>
      <c r="F328" t="inlineStr">
        <is>
          <t>SÖDERMANLANDS LÄN</t>
        </is>
      </c>
      <c r="G328" t="inlineStr">
        <is>
          <t>FLEN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46224</v>
      </c>
      <c r="F329" t="inlineStr">
        <is>
          <t>SÖDERMANLANDS LÄN</t>
        </is>
      </c>
      <c r="G329" t="inlineStr">
        <is>
          <t>FLEN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46224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46224</v>
      </c>
      <c r="F331" t="inlineStr">
        <is>
          <t>SÖDERMANLANDS LÄN</t>
        </is>
      </c>
      <c r="G331" t="inlineStr">
        <is>
          <t>FLEN</t>
        </is>
      </c>
      <c r="H331" t="inlineStr">
        <is>
          <t>Kyrkan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46224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45213</v>
      </c>
      <c r="E333" s="1" t="n">
        <v>46224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46224</v>
      </c>
      <c r="F334" t="inlineStr">
        <is>
          <t>SÖDERMANLANDS LÄN</t>
        </is>
      </c>
      <c r="G334" t="inlineStr">
        <is>
          <t>FLEN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46224</v>
      </c>
      <c r="F335" t="inlineStr">
        <is>
          <t>SÖDERMANLANDS LÄN</t>
        </is>
      </c>
      <c r="G335" t="inlineStr">
        <is>
          <t>FLEN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45322</v>
      </c>
      <c r="E336" s="1" t="n">
        <v>46224</v>
      </c>
      <c r="F336" t="inlineStr">
        <is>
          <t>SÖDERMANLANDS LÄN</t>
        </is>
      </c>
      <c r="G336" t="inlineStr">
        <is>
          <t>FLEN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46224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44862</v>
      </c>
      <c r="E338" s="1" t="n">
        <v>46224</v>
      </c>
      <c r="F338" t="inlineStr">
        <is>
          <t>SÖDERMANLANDS LÄN</t>
        </is>
      </c>
      <c r="G338" t="inlineStr">
        <is>
          <t>FLEN</t>
        </is>
      </c>
      <c r="H338" t="inlineStr">
        <is>
          <t>Kyrkan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67464-2021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44524</v>
      </c>
      <c r="E339" s="1" t="n">
        <v>46224</v>
      </c>
      <c r="F339" t="inlineStr">
        <is>
          <t>SÖDERMANLANDS LÄN</t>
        </is>
      </c>
      <c r="G339" t="inlineStr">
        <is>
          <t>FLEN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66979-2021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44522</v>
      </c>
      <c r="E340" s="1" t="n">
        <v>46224</v>
      </c>
      <c r="F340" t="inlineStr">
        <is>
          <t>SÖDERMANLANDS LÄN</t>
        </is>
      </c>
      <c r="G340" t="inlineStr">
        <is>
          <t>FLEN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16908-2024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45411</v>
      </c>
      <c r="E341" s="1" t="n">
        <v>46224</v>
      </c>
      <c r="F341" t="inlineStr">
        <is>
          <t>SÖDERMANLANDS LÄN</t>
        </is>
      </c>
      <c r="G341" t="inlineStr">
        <is>
          <t>FLEN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46224</v>
      </c>
      <c r="F342" t="inlineStr">
        <is>
          <t>SÖDERMANLANDS LÄN</t>
        </is>
      </c>
      <c r="G342" t="inlineStr">
        <is>
          <t>FLEN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46224</v>
      </c>
      <c r="F343" t="inlineStr">
        <is>
          <t>SÖDERMANLANDS LÄN</t>
        </is>
      </c>
      <c r="G343" t="inlineStr">
        <is>
          <t>FLEN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46224</v>
      </c>
      <c r="F344" t="inlineStr">
        <is>
          <t>SÖDERMANLANDS LÄN</t>
        </is>
      </c>
      <c r="G344" t="inlineStr">
        <is>
          <t>FLEN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46224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45081</v>
      </c>
      <c r="E346" s="1" t="n">
        <v>46224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45081</v>
      </c>
      <c r="E347" s="1" t="n">
        <v>46224</v>
      </c>
      <c r="F347" t="inlineStr">
        <is>
          <t>SÖDERMANLANDS LÄN</t>
        </is>
      </c>
      <c r="G347" t="inlineStr">
        <is>
          <t>FLEN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46224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45228</v>
      </c>
      <c r="E349" s="1" t="n">
        <v>46224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46224</v>
      </c>
      <c r="F350" t="inlineStr">
        <is>
          <t>SÖDERMANLANDS LÄN</t>
        </is>
      </c>
      <c r="G350" t="inlineStr">
        <is>
          <t>FLEN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46224</v>
      </c>
      <c r="F351" t="inlineStr">
        <is>
          <t>SÖDERMANLANDS LÄN</t>
        </is>
      </c>
      <c r="G351" t="inlineStr">
        <is>
          <t>FLEN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46224</v>
      </c>
      <c r="F352" t="inlineStr">
        <is>
          <t>SÖDERMANLANDS LÄN</t>
        </is>
      </c>
      <c r="G352" t="inlineStr">
        <is>
          <t>FLEN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46224</v>
      </c>
      <c r="F353" t="inlineStr">
        <is>
          <t>SÖDERMANLANDS LÄN</t>
        </is>
      </c>
      <c r="G353" t="inlineStr">
        <is>
          <t>FLEN</t>
        </is>
      </c>
      <c r="H353" t="inlineStr">
        <is>
          <t>Övriga statliga verk och myndigheter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46224</v>
      </c>
      <c r="F354" t="inlineStr">
        <is>
          <t>SÖDERMANLANDS LÄN</t>
        </is>
      </c>
      <c r="G354" t="inlineStr">
        <is>
          <t>FLEN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44778</v>
      </c>
      <c r="E355" s="1" t="n">
        <v>46224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9527-2026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46224</v>
      </c>
      <c r="F356" t="inlineStr">
        <is>
          <t>SÖDERMANLANDS LÄN</t>
        </is>
      </c>
      <c r="G356" t="inlineStr">
        <is>
          <t>FLEN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52541-2021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44463</v>
      </c>
      <c r="E357" s="1" t="n">
        <v>46224</v>
      </c>
      <c r="F357" t="inlineStr">
        <is>
          <t>SÖDERMANLANDS LÄN</t>
        </is>
      </c>
      <c r="G357" t="inlineStr">
        <is>
          <t>FLEN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46224</v>
      </c>
      <c r="F358" t="inlineStr">
        <is>
          <t>SÖDERMANLANDS LÄN</t>
        </is>
      </c>
      <c r="G358" t="inlineStr">
        <is>
          <t>FLEN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45066</v>
      </c>
      <c r="E359" s="1" t="n">
        <v>46224</v>
      </c>
      <c r="F359" t="inlineStr">
        <is>
          <t>SÖDERMANLANDS LÄN</t>
        </is>
      </c>
      <c r="G359" t="inlineStr">
        <is>
          <t>FLEN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44979</v>
      </c>
      <c r="E360" s="1" t="n">
        <v>46224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46224</v>
      </c>
      <c r="F361" t="inlineStr">
        <is>
          <t>SÖDERMANLANDS LÄN</t>
        </is>
      </c>
      <c r="G361" t="inlineStr">
        <is>
          <t>FLEN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46080</v>
      </c>
      <c r="E362" s="1" t="n">
        <v>46224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46080</v>
      </c>
      <c r="E363" s="1" t="n">
        <v>46224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45330</v>
      </c>
      <c r="E364" s="1" t="n">
        <v>46224</v>
      </c>
      <c r="F364" t="inlineStr">
        <is>
          <t>SÖDERMANLANDS LÄN</t>
        </is>
      </c>
      <c r="G364" t="inlineStr">
        <is>
          <t>FLEN</t>
        </is>
      </c>
      <c r="H364" t="inlineStr">
        <is>
          <t>Övriga statliga verk och myndigheter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46224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46224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46224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46224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46082</v>
      </c>
      <c r="E369" s="1" t="n">
        <v>46224</v>
      </c>
      <c r="F369" t="inlineStr">
        <is>
          <t>SÖDERMANLANDS LÄN</t>
        </is>
      </c>
      <c r="G369" t="inlineStr">
        <is>
          <t>FLEN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46224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50898-2022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44864</v>
      </c>
      <c r="E371" s="1" t="n">
        <v>46224</v>
      </c>
      <c r="F371" t="inlineStr">
        <is>
          <t>SÖDERMANLANDS LÄN</t>
        </is>
      </c>
      <c r="G371" t="inlineStr">
        <is>
          <t>FLEN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44855</v>
      </c>
      <c r="E372" s="1" t="n">
        <v>46224</v>
      </c>
      <c r="F372" t="inlineStr">
        <is>
          <t>SÖDERMANLANDS LÄN</t>
        </is>
      </c>
      <c r="G372" t="inlineStr">
        <is>
          <t>FLEN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45250</v>
      </c>
      <c r="E373" s="1" t="n">
        <v>46224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58377-2023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45250</v>
      </c>
      <c r="E374" s="1" t="n">
        <v>46224</v>
      </c>
      <c r="F374" t="inlineStr">
        <is>
          <t>SÖDERMANLANDS LÄN</t>
        </is>
      </c>
      <c r="G374" t="inlineStr">
        <is>
          <t>FLEN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44855</v>
      </c>
      <c r="E375" s="1" t="n">
        <v>46224</v>
      </c>
      <c r="F375" t="inlineStr">
        <is>
          <t>SÖDERMANLANDS LÄN</t>
        </is>
      </c>
      <c r="G375" t="inlineStr">
        <is>
          <t>FLEN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45528</v>
      </c>
      <c r="E376" s="1" t="n">
        <v>46224</v>
      </c>
      <c r="F376" t="inlineStr">
        <is>
          <t>SÖDERMANLANDS LÄN</t>
        </is>
      </c>
      <c r="G376" t="inlineStr">
        <is>
          <t>FLEN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12712-2026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46224</v>
      </c>
      <c r="F377" t="inlineStr">
        <is>
          <t>SÖDERMANLANDS LÄN</t>
        </is>
      </c>
      <c r="G377" t="inlineStr">
        <is>
          <t>FLEN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46224</v>
      </c>
      <c r="F378" t="inlineStr">
        <is>
          <t>SÖDERMANLANDS LÄN</t>
        </is>
      </c>
      <c r="G378" t="inlineStr">
        <is>
          <t>FLEN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46224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44970</v>
      </c>
      <c r="E380" s="1" t="n">
        <v>46224</v>
      </c>
      <c r="F380" t="inlineStr">
        <is>
          <t>SÖDERMANLANDS LÄN</t>
        </is>
      </c>
      <c r="G380" t="inlineStr">
        <is>
          <t>FLEN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48497-2021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44449</v>
      </c>
      <c r="E381" s="1" t="n">
        <v>46224</v>
      </c>
      <c r="F381" t="inlineStr">
        <is>
          <t>SÖDERMANLANDS LÄN</t>
        </is>
      </c>
      <c r="G381" t="inlineStr">
        <is>
          <t>FLEN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46224</v>
      </c>
      <c r="F382" t="inlineStr">
        <is>
          <t>SÖDERMANLANDS LÄN</t>
        </is>
      </c>
      <c r="G382" t="inlineStr">
        <is>
          <t>FLEN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46224</v>
      </c>
      <c r="F383" t="inlineStr">
        <is>
          <t>SÖDERMANLANDS LÄN</t>
        </is>
      </c>
      <c r="G383" t="inlineStr">
        <is>
          <t>FLEN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44957</v>
      </c>
      <c r="E384" s="1" t="n">
        <v>46224</v>
      </c>
      <c r="F384" t="inlineStr">
        <is>
          <t>SÖDERMANLANDS LÄN</t>
        </is>
      </c>
      <c r="G384" t="inlineStr">
        <is>
          <t>FLEN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45209</v>
      </c>
      <c r="E385" s="1" t="n">
        <v>46224</v>
      </c>
      <c r="F385" t="inlineStr">
        <is>
          <t>SÖDERMANLANDS LÄN</t>
        </is>
      </c>
      <c r="G385" t="inlineStr">
        <is>
          <t>FLEN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46224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46224</v>
      </c>
      <c r="F387" t="inlineStr">
        <is>
          <t>SÖDERMANLANDS LÄN</t>
        </is>
      </c>
      <c r="G387" t="inlineStr">
        <is>
          <t>FLEN</t>
        </is>
      </c>
      <c r="H387" t="inlineStr">
        <is>
          <t>Övriga statliga verk och myndigheter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44991</v>
      </c>
      <c r="E388" s="1" t="n">
        <v>46224</v>
      </c>
      <c r="F388" t="inlineStr">
        <is>
          <t>SÖDERMANLANDS LÄN</t>
        </is>
      </c>
      <c r="G388" t="inlineStr">
        <is>
          <t>FLEN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46224</v>
      </c>
      <c r="F389" t="inlineStr">
        <is>
          <t>SÖDERMANLANDS LÄN</t>
        </is>
      </c>
      <c r="G389" t="inlineStr">
        <is>
          <t>FLEN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45048</v>
      </c>
      <c r="E390" s="1" t="n">
        <v>46224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46224</v>
      </c>
      <c r="F391" t="inlineStr">
        <is>
          <t>SÖDERMANLANDS LÄN</t>
        </is>
      </c>
      <c r="G391" t="inlineStr">
        <is>
          <t>FLEN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45056</v>
      </c>
      <c r="E392" s="1" t="n">
        <v>46224</v>
      </c>
      <c r="F392" t="inlineStr">
        <is>
          <t>SÖDERMANLANDS LÄN</t>
        </is>
      </c>
      <c r="G392" t="inlineStr">
        <is>
          <t>FLEN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46224</v>
      </c>
      <c r="F393" t="inlineStr">
        <is>
          <t>SÖDERMANLANDS LÄN</t>
        </is>
      </c>
      <c r="G393" t="inlineStr">
        <is>
          <t>FLEN</t>
        </is>
      </c>
      <c r="H393" t="inlineStr">
        <is>
          <t>Övriga statliga verk och myndigheter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45230</v>
      </c>
      <c r="E394" s="1" t="n">
        <v>46224</v>
      </c>
      <c r="F394" t="inlineStr">
        <is>
          <t>SÖDERMANLANDS LÄN</t>
        </is>
      </c>
      <c r="G394" t="inlineStr">
        <is>
          <t>FLEN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46224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44566</v>
      </c>
      <c r="E396" s="1" t="n">
        <v>46224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46224</v>
      </c>
      <c r="F397" t="inlineStr">
        <is>
          <t>SÖDERMANLANDS LÄN</t>
        </is>
      </c>
      <c r="G397" t="inlineStr">
        <is>
          <t>FLEN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10828-2022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44624</v>
      </c>
      <c r="E398" s="1" t="n">
        <v>46224</v>
      </c>
      <c r="F398" t="inlineStr">
        <is>
          <t>SÖDERMANLANDS LÄN</t>
        </is>
      </c>
      <c r="G398" t="inlineStr">
        <is>
          <t>FLEN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46224</v>
      </c>
      <c r="F399" t="inlineStr">
        <is>
          <t>SÖDERMANLANDS LÄN</t>
        </is>
      </c>
      <c r="G399" t="inlineStr">
        <is>
          <t>FLEN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46224</v>
      </c>
      <c r="F400" t="inlineStr">
        <is>
          <t>SÖDERMANLANDS LÄN</t>
        </is>
      </c>
      <c r="G400" t="inlineStr">
        <is>
          <t>FLEN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18000-2026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46125</v>
      </c>
      <c r="E401" s="1" t="n">
        <v>46224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46224</v>
      </c>
      <c r="F402" t="inlineStr">
        <is>
          <t>SÖDERMANLANDS LÄN</t>
        </is>
      </c>
      <c r="G402" t="inlineStr">
        <is>
          <t>FLEN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46224</v>
      </c>
      <c r="F403" t="inlineStr">
        <is>
          <t>SÖDERMANLANDS LÄN</t>
        </is>
      </c>
      <c r="G403" t="inlineStr">
        <is>
          <t>FLEN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46121</v>
      </c>
      <c r="E404" s="1" t="n">
        <v>46224</v>
      </c>
      <c r="F404" t="inlineStr">
        <is>
          <t>SÖDERMANLANDS LÄN</t>
        </is>
      </c>
      <c r="G404" t="inlineStr">
        <is>
          <t>FLEN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46129</v>
      </c>
      <c r="E405" s="1" t="n">
        <v>46224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46224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45041</v>
      </c>
      <c r="E407" s="1" t="n">
        <v>46224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51768-2023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46224</v>
      </c>
      <c r="F408" t="inlineStr">
        <is>
          <t>SÖDERMANLANDS LÄN</t>
        </is>
      </c>
      <c r="G408" t="inlineStr">
        <is>
          <t>FLEN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46224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20791-2022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44701</v>
      </c>
      <c r="E410" s="1" t="n">
        <v>46224</v>
      </c>
      <c r="F410" t="inlineStr">
        <is>
          <t>SÖDERMANLANDS LÄN</t>
        </is>
      </c>
      <c r="G410" t="inlineStr">
        <is>
          <t>FLEN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46224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46224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60150-2022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46224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46224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33228-2024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45518</v>
      </c>
      <c r="E415" s="1" t="n">
        <v>46224</v>
      </c>
      <c r="F415" t="inlineStr">
        <is>
          <t>SÖDERMANLANDS LÄN</t>
        </is>
      </c>
      <c r="G415" t="inlineStr">
        <is>
          <t>FLEN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45271</v>
      </c>
      <c r="E416" s="1" t="n">
        <v>46224</v>
      </c>
      <c r="F416" t="inlineStr">
        <is>
          <t>SÖDERMANLANDS LÄN</t>
        </is>
      </c>
      <c r="G416" t="inlineStr">
        <is>
          <t>FLEN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46134</v>
      </c>
      <c r="E417" s="1" t="n">
        <v>46224</v>
      </c>
      <c r="F417" t="inlineStr">
        <is>
          <t>SÖDERMANLANDS LÄN</t>
        </is>
      </c>
      <c r="G417" t="inlineStr">
        <is>
          <t>FLEN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45257</v>
      </c>
      <c r="E418" s="1" t="n">
        <v>46224</v>
      </c>
      <c r="F418" t="inlineStr">
        <is>
          <t>SÖDERMANLANDS LÄN</t>
        </is>
      </c>
      <c r="G418" t="inlineStr">
        <is>
          <t>FLEN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58635-2024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46224</v>
      </c>
      <c r="F419" t="inlineStr">
        <is>
          <t>SÖDERMANLANDS LÄN</t>
        </is>
      </c>
      <c r="G419" t="inlineStr">
        <is>
          <t>FLEN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45315</v>
      </c>
      <c r="E420" s="1" t="n">
        <v>46224</v>
      </c>
      <c r="F420" t="inlineStr">
        <is>
          <t>SÖDERMANLANDS LÄN</t>
        </is>
      </c>
      <c r="G420" t="inlineStr">
        <is>
          <t>FLEN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46224</v>
      </c>
      <c r="F421" t="inlineStr">
        <is>
          <t>SÖDERMANLANDS LÄN</t>
        </is>
      </c>
      <c r="G421" t="inlineStr">
        <is>
          <t>FLEN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45888</v>
      </c>
      <c r="E422" s="1" t="n">
        <v>46224</v>
      </c>
      <c r="F422" t="inlineStr">
        <is>
          <t>SÖDERMANLANDS LÄN</t>
        </is>
      </c>
      <c r="G422" t="inlineStr">
        <is>
          <t>FLEN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45805</v>
      </c>
      <c r="E423" s="1" t="n">
        <v>46224</v>
      </c>
      <c r="F423" t="inlineStr">
        <is>
          <t>SÖDERMANLANDS LÄN</t>
        </is>
      </c>
      <c r="G423" t="inlineStr">
        <is>
          <t>FLEN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44676</v>
      </c>
      <c r="E424" s="1" t="n">
        <v>46224</v>
      </c>
      <c r="F424" t="inlineStr">
        <is>
          <t>SÖDERMANLANDS LÄN</t>
        </is>
      </c>
      <c r="G424" t="inlineStr">
        <is>
          <t>FLEN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9979-2025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45718</v>
      </c>
      <c r="E425" s="1" t="n">
        <v>46224</v>
      </c>
      <c r="F425" t="inlineStr">
        <is>
          <t>SÖDERMANLANDS LÄN</t>
        </is>
      </c>
      <c r="G425" t="inlineStr">
        <is>
          <t>FLEN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41709-2021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44425</v>
      </c>
      <c r="E426" s="1" t="n">
        <v>46224</v>
      </c>
      <c r="F426" t="inlineStr">
        <is>
          <t>SÖDERMANLANDS LÄN</t>
        </is>
      </c>
      <c r="G426" t="inlineStr">
        <is>
          <t>FLEN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14599-2023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45013</v>
      </c>
      <c r="E427" s="1" t="n">
        <v>46224</v>
      </c>
      <c r="F427" t="inlineStr">
        <is>
          <t>SÖDERMANLANDS LÄN</t>
        </is>
      </c>
      <c r="G427" t="inlineStr">
        <is>
          <t>FLEN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46224</v>
      </c>
      <c r="F428" t="inlineStr">
        <is>
          <t>SÖDERMANLANDS LÄN</t>
        </is>
      </c>
      <c r="G428" t="inlineStr">
        <is>
          <t>FLEN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45230</v>
      </c>
      <c r="E429" s="1" t="n">
        <v>46224</v>
      </c>
      <c r="F429" t="inlineStr">
        <is>
          <t>SÖDERMANLANDS LÄN</t>
        </is>
      </c>
      <c r="G429" t="inlineStr">
        <is>
          <t>FLEN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45789</v>
      </c>
      <c r="E430" s="1" t="n">
        <v>46224</v>
      </c>
      <c r="F430" t="inlineStr">
        <is>
          <t>SÖDERMANLANDS LÄN</t>
        </is>
      </c>
      <c r="G430" t="inlineStr">
        <is>
          <t>FLEN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50796-2021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44459</v>
      </c>
      <c r="E431" s="1" t="n">
        <v>46224</v>
      </c>
      <c r="F431" t="inlineStr">
        <is>
          <t>SÖDERMANLANDS LÄN</t>
        </is>
      </c>
      <c r="G431" t="inlineStr">
        <is>
          <t>FLEN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46224</v>
      </c>
      <c r="F432" t="inlineStr">
        <is>
          <t>SÖDERMANLANDS LÄN</t>
        </is>
      </c>
      <c r="G432" t="inlineStr">
        <is>
          <t>FLEN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46224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44741</v>
      </c>
      <c r="E434" s="1" t="n">
        <v>46224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12172-2022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44636</v>
      </c>
      <c r="E435" s="1" t="n">
        <v>46224</v>
      </c>
      <c r="F435" t="inlineStr">
        <is>
          <t>SÖDERMANLANDS LÄN</t>
        </is>
      </c>
      <c r="G435" t="inlineStr">
        <is>
          <t>FLEN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45895</v>
      </c>
      <c r="E436" s="1" t="n">
        <v>46224</v>
      </c>
      <c r="F436" t="inlineStr">
        <is>
          <t>SÖDERMANLANDS LÄN</t>
        </is>
      </c>
      <c r="G436" t="inlineStr">
        <is>
          <t>FLEN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45869</v>
      </c>
      <c r="E437" s="1" t="n">
        <v>46224</v>
      </c>
      <c r="F437" t="inlineStr">
        <is>
          <t>SÖDERMANLANDS LÄN</t>
        </is>
      </c>
      <c r="G437" t="inlineStr">
        <is>
          <t>FLEN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44807</v>
      </c>
      <c r="E438" s="1" t="n">
        <v>46224</v>
      </c>
      <c r="F438" t="inlineStr">
        <is>
          <t>SÖDERMANLANDS LÄN</t>
        </is>
      </c>
      <c r="G438" t="inlineStr">
        <is>
          <t>FLEN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44887</v>
      </c>
      <c r="E439" s="1" t="n">
        <v>46224</v>
      </c>
      <c r="F439" t="inlineStr">
        <is>
          <t>SÖDERMANLANDS LÄN</t>
        </is>
      </c>
      <c r="G439" t="inlineStr">
        <is>
          <t>FLEN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38331-2023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46224</v>
      </c>
      <c r="F440" t="inlineStr">
        <is>
          <t>SÖDERMANLANDS LÄN</t>
        </is>
      </c>
      <c r="G440" t="inlineStr">
        <is>
          <t>FLEN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60609-2022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44911</v>
      </c>
      <c r="E441" s="1" t="n">
        <v>46224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41800-2021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44425</v>
      </c>
      <c r="E442" s="1" t="n">
        <v>46224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46224</v>
      </c>
      <c r="F443" t="inlineStr">
        <is>
          <t>SÖDERMANLANDS LÄN</t>
        </is>
      </c>
      <c r="G443" t="inlineStr">
        <is>
          <t>FLEN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23216-2025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46224</v>
      </c>
      <c r="F444" t="inlineStr">
        <is>
          <t>SÖDERMANLANDS LÄN</t>
        </is>
      </c>
      <c r="G444" t="inlineStr">
        <is>
          <t>FLEN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46224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46224</v>
      </c>
      <c r="F446" t="inlineStr">
        <is>
          <t>SÖDERMANLANDS LÄN</t>
        </is>
      </c>
      <c r="G446" t="inlineStr">
        <is>
          <t>FLEN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46224</v>
      </c>
      <c r="F447" t="inlineStr">
        <is>
          <t>SÖDERMANLANDS LÄN</t>
        </is>
      </c>
      <c r="G447" t="inlineStr">
        <is>
          <t>FLEN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46224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56497-2022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44887</v>
      </c>
      <c r="E449" s="1" t="n">
        <v>46224</v>
      </c>
      <c r="F449" t="inlineStr">
        <is>
          <t>SÖDERMANLANDS LÄN</t>
        </is>
      </c>
      <c r="G449" t="inlineStr">
        <is>
          <t>FLEN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44958</v>
      </c>
      <c r="E450" s="1" t="n">
        <v>46224</v>
      </c>
      <c r="F450" t="inlineStr">
        <is>
          <t>SÖDERMANLANDS LÄN</t>
        </is>
      </c>
      <c r="G450" t="inlineStr">
        <is>
          <t>FLEN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59599-2022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44907</v>
      </c>
      <c r="E451" s="1" t="n">
        <v>46224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59817-2022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46224</v>
      </c>
      <c r="F452" t="inlineStr">
        <is>
          <t>SÖDERMANLANDS LÄN</t>
        </is>
      </c>
      <c r="G452" t="inlineStr">
        <is>
          <t>FLEN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46224</v>
      </c>
      <c r="F453" t="inlineStr">
        <is>
          <t>SÖDERMANLANDS LÄN</t>
        </is>
      </c>
      <c r="G453" t="inlineStr">
        <is>
          <t>FLEN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46224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46224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31352-2023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46224</v>
      </c>
      <c r="F456" t="inlineStr">
        <is>
          <t>SÖDERMANLANDS LÄN</t>
        </is>
      </c>
      <c r="G456" t="inlineStr">
        <is>
          <t>FLEN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45299</v>
      </c>
      <c r="E457" s="1" t="n">
        <v>46224</v>
      </c>
      <c r="F457" t="inlineStr">
        <is>
          <t>SÖDERMANLANDS LÄN</t>
        </is>
      </c>
      <c r="G457" t="inlineStr">
        <is>
          <t>FLEN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46224</v>
      </c>
      <c r="F458" t="inlineStr">
        <is>
          <t>SÖDERMANLANDS LÄN</t>
        </is>
      </c>
      <c r="G458" t="inlineStr">
        <is>
          <t>FLEN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46224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46224</v>
      </c>
      <c r="F460" t="inlineStr">
        <is>
          <t>SÖDERMANLANDS LÄN</t>
        </is>
      </c>
      <c r="G460" t="inlineStr">
        <is>
          <t>FLEN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46224</v>
      </c>
      <c r="F461" t="inlineStr">
        <is>
          <t>SÖDERMANLANDS LÄN</t>
        </is>
      </c>
      <c r="G461" t="inlineStr">
        <is>
          <t>FLEN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45030</v>
      </c>
      <c r="E462" s="1" t="n">
        <v>46224</v>
      </c>
      <c r="F462" t="inlineStr">
        <is>
          <t>SÖDERMANLANDS LÄN</t>
        </is>
      </c>
      <c r="G462" t="inlineStr">
        <is>
          <t>FLEN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46224</v>
      </c>
      <c r="F463" t="inlineStr">
        <is>
          <t>SÖDERMANLANDS LÄN</t>
        </is>
      </c>
      <c r="G463" t="inlineStr">
        <is>
          <t>FLEN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27317-2026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46224</v>
      </c>
      <c r="F464" t="inlineStr">
        <is>
          <t>SÖDERMANLANDS LÄN</t>
        </is>
      </c>
      <c r="G464" t="inlineStr">
        <is>
          <t>FLEN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46224</v>
      </c>
      <c r="F465" t="inlineStr">
        <is>
          <t>SÖDERMANLANDS LÄN</t>
        </is>
      </c>
      <c r="G465" t="inlineStr">
        <is>
          <t>FLEN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46224</v>
      </c>
      <c r="F466" t="inlineStr">
        <is>
          <t>SÖDERMANLANDS LÄN</t>
        </is>
      </c>
      <c r="G466" t="inlineStr">
        <is>
          <t>FLEN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44431</v>
      </c>
      <c r="E467" s="1" t="n">
        <v>46224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46224</v>
      </c>
      <c r="F468" t="inlineStr">
        <is>
          <t>SÖDERMANLANDS LÄN</t>
        </is>
      </c>
      <c r="G468" t="inlineStr">
        <is>
          <t>FLEN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45501</v>
      </c>
      <c r="E469" s="1" t="n">
        <v>46224</v>
      </c>
      <c r="F469" t="inlineStr">
        <is>
          <t>SÖDERMANLANDS LÄN</t>
        </is>
      </c>
      <c r="G469" t="inlineStr">
        <is>
          <t>FLEN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40420-2024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45555</v>
      </c>
      <c r="E470" s="1" t="n">
        <v>46224</v>
      </c>
      <c r="F470" t="inlineStr">
        <is>
          <t>SÖDERMANLANDS LÄN</t>
        </is>
      </c>
      <c r="G470" t="inlineStr">
        <is>
          <t>FLEN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44846</v>
      </c>
      <c r="E471" s="1" t="n">
        <v>46224</v>
      </c>
      <c r="F471" t="inlineStr">
        <is>
          <t>SÖDERMANLANDS LÄN</t>
        </is>
      </c>
      <c r="G471" t="inlineStr">
        <is>
          <t>FLEN</t>
        </is>
      </c>
      <c r="H471" t="inlineStr">
        <is>
          <t>Kyrkan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46224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46224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14.7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49811-2023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46224</v>
      </c>
      <c r="F474" t="inlineStr">
        <is>
          <t>SÖDERMANLANDS LÄN</t>
        </is>
      </c>
      <c r="G474" t="inlineStr">
        <is>
          <t>FLEN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46224</v>
      </c>
      <c r="F475" t="inlineStr">
        <is>
          <t>SÖDERMANLANDS LÄN</t>
        </is>
      </c>
      <c r="G475" t="inlineStr">
        <is>
          <t>FLEN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44848</v>
      </c>
      <c r="E476" s="1" t="n">
        <v>46224</v>
      </c>
      <c r="F476" t="inlineStr">
        <is>
          <t>SÖDERMANLANDS LÄN</t>
        </is>
      </c>
      <c r="G476" t="inlineStr">
        <is>
          <t>FLEN</t>
        </is>
      </c>
      <c r="H476" t="inlineStr">
        <is>
          <t>Övriga statliga verk och myndigheter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45441</v>
      </c>
      <c r="E477" s="1" t="n">
        <v>46224</v>
      </c>
      <c r="F477" t="inlineStr">
        <is>
          <t>SÖDERMANLANDS LÄN</t>
        </is>
      </c>
      <c r="G477" t="inlineStr">
        <is>
          <t>FLEN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8903-2022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44614</v>
      </c>
      <c r="E478" s="1" t="n">
        <v>46224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46224</v>
      </c>
      <c r="F479" t="inlineStr">
        <is>
          <t>SÖDERMANLANDS LÄN</t>
        </is>
      </c>
      <c r="G479" t="inlineStr">
        <is>
          <t>FLEN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46224</v>
      </c>
      <c r="F480" t="inlineStr">
        <is>
          <t>SÖDERMANLANDS LÄN</t>
        </is>
      </c>
      <c r="G480" t="inlineStr">
        <is>
          <t>FLEN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53517-2023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45230</v>
      </c>
      <c r="E481" s="1" t="n">
        <v>46224</v>
      </c>
      <c r="F481" t="inlineStr">
        <is>
          <t>SÖDERMANLANDS LÄN</t>
        </is>
      </c>
      <c r="G481" t="inlineStr">
        <is>
          <t>FLEN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37286-2024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45540</v>
      </c>
      <c r="E482" s="1" t="n">
        <v>46224</v>
      </c>
      <c r="F482" t="inlineStr">
        <is>
          <t>SÖDERMANLANDS LÄN</t>
        </is>
      </c>
      <c r="G482" t="inlineStr">
        <is>
          <t>FLEN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46224</v>
      </c>
      <c r="F483" t="inlineStr">
        <is>
          <t>SÖDERMANLANDS LÄN</t>
        </is>
      </c>
      <c r="G483" t="inlineStr">
        <is>
          <t>FLEN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44909</v>
      </c>
      <c r="E484" s="1" t="n">
        <v>46224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52353-2023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45224</v>
      </c>
      <c r="E485" s="1" t="n">
        <v>46224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8.199999999999999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45327</v>
      </c>
      <c r="E486" s="1" t="n">
        <v>46224</v>
      </c>
      <c r="F486" t="inlineStr">
        <is>
          <t>SÖDERMANLANDS LÄN</t>
        </is>
      </c>
      <c r="G486" t="inlineStr">
        <is>
          <t>FLEN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45001</v>
      </c>
      <c r="E487" s="1" t="n">
        <v>46224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73923-2021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44553</v>
      </c>
      <c r="E488" s="1" t="n">
        <v>46224</v>
      </c>
      <c r="F488" t="inlineStr">
        <is>
          <t>SÖDERMANLANDS LÄN</t>
        </is>
      </c>
      <c r="G488" t="inlineStr">
        <is>
          <t>FLEN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28664-2026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46224</v>
      </c>
      <c r="F489" t="inlineStr">
        <is>
          <t>SÖDERMANLANDS LÄN</t>
        </is>
      </c>
      <c r="G489" t="inlineStr">
        <is>
          <t>FLEN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46224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29897-2026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46224</v>
      </c>
      <c r="F491" t="inlineStr">
        <is>
          <t>SÖDERMANLANDS LÄN</t>
        </is>
      </c>
      <c r="G491" t="inlineStr">
        <is>
          <t>FLEN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46224</v>
      </c>
      <c r="F492" t="inlineStr">
        <is>
          <t>SÖDERMANLANDS LÄN</t>
        </is>
      </c>
      <c r="G492" t="inlineStr">
        <is>
          <t>FLEN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13587-2022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44648</v>
      </c>
      <c r="E493" s="1" t="n">
        <v>46224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26663-2022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44739</v>
      </c>
      <c r="E494" s="1" t="n">
        <v>46224</v>
      </c>
      <c r="F494" t="inlineStr">
        <is>
          <t>SÖDERMANLANDS LÄN</t>
        </is>
      </c>
      <c r="G494" t="inlineStr">
        <is>
          <t>FLEN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23716-2024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45454</v>
      </c>
      <c r="E495" s="1" t="n">
        <v>46224</v>
      </c>
      <c r="F495" t="inlineStr">
        <is>
          <t>SÖDERMANLANDS LÄN</t>
        </is>
      </c>
      <c r="G495" t="inlineStr">
        <is>
          <t>FLEN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46224</v>
      </c>
      <c r="F496" t="inlineStr">
        <is>
          <t>SÖDERMANLANDS LÄN</t>
        </is>
      </c>
      <c r="G496" t="inlineStr">
        <is>
          <t>FLEN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41894-2021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44425</v>
      </c>
      <c r="E497" s="1" t="n">
        <v>46224</v>
      </c>
      <c r="F497" t="inlineStr">
        <is>
          <t>SÖDERMANLANDS LÄN</t>
        </is>
      </c>
      <c r="G497" t="inlineStr">
        <is>
          <t>FLEN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45713</v>
      </c>
      <c r="E498" s="1" t="n">
        <v>46224</v>
      </c>
      <c r="F498" t="inlineStr">
        <is>
          <t>SÖDERMANLANDS LÄN</t>
        </is>
      </c>
      <c r="G498" t="inlineStr">
        <is>
          <t>FLEN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2738-2022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44580</v>
      </c>
      <c r="E499" s="1" t="n">
        <v>46224</v>
      </c>
      <c r="F499" t="inlineStr">
        <is>
          <t>SÖDERMANLANDS LÄN</t>
        </is>
      </c>
      <c r="G499" t="inlineStr">
        <is>
          <t>FLEN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46224</v>
      </c>
      <c r="F500" t="inlineStr">
        <is>
          <t>SÖDERMANLANDS LÄN</t>
        </is>
      </c>
      <c r="G500" t="inlineStr">
        <is>
          <t>FLEN</t>
        </is>
      </c>
      <c r="H500" t="inlineStr">
        <is>
          <t>Kyrkan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39891-2022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44819</v>
      </c>
      <c r="E501" s="1" t="n">
        <v>46224</v>
      </c>
      <c r="F501" t="inlineStr">
        <is>
          <t>SÖDERMANLANDS LÄN</t>
        </is>
      </c>
      <c r="G501" t="inlineStr">
        <is>
          <t>FLEN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46224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46224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31083-2022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44769</v>
      </c>
      <c r="E504" s="1" t="n">
        <v>46224</v>
      </c>
      <c r="F504" t="inlineStr">
        <is>
          <t>SÖDERMANLANDS LÄN</t>
        </is>
      </c>
      <c r="G504" t="inlineStr">
        <is>
          <t>FLEN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32407-2023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45110</v>
      </c>
      <c r="E505" s="1" t="n">
        <v>46224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45250</v>
      </c>
      <c r="E506" s="1" t="n">
        <v>46224</v>
      </c>
      <c r="F506" t="inlineStr">
        <is>
          <t>SÖDERMANLANDS LÄN</t>
        </is>
      </c>
      <c r="G506" t="inlineStr">
        <is>
          <t>FLEN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46168</v>
      </c>
      <c r="E507" s="1" t="n">
        <v>46224</v>
      </c>
      <c r="F507" t="inlineStr">
        <is>
          <t>SÖDERMANLANDS LÄN</t>
        </is>
      </c>
      <c r="G507" t="inlineStr">
        <is>
          <t>FLEN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46224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46224</v>
      </c>
      <c r="F509" t="inlineStr">
        <is>
          <t>SÖDERMANLANDS LÄN</t>
        </is>
      </c>
      <c r="G509" t="inlineStr">
        <is>
          <t>FLEN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46224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38135-2023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45161</v>
      </c>
      <c r="E511" s="1" t="n">
        <v>46224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44960</v>
      </c>
      <c r="E512" s="1" t="n">
        <v>46224</v>
      </c>
      <c r="F512" t="inlineStr">
        <is>
          <t>SÖDERMANLANDS LÄN</t>
        </is>
      </c>
      <c r="G512" t="inlineStr">
        <is>
          <t>FLEN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46224</v>
      </c>
      <c r="F513" t="inlineStr">
        <is>
          <t>SÖDERMANLANDS LÄN</t>
        </is>
      </c>
      <c r="G513" t="inlineStr">
        <is>
          <t>FLEN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46224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  <c r="Z514">
        <f>HYPERLINK("https://klasma.github.io/Logging_0482/knärot/A 24450-2026 karta knärot.png", "A 24450-2026")</f>
        <v/>
      </c>
      <c r="AA514">
        <f>HYPERLINK("https://klasma.github.io/Logging_0482/klagomål/A 24450-2026 FSC-klagomål.docx", "A 24450-2026")</f>
        <v/>
      </c>
      <c r="AB514">
        <f>HYPERLINK("https://klasma.github.io/Logging_0482/klagomålsmail/A 24450-2026 FSC-klagomål mail.docx", "A 24450-2026")</f>
        <v/>
      </c>
      <c r="AC514">
        <f>HYPERLINK("https://klasma.github.io/Logging_0482/tillsyn/A 24450-2026 tillsynsbegäran.docx", "A 24450-2026")</f>
        <v/>
      </c>
      <c r="AD514">
        <f>HYPERLINK("https://klasma.github.io/Logging_0482/tillsynsmail/A 24450-2026 tillsynsbegäran mail.docx", "A 24450-2026")</f>
        <v/>
      </c>
    </row>
    <row r="515" ht="15" customHeight="1">
      <c r="A515" t="inlineStr">
        <is>
          <t>A 24455-2026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46224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46224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46224</v>
      </c>
      <c r="F517" t="inlineStr">
        <is>
          <t>SÖDERMANLANDS LÄN</t>
        </is>
      </c>
      <c r="G517" t="inlineStr">
        <is>
          <t>FLEN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45328</v>
      </c>
      <c r="E518" s="1" t="n">
        <v>46224</v>
      </c>
      <c r="F518" t="inlineStr">
        <is>
          <t>SÖDERMANLANDS LÄN</t>
        </is>
      </c>
      <c r="G518" t="inlineStr">
        <is>
          <t>FLEN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41630-2023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46224</v>
      </c>
      <c r="F519" t="inlineStr">
        <is>
          <t>SÖDERMANLANDS LÄN</t>
        </is>
      </c>
      <c r="G519" t="inlineStr">
        <is>
          <t>FLEN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45036</v>
      </c>
      <c r="E520" s="1" t="n">
        <v>46224</v>
      </c>
      <c r="F520" t="inlineStr">
        <is>
          <t>SÖDERMANLANDS LÄN</t>
        </is>
      </c>
      <c r="G520" t="inlineStr">
        <is>
          <t>FLEN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59439-2022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44907</v>
      </c>
      <c r="E521" s="1" t="n">
        <v>46224</v>
      </c>
      <c r="F521" t="inlineStr">
        <is>
          <t>SÖDERMANLANDS LÄN</t>
        </is>
      </c>
      <c r="G521" t="inlineStr">
        <is>
          <t>FLEN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45365</v>
      </c>
      <c r="E522" s="1" t="n">
        <v>46224</v>
      </c>
      <c r="F522" t="inlineStr">
        <is>
          <t>SÖDERMANLANDS LÄN</t>
        </is>
      </c>
      <c r="G522" t="inlineStr">
        <is>
          <t>FLEN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56991-2023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46224</v>
      </c>
      <c r="F523" t="inlineStr">
        <is>
          <t>SÖDERMANLANDS LÄN</t>
        </is>
      </c>
      <c r="G523" t="inlineStr">
        <is>
          <t>FLEN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54781-2024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45618</v>
      </c>
      <c r="E524" s="1" t="n">
        <v>46224</v>
      </c>
      <c r="F524" t="inlineStr">
        <is>
          <t>SÖDERMANLANDS LÄN</t>
        </is>
      </c>
      <c r="G524" t="inlineStr">
        <is>
          <t>FLEN</t>
        </is>
      </c>
      <c r="I524" t="n">
        <v>10.3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11747-2022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44634</v>
      </c>
      <c r="E525" s="1" t="n">
        <v>46224</v>
      </c>
      <c r="F525" t="inlineStr">
        <is>
          <t>SÖDERMANLANDS LÄN</t>
        </is>
      </c>
      <c r="G525" t="inlineStr">
        <is>
          <t>FLEN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47872-2025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45932</v>
      </c>
      <c r="E526" s="1" t="n">
        <v>46224</v>
      </c>
      <c r="F526" t="inlineStr">
        <is>
          <t>SÖDERMANLANDS LÄN</t>
        </is>
      </c>
      <c r="G526" t="inlineStr">
        <is>
          <t>FLEN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41806-2023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45176</v>
      </c>
      <c r="E527" s="1" t="n">
        <v>46224</v>
      </c>
      <c r="F527" t="inlineStr">
        <is>
          <t>SÖDERMANLANDS LÄN</t>
        </is>
      </c>
      <c r="G527" t="inlineStr">
        <is>
          <t>FLEN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46224</v>
      </c>
      <c r="F528" t="inlineStr">
        <is>
          <t>SÖDERMANLANDS LÄN</t>
        </is>
      </c>
      <c r="G528" t="inlineStr">
        <is>
          <t>FLEN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46224</v>
      </c>
      <c r="F529" t="inlineStr">
        <is>
          <t>SÖDERMANLANDS LÄN</t>
        </is>
      </c>
      <c r="G529" t="inlineStr">
        <is>
          <t>FLEN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46224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45216</v>
      </c>
      <c r="E531" s="1" t="n">
        <v>46224</v>
      </c>
      <c r="F531" t="inlineStr">
        <is>
          <t>SÖDERMANLANDS LÄN</t>
        </is>
      </c>
      <c r="G531" t="inlineStr">
        <is>
          <t>FLEN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46224</v>
      </c>
      <c r="F532" t="inlineStr">
        <is>
          <t>SÖDERMANLANDS LÄN</t>
        </is>
      </c>
      <c r="G532" t="inlineStr">
        <is>
          <t>FLEN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46224</v>
      </c>
      <c r="F533" t="inlineStr">
        <is>
          <t>SÖDERMANLANDS LÄN</t>
        </is>
      </c>
      <c r="G533" t="inlineStr">
        <is>
          <t>FLEN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45180</v>
      </c>
      <c r="E534" s="1" t="n">
        <v>46224</v>
      </c>
      <c r="F534" t="inlineStr">
        <is>
          <t>SÖDERMANLANDS LÄN</t>
        </is>
      </c>
      <c r="G534" t="inlineStr">
        <is>
          <t>FLEN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59690-2023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45256</v>
      </c>
      <c r="E535" s="1" t="n">
        <v>46224</v>
      </c>
      <c r="F535" t="inlineStr">
        <is>
          <t>SÖDERMANLANDS LÄN</t>
        </is>
      </c>
      <c r="G535" t="inlineStr">
        <is>
          <t>FLEN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26050-2026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46224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13824-2023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45007</v>
      </c>
      <c r="E537" s="1" t="n">
        <v>46224</v>
      </c>
      <c r="F537" t="inlineStr">
        <is>
          <t>SÖDERMANLANDS LÄN</t>
        </is>
      </c>
      <c r="G537" t="inlineStr">
        <is>
          <t>FLEN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22827-2024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45448</v>
      </c>
      <c r="E538" s="1" t="n">
        <v>46224</v>
      </c>
      <c r="F538" t="inlineStr">
        <is>
          <t>SÖDERMANLANDS LÄN</t>
        </is>
      </c>
      <c r="G538" t="inlineStr">
        <is>
          <t>FLEN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13233-2024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45386</v>
      </c>
      <c r="E539" s="1" t="n">
        <v>46224</v>
      </c>
      <c r="F539" t="inlineStr">
        <is>
          <t>SÖDERMANLANDS LÄN</t>
        </is>
      </c>
      <c r="G539" t="inlineStr">
        <is>
          <t>FLEN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44610</v>
      </c>
      <c r="E540" s="1" t="n">
        <v>46224</v>
      </c>
      <c r="F540" t="inlineStr">
        <is>
          <t>SÖDERMANLANDS LÄN</t>
        </is>
      </c>
      <c r="G540" t="inlineStr">
        <is>
          <t>FLEN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45014</v>
      </c>
      <c r="E541" s="1" t="n">
        <v>46224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45671</v>
      </c>
      <c r="E542" s="1" t="n">
        <v>46224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46224</v>
      </c>
      <c r="F543" t="inlineStr">
        <is>
          <t>SÖDERMANLANDS LÄN</t>
        </is>
      </c>
      <c r="G543" t="inlineStr">
        <is>
          <t>FLEN</t>
        </is>
      </c>
      <c r="I543" t="n">
        <v>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4899-2023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44958</v>
      </c>
      <c r="E544" s="1" t="n">
        <v>46224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46224</v>
      </c>
      <c r="F545" t="inlineStr">
        <is>
          <t>SÖDERMANLANDS LÄN</t>
        </is>
      </c>
      <c r="G545" t="inlineStr">
        <is>
          <t>FLEN</t>
        </is>
      </c>
      <c r="H545" t="inlineStr">
        <is>
          <t>Holmen skog AB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45414</v>
      </c>
      <c r="E546" s="1" t="n">
        <v>46224</v>
      </c>
      <c r="F546" t="inlineStr">
        <is>
          <t>SÖDERMANLANDS LÄN</t>
        </is>
      </c>
      <c r="G546" t="inlineStr">
        <is>
          <t>FLEN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46224</v>
      </c>
      <c r="F547" t="inlineStr">
        <is>
          <t>SÖDERMANLANDS LÄN</t>
        </is>
      </c>
      <c r="G547" t="inlineStr">
        <is>
          <t>FLEN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45350</v>
      </c>
      <c r="E548" s="1" t="n">
        <v>46224</v>
      </c>
      <c r="F548" t="inlineStr">
        <is>
          <t>SÖDERMANLANDS LÄN</t>
        </is>
      </c>
      <c r="G548" t="inlineStr">
        <is>
          <t>FLEN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54736-2022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44883</v>
      </c>
      <c r="E549" s="1" t="n">
        <v>46224</v>
      </c>
      <c r="F549" t="inlineStr">
        <is>
          <t>SÖDERMANLANDS LÄN</t>
        </is>
      </c>
      <c r="G549" t="inlineStr">
        <is>
          <t>FLEN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47055-2022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44852</v>
      </c>
      <c r="E550" s="1" t="n">
        <v>46224</v>
      </c>
      <c r="F550" t="inlineStr">
        <is>
          <t>SÖDERMANLANDS LÄN</t>
        </is>
      </c>
      <c r="G550" t="inlineStr">
        <is>
          <t>FLEN</t>
        </is>
      </c>
      <c r="I550" t="n">
        <v>8.699999999999999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458-2023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44964</v>
      </c>
      <c r="E551" s="1" t="n">
        <v>46224</v>
      </c>
      <c r="F551" t="inlineStr">
        <is>
          <t>SÖDERMANLANDS LÄN</t>
        </is>
      </c>
      <c r="G551" t="inlineStr">
        <is>
          <t>FLEN</t>
        </is>
      </c>
      <c r="H551" t="inlineStr">
        <is>
          <t>Kyrkan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292-2025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45686</v>
      </c>
      <c r="E552" s="1" t="n">
        <v>46224</v>
      </c>
      <c r="F552" t="inlineStr">
        <is>
          <t>SÖDERMANLANDS LÄN</t>
        </is>
      </c>
      <c r="G552" t="inlineStr">
        <is>
          <t>FLEN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3723-2022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44742</v>
      </c>
      <c r="E553" s="1" t="n">
        <v>46224</v>
      </c>
      <c r="F553" t="inlineStr">
        <is>
          <t>SÖDERMANLANDS LÄN</t>
        </is>
      </c>
      <c r="G553" t="inlineStr">
        <is>
          <t>FLEN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482-2022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44588</v>
      </c>
      <c r="E554" s="1" t="n">
        <v>46224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2321-2022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44685</v>
      </c>
      <c r="E555" s="1" t="n">
        <v>46224</v>
      </c>
      <c r="F555" t="inlineStr">
        <is>
          <t>SÖDERMANLANDS LÄN</t>
        </is>
      </c>
      <c r="G555" t="inlineStr">
        <is>
          <t>FLEN</t>
        </is>
      </c>
      <c r="H555" t="inlineStr">
        <is>
          <t>Kyrkan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1976-2024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45446</v>
      </c>
      <c r="E556" s="1" t="n">
        <v>46224</v>
      </c>
      <c r="F556" t="inlineStr">
        <is>
          <t>SÖDERMANLANDS LÄN</t>
        </is>
      </c>
      <c r="G556" t="inlineStr">
        <is>
          <t>FLEN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1287-2024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45403</v>
      </c>
      <c r="E557" s="1" t="n">
        <v>46224</v>
      </c>
      <c r="F557" t="inlineStr">
        <is>
          <t>SÖDERMANLANDS LÄN</t>
        </is>
      </c>
      <c r="G557" t="inlineStr">
        <is>
          <t>FLEN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>
      <c r="A558" t="inlineStr">
        <is>
          <t>S 1528-2026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46164</v>
      </c>
      <c r="E558" s="1" t="n">
        <v>46224</v>
      </c>
      <c r="F558" t="inlineStr">
        <is>
          <t>SÖDERMANLANDS LÄN</t>
        </is>
      </c>
      <c r="G558" t="inlineStr">
        <is>
          <t>FLEN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2026-07-21T01:34:23Z</dcterms:created>
  <dcterms:modified xmlns:dcterms="http://purl.org/dc/terms/" xmlns:xsi="http://www.w3.org/2001/XMLSchema-instance" xsi:type="dcterms:W3CDTF">2026-07-21T01:34:23Z</dcterms:modified>
</cp:coreProperties>
</file>