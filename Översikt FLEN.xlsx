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46268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46268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46268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46268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46268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46268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46268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46268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46268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46268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46268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46268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46268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46268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46268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46268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46268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70039-2021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46268</v>
      </c>
      <c r="F31" t="inlineStr">
        <is>
          <t>SÖDERMANLANDS LÄN</t>
        </is>
      </c>
      <c r="G31" t="inlineStr">
        <is>
          <t>FLEN</t>
        </is>
      </c>
      <c r="I31" t="n">
        <v>6.7</v>
      </c>
      <c r="J31" t="n">
        <v>1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3</v>
      </c>
      <c r="V31" s="2" t="inlineStr">
        <is>
          <t>Gullklöver
Slåtterfibbla
Svedjenäva
Svinrot
Blåsippa</t>
        </is>
      </c>
      <c r="W31">
        <f>HYPERLINK("https://klasma.github.io/Logging_0482/artfynd/A 70039-2021 artfynd.xlsx", "A 70039-2021")</f>
        <v/>
      </c>
      <c r="X31">
        <f>HYPERLINK("https://klasma.github.io/Logging_0482/kartor/A 70039-2021 karta.png", "A 70039-2021")</f>
        <v/>
      </c>
      <c r="Y31">
        <f>HYPERLINK("https://klasma.github.io/Logging_0482/kartor_geotiff/A 70039-2021 georefererad karta.tif", "A 70039-2021")</f>
        <v/>
      </c>
      <c r="AA31">
        <f>HYPERLINK("https://klasma.github.io/Logging_0482/klagomål/A 70039-2021 FSC-klagomål.docx", "A 70039-2021")</f>
        <v/>
      </c>
      <c r="AB31">
        <f>HYPERLINK("https://klasma.github.io/Logging_0482/klagomålsmail/A 70039-2021 FSC-klagomål mail.docx", "A 70039-2021")</f>
        <v/>
      </c>
      <c r="AC31">
        <f>HYPERLINK("https://klasma.github.io/Logging_0482/tillsyn/A 70039-2021 tillsynsbegäran.docx", "A 70039-2021")</f>
        <v/>
      </c>
      <c r="AD31">
        <f>HYPERLINK("https://klasma.github.io/Logging_0482/tillsynsmail/A 70039-2021 tillsynsbegäran mail.docx", "A 70039-2021")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46268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46268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46268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46268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A 38832-2022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44814</v>
      </c>
      <c r="E36" s="1" t="n">
        <v>46268</v>
      </c>
      <c r="F36" t="inlineStr">
        <is>
          <t>SÖDERMANLANDS LÄN</t>
        </is>
      </c>
      <c r="G36" t="inlineStr">
        <is>
          <t>FLEN</t>
        </is>
      </c>
      <c r="I36" t="n">
        <v>1.8</v>
      </c>
      <c r="J36" t="n">
        <v>2</v>
      </c>
      <c r="K36" t="n">
        <v>0</v>
      </c>
      <c r="L36" t="n">
        <v>2</v>
      </c>
      <c r="M36" t="n">
        <v>1</v>
      </c>
      <c r="N36" t="n">
        <v>1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5</v>
      </c>
      <c r="U36" t="n">
        <v>1</v>
      </c>
      <c r="V36" s="2" t="inlineStr">
        <is>
          <t>Ask
Gulvit blekspik
Gulsparv
Tallticka
Skogsödla</t>
        </is>
      </c>
      <c r="W36">
        <f>HYPERLINK("https://klasma.github.io/Logging_0482/artfynd/A 38832-2022 artfynd.xlsx", "A 38832-2022")</f>
        <v/>
      </c>
      <c r="X36">
        <f>HYPERLINK("https://klasma.github.io/Logging_0482/kartor/A 38832-2022 karta.png", "A 38832-2022")</f>
        <v/>
      </c>
      <c r="Y36">
        <f>HYPERLINK("https://klasma.github.io/Logging_0482/kartor_geotiff/A 38832-2022 georefererad karta.tif", "A 38832-2022")</f>
        <v/>
      </c>
      <c r="AA36">
        <f>HYPERLINK("https://klasma.github.io/Logging_0482/klagomål/A 38832-2022 FSC-klagomål.docx", "A 38832-2022")</f>
        <v/>
      </c>
      <c r="AB36">
        <f>HYPERLINK("https://klasma.github.io/Logging_0482/klagomålsmail/A 38832-2022 FSC-klagomål mail.docx", "A 38832-2022")</f>
        <v/>
      </c>
      <c r="AC36">
        <f>HYPERLINK("https://klasma.github.io/Logging_0482/tillsyn/A 38832-2022 tillsynsbegäran.docx", "A 38832-2022")</f>
        <v/>
      </c>
      <c r="AD36">
        <f>HYPERLINK("https://klasma.github.io/Logging_0482/tillsynsmail/A 38832-2022 tillsynsbegäran mail.docx", "A 38832-2022")</f>
        <v/>
      </c>
      <c r="AE36">
        <f>HYPERLINK("https://klasma.github.io/Logging_0482/fåglar/A 38832-2022 prioriterade fågelarter.docx", "A 38832-2022")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46268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46268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46268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46268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46268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46268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46268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46268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46268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Dropptaggsvamp
Fönsterlav
Grå renlav
Gulvit renlav</t>
        </is>
      </c>
      <c r="W45">
        <f>HYPERLINK("https://klasma.github.io/Logging_0482/artfynd/A 11115-2026 artfynd.xlsx", "A 11115-2026")</f>
        <v/>
      </c>
      <c r="X45">
        <f>HYPERLINK("https://klasma.github.io/Logging_0482/kartor/A 11115-2026 karta.png", "A 11115-2026")</f>
        <v/>
      </c>
      <c r="Y45">
        <f>HYPERLINK("https://klasma.github.io/Logging_0482/kartor_geotiff/A 11115-2026 georefererad karta.tif", "A 11115-2026")</f>
        <v/>
      </c>
      <c r="AA45">
        <f>HYPERLINK("https://klasma.github.io/Logging_0482/klagomål/A 11115-2026 FSC-klagomål.docx", "A 11115-2026")</f>
        <v/>
      </c>
      <c r="AB45">
        <f>HYPERLINK("https://klasma.github.io/Logging_0482/klagomålsmail/A 11115-2026 FSC-klagomål mail.docx", "A 11115-2026")</f>
        <v/>
      </c>
      <c r="AC45">
        <f>HYPERLINK("https://klasma.github.io/Logging_0482/tillsyn/A 11115-2026 tillsynsbegäran.docx", "A 11115-2026")</f>
        <v/>
      </c>
      <c r="AD45">
        <f>HYPERLINK("https://klasma.github.io/Logging_0482/tillsynsmail/A 11115-2026 tillsynsbegäran mail.docx", "A 11115-2026")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46268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46268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46268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46268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46268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46268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46268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46268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46268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46268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54302-2025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46268</v>
      </c>
      <c r="F56" t="inlineStr">
        <is>
          <t>SÖDERMANLANDS LÄN</t>
        </is>
      </c>
      <c r="G56" t="inlineStr">
        <is>
          <t>FLEN</t>
        </is>
      </c>
      <c r="I56" t="n">
        <v>12.6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Dofttaggsvamp
Svinrot
Mattlummer</t>
        </is>
      </c>
      <c r="W56">
        <f>HYPERLINK("https://klasma.github.io/Logging_0482/artfynd/A 54302-2025 artfynd.xlsx", "A 54302-2025")</f>
        <v/>
      </c>
      <c r="X56">
        <f>HYPERLINK("https://klasma.github.io/Logging_0482/kartor/A 54302-2025 karta.png", "A 54302-2025")</f>
        <v/>
      </c>
      <c r="Y56">
        <f>HYPERLINK("https://klasma.github.io/Logging_0482/kartor_geotiff/A 54302-2025 georefererad karta.tif", "A 54302-2025")</f>
        <v/>
      </c>
      <c r="AA56">
        <f>HYPERLINK("https://klasma.github.io/Logging_0482/klagomål/A 54302-2025 FSC-klagomål.docx", "A 54302-2025")</f>
        <v/>
      </c>
      <c r="AB56">
        <f>HYPERLINK("https://klasma.github.io/Logging_0482/klagomålsmail/A 54302-2025 FSC-klagomål mail.docx", "A 54302-2025")</f>
        <v/>
      </c>
      <c r="AC56">
        <f>HYPERLINK("https://klasma.github.io/Logging_0482/tillsyn/A 54302-2025 tillsynsbegäran.docx", "A 54302-2025")</f>
        <v/>
      </c>
      <c r="AD56">
        <f>HYPERLINK("https://klasma.github.io/Logging_0482/tillsynsmail/A 54302-2025 tillsynsbegäran mail.docx", "A 54302-2025")</f>
        <v/>
      </c>
    </row>
    <row r="57" ht="15" customHeight="1">
      <c r="A57" t="inlineStr">
        <is>
          <t>A 2203-2022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44578</v>
      </c>
      <c r="E57" s="1" t="n">
        <v>46268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2.9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Knärot
Grönpyrola
Revlummer</t>
        </is>
      </c>
      <c r="W57">
        <f>HYPERLINK("https://klasma.github.io/Logging_0482/artfynd/A 2203-2022 artfynd.xlsx", "A 2203-2022")</f>
        <v/>
      </c>
      <c r="X57">
        <f>HYPERLINK("https://klasma.github.io/Logging_0482/kartor/A 2203-2022 karta.png", "A 2203-2022")</f>
        <v/>
      </c>
      <c r="Y57">
        <f>HYPERLINK("https://klasma.github.io/Logging_0482/kartor_geotiff/A 2203-2022 georefererad karta.tif", "A 2203-2022")</f>
        <v/>
      </c>
      <c r="Z57">
        <f>HYPERLINK("https://klasma.github.io/Logging_0482/knärot/A 2203-2022 karta knärot.png", "A 2203-2022")</f>
        <v/>
      </c>
      <c r="AA57">
        <f>HYPERLINK("https://klasma.github.io/Logging_0482/klagomål/A 2203-2022 FSC-klagomål.docx", "A 2203-2022")</f>
        <v/>
      </c>
      <c r="AB57">
        <f>HYPERLINK("https://klasma.github.io/Logging_0482/klagomålsmail/A 2203-2022 FSC-klagomål mail.docx", "A 2203-2022")</f>
        <v/>
      </c>
      <c r="AC57">
        <f>HYPERLINK("https://klasma.github.io/Logging_0482/tillsyn/A 2203-2022 tillsynsbegäran.docx", "A 2203-2022")</f>
        <v/>
      </c>
      <c r="AD57">
        <f>HYPERLINK("https://klasma.github.io/Logging_0482/tillsynsmail/A 2203-2022 tillsynsbegäran mail.docx", "A 2203-2022")</f>
        <v/>
      </c>
    </row>
    <row r="58" ht="15" customHeight="1">
      <c r="A58" t="inlineStr">
        <is>
          <t>A 63185-2023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45272</v>
      </c>
      <c r="E58" s="1" t="n">
        <v>46268</v>
      </c>
      <c r="F58" t="inlineStr">
        <is>
          <t>SÖDERMANLANDS LÄN</t>
        </is>
      </c>
      <c r="G58" t="inlineStr">
        <is>
          <t>FLEN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Gullklöver
Majbräken
Sälg</t>
        </is>
      </c>
      <c r="W58">
        <f>HYPERLINK("https://klasma.github.io/Logging_0482/artfynd/A 63185-2023 artfynd.xlsx", "A 63185-2023")</f>
        <v/>
      </c>
      <c r="X58">
        <f>HYPERLINK("https://klasma.github.io/Logging_0482/kartor/A 63185-2023 karta.png", "A 63185-2023")</f>
        <v/>
      </c>
      <c r="Y58">
        <f>HYPERLINK("https://klasma.github.io/Logging_0482/kartor_geotiff/A 63185-2023 georefererad karta.tif", "A 63185-2023")</f>
        <v/>
      </c>
      <c r="AA58">
        <f>HYPERLINK("https://klasma.github.io/Logging_0482/klagomål/A 63185-2023 FSC-klagomål.docx", "A 63185-2023")</f>
        <v/>
      </c>
      <c r="AB58">
        <f>HYPERLINK("https://klasma.github.io/Logging_0482/klagomålsmail/A 63185-2023 FSC-klagomål mail.docx", "A 63185-2023")</f>
        <v/>
      </c>
      <c r="AC58">
        <f>HYPERLINK("https://klasma.github.io/Logging_0482/tillsyn/A 63185-2023 tillsynsbegäran.docx", "A 63185-2023")</f>
        <v/>
      </c>
      <c r="AD58">
        <f>HYPERLINK("https://klasma.github.io/Logging_0482/tillsynsmail/A 63185-2023 tillsynsbegäran mail.docx", "A 63185-2023")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46268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46268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29895-2026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46268</v>
      </c>
      <c r="F61" t="inlineStr">
        <is>
          <t>SÖDERMANLANDS LÄN</t>
        </is>
      </c>
      <c r="G61" t="inlineStr">
        <is>
          <t>FLEN</t>
        </is>
      </c>
      <c r="I61" t="n">
        <v>0.7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Gullklöver
Svinrot
Revlummer</t>
        </is>
      </c>
      <c r="W61">
        <f>HYPERLINK("https://klasma.github.io/Logging_0482/artfynd/A 29895-2026 artfynd.xlsx", "A 29895-2026")</f>
        <v/>
      </c>
      <c r="X61">
        <f>HYPERLINK("https://klasma.github.io/Logging_0482/kartor/A 29895-2026 karta.png", "A 29895-2026")</f>
        <v/>
      </c>
      <c r="Y61">
        <f>HYPERLINK("https://klasma.github.io/Logging_0482/kartor_geotiff/A 29895-2026 georefererad karta.tif", "A 29895-2026")</f>
        <v/>
      </c>
      <c r="AA61">
        <f>HYPERLINK("https://klasma.github.io/Logging_0482/klagomål/A 29895-2026 FSC-klagomål.docx", "A 29895-2026")</f>
        <v/>
      </c>
      <c r="AB61">
        <f>HYPERLINK("https://klasma.github.io/Logging_0482/klagomålsmail/A 29895-2026 FSC-klagomål mail.docx", "A 29895-2026")</f>
        <v/>
      </c>
      <c r="AC61">
        <f>HYPERLINK("https://klasma.github.io/Logging_0482/tillsyn/A 29895-2026 tillsynsbegäran.docx", "A 29895-2026")</f>
        <v/>
      </c>
      <c r="AD61">
        <f>HYPERLINK("https://klasma.github.io/Logging_0482/tillsynsmail/A 29895-2026 tillsynsbegäran mail.docx", "A 29895-2026")</f>
        <v/>
      </c>
    </row>
    <row r="62" ht="15" customHeight="1">
      <c r="A62" t="inlineStr">
        <is>
          <t>A 34985-2023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46268</v>
      </c>
      <c r="F62" t="inlineStr">
        <is>
          <t>SÖDERMANLANDS LÄN</t>
        </is>
      </c>
      <c r="G62" t="inlineStr">
        <is>
          <t>FLEN</t>
        </is>
      </c>
      <c r="H62" t="inlineStr">
        <is>
          <t>Övriga statliga verk och myndigheter</t>
        </is>
      </c>
      <c r="I62" t="n">
        <v>2.8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Grönpyrola
Revlummer</t>
        </is>
      </c>
      <c r="W62">
        <f>HYPERLINK("https://klasma.github.io/Logging_0482/artfynd/A 34985-2023 artfynd.xlsx", "A 34985-2023")</f>
        <v/>
      </c>
      <c r="X62">
        <f>HYPERLINK("https://klasma.github.io/Logging_0482/kartor/A 34985-2023 karta.png", "A 34985-2023")</f>
        <v/>
      </c>
      <c r="Y62">
        <f>HYPERLINK("https://klasma.github.io/Logging_0482/kartor_geotiff/A 34985-2023 georefererad karta.tif", "A 34985-2023")</f>
        <v/>
      </c>
      <c r="Z62">
        <f>HYPERLINK("https://klasma.github.io/Logging_0482/knärot/A 34985-2023 karta knärot.png", "A 34985-2023")</f>
        <v/>
      </c>
      <c r="AA62">
        <f>HYPERLINK("https://klasma.github.io/Logging_0482/klagomål/A 34985-2023 FSC-klagomål.docx", "A 34985-2023")</f>
        <v/>
      </c>
      <c r="AB62">
        <f>HYPERLINK("https://klasma.github.io/Logging_0482/klagomålsmail/A 34985-2023 FSC-klagomål mail.docx", "A 34985-2023")</f>
        <v/>
      </c>
      <c r="AC62">
        <f>HYPERLINK("https://klasma.github.io/Logging_0482/tillsyn/A 34985-2023 tillsynsbegäran.docx", "A 34985-2023")</f>
        <v/>
      </c>
      <c r="AD62">
        <f>HYPERLINK("https://klasma.github.io/Logging_0482/tillsynsmail/A 34985-2023 tillsynsbegäran mail.docx", "A 34985-2023")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46268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46268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46268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46268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46268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46268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46268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46268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46268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46268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50215-2022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46268</v>
      </c>
      <c r="F73" t="inlineStr">
        <is>
          <t>SÖDERMANLANDS LÄN</t>
        </is>
      </c>
      <c r="G73" t="inlineStr">
        <is>
          <t>FLEN</t>
        </is>
      </c>
      <c r="H73" t="inlineStr">
        <is>
          <t>Kyrkan</t>
        </is>
      </c>
      <c r="I73" t="n">
        <v>2.2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Äkta lopplummer</t>
        </is>
      </c>
      <c r="W73">
        <f>HYPERLINK("https://klasma.github.io/Logging_0482/artfynd/A 50215-2022 artfynd.xlsx", "A 50215-2022")</f>
        <v/>
      </c>
      <c r="X73">
        <f>HYPERLINK("https://klasma.github.io/Logging_0482/kartor/A 50215-2022 karta.png", "A 50215-2022")</f>
        <v/>
      </c>
      <c r="Y73">
        <f>HYPERLINK("https://klasma.github.io/Logging_0482/kartor_geotiff/A 50215-2022 georefererad karta.tif", "A 50215-2022")</f>
        <v/>
      </c>
      <c r="Z73">
        <f>HYPERLINK("https://klasma.github.io/Logging_0482/knärot/A 50215-2022 karta knärot.png", "A 50215-2022")</f>
        <v/>
      </c>
      <c r="AA73">
        <f>HYPERLINK("https://klasma.github.io/Logging_0482/klagomål/A 50215-2022 FSC-klagomål.docx", "A 50215-2022")</f>
        <v/>
      </c>
      <c r="AB73">
        <f>HYPERLINK("https://klasma.github.io/Logging_0482/klagomålsmail/A 50215-2022 FSC-klagomål mail.docx", "A 50215-2022")</f>
        <v/>
      </c>
      <c r="AC73">
        <f>HYPERLINK("https://klasma.github.io/Logging_0482/tillsyn/A 50215-2022 tillsynsbegäran.docx", "A 50215-2022")</f>
        <v/>
      </c>
      <c r="AD73">
        <f>HYPERLINK("https://klasma.github.io/Logging_0482/tillsynsmail/A 50215-2022 tillsynsbegäran mail.docx", "A 50215-2022")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46268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46268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Större vattensalamander
Mindre vattensalamander</t>
        </is>
      </c>
      <c r="W75">
        <f>HYPERLINK("https://klasma.github.io/Logging_0482/artfynd/A 8887-2026 artfynd.xlsx", "A 8887-2026")</f>
        <v/>
      </c>
      <c r="X75">
        <f>HYPERLINK("https://klasma.github.io/Logging_0482/kartor/A 8887-2026 karta.png", "A 8887-2026")</f>
        <v/>
      </c>
      <c r="Y75">
        <f>HYPERLINK("https://klasma.github.io/Logging_0482/kartor_geotiff/A 8887-2026 georefererad karta.tif", "A 8887-2026")</f>
        <v/>
      </c>
      <c r="AA75">
        <f>HYPERLINK("https://klasma.github.io/Logging_0482/klagomål/A 8887-2026 FSC-klagomål.docx", "A 8887-2026")</f>
        <v/>
      </c>
      <c r="AB75">
        <f>HYPERLINK("https://klasma.github.io/Logging_0482/klagomålsmail/A 8887-2026 FSC-klagomål mail.docx", "A 8887-2026")</f>
        <v/>
      </c>
      <c r="AC75">
        <f>HYPERLINK("https://klasma.github.io/Logging_0482/tillsyn/A 8887-2026 tillsynsbegäran.docx", "A 8887-2026")</f>
        <v/>
      </c>
      <c r="AD75">
        <f>HYPERLINK("https://klasma.github.io/Logging_0482/tillsynsmail/A 8887-2026 tillsynsbegäran mail.docx", "A 8887-2026")</f>
        <v/>
      </c>
    </row>
    <row r="76" ht="15" customHeight="1">
      <c r="A76" t="inlineStr">
        <is>
          <t>A 15452-2024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46268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Svinrot
Älg</t>
        </is>
      </c>
      <c r="W76">
        <f>HYPERLINK("https://klasma.github.io/Logging_0482/artfynd/A 15452-2024 artfynd.xlsx", "A 15452-2024")</f>
        <v/>
      </c>
      <c r="X76">
        <f>HYPERLINK("https://klasma.github.io/Logging_0482/kartor/A 15452-2024 karta.png", "A 15452-2024")</f>
        <v/>
      </c>
      <c r="Y76">
        <f>HYPERLINK("https://klasma.github.io/Logging_0482/kartor_geotiff/A 15452-2024 georefererad karta.tif", "A 15452-2024")</f>
        <v/>
      </c>
      <c r="AA76">
        <f>HYPERLINK("https://klasma.github.io/Logging_0482/klagomål/A 15452-2024 FSC-klagomål.docx", "A 15452-2024")</f>
        <v/>
      </c>
      <c r="AB76">
        <f>HYPERLINK("https://klasma.github.io/Logging_0482/klagomålsmail/A 15452-2024 FSC-klagomål mail.docx", "A 15452-2024")</f>
        <v/>
      </c>
      <c r="AC76">
        <f>HYPERLINK("https://klasma.github.io/Logging_0482/tillsyn/A 15452-2024 tillsynsbegäran.docx", "A 15452-2024")</f>
        <v/>
      </c>
      <c r="AD76">
        <f>HYPERLINK("https://klasma.github.io/Logging_0482/tillsynsmail/A 15452-2024 tillsynsbegäran mail.docx", "A 15452-2024")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46268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44474</v>
      </c>
      <c r="E78" s="1" t="n">
        <v>46268</v>
      </c>
      <c r="F78" t="inlineStr">
        <is>
          <t>SÖDERMANLANDS LÄN</t>
        </is>
      </c>
      <c r="G78" t="inlineStr">
        <is>
          <t>FLEN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Sälg
Huggorm</t>
        </is>
      </c>
      <c r="W78">
        <f>HYPERLINK("https://klasma.github.io/Logging_0482/artfynd/A 55092-2021 artfynd.xlsx", "A 55092-2021")</f>
        <v/>
      </c>
      <c r="X78">
        <f>HYPERLINK("https://klasma.github.io/Logging_0482/kartor/A 55092-2021 karta.png", "A 55092-2021")</f>
        <v/>
      </c>
      <c r="Y78">
        <f>HYPERLINK("https://klasma.github.io/Logging_0482/kartor_geotiff/A 55092-2021 georefererad karta.tif", "A 55092-2021")</f>
        <v/>
      </c>
      <c r="AA78">
        <f>HYPERLINK("https://klasma.github.io/Logging_0482/klagomål/A 55092-2021 FSC-klagomål.docx", "A 55092-2021")</f>
        <v/>
      </c>
      <c r="AB78">
        <f>HYPERLINK("https://klasma.github.io/Logging_0482/klagomålsmail/A 55092-2021 FSC-klagomål mail.docx", "A 55092-2021")</f>
        <v/>
      </c>
      <c r="AC78">
        <f>HYPERLINK("https://klasma.github.io/Logging_0482/tillsyn/A 55092-2021 tillsynsbegäran.docx", "A 55092-2021")</f>
        <v/>
      </c>
      <c r="AD78">
        <f>HYPERLINK("https://klasma.github.io/Logging_0482/tillsynsmail/A 55092-2021 tillsynsbegäran mail.docx", "A 55092-2021")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46268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46268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46268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46268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46268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46268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15557-2026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46268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0</v>
      </c>
      <c r="V85" s="2" t="inlineStr">
        <is>
          <t>Gullklöver
Svinrot</t>
        </is>
      </c>
      <c r="W85">
        <f>HYPERLINK("https://klasma.github.io/Logging_0482/artfynd/A 15557-2026 artfynd.xlsx", "A 15557-2026")</f>
        <v/>
      </c>
      <c r="X85">
        <f>HYPERLINK("https://klasma.github.io/Logging_0482/kartor/A 15557-2026 karta.png", "A 15557-2026")</f>
        <v/>
      </c>
      <c r="Y85">
        <f>HYPERLINK("https://klasma.github.io/Logging_0482/kartor_geotiff/A 15557-2026 georefererad karta.tif", "A 15557-2026")</f>
        <v/>
      </c>
      <c r="AA85">
        <f>HYPERLINK("https://klasma.github.io/Logging_0482/klagomål/A 15557-2026 FSC-klagomål.docx", "A 15557-2026")</f>
        <v/>
      </c>
      <c r="AB85">
        <f>HYPERLINK("https://klasma.github.io/Logging_0482/klagomålsmail/A 15557-2026 FSC-klagomål mail.docx", "A 15557-2026")</f>
        <v/>
      </c>
      <c r="AC85">
        <f>HYPERLINK("https://klasma.github.io/Logging_0482/tillsyn/A 15557-2026 tillsynsbegäran.docx", "A 15557-2026")</f>
        <v/>
      </c>
      <c r="AD85">
        <f>HYPERLINK("https://klasma.github.io/Logging_0482/tillsynsmail/A 15557-2026 tillsynsbegäran mail.docx", "A 15557-2026")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46268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39240-2023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46268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4.6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Motaggsvamp
Blodticka</t>
        </is>
      </c>
      <c r="W87">
        <f>HYPERLINK("https://klasma.github.io/Logging_0482/artfynd/A 39240-2023 artfynd.xlsx", "A 39240-2023")</f>
        <v/>
      </c>
      <c r="X87">
        <f>HYPERLINK("https://klasma.github.io/Logging_0482/kartor/A 39240-2023 karta.png", "A 39240-2023")</f>
        <v/>
      </c>
      <c r="Y87">
        <f>HYPERLINK("https://klasma.github.io/Logging_0482/kartor_geotiff/A 39240-2023 georefererad karta.tif", "A 39240-2023")</f>
        <v/>
      </c>
      <c r="AA87">
        <f>HYPERLINK("https://klasma.github.io/Logging_0482/klagomål/A 39240-2023 FSC-klagomål.docx", "A 39240-2023")</f>
        <v/>
      </c>
      <c r="AB87">
        <f>HYPERLINK("https://klasma.github.io/Logging_0482/klagomålsmail/A 39240-2023 FSC-klagomål mail.docx", "A 39240-2023")</f>
        <v/>
      </c>
      <c r="AC87">
        <f>HYPERLINK("https://klasma.github.io/Logging_0482/tillsyn/A 39240-2023 tillsynsbegäran.docx", "A 39240-2023")</f>
        <v/>
      </c>
      <c r="AD87">
        <f>HYPERLINK("https://klasma.github.io/Logging_0482/tillsynsmail/A 39240-2023 tillsynsbegäran mail.docx", "A 39240-2023")</f>
        <v/>
      </c>
    </row>
    <row r="88" ht="15" customHeight="1">
      <c r="A88" t="inlineStr">
        <is>
          <t>A 47194-2022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46268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Gullklöver
Svinrot</t>
        </is>
      </c>
      <c r="W88">
        <f>HYPERLINK("https://klasma.github.io/Logging_0482/artfynd/A 47194-2022 artfynd.xlsx", "A 47194-2022")</f>
        <v/>
      </c>
      <c r="X88">
        <f>HYPERLINK("https://klasma.github.io/Logging_0482/kartor/A 47194-2022 karta.png", "A 47194-2022")</f>
        <v/>
      </c>
      <c r="Y88">
        <f>HYPERLINK("https://klasma.github.io/Logging_0482/kartor_geotiff/A 47194-2022 georefererad karta.tif", "A 47194-2022")</f>
        <v/>
      </c>
      <c r="AA88">
        <f>HYPERLINK("https://klasma.github.io/Logging_0482/klagomål/A 47194-2022 FSC-klagomål.docx", "A 47194-2022")</f>
        <v/>
      </c>
      <c r="AB88">
        <f>HYPERLINK("https://klasma.github.io/Logging_0482/klagomålsmail/A 47194-2022 FSC-klagomål mail.docx", "A 47194-2022")</f>
        <v/>
      </c>
      <c r="AC88">
        <f>HYPERLINK("https://klasma.github.io/Logging_0482/tillsyn/A 47194-2022 tillsynsbegäran.docx", "A 47194-2022")</f>
        <v/>
      </c>
      <c r="AD88">
        <f>HYPERLINK("https://klasma.github.io/Logging_0482/tillsynsmail/A 47194-2022 tillsynsbegäran mail.docx", "A 47194-2022")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46268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34849-2026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46268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5</v>
      </c>
      <c r="U90" t="n">
        <v>0</v>
      </c>
      <c r="V90" s="2" t="inlineStr">
        <is>
          <t>Motaggsvamp
Vedskivlav</t>
        </is>
      </c>
      <c r="W90">
        <f>HYPERLINK("https://klasma.github.io/Logging_0482/artfynd/A 34849-2026 artfynd.xlsx", "A 34849-2026")</f>
        <v/>
      </c>
      <c r="X90">
        <f>HYPERLINK("https://klasma.github.io/Logging_0482/kartor/A 34849-2026 karta.png", "A 34849-2026")</f>
        <v/>
      </c>
      <c r="Y90">
        <f>HYPERLINK("https://klasma.github.io/Logging_0482/kartor_geotiff/A 34849-2026 georefererad karta.tif", "A 34849-2026")</f>
        <v/>
      </c>
      <c r="AA90">
        <f>HYPERLINK("https://klasma.github.io/Logging_0482/klagomål/A 34849-2026 FSC-klagomål.docx", "A 34849-2026")</f>
        <v/>
      </c>
      <c r="AB90">
        <f>HYPERLINK("https://klasma.github.io/Logging_0482/klagomålsmail/A 34849-2026 FSC-klagomål mail.docx", "A 34849-2026")</f>
        <v/>
      </c>
      <c r="AC90">
        <f>HYPERLINK("https://klasma.github.io/Logging_0482/tillsyn/A 34849-2026 tillsynsbegäran.docx", "A 34849-2026")</f>
        <v/>
      </c>
      <c r="AD90">
        <f>HYPERLINK("https://klasma.github.io/Logging_0482/tillsynsmail/A 34849-2026 tillsynsbegäran mail.docx", "A 34849-2026")</f>
        <v/>
      </c>
    </row>
    <row r="91" ht="15" customHeight="1">
      <c r="A91" t="inlineStr">
        <is>
          <t>A 10825-2022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46268</v>
      </c>
      <c r="F91" t="inlineStr">
        <is>
          <t>SÖDERMANLANDS LÄN</t>
        </is>
      </c>
      <c r="G91" t="inlineStr">
        <is>
          <t>FLEN</t>
        </is>
      </c>
      <c r="I91" t="n">
        <v>4.7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Svinrot
Vanlig backsmörblomma</t>
        </is>
      </c>
      <c r="W91">
        <f>HYPERLINK("https://klasma.github.io/Logging_0482/artfynd/A 10825-2022 artfynd.xlsx", "A 10825-2022")</f>
        <v/>
      </c>
      <c r="X91">
        <f>HYPERLINK("https://klasma.github.io/Logging_0482/kartor/A 10825-2022 karta.png", "A 10825-2022")</f>
        <v/>
      </c>
      <c r="Y91">
        <f>HYPERLINK("https://klasma.github.io/Logging_0482/kartor_geotiff/A 10825-2022 georefererad karta.tif", "A 10825-2022")</f>
        <v/>
      </c>
      <c r="AA91">
        <f>HYPERLINK("https://klasma.github.io/Logging_0482/klagomål/A 10825-2022 FSC-klagomål.docx", "A 10825-2022")</f>
        <v/>
      </c>
      <c r="AB91">
        <f>HYPERLINK("https://klasma.github.io/Logging_0482/klagomålsmail/A 10825-2022 FSC-klagomål mail.docx", "A 10825-2022")</f>
        <v/>
      </c>
      <c r="AC91">
        <f>HYPERLINK("https://klasma.github.io/Logging_0482/tillsyn/A 10825-2022 tillsynsbegäran.docx", "A 10825-2022")</f>
        <v/>
      </c>
      <c r="AD91">
        <f>HYPERLINK("https://klasma.github.io/Logging_0482/tillsynsmail/A 10825-2022 tillsynsbegäran mail.docx", "A 10825-2022")</f>
        <v/>
      </c>
    </row>
    <row r="92" ht="15" customHeight="1">
      <c r="A92" t="inlineStr">
        <is>
          <t>A 11103-2023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46268</v>
      </c>
      <c r="F92" t="inlineStr">
        <is>
          <t>SÖDERMANLANDS LÄN</t>
        </is>
      </c>
      <c r="G92" t="inlineStr">
        <is>
          <t>FLEN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Blåmossa</t>
        </is>
      </c>
      <c r="W92">
        <f>HYPERLINK("https://klasma.github.io/Logging_0482/artfynd/A 11103-2023 artfynd.xlsx", "A 11103-2023")</f>
        <v/>
      </c>
      <c r="X92">
        <f>HYPERLINK("https://klasma.github.io/Logging_0482/kartor/A 11103-2023 karta.png", "A 11103-2023")</f>
        <v/>
      </c>
      <c r="Y92">
        <f>HYPERLINK("https://klasma.github.io/Logging_0482/kartor_geotiff/A 11103-2023 georefererad karta.tif", "A 11103-2023")</f>
        <v/>
      </c>
      <c r="AA92">
        <f>HYPERLINK("https://klasma.github.io/Logging_0482/klagomål/A 11103-2023 FSC-klagomål.docx", "A 11103-2023")</f>
        <v/>
      </c>
      <c r="AB92">
        <f>HYPERLINK("https://klasma.github.io/Logging_0482/klagomålsmail/A 11103-2023 FSC-klagomål mail.docx", "A 11103-2023")</f>
        <v/>
      </c>
      <c r="AC92">
        <f>HYPERLINK("https://klasma.github.io/Logging_0482/tillsyn/A 11103-2023 tillsynsbegäran.docx", "A 11103-2023")</f>
        <v/>
      </c>
      <c r="AD92">
        <f>HYPERLINK("https://klasma.github.io/Logging_0482/tillsynsmail/A 11103-2023 tillsynsbegäran mail.docx", "A 11103-2023")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46268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46268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46268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46268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46268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46268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46268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46268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46268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46268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46268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46268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2043-2026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46268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Scharlakansvaxing</t>
        </is>
      </c>
      <c r="W105">
        <f>HYPERLINK("https://klasma.github.io/Logging_0482/artfynd/A 2043-2026 artfynd.xlsx", "A 2043-2026")</f>
        <v/>
      </c>
      <c r="X105">
        <f>HYPERLINK("https://klasma.github.io/Logging_0482/kartor/A 2043-2026 karta.png", "A 2043-2026")</f>
        <v/>
      </c>
      <c r="Y105">
        <f>HYPERLINK("https://klasma.github.io/Logging_0482/kartor_geotiff/A 2043-2026 georefererad karta.tif", "A 2043-2026")</f>
        <v/>
      </c>
      <c r="AA105">
        <f>HYPERLINK("https://klasma.github.io/Logging_0482/klagomål/A 2043-2026 FSC-klagomål.docx", "A 2043-2026")</f>
        <v/>
      </c>
      <c r="AB105">
        <f>HYPERLINK("https://klasma.github.io/Logging_0482/klagomålsmail/A 2043-2026 FSC-klagomål mail.docx", "A 2043-2026")</f>
        <v/>
      </c>
      <c r="AC105">
        <f>HYPERLINK("https://klasma.github.io/Logging_0482/tillsyn/A 2043-2026 tillsynsbegäran.docx", "A 2043-2026")</f>
        <v/>
      </c>
      <c r="AD105">
        <f>HYPERLINK("https://klasma.github.io/Logging_0482/tillsynsmail/A 2043-2026 tillsynsbegäran mail.docx", "A 2043-2026")</f>
        <v/>
      </c>
    </row>
    <row r="106" ht="15" customHeight="1">
      <c r="A106" t="inlineStr">
        <is>
          <t>A 37283-2024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45540</v>
      </c>
      <c r="E106" s="1" t="n">
        <v>46268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Gullklöver</t>
        </is>
      </c>
      <c r="W106">
        <f>HYPERLINK("https://klasma.github.io/Logging_0482/artfynd/A 37283-2024 artfynd.xlsx", "A 37283-2024")</f>
        <v/>
      </c>
      <c r="X106">
        <f>HYPERLINK("https://klasma.github.io/Logging_0482/kartor/A 37283-2024 karta.png", "A 37283-2024")</f>
        <v/>
      </c>
      <c r="Y106">
        <f>HYPERLINK("https://klasma.github.io/Logging_0482/kartor_geotiff/A 37283-2024 georefererad karta.tif", "A 37283-2024")</f>
        <v/>
      </c>
      <c r="AA106">
        <f>HYPERLINK("https://klasma.github.io/Logging_0482/klagomål/A 37283-2024 FSC-klagomål.docx", "A 37283-2024")</f>
        <v/>
      </c>
      <c r="AB106">
        <f>HYPERLINK("https://klasma.github.io/Logging_0482/klagomålsmail/A 37283-2024 FSC-klagomål mail.docx", "A 37283-2024")</f>
        <v/>
      </c>
      <c r="AC106">
        <f>HYPERLINK("https://klasma.github.io/Logging_0482/tillsyn/A 37283-2024 tillsynsbegäran.docx", "A 37283-2024")</f>
        <v/>
      </c>
      <c r="AD106">
        <f>HYPERLINK("https://klasma.github.io/Logging_0482/tillsynsmail/A 37283-2024 tillsynsbegäran mail.docx", "A 37283-2024")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46268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2036-2026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46268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HYPERLINK("https://klasma.github.io/Logging_0482/artfynd/A 2036-2026 artfynd.xlsx", "A 2036-2026")</f>
        <v/>
      </c>
      <c r="X108">
        <f>HYPERLINK("https://klasma.github.io/Logging_0482/kartor/A 2036-2026 karta.png", "A 2036-2026")</f>
        <v/>
      </c>
      <c r="Y108">
        <f>HYPERLINK("https://klasma.github.io/Logging_0482/kartor_geotiff/A 2036-2026 georefererad karta.tif", "A 2036-2026")</f>
        <v/>
      </c>
      <c r="Z108">
        <f>HYPERLINK("https://klasma.github.io/Logging_0482/knärot/A 2036-2026 karta knärot.png", "A 2036-2026")</f>
        <v/>
      </c>
      <c r="AA108">
        <f>HYPERLINK("https://klasma.github.io/Logging_0482/klagomål/A 2036-2026 FSC-klagomål.docx", "A 2036-2026")</f>
        <v/>
      </c>
      <c r="AB108">
        <f>HYPERLINK("https://klasma.github.io/Logging_0482/klagomålsmail/A 2036-2026 FSC-klagomål mail.docx", "A 2036-2026")</f>
        <v/>
      </c>
      <c r="AC108">
        <f>HYPERLINK("https://klasma.github.io/Logging_0482/tillsyn/A 2036-2026 tillsynsbegäran.docx", "A 2036-2026")</f>
        <v/>
      </c>
      <c r="AD108">
        <f>HYPERLINK("https://klasma.github.io/Logging_0482/tillsynsmail/A 2036-2026 tillsynsbegäran mail.docx", "A 2036-2026")</f>
        <v/>
      </c>
    </row>
    <row r="109" ht="15" customHeight="1">
      <c r="A109" t="inlineStr">
        <is>
          <t>A 31427-2022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46268</v>
      </c>
      <c r="F109" t="inlineStr">
        <is>
          <t>SÖDERMANLANDS LÄN</t>
        </is>
      </c>
      <c r="G109" t="inlineStr">
        <is>
          <t>FLEN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HYPERLINK("https://klasma.github.io/Logging_0482/artfynd/A 31427-2022 artfynd.xlsx", "A 31427-2022")</f>
        <v/>
      </c>
      <c r="X109">
        <f>HYPERLINK("https://klasma.github.io/Logging_0482/kartor/A 31427-2022 karta.png", "A 31427-2022")</f>
        <v/>
      </c>
      <c r="Y109">
        <f>HYPERLINK("https://klasma.github.io/Logging_0482/kartor_geotiff/A 31427-2022 georefererad karta.tif", "A 31427-2022")</f>
        <v/>
      </c>
      <c r="AA109">
        <f>HYPERLINK("https://klasma.github.io/Logging_0482/klagomål/A 31427-2022 FSC-klagomål.docx", "A 31427-2022")</f>
        <v/>
      </c>
      <c r="AB109">
        <f>HYPERLINK("https://klasma.github.io/Logging_0482/klagomålsmail/A 31427-2022 FSC-klagomål mail.docx", "A 31427-2022")</f>
        <v/>
      </c>
      <c r="AC109">
        <f>HYPERLINK("https://klasma.github.io/Logging_0482/tillsyn/A 31427-2022 tillsynsbegäran.docx", "A 31427-2022")</f>
        <v/>
      </c>
      <c r="AD109">
        <f>HYPERLINK("https://klasma.github.io/Logging_0482/tillsynsmail/A 31427-2022 tillsynsbegäran mail.docx", "A 31427-2022")</f>
        <v/>
      </c>
    </row>
    <row r="110" ht="15" customHeight="1">
      <c r="A110" t="inlineStr">
        <is>
          <t>A 14113-2025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46268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14113-2025 artfynd.xlsx", "A 14113-2025")</f>
        <v/>
      </c>
      <c r="X110">
        <f>HYPERLINK("https://klasma.github.io/Logging_0482/kartor/A 14113-2025 karta.png", "A 14113-2025")</f>
        <v/>
      </c>
      <c r="Y110">
        <f>HYPERLINK("https://klasma.github.io/Logging_0482/kartor_geotiff/A 14113-2025 georefererad karta.tif", "A 14113-2025")</f>
        <v/>
      </c>
      <c r="AA110">
        <f>HYPERLINK("https://klasma.github.io/Logging_0482/klagomål/A 14113-2025 FSC-klagomål.docx", "A 14113-2025")</f>
        <v/>
      </c>
      <c r="AB110">
        <f>HYPERLINK("https://klasma.github.io/Logging_0482/klagomålsmail/A 14113-2025 FSC-klagomål mail.docx", "A 14113-2025")</f>
        <v/>
      </c>
      <c r="AC110">
        <f>HYPERLINK("https://klasma.github.io/Logging_0482/tillsyn/A 14113-2025 tillsynsbegäran.docx", "A 14113-2025")</f>
        <v/>
      </c>
      <c r="AD110">
        <f>HYPERLINK("https://klasma.github.io/Logging_0482/tillsynsmail/A 14113-2025 tillsynsbegäran mail.docx", "A 14113-2025")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46268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47581-2025 artfynd.xlsx", "A 47581-2025")</f>
        <v/>
      </c>
      <c r="X111">
        <f>HYPERLINK("https://klasma.github.io/Logging_0482/kartor/A 47581-2025 karta.png", "A 47581-2025")</f>
        <v/>
      </c>
      <c r="Y111">
        <f>HYPERLINK("https://klasma.github.io/Logging_0482/kartor_geotiff/A 47581-2025 georefererad karta.tif", "A 47581-2025")</f>
        <v/>
      </c>
      <c r="AA111">
        <f>HYPERLINK("https://klasma.github.io/Logging_0482/klagomål/A 47581-2025 FSC-klagomål.docx", "A 47581-2025")</f>
        <v/>
      </c>
      <c r="AB111">
        <f>HYPERLINK("https://klasma.github.io/Logging_0482/klagomålsmail/A 47581-2025 FSC-klagomål mail.docx", "A 47581-2025")</f>
        <v/>
      </c>
      <c r="AC111">
        <f>HYPERLINK("https://klasma.github.io/Logging_0482/tillsyn/A 47581-2025 tillsynsbegäran.docx", "A 47581-2025")</f>
        <v/>
      </c>
      <c r="AD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46268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6714-2026 artfynd.xlsx", "A 6714-2026")</f>
        <v/>
      </c>
      <c r="X112">
        <f>HYPERLINK("https://klasma.github.io/Logging_0482/kartor/A 6714-2026 karta.png", "A 6714-2026")</f>
        <v/>
      </c>
      <c r="Y112">
        <f>HYPERLINK("https://klasma.github.io/Logging_0482/kartor_geotiff/A 6714-2026 georefererad karta.tif", "A 6714-2026")</f>
        <v/>
      </c>
      <c r="AA112">
        <f>HYPERLINK("https://klasma.github.io/Logging_0482/klagomål/A 6714-2026 FSC-klagomål.docx", "A 6714-2026")</f>
        <v/>
      </c>
      <c r="AB112">
        <f>HYPERLINK("https://klasma.github.io/Logging_0482/klagomålsmail/A 6714-2026 FSC-klagomål mail.docx", "A 6714-2026")</f>
        <v/>
      </c>
      <c r="AC112">
        <f>HYPERLINK("https://klasma.github.io/Logging_0482/tillsyn/A 6714-2026 tillsynsbegäran.docx", "A 6714-2026")</f>
        <v/>
      </c>
      <c r="AD112">
        <f>HYPERLINK("https://klasma.github.io/Logging_0482/tillsynsmail/A 6714-2026 tillsynsbegäran mail.docx", "A 6714-2026")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46268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46268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9446-2026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46071</v>
      </c>
      <c r="E115" s="1" t="n">
        <v>46268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9446-2026 artfynd.xlsx", "A 9446-2026")</f>
        <v/>
      </c>
      <c r="X115">
        <f>HYPERLINK("https://klasma.github.io/Logging_0482/kartor/A 9446-2026 karta.png", "A 9446-2026")</f>
        <v/>
      </c>
      <c r="Y115">
        <f>HYPERLINK("https://klasma.github.io/Logging_0482/kartor_geotiff/A 9446-2026 georefererad karta.tif", "A 9446-2026")</f>
        <v/>
      </c>
      <c r="AA115">
        <f>HYPERLINK("https://klasma.github.io/Logging_0482/klagomål/A 9446-2026 FSC-klagomål.docx", "A 9446-2026")</f>
        <v/>
      </c>
      <c r="AB115">
        <f>HYPERLINK("https://klasma.github.io/Logging_0482/klagomålsmail/A 9446-2026 FSC-klagomål mail.docx", "A 9446-2026")</f>
        <v/>
      </c>
      <c r="AC115">
        <f>HYPERLINK("https://klasma.github.io/Logging_0482/tillsyn/A 9446-2026 tillsynsbegäran.docx", "A 9446-2026")</f>
        <v/>
      </c>
      <c r="AD115">
        <f>HYPERLINK("https://klasma.github.io/Logging_0482/tillsynsmail/A 9446-2026 tillsynsbegäran mail.docx", "A 9446-2026")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46268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46268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46268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46268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46268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46268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46268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46268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46268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46268</v>
      </c>
      <c r="F125" t="inlineStr">
        <is>
          <t>SÖDERMANLANDS LÄN</t>
        </is>
      </c>
      <c r="G125" t="inlineStr">
        <is>
          <t>FLEN</t>
        </is>
      </c>
      <c r="I125" t="n">
        <v>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HYPERLINK("https://klasma.github.io/Logging_0482/artfynd/A 52546-2021 artfynd.xlsx", "A 52546-2021")</f>
        <v/>
      </c>
      <c r="X125">
        <f>HYPERLINK("https://klasma.github.io/Logging_0482/kartor/A 52546-2021 karta.png", "A 52546-2021")</f>
        <v/>
      </c>
      <c r="Y125">
        <f>HYPERLINK("https://klasma.github.io/Logging_0482/kartor_geotiff/A 52546-2021 georefererad karta.tif", "A 52546-2021")</f>
        <v/>
      </c>
      <c r="AA125">
        <f>HYPERLINK("https://klasma.github.io/Logging_0482/klagomål/A 52546-2021 FSC-klagomål.docx", "A 52546-2021")</f>
        <v/>
      </c>
      <c r="AB125">
        <f>HYPERLINK("https://klasma.github.io/Logging_0482/klagomålsmail/A 52546-2021 FSC-klagomål mail.docx", "A 52546-2021")</f>
        <v/>
      </c>
      <c r="AC125">
        <f>HYPERLINK("https://klasma.github.io/Logging_0482/tillsyn/A 52546-2021 tillsynsbegäran.docx", "A 52546-2021")</f>
        <v/>
      </c>
      <c r="AD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46268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46268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21704-2026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46268</v>
      </c>
      <c r="F128" t="inlineStr">
        <is>
          <t>SÖDERMANLANDS LÄN</t>
        </is>
      </c>
      <c r="G128" t="inlineStr">
        <is>
          <t>FLEN</t>
        </is>
      </c>
      <c r="I128" t="n">
        <v>10.2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Kandelabersvamp</t>
        </is>
      </c>
      <c r="W128">
        <f>HYPERLINK("https://klasma.github.io/Logging_0482/artfynd/A 21704-2026 artfynd.xlsx", "A 21704-2026")</f>
        <v/>
      </c>
      <c r="X128">
        <f>HYPERLINK("https://klasma.github.io/Logging_0482/kartor/A 21704-2026 karta.png", "A 21704-2026")</f>
        <v/>
      </c>
      <c r="Y128">
        <f>HYPERLINK("https://klasma.github.io/Logging_0482/kartor_geotiff/A 21704-2026 georefererad karta.tif", "A 21704-2026")</f>
        <v/>
      </c>
      <c r="AA128">
        <f>HYPERLINK("https://klasma.github.io/Logging_0482/klagomål/A 21704-2026 FSC-klagomål.docx", "A 21704-2026")</f>
        <v/>
      </c>
      <c r="AB128">
        <f>HYPERLINK("https://klasma.github.io/Logging_0482/klagomålsmail/A 21704-2026 FSC-klagomål mail.docx", "A 21704-2026")</f>
        <v/>
      </c>
      <c r="AC128">
        <f>HYPERLINK("https://klasma.github.io/Logging_0482/tillsyn/A 21704-2026 tillsynsbegäran.docx", "A 21704-2026")</f>
        <v/>
      </c>
      <c r="AD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46268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12371-2022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46268</v>
      </c>
      <c r="F130" t="inlineStr">
        <is>
          <t>SÖDERMANLANDS LÄN</t>
        </is>
      </c>
      <c r="G130" t="inlineStr">
        <is>
          <t>FLEN</t>
        </is>
      </c>
      <c r="H130" t="inlineStr">
        <is>
          <t>Kommuner</t>
        </is>
      </c>
      <c r="I130" t="n">
        <v>2.1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12371-2022 artfynd.xlsx", "A 12371-2022")</f>
        <v/>
      </c>
      <c r="X130">
        <f>HYPERLINK("https://klasma.github.io/Logging_0482/kartor/A 12371-2022 karta.png", "A 12371-2022")</f>
        <v/>
      </c>
      <c r="Y130">
        <f>HYPERLINK("https://klasma.github.io/Logging_0482/kartor_geotiff/A 12371-2022 georefererad karta.tif", "A 12371-2022")</f>
        <v/>
      </c>
      <c r="AA130">
        <f>HYPERLINK("https://klasma.github.io/Logging_0482/klagomål/A 12371-2022 FSC-klagomål.docx", "A 12371-2022")</f>
        <v/>
      </c>
      <c r="AB130">
        <f>HYPERLINK("https://klasma.github.io/Logging_0482/klagomålsmail/A 12371-2022 FSC-klagomål mail.docx", "A 12371-2022")</f>
        <v/>
      </c>
      <c r="AC130">
        <f>HYPERLINK("https://klasma.github.io/Logging_0482/tillsyn/A 12371-2022 tillsynsbegäran.docx", "A 12371-2022")</f>
        <v/>
      </c>
      <c r="AD130">
        <f>HYPERLINK("https://klasma.github.io/Logging_0482/tillsynsmail/A 12371-2022 tillsynsbegäran mail.docx", "A 12371-2022")</f>
        <v/>
      </c>
    </row>
    <row r="131" ht="15" customHeight="1">
      <c r="A131" t="inlineStr">
        <is>
          <t>A 60591-2022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46268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HYPERLINK("https://klasma.github.io/Logging_0482/artfynd/A 60591-2022 artfynd.xlsx", "A 60591-2022")</f>
        <v/>
      </c>
      <c r="X131">
        <f>HYPERLINK("https://klasma.github.io/Logging_0482/kartor/A 60591-2022 karta.png", "A 60591-2022")</f>
        <v/>
      </c>
      <c r="Y131">
        <f>HYPERLINK("https://klasma.github.io/Logging_0482/kartor_geotiff/A 60591-2022 georefererad karta.tif", "A 60591-2022")</f>
        <v/>
      </c>
      <c r="AA131">
        <f>HYPERLINK("https://klasma.github.io/Logging_0482/klagomål/A 60591-2022 FSC-klagomål.docx", "A 60591-2022")</f>
        <v/>
      </c>
      <c r="AB131">
        <f>HYPERLINK("https://klasma.github.io/Logging_0482/klagomålsmail/A 60591-2022 FSC-klagomål mail.docx", "A 60591-2022")</f>
        <v/>
      </c>
      <c r="AC131">
        <f>HYPERLINK("https://klasma.github.io/Logging_0482/tillsyn/A 60591-2022 tillsynsbegäran.docx", "A 60591-2022")</f>
        <v/>
      </c>
      <c r="AD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4259-2023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46268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4259-2023 artfynd.xlsx", "A 4259-2023")</f>
        <v/>
      </c>
      <c r="X132">
        <f>HYPERLINK("https://klasma.github.io/Logging_0482/kartor/A 4259-2023 karta.png", "A 4259-2023")</f>
        <v/>
      </c>
      <c r="Y132">
        <f>HYPERLINK("https://klasma.github.io/Logging_0482/kartor_geotiff/A 4259-2023 georefererad karta.tif", "A 4259-2023")</f>
        <v/>
      </c>
      <c r="AA132">
        <f>HYPERLINK("https://klasma.github.io/Logging_0482/klagomål/A 4259-2023 FSC-klagomål.docx", "A 4259-2023")</f>
        <v/>
      </c>
      <c r="AB132">
        <f>HYPERLINK("https://klasma.github.io/Logging_0482/klagomålsmail/A 4259-2023 FSC-klagomål mail.docx", "A 4259-2023")</f>
        <v/>
      </c>
      <c r="AC132">
        <f>HYPERLINK("https://klasma.github.io/Logging_0482/tillsyn/A 4259-2023 tillsynsbegäran.docx", "A 4259-2023")</f>
        <v/>
      </c>
      <c r="AD132">
        <f>HYPERLINK("https://klasma.github.io/Logging_0482/tillsynsmail/A 4259-2023 tillsynsbegäran mail.docx", "A 4259-2023")</f>
        <v/>
      </c>
    </row>
    <row r="133" ht="15" customHeight="1">
      <c r="A133" t="inlineStr">
        <is>
          <t>A 24179-2026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46268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24179-2026 artfynd.xlsx", "A 24179-2026")</f>
        <v/>
      </c>
      <c r="X133">
        <f>HYPERLINK("https://klasma.github.io/Logging_0482/kartor/A 24179-2026 karta.png", "A 24179-2026")</f>
        <v/>
      </c>
      <c r="Y133">
        <f>HYPERLINK("https://klasma.github.io/Logging_0482/kartor_geotiff/A 24179-2026 georefererad karta.tif", "A 24179-2026")</f>
        <v/>
      </c>
      <c r="AA133">
        <f>HYPERLINK("https://klasma.github.io/Logging_0482/klagomål/A 24179-2026 FSC-klagomål.docx", "A 24179-2026")</f>
        <v/>
      </c>
      <c r="AB133">
        <f>HYPERLINK("https://klasma.github.io/Logging_0482/klagomålsmail/A 24179-2026 FSC-klagomål mail.docx", "A 24179-2026")</f>
        <v/>
      </c>
      <c r="AC133">
        <f>HYPERLINK("https://klasma.github.io/Logging_0482/tillsyn/A 24179-2026 tillsynsbegäran.docx", "A 24179-2026")</f>
        <v/>
      </c>
      <c r="AD133">
        <f>HYPERLINK("https://klasma.github.io/Logging_0482/tillsynsmail/A 24179-2026 tillsynsbegäran mail.docx", "A 24179-2026")</f>
        <v/>
      </c>
    </row>
    <row r="134" ht="15" customHeight="1">
      <c r="A134" t="inlineStr">
        <is>
          <t>A 12306-2022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46268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Järnsparv</t>
        </is>
      </c>
      <c r="W134">
        <f>HYPERLINK("https://klasma.github.io/Logging_0482/artfynd/A 12306-2022 artfynd.xlsx", "A 12306-2022")</f>
        <v/>
      </c>
      <c r="X134">
        <f>HYPERLINK("https://klasma.github.io/Logging_0482/kartor/A 12306-2022 karta.png", "A 12306-2022")</f>
        <v/>
      </c>
      <c r="Y134">
        <f>HYPERLINK("https://klasma.github.io/Logging_0482/kartor_geotiff/A 12306-2022 georefererad karta.tif", "A 12306-2022")</f>
        <v/>
      </c>
      <c r="AA134">
        <f>HYPERLINK("https://klasma.github.io/Logging_0482/klagomål/A 12306-2022 FSC-klagomål.docx", "A 12306-2022")</f>
        <v/>
      </c>
      <c r="AB134">
        <f>HYPERLINK("https://klasma.github.io/Logging_0482/klagomålsmail/A 12306-2022 FSC-klagomål mail.docx", "A 12306-2022")</f>
        <v/>
      </c>
      <c r="AC134">
        <f>HYPERLINK("https://klasma.github.io/Logging_0482/tillsyn/A 12306-2022 tillsynsbegäran.docx", "A 12306-2022")</f>
        <v/>
      </c>
      <c r="AD134">
        <f>HYPERLINK("https://klasma.github.io/Logging_0482/tillsynsmail/A 12306-2022 tillsynsbegäran mail.docx", "A 12306-2022")</f>
        <v/>
      </c>
      <c r="AE134">
        <f>HYPERLINK("https://klasma.github.io/Logging_0482/fåglar/A 12306-2022 prioriterade fågelarter.docx", "A 12306-2022")</f>
        <v/>
      </c>
    </row>
    <row r="135" ht="15" customHeight="1">
      <c r="A135" t="inlineStr">
        <is>
          <t>A 29195-2023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46268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3.9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Plattlummer</t>
        </is>
      </c>
      <c r="W135">
        <f>HYPERLINK("https://klasma.github.io/Logging_0482/artfynd/A 29195-2023 artfynd.xlsx", "A 29195-2023")</f>
        <v/>
      </c>
      <c r="X135">
        <f>HYPERLINK("https://klasma.github.io/Logging_0482/kartor/A 29195-2023 karta.png", "A 29195-2023")</f>
        <v/>
      </c>
      <c r="Y135">
        <f>HYPERLINK("https://klasma.github.io/Logging_0482/kartor_geotiff/A 29195-2023 georefererad karta.tif", "A 29195-2023")</f>
        <v/>
      </c>
      <c r="AA135">
        <f>HYPERLINK("https://klasma.github.io/Logging_0482/klagomål/A 29195-2023 FSC-klagomål.docx", "A 29195-2023")</f>
        <v/>
      </c>
      <c r="AB135">
        <f>HYPERLINK("https://klasma.github.io/Logging_0482/klagomålsmail/A 29195-2023 FSC-klagomål mail.docx", "A 29195-2023")</f>
        <v/>
      </c>
      <c r="AC135">
        <f>HYPERLINK("https://klasma.github.io/Logging_0482/tillsyn/A 29195-2023 tillsynsbegäran.docx", "A 29195-2023")</f>
        <v/>
      </c>
      <c r="AD135">
        <f>HYPERLINK("https://klasma.github.io/Logging_0482/tillsynsmail/A 29195-2023 tillsynsbegäran mail.docx", "A 29195-2023")</f>
        <v/>
      </c>
    </row>
    <row r="136" ht="15" customHeight="1">
      <c r="A136" t="inlineStr">
        <is>
          <t>A 26310-2026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46268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Spillkråka</t>
        </is>
      </c>
      <c r="W136">
        <f>HYPERLINK("https://klasma.github.io/Logging_0482/artfynd/A 26310-2026 artfynd.xlsx", "A 26310-2026")</f>
        <v/>
      </c>
      <c r="X136">
        <f>HYPERLINK("https://klasma.github.io/Logging_0482/kartor/A 26310-2026 karta.png", "A 26310-2026")</f>
        <v/>
      </c>
      <c r="Y136">
        <f>HYPERLINK("https://klasma.github.io/Logging_0482/kartor_geotiff/A 26310-2026 georefererad karta.tif", "A 26310-2026")</f>
        <v/>
      </c>
      <c r="AA136">
        <f>HYPERLINK("https://klasma.github.io/Logging_0482/klagomål/A 26310-2026 FSC-klagomål.docx", "A 26310-2026")</f>
        <v/>
      </c>
      <c r="AB136">
        <f>HYPERLINK("https://klasma.github.io/Logging_0482/klagomålsmail/A 26310-2026 FSC-klagomål mail.docx", "A 26310-2026")</f>
        <v/>
      </c>
      <c r="AC136">
        <f>HYPERLINK("https://klasma.github.io/Logging_0482/tillsyn/A 26310-2026 tillsynsbegäran.docx", "A 26310-2026")</f>
        <v/>
      </c>
      <c r="AD136">
        <f>HYPERLINK("https://klasma.github.io/Logging_0482/tillsynsmail/A 26310-2026 tillsynsbegäran mail.docx", "A 26310-2026")</f>
        <v/>
      </c>
      <c r="AE136">
        <f>HYPERLINK("https://klasma.github.io/Logging_0482/fåglar/A 26310-2026 prioriterade fågelarter.docx", "A 26310-2026")</f>
        <v/>
      </c>
    </row>
    <row r="137" ht="15" customHeight="1">
      <c r="A137" t="inlineStr">
        <is>
          <t>A 26052-2026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46268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HYPERLINK("https://klasma.github.io/Logging_0482/artfynd/A 26052-2026 artfynd.xlsx", "A 26052-2026")</f>
        <v/>
      </c>
      <c r="X137">
        <f>HYPERLINK("https://klasma.github.io/Logging_0482/kartor/A 26052-2026 karta.png", "A 26052-2026")</f>
        <v/>
      </c>
      <c r="Y137">
        <f>HYPERLINK("https://klasma.github.io/Logging_0482/kartor_geotiff/A 26052-2026 georefererad karta.tif", "A 26052-2026")</f>
        <v/>
      </c>
      <c r="AA137">
        <f>HYPERLINK("https://klasma.github.io/Logging_0482/klagomål/A 26052-2026 FSC-klagomål.docx", "A 26052-2026")</f>
        <v/>
      </c>
      <c r="AB137">
        <f>HYPERLINK("https://klasma.github.io/Logging_0482/klagomålsmail/A 26052-2026 FSC-klagomål mail.docx", "A 26052-2026")</f>
        <v/>
      </c>
      <c r="AC137">
        <f>HYPERLINK("https://klasma.github.io/Logging_0482/tillsyn/A 26052-2026 tillsynsbegäran.docx", "A 26052-2026")</f>
        <v/>
      </c>
      <c r="AD137">
        <f>HYPERLINK("https://klasma.github.io/Logging_0482/tillsynsmail/A 26052-2026 tillsynsbegäran mail.docx", "A 26052-2026")</f>
        <v/>
      </c>
    </row>
    <row r="138" ht="15" customHeight="1">
      <c r="A138" t="inlineStr">
        <is>
          <t>A 60562-2021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46268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Gullklöver</t>
        </is>
      </c>
      <c r="W138">
        <f>HYPERLINK("https://klasma.github.io/Logging_0482/artfynd/A 60562-2021 artfynd.xlsx", "A 60562-2021")</f>
        <v/>
      </c>
      <c r="X138">
        <f>HYPERLINK("https://klasma.github.io/Logging_0482/kartor/A 60562-2021 karta.png", "A 60562-2021")</f>
        <v/>
      </c>
      <c r="Y138">
        <f>HYPERLINK("https://klasma.github.io/Logging_0482/kartor_geotiff/A 60562-2021 georefererad karta.tif", "A 60562-2021")</f>
        <v/>
      </c>
      <c r="AA138">
        <f>HYPERLINK("https://klasma.github.io/Logging_0482/klagomål/A 60562-2021 FSC-klagomål.docx", "A 60562-2021")</f>
        <v/>
      </c>
      <c r="AB138">
        <f>HYPERLINK("https://klasma.github.io/Logging_0482/klagomålsmail/A 60562-2021 FSC-klagomål mail.docx", "A 60562-2021")</f>
        <v/>
      </c>
      <c r="AC138">
        <f>HYPERLINK("https://klasma.github.io/Logging_0482/tillsyn/A 60562-2021 tillsynsbegäran.docx", "A 60562-2021")</f>
        <v/>
      </c>
      <c r="AD138">
        <f>HYPERLINK("https://klasma.github.io/Logging_0482/tillsynsmail/A 60562-2021 tillsynsbegäran mail.docx", "A 60562-2021")</f>
        <v/>
      </c>
    </row>
    <row r="139" ht="15" customHeight="1">
      <c r="A139" t="inlineStr">
        <is>
          <t>A 50202-2022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46268</v>
      </c>
      <c r="F139" t="inlineStr">
        <is>
          <t>SÖDERMANLANDS LÄN</t>
        </is>
      </c>
      <c r="G139" t="inlineStr">
        <is>
          <t>FLEN</t>
        </is>
      </c>
      <c r="H139" t="inlineStr">
        <is>
          <t>Kyrkan</t>
        </is>
      </c>
      <c r="I139" t="n">
        <v>5.8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50202-2022 artfynd.xlsx", "A 50202-2022")</f>
        <v/>
      </c>
      <c r="X139">
        <f>HYPERLINK("https://klasma.github.io/Logging_0482/kartor/A 50202-2022 karta.png", "A 50202-2022")</f>
        <v/>
      </c>
      <c r="Y139">
        <f>HYPERLINK("https://klasma.github.io/Logging_0482/kartor_geotiff/A 50202-2022 georefererad karta.tif", "A 50202-2022")</f>
        <v/>
      </c>
      <c r="AA139">
        <f>HYPERLINK("https://klasma.github.io/Logging_0482/klagomål/A 50202-2022 FSC-klagomål.docx", "A 50202-2022")</f>
        <v/>
      </c>
      <c r="AB139">
        <f>HYPERLINK("https://klasma.github.io/Logging_0482/klagomålsmail/A 50202-2022 FSC-klagomål mail.docx", "A 50202-2022")</f>
        <v/>
      </c>
      <c r="AC139">
        <f>HYPERLINK("https://klasma.github.io/Logging_0482/tillsyn/A 50202-2022 tillsynsbegäran.docx", "A 50202-2022")</f>
        <v/>
      </c>
      <c r="AD139">
        <f>HYPERLINK("https://klasma.github.io/Logging_0482/tillsynsmail/A 50202-2022 tillsynsbegäran mail.docx", "A 50202-2022")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46268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12056-2024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46268</v>
      </c>
      <c r="F141" t="inlineStr">
        <is>
          <t>SÖDERMANLANDS LÄN</t>
        </is>
      </c>
      <c r="G141" t="inlineStr">
        <is>
          <t>FLEN</t>
        </is>
      </c>
      <c r="I141" t="n">
        <v>8.4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Fjällig taggsvamp s.str.</t>
        </is>
      </c>
      <c r="W141">
        <f>HYPERLINK("https://klasma.github.io/Logging_0482/artfynd/A 12056-2024 artfynd.xlsx", "A 12056-2024")</f>
        <v/>
      </c>
      <c r="X141">
        <f>HYPERLINK("https://klasma.github.io/Logging_0482/kartor/A 12056-2024 karta.png", "A 12056-2024")</f>
        <v/>
      </c>
      <c r="Y141">
        <f>HYPERLINK("https://klasma.github.io/Logging_0482/kartor_geotiff/A 12056-2024 georefererad karta.tif", "A 12056-2024")</f>
        <v/>
      </c>
      <c r="AA141">
        <f>HYPERLINK("https://klasma.github.io/Logging_0482/klagomål/A 12056-2024 FSC-klagomål.docx", "A 12056-2024")</f>
        <v/>
      </c>
      <c r="AB141">
        <f>HYPERLINK("https://klasma.github.io/Logging_0482/klagomålsmail/A 12056-2024 FSC-klagomål mail.docx", "A 12056-2024")</f>
        <v/>
      </c>
      <c r="AC141">
        <f>HYPERLINK("https://klasma.github.io/Logging_0482/tillsyn/A 12056-2024 tillsynsbegäran.docx", "A 12056-2024")</f>
        <v/>
      </c>
      <c r="AD141">
        <f>HYPERLINK("https://klasma.github.io/Logging_0482/tillsynsmail/A 12056-2024 tillsynsbegäran mail.docx", "A 12056-2024")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46268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30406-2026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46209</v>
      </c>
      <c r="E143" s="1" t="n">
        <v>46268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HYPERLINK("https://klasma.github.io/Logging_0482/artfynd/A 30406-2026 artfynd.xlsx", "A 30406-2026")</f>
        <v/>
      </c>
      <c r="X143">
        <f>HYPERLINK("https://klasma.github.io/Logging_0482/kartor/A 30406-2026 karta.png", "A 30406-2026")</f>
        <v/>
      </c>
      <c r="Y143">
        <f>HYPERLINK("https://klasma.github.io/Logging_0482/kartor_geotiff/A 30406-2026 georefererad karta.tif", "A 30406-2026")</f>
        <v/>
      </c>
      <c r="AA143">
        <f>HYPERLINK("https://klasma.github.io/Logging_0482/klagomål/A 30406-2026 FSC-klagomål.docx", "A 30406-2026")</f>
        <v/>
      </c>
      <c r="AB143">
        <f>HYPERLINK("https://klasma.github.io/Logging_0482/klagomålsmail/A 30406-2026 FSC-klagomål mail.docx", "A 30406-2026")</f>
        <v/>
      </c>
      <c r="AC143">
        <f>HYPERLINK("https://klasma.github.io/Logging_0482/tillsyn/A 30406-2026 tillsynsbegäran.docx", "A 30406-2026")</f>
        <v/>
      </c>
      <c r="AD143">
        <f>HYPERLINK("https://klasma.github.io/Logging_0482/tillsynsmail/A 30406-2026 tillsynsbegäran mail.docx", "A 30406-2026")</f>
        <v/>
      </c>
    </row>
    <row r="144" ht="15" customHeight="1">
      <c r="A144" t="inlineStr">
        <is>
          <t>A 62535-2021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46268</v>
      </c>
      <c r="F144" t="inlineStr">
        <is>
          <t>SÖDERMANLANDS LÄN</t>
        </is>
      </c>
      <c r="G144" t="inlineStr">
        <is>
          <t>FLEN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HYPERLINK("https://klasma.github.io/Logging_0482/artfynd/A 62535-2021 artfynd.xlsx", "A 62535-2021")</f>
        <v/>
      </c>
      <c r="X144">
        <f>HYPERLINK("https://klasma.github.io/Logging_0482/kartor/A 62535-2021 karta.png", "A 62535-2021")</f>
        <v/>
      </c>
      <c r="Y144">
        <f>HYPERLINK("https://klasma.github.io/Logging_0482/kartor_geotiff/A 62535-2021 georefererad karta.tif", "A 62535-2021")</f>
        <v/>
      </c>
      <c r="AA144">
        <f>HYPERLINK("https://klasma.github.io/Logging_0482/klagomål/A 62535-2021 FSC-klagomål.docx", "A 62535-2021")</f>
        <v/>
      </c>
      <c r="AB144">
        <f>HYPERLINK("https://klasma.github.io/Logging_0482/klagomålsmail/A 62535-2021 FSC-klagomål mail.docx", "A 62535-2021")</f>
        <v/>
      </c>
      <c r="AC144">
        <f>HYPERLINK("https://klasma.github.io/Logging_0482/tillsyn/A 62535-2021 tillsynsbegäran.docx", "A 62535-2021")</f>
        <v/>
      </c>
      <c r="AD144">
        <f>HYPERLINK("https://klasma.github.io/Logging_0482/tillsynsmail/A 62535-2021 tillsynsbegäran mail.docx", "A 62535-2021")</f>
        <v/>
      </c>
    </row>
    <row r="145" ht="15" customHeight="1">
      <c r="A145" t="inlineStr">
        <is>
          <t>A 14273-2025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46268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Vedskivlav</t>
        </is>
      </c>
      <c r="W145">
        <f>HYPERLINK("https://klasma.github.io/Logging_0482/artfynd/A 14273-2025 artfynd.xlsx", "A 14273-2025")</f>
        <v/>
      </c>
      <c r="X145">
        <f>HYPERLINK("https://klasma.github.io/Logging_0482/kartor/A 14273-2025 karta.png", "A 14273-2025")</f>
        <v/>
      </c>
      <c r="Y145">
        <f>HYPERLINK("https://klasma.github.io/Logging_0482/kartor_geotiff/A 14273-2025 georefererad karta.tif", "A 14273-2025")</f>
        <v/>
      </c>
      <c r="AA145">
        <f>HYPERLINK("https://klasma.github.io/Logging_0482/klagomål/A 14273-2025 FSC-klagomål.docx", "A 14273-2025")</f>
        <v/>
      </c>
      <c r="AB145">
        <f>HYPERLINK("https://klasma.github.io/Logging_0482/klagomålsmail/A 14273-2025 FSC-klagomål mail.docx", "A 14273-2025")</f>
        <v/>
      </c>
      <c r="AC145">
        <f>HYPERLINK("https://klasma.github.io/Logging_0482/tillsyn/A 14273-2025 tillsynsbegäran.docx", "A 14273-2025")</f>
        <v/>
      </c>
      <c r="AD145">
        <f>HYPERLINK("https://klasma.github.io/Logging_0482/tillsynsmail/A 14273-2025 tillsynsbegäran mail.docx", "A 14273-2025")</f>
        <v/>
      </c>
    </row>
    <row r="146" ht="15" customHeight="1">
      <c r="A146" t="inlineStr">
        <is>
          <t>A 49820-2023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46268</v>
      </c>
      <c r="F146" t="inlineStr">
        <is>
          <t>SÖDERMANLANDS LÄN</t>
        </is>
      </c>
      <c r="G146" t="inlineStr">
        <is>
          <t>FLEN</t>
        </is>
      </c>
      <c r="I146" t="n">
        <v>3.2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Gullviva</t>
        </is>
      </c>
      <c r="W146">
        <f>HYPERLINK("https://klasma.github.io/Logging_0482/artfynd/A 49820-2023 artfynd.xlsx", "A 49820-2023")</f>
        <v/>
      </c>
      <c r="X146">
        <f>HYPERLINK("https://klasma.github.io/Logging_0482/kartor/A 49820-2023 karta.png", "A 49820-2023")</f>
        <v/>
      </c>
      <c r="Y146">
        <f>HYPERLINK("https://klasma.github.io/Logging_0482/kartor_geotiff/A 49820-2023 georefererad karta.tif", "A 49820-2023")</f>
        <v/>
      </c>
      <c r="AA146">
        <f>HYPERLINK("https://klasma.github.io/Logging_0482/klagomål/A 49820-2023 FSC-klagomål.docx", "A 49820-2023")</f>
        <v/>
      </c>
      <c r="AB146">
        <f>HYPERLINK("https://klasma.github.io/Logging_0482/klagomålsmail/A 49820-2023 FSC-klagomål mail.docx", "A 49820-2023")</f>
        <v/>
      </c>
      <c r="AC146">
        <f>HYPERLINK("https://klasma.github.io/Logging_0482/tillsyn/A 49820-2023 tillsynsbegäran.docx", "A 49820-2023")</f>
        <v/>
      </c>
      <c r="AD146">
        <f>HYPERLINK("https://klasma.github.io/Logging_0482/tillsynsmail/A 49820-2023 tillsynsbegäran mail.docx", "A 49820-2023")</f>
        <v/>
      </c>
    </row>
    <row r="147" ht="15" customHeight="1">
      <c r="A147" t="inlineStr">
        <is>
          <t>A 45107-2023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46268</v>
      </c>
      <c r="F147" t="inlineStr">
        <is>
          <t>SÖDERMANLANDS LÄN</t>
        </is>
      </c>
      <c r="G147" t="inlineStr">
        <is>
          <t>FLEN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Brudborste</t>
        </is>
      </c>
      <c r="W147">
        <f>HYPERLINK("https://klasma.github.io/Logging_0482/artfynd/A 45107-2023 artfynd.xlsx", "A 45107-2023")</f>
        <v/>
      </c>
      <c r="X147">
        <f>HYPERLINK("https://klasma.github.io/Logging_0482/kartor/A 45107-2023 karta.png", "A 45107-2023")</f>
        <v/>
      </c>
      <c r="Y147">
        <f>HYPERLINK("https://klasma.github.io/Logging_0482/kartor_geotiff/A 45107-2023 georefererad karta.tif", "A 45107-2023")</f>
        <v/>
      </c>
      <c r="AA147">
        <f>HYPERLINK("https://klasma.github.io/Logging_0482/klagomål/A 45107-2023 FSC-klagomål.docx", "A 45107-2023")</f>
        <v/>
      </c>
      <c r="AB147">
        <f>HYPERLINK("https://klasma.github.io/Logging_0482/klagomålsmail/A 45107-2023 FSC-klagomål mail.docx", "A 45107-2023")</f>
        <v/>
      </c>
      <c r="AC147">
        <f>HYPERLINK("https://klasma.github.io/Logging_0482/tillsyn/A 45107-2023 tillsynsbegäran.docx", "A 45107-2023")</f>
        <v/>
      </c>
      <c r="AD147">
        <f>HYPERLINK("https://klasma.github.io/Logging_0482/tillsynsmail/A 45107-2023 tillsynsbegäran mail.docx", "A 45107-2023")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46268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46268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46268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46268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46268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46268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46268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44452</v>
      </c>
      <c r="E155" s="1" t="n">
        <v>46268</v>
      </c>
      <c r="F155" t="inlineStr">
        <is>
          <t>SÖDERMANLANDS LÄN</t>
        </is>
      </c>
      <c r="G155" t="inlineStr">
        <is>
          <t>FLEN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46268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46268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46268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46268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46268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46268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46268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46268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46268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46268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46268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46268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46268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46268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46268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46268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46268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46268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46268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46268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46268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46268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46268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46268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46268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46268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46268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54840-2021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44474</v>
      </c>
      <c r="E183" s="1" t="n">
        <v>46268</v>
      </c>
      <c r="F183" t="inlineStr">
        <is>
          <t>SÖDERMANLANDS LÄN</t>
        </is>
      </c>
      <c r="G183" t="inlineStr">
        <is>
          <t>FLEN</t>
        </is>
      </c>
      <c r="H183" t="inlineStr">
        <is>
          <t>Holmen skog AB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46268</v>
      </c>
      <c r="F184" t="inlineStr">
        <is>
          <t>SÖDERMANLANDS LÄN</t>
        </is>
      </c>
      <c r="G184" t="inlineStr">
        <is>
          <t>FLEN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46268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46268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46268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46268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46268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46268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46268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46268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46268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46268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46268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46268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46268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46268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46268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46268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46268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46268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46268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46268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46268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46268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46268</v>
      </c>
      <c r="F207" t="inlineStr">
        <is>
          <t>SÖDERMANLANDS LÄN</t>
        </is>
      </c>
      <c r="G207" t="inlineStr">
        <is>
          <t>FLEN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46268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46268</v>
      </c>
      <c r="F209" t="inlineStr">
        <is>
          <t>SÖDERMANLANDS LÄN</t>
        </is>
      </c>
      <c r="G209" t="inlineStr">
        <is>
          <t>FLEN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46268</v>
      </c>
      <c r="F210" t="inlineStr">
        <is>
          <t>SÖDERMANLANDS LÄN</t>
        </is>
      </c>
      <c r="G210" t="inlineStr">
        <is>
          <t>FLEN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46268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69588-2021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46268</v>
      </c>
      <c r="F212" t="inlineStr">
        <is>
          <t>SÖDERMANLANDS LÄN</t>
        </is>
      </c>
      <c r="G212" t="inlineStr">
        <is>
          <t>FLEN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65869-2021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46268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46268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44914</v>
      </c>
      <c r="E215" s="1" t="n">
        <v>46268</v>
      </c>
      <c r="F215" t="inlineStr">
        <is>
          <t>SÖDERMANLANDS LÄN</t>
        </is>
      </c>
      <c r="G215" t="inlineStr">
        <is>
          <t>FLEN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46268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46268</v>
      </c>
      <c r="F217" t="inlineStr">
        <is>
          <t>SÖDERMANLANDS LÄN</t>
        </is>
      </c>
      <c r="G217" t="inlineStr">
        <is>
          <t>FLEN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46268</v>
      </c>
      <c r="F218" t="inlineStr">
        <is>
          <t>SÖDERMANLANDS LÄN</t>
        </is>
      </c>
      <c r="G218" t="inlineStr">
        <is>
          <t>FLEN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46268</v>
      </c>
      <c r="F219" t="inlineStr">
        <is>
          <t>SÖDERMANLANDS LÄN</t>
        </is>
      </c>
      <c r="G219" t="inlineStr">
        <is>
          <t>FLEN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46268</v>
      </c>
      <c r="F220" t="inlineStr">
        <is>
          <t>SÖDERMANLANDS LÄN</t>
        </is>
      </c>
      <c r="G220" t="inlineStr">
        <is>
          <t>FLEN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44796</v>
      </c>
      <c r="E221" s="1" t="n">
        <v>46268</v>
      </c>
      <c r="F221" t="inlineStr">
        <is>
          <t>SÖDERMANLANDS LÄN</t>
        </is>
      </c>
      <c r="G221" t="inlineStr">
        <is>
          <t>FLEN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47604-2021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44448</v>
      </c>
      <c r="E222" s="1" t="n">
        <v>46268</v>
      </c>
      <c r="F222" t="inlineStr">
        <is>
          <t>SÖDERMANLANDS LÄN</t>
        </is>
      </c>
      <c r="G222" t="inlineStr">
        <is>
          <t>FLEN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46268</v>
      </c>
      <c r="F223" t="inlineStr">
        <is>
          <t>SÖDERMANLANDS LÄN</t>
        </is>
      </c>
      <c r="G223" t="inlineStr">
        <is>
          <t>FLEN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46268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46268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46268</v>
      </c>
      <c r="F226" t="inlineStr">
        <is>
          <t>SÖDERMANLANDS LÄN</t>
        </is>
      </c>
      <c r="G226" t="inlineStr">
        <is>
          <t>FLEN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45597</v>
      </c>
      <c r="E227" s="1" t="n">
        <v>46268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45482</v>
      </c>
      <c r="E228" s="1" t="n">
        <v>46268</v>
      </c>
      <c r="F228" t="inlineStr">
        <is>
          <t>SÖDERMANLANDS LÄN</t>
        </is>
      </c>
      <c r="G228" t="inlineStr">
        <is>
          <t>FLEN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45226</v>
      </c>
      <c r="E229" s="1" t="n">
        <v>46268</v>
      </c>
      <c r="F229" t="inlineStr">
        <is>
          <t>SÖDERMANLANDS LÄN</t>
        </is>
      </c>
      <c r="G229" t="inlineStr">
        <is>
          <t>FLEN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45270</v>
      </c>
      <c r="E230" s="1" t="n">
        <v>46268</v>
      </c>
      <c r="F230" t="inlineStr">
        <is>
          <t>SÖDERMANLANDS LÄN</t>
        </is>
      </c>
      <c r="G230" t="inlineStr">
        <is>
          <t>FLEN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46268</v>
      </c>
      <c r="F231" t="inlineStr">
        <is>
          <t>SÖDERMANLANDS LÄN</t>
        </is>
      </c>
      <c r="G231" t="inlineStr">
        <is>
          <t>FLEN</t>
        </is>
      </c>
      <c r="H231" t="inlineStr">
        <is>
          <t>Kommuner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46268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46268</v>
      </c>
      <c r="F233" t="inlineStr">
        <is>
          <t>SÖDERMANLANDS LÄN</t>
        </is>
      </c>
      <c r="G233" t="inlineStr">
        <is>
          <t>FLEN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46268</v>
      </c>
      <c r="F234" t="inlineStr">
        <is>
          <t>SÖDERMANLANDS LÄN</t>
        </is>
      </c>
      <c r="G234" t="inlineStr">
        <is>
          <t>FLEN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44733</v>
      </c>
      <c r="E235" s="1" t="n">
        <v>46268</v>
      </c>
      <c r="F235" t="inlineStr">
        <is>
          <t>SÖDERMANLANDS LÄN</t>
        </is>
      </c>
      <c r="G235" t="inlineStr">
        <is>
          <t>FLEN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46268</v>
      </c>
      <c r="F236" t="inlineStr">
        <is>
          <t>SÖDERMANLANDS LÄN</t>
        </is>
      </c>
      <c r="G236" t="inlineStr">
        <is>
          <t>FLEN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46268</v>
      </c>
      <c r="F237" t="inlineStr">
        <is>
          <t>SÖDERMANLANDS LÄN</t>
        </is>
      </c>
      <c r="G237" t="inlineStr">
        <is>
          <t>FLEN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46268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44522</v>
      </c>
      <c r="E239" s="1" t="n">
        <v>46268</v>
      </c>
      <c r="F239" t="inlineStr">
        <is>
          <t>SÖDERMANLANDS LÄN</t>
        </is>
      </c>
      <c r="G239" t="inlineStr">
        <is>
          <t>FLEN</t>
        </is>
      </c>
      <c r="H239" t="inlineStr">
        <is>
          <t>Kyrkan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46268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46268</v>
      </c>
      <c r="F241" t="inlineStr">
        <is>
          <t>SÖDERMANLANDS LÄN</t>
        </is>
      </c>
      <c r="G241" t="inlineStr">
        <is>
          <t>FLEN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46268</v>
      </c>
      <c r="F242" t="inlineStr">
        <is>
          <t>SÖDERMANLANDS LÄN</t>
        </is>
      </c>
      <c r="G242" t="inlineStr">
        <is>
          <t>FLEN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45147</v>
      </c>
      <c r="E243" s="1" t="n">
        <v>46268</v>
      </c>
      <c r="F243" t="inlineStr">
        <is>
          <t>SÖDERMANLANDS LÄN</t>
        </is>
      </c>
      <c r="G243" t="inlineStr">
        <is>
          <t>FLEN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46268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46268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46268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46268</v>
      </c>
      <c r="F247" t="inlineStr">
        <is>
          <t>SÖDERMANLANDS LÄN</t>
        </is>
      </c>
      <c r="G247" t="inlineStr">
        <is>
          <t>FLEN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44624</v>
      </c>
      <c r="E248" s="1" t="n">
        <v>46268</v>
      </c>
      <c r="F248" t="inlineStr">
        <is>
          <t>SÖDERMANLANDS LÄN</t>
        </is>
      </c>
      <c r="G248" t="inlineStr">
        <is>
          <t>FLEN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46268</v>
      </c>
      <c r="F249" t="inlineStr">
        <is>
          <t>SÖDERMANLANDS LÄN</t>
        </is>
      </c>
      <c r="G249" t="inlineStr">
        <is>
          <t>FLEN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46268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45311</v>
      </c>
      <c r="E251" s="1" t="n">
        <v>46268</v>
      </c>
      <c r="F251" t="inlineStr">
        <is>
          <t>SÖDERMANLANDS LÄN</t>
        </is>
      </c>
      <c r="G251" t="inlineStr">
        <is>
          <t>FLEN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46268</v>
      </c>
      <c r="F252" t="inlineStr">
        <is>
          <t>SÖDERMANLANDS LÄN</t>
        </is>
      </c>
      <c r="G252" t="inlineStr">
        <is>
          <t>FLEN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45830</v>
      </c>
      <c r="E253" s="1" t="n">
        <v>46268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45830</v>
      </c>
      <c r="E254" s="1" t="n">
        <v>46268</v>
      </c>
      <c r="F254" t="inlineStr">
        <is>
          <t>SÖDERMANLANDS LÄN</t>
        </is>
      </c>
      <c r="G254" t="inlineStr">
        <is>
          <t>FLEN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46268</v>
      </c>
      <c r="F255" t="inlineStr">
        <is>
          <t>SÖDERMANLANDS LÄN</t>
        </is>
      </c>
      <c r="G255" t="inlineStr">
        <is>
          <t>FLEN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46268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44872</v>
      </c>
      <c r="E257" s="1" t="n">
        <v>46268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46268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45057</v>
      </c>
      <c r="E259" s="1" t="n">
        <v>46268</v>
      </c>
      <c r="F259" t="inlineStr">
        <is>
          <t>SÖDERMANLANDS LÄN</t>
        </is>
      </c>
      <c r="G259" t="inlineStr">
        <is>
          <t>FLEN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46268</v>
      </c>
      <c r="F260" t="inlineStr">
        <is>
          <t>SÖDERMANLANDS LÄN</t>
        </is>
      </c>
      <c r="G260" t="inlineStr">
        <is>
          <t>FLEN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46268</v>
      </c>
      <c r="F261" t="inlineStr">
        <is>
          <t>SÖDERMANLANDS LÄN</t>
        </is>
      </c>
      <c r="G261" t="inlineStr">
        <is>
          <t>FLEN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45702</v>
      </c>
      <c r="E262" s="1" t="n">
        <v>46268</v>
      </c>
      <c r="F262" t="inlineStr">
        <is>
          <t>SÖDERMANLANDS LÄN</t>
        </is>
      </c>
      <c r="G262" t="inlineStr">
        <is>
          <t>FLEN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46268</v>
      </c>
      <c r="F263" t="inlineStr">
        <is>
          <t>SÖDERMANLANDS LÄN</t>
        </is>
      </c>
      <c r="G263" t="inlineStr">
        <is>
          <t>FLEN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44602</v>
      </c>
      <c r="E264" s="1" t="n">
        <v>46268</v>
      </c>
      <c r="F264" t="inlineStr">
        <is>
          <t>SÖDERMANLANDS LÄN</t>
        </is>
      </c>
      <c r="G264" t="inlineStr">
        <is>
          <t>FLEN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46268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46268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44899</v>
      </c>
      <c r="E267" s="1" t="n">
        <v>46268</v>
      </c>
      <c r="F267" t="inlineStr">
        <is>
          <t>SÖDERMANLANDS LÄN</t>
        </is>
      </c>
      <c r="G267" t="inlineStr">
        <is>
          <t>FLEN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45398</v>
      </c>
      <c r="E268" s="1" t="n">
        <v>46268</v>
      </c>
      <c r="F268" t="inlineStr">
        <is>
          <t>SÖDERMANLANDS LÄN</t>
        </is>
      </c>
      <c r="G268" t="inlineStr">
        <is>
          <t>FLEN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46268</v>
      </c>
      <c r="F269" t="inlineStr">
        <is>
          <t>SÖDERMANLANDS LÄN</t>
        </is>
      </c>
      <c r="G269" t="inlineStr">
        <is>
          <t>FLEN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45089</v>
      </c>
      <c r="E270" s="1" t="n">
        <v>46268</v>
      </c>
      <c r="F270" t="inlineStr">
        <is>
          <t>SÖDERMANLANDS LÄN</t>
        </is>
      </c>
      <c r="G270" t="inlineStr">
        <is>
          <t>FLEN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46268</v>
      </c>
      <c r="F271" t="inlineStr">
        <is>
          <t>SÖDERMANLANDS LÄN</t>
        </is>
      </c>
      <c r="G271" t="inlineStr">
        <is>
          <t>FLEN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46268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46268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44761</v>
      </c>
      <c r="E274" s="1" t="n">
        <v>46268</v>
      </c>
      <c r="F274" t="inlineStr">
        <is>
          <t>SÖDERMANLANDS LÄN</t>
        </is>
      </c>
      <c r="G274" t="inlineStr">
        <is>
          <t>FLEN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45566</v>
      </c>
      <c r="E275" s="1" t="n">
        <v>46268</v>
      </c>
      <c r="F275" t="inlineStr">
        <is>
          <t>SÖDERMANLANDS LÄN</t>
        </is>
      </c>
      <c r="G275" t="inlineStr">
        <is>
          <t>FLEN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45581</v>
      </c>
      <c r="E276" s="1" t="n">
        <v>46268</v>
      </c>
      <c r="F276" t="inlineStr">
        <is>
          <t>SÖDERMANLANDS LÄN</t>
        </is>
      </c>
      <c r="G276" t="inlineStr">
        <is>
          <t>FLEN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46268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45880</v>
      </c>
      <c r="E278" s="1" t="n">
        <v>46268</v>
      </c>
      <c r="F278" t="inlineStr">
        <is>
          <t>SÖDERMANLANDS LÄN</t>
        </is>
      </c>
      <c r="G278" t="inlineStr">
        <is>
          <t>FLEN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46268</v>
      </c>
      <c r="F279" t="inlineStr">
        <is>
          <t>SÖDERMANLANDS LÄN</t>
        </is>
      </c>
      <c r="G279" t="inlineStr">
        <is>
          <t>FLEN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46268</v>
      </c>
      <c r="F280" t="inlineStr">
        <is>
          <t>SÖDERMANLANDS LÄN</t>
        </is>
      </c>
      <c r="G280" t="inlineStr">
        <is>
          <t>FLEN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46268</v>
      </c>
      <c r="F281" t="inlineStr">
        <is>
          <t>SÖDERMANLANDS LÄN</t>
        </is>
      </c>
      <c r="G281" t="inlineStr">
        <is>
          <t>FLEN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46268</v>
      </c>
      <c r="F282" t="inlineStr">
        <is>
          <t>SÖDERMANLANDS LÄN</t>
        </is>
      </c>
      <c r="G282" t="inlineStr">
        <is>
          <t>FLEN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46268</v>
      </c>
      <c r="F283" t="inlineStr">
        <is>
          <t>SÖDERMANLANDS LÄN</t>
        </is>
      </c>
      <c r="G283" t="inlineStr">
        <is>
          <t>FLEN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46268</v>
      </c>
      <c r="F284" t="inlineStr">
        <is>
          <t>SÖDERMANLANDS LÄN</t>
        </is>
      </c>
      <c r="G284" t="inlineStr">
        <is>
          <t>FLEN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46268</v>
      </c>
      <c r="F285" t="inlineStr">
        <is>
          <t>SÖDERMANLANDS LÄN</t>
        </is>
      </c>
      <c r="G285" t="inlineStr">
        <is>
          <t>FLEN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46056</v>
      </c>
      <c r="E286" s="1" t="n">
        <v>46268</v>
      </c>
      <c r="F286" t="inlineStr">
        <is>
          <t>SÖDERMANLANDS LÄN</t>
        </is>
      </c>
      <c r="G286" t="inlineStr">
        <is>
          <t>FLEN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46268</v>
      </c>
      <c r="F287" t="inlineStr">
        <is>
          <t>SÖDERMANLANDS LÄN</t>
        </is>
      </c>
      <c r="G287" t="inlineStr">
        <is>
          <t>FLEN</t>
        </is>
      </c>
      <c r="H287" t="inlineStr">
        <is>
          <t>Övriga statliga verk och myndigheter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44785</v>
      </c>
      <c r="E288" s="1" t="n">
        <v>46268</v>
      </c>
      <c r="F288" t="inlineStr">
        <is>
          <t>SÖDERMANLANDS LÄN</t>
        </is>
      </c>
      <c r="G288" t="inlineStr">
        <is>
          <t>FLEN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46268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44616</v>
      </c>
      <c r="E290" s="1" t="n">
        <v>46268</v>
      </c>
      <c r="F290" t="inlineStr">
        <is>
          <t>SÖDERMANLANDS LÄN</t>
        </is>
      </c>
      <c r="G290" t="inlineStr">
        <is>
          <t>FLEN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52692-2021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44466</v>
      </c>
      <c r="E291" s="1" t="n">
        <v>46268</v>
      </c>
      <c r="F291" t="inlineStr">
        <is>
          <t>SÖDERMANLANDS LÄN</t>
        </is>
      </c>
      <c r="G291" t="inlineStr">
        <is>
          <t>FLEN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54283-2025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45964</v>
      </c>
      <c r="E292" s="1" t="n">
        <v>46268</v>
      </c>
      <c r="F292" t="inlineStr">
        <is>
          <t>SÖDERMANLANDS LÄN</t>
        </is>
      </c>
      <c r="G292" t="inlineStr">
        <is>
          <t>FLEN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54282-2025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45964</v>
      </c>
      <c r="E293" s="1" t="n">
        <v>46268</v>
      </c>
      <c r="F293" t="inlineStr">
        <is>
          <t>SÖDERMANLANDS LÄN</t>
        </is>
      </c>
      <c r="G293" t="inlineStr">
        <is>
          <t>FLEN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46268</v>
      </c>
      <c r="F294" t="inlineStr">
        <is>
          <t>SÖDERMANLANDS LÄN</t>
        </is>
      </c>
      <c r="G294" t="inlineStr">
        <is>
          <t>FLEN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46268</v>
      </c>
      <c r="F295" t="inlineStr">
        <is>
          <t>SÖDERMANLANDS LÄN</t>
        </is>
      </c>
      <c r="G295" t="inlineStr">
        <is>
          <t>FLEN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46268</v>
      </c>
      <c r="F296" t="inlineStr">
        <is>
          <t>SÖDERMANLANDS LÄN</t>
        </is>
      </c>
      <c r="G296" t="inlineStr">
        <is>
          <t>FLEN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46268</v>
      </c>
      <c r="F297" t="inlineStr">
        <is>
          <t>SÖDERMANLANDS LÄN</t>
        </is>
      </c>
      <c r="G297" t="inlineStr">
        <is>
          <t>FLEN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45213</v>
      </c>
      <c r="E298" s="1" t="n">
        <v>46268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45104</v>
      </c>
      <c r="E299" s="1" t="n">
        <v>46268</v>
      </c>
      <c r="F299" t="inlineStr">
        <is>
          <t>SÖDERMANLANDS LÄN</t>
        </is>
      </c>
      <c r="G299" t="inlineStr">
        <is>
          <t>FLEN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56573-2025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45974</v>
      </c>
      <c r="E300" s="1" t="n">
        <v>46268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46268</v>
      </c>
      <c r="F301" t="inlineStr">
        <is>
          <t>SÖDERMANLANDS LÄN</t>
        </is>
      </c>
      <c r="G301" t="inlineStr">
        <is>
          <t>FLEN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64480-2023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45280</v>
      </c>
      <c r="E302" s="1" t="n">
        <v>46268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46268</v>
      </c>
      <c r="F303" t="inlineStr">
        <is>
          <t>SÖDERMANLANDS LÄN</t>
        </is>
      </c>
      <c r="G303" t="inlineStr">
        <is>
          <t>FLEN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44862</v>
      </c>
      <c r="E304" s="1" t="n">
        <v>46268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46080</v>
      </c>
      <c r="E305" s="1" t="n">
        <v>46268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46268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67464-2021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46268</v>
      </c>
      <c r="F307" t="inlineStr">
        <is>
          <t>SÖDERMANLANDS LÄN</t>
        </is>
      </c>
      <c r="G307" t="inlineStr">
        <is>
          <t>FLEN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46268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46268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46079</v>
      </c>
      <c r="E310" s="1" t="n">
        <v>46268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46080</v>
      </c>
      <c r="E311" s="1" t="n">
        <v>46268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46082</v>
      </c>
      <c r="E312" s="1" t="n">
        <v>46268</v>
      </c>
      <c r="F312" t="inlineStr">
        <is>
          <t>SÖDERMANLANDS LÄN</t>
        </is>
      </c>
      <c r="G312" t="inlineStr">
        <is>
          <t>FLEN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66979-2021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44522</v>
      </c>
      <c r="E313" s="1" t="n">
        <v>46268</v>
      </c>
      <c r="F313" t="inlineStr">
        <is>
          <t>SÖDERMANLANDS LÄN</t>
        </is>
      </c>
      <c r="G313" t="inlineStr">
        <is>
          <t>FLEN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46268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16908-2024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45411</v>
      </c>
      <c r="E315" s="1" t="n">
        <v>46268</v>
      </c>
      <c r="F315" t="inlineStr">
        <is>
          <t>SÖDERMANLANDS LÄN</t>
        </is>
      </c>
      <c r="G315" t="inlineStr">
        <is>
          <t>FLEN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46268</v>
      </c>
      <c r="F316" t="inlineStr">
        <is>
          <t>SÖDERMANLANDS LÄN</t>
        </is>
      </c>
      <c r="G316" t="inlineStr">
        <is>
          <t>FLEN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46268</v>
      </c>
      <c r="F317" t="inlineStr">
        <is>
          <t>SÖDERMANLANDS LÄN</t>
        </is>
      </c>
      <c r="G317" t="inlineStr">
        <is>
          <t>FLEN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46268</v>
      </c>
      <c r="F318" t="inlineStr">
        <is>
          <t>SÖDERMANLANDS LÄN</t>
        </is>
      </c>
      <c r="G318" t="inlineStr">
        <is>
          <t>FLEN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46268</v>
      </c>
      <c r="F319" t="inlineStr">
        <is>
          <t>SÖDERMANLANDS LÄN</t>
        </is>
      </c>
      <c r="G319" t="inlineStr">
        <is>
          <t>FLEN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46268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45081</v>
      </c>
      <c r="E321" s="1" t="n">
        <v>46268</v>
      </c>
      <c r="F321" t="inlineStr">
        <is>
          <t>SÖDERMANLANDS LÄN</t>
        </is>
      </c>
      <c r="G321" t="inlineStr">
        <is>
          <t>FLEN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45081</v>
      </c>
      <c r="E322" s="1" t="n">
        <v>46268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46268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46268</v>
      </c>
      <c r="F324" t="inlineStr">
        <is>
          <t>SÖDERMANLANDS LÄN</t>
        </is>
      </c>
      <c r="G324" t="inlineStr">
        <is>
          <t>FLEN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45995</v>
      </c>
      <c r="E325" s="1" t="n">
        <v>46268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46268</v>
      </c>
      <c r="F326" t="inlineStr">
        <is>
          <t>SÖDERMANLANDS LÄN</t>
        </is>
      </c>
      <c r="G326" t="inlineStr">
        <is>
          <t>FLEN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46268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46268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46268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45022</v>
      </c>
      <c r="E330" s="1" t="n">
        <v>46268</v>
      </c>
      <c r="F330" t="inlineStr">
        <is>
          <t>SÖDERMANLANDS LÄN</t>
        </is>
      </c>
      <c r="G330" t="inlineStr">
        <is>
          <t>FLEN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45632</v>
      </c>
      <c r="E331" s="1" t="n">
        <v>46268</v>
      </c>
      <c r="F331" t="inlineStr">
        <is>
          <t>SÖDERMANLANDS LÄN</t>
        </is>
      </c>
      <c r="G331" t="inlineStr">
        <is>
          <t>FLEN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45022</v>
      </c>
      <c r="E332" s="1" t="n">
        <v>46268</v>
      </c>
      <c r="F332" t="inlineStr">
        <is>
          <t>SÖDERMANLANDS LÄN</t>
        </is>
      </c>
      <c r="G332" t="inlineStr">
        <is>
          <t>FLEN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46268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46268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46268</v>
      </c>
      <c r="F335" t="inlineStr">
        <is>
          <t>SÖDERMANLANDS LÄN</t>
        </is>
      </c>
      <c r="G335" t="inlineStr">
        <is>
          <t>FLEN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52541-2021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46268</v>
      </c>
      <c r="F336" t="inlineStr">
        <is>
          <t>SÖDERMANLANDS LÄN</t>
        </is>
      </c>
      <c r="G336" t="inlineStr">
        <is>
          <t>FLEN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45331</v>
      </c>
      <c r="E337" s="1" t="n">
        <v>46268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45066</v>
      </c>
      <c r="E338" s="1" t="n">
        <v>46268</v>
      </c>
      <c r="F338" t="inlineStr">
        <is>
          <t>SÖDERMANLANDS LÄN</t>
        </is>
      </c>
      <c r="G338" t="inlineStr">
        <is>
          <t>FLEN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44979</v>
      </c>
      <c r="E339" s="1" t="n">
        <v>46268</v>
      </c>
      <c r="F339" t="inlineStr">
        <is>
          <t>SÖDERMANLANDS LÄN</t>
        </is>
      </c>
      <c r="G339" t="inlineStr">
        <is>
          <t>FLEN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46268</v>
      </c>
      <c r="F340" t="inlineStr">
        <is>
          <t>SÖDERMANLANDS LÄN</t>
        </is>
      </c>
      <c r="G340" t="inlineStr">
        <is>
          <t>FLEN</t>
        </is>
      </c>
      <c r="H340" t="inlineStr">
        <is>
          <t>Övriga statliga verk och myndigheter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44864</v>
      </c>
      <c r="E341" s="1" t="n">
        <v>46268</v>
      </c>
      <c r="F341" t="inlineStr">
        <is>
          <t>SÖDERMANLANDS LÄN</t>
        </is>
      </c>
      <c r="G341" t="inlineStr">
        <is>
          <t>FLEN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48749-2022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44855</v>
      </c>
      <c r="E342" s="1" t="n">
        <v>46268</v>
      </c>
      <c r="F342" t="inlineStr">
        <is>
          <t>SÖDERMANLANDS LÄN</t>
        </is>
      </c>
      <c r="G342" t="inlineStr">
        <is>
          <t>FLEN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45250</v>
      </c>
      <c r="E343" s="1" t="n">
        <v>46268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46268</v>
      </c>
      <c r="F344" t="inlineStr">
        <is>
          <t>SÖDERMANLANDS LÄN</t>
        </is>
      </c>
      <c r="G344" t="inlineStr">
        <is>
          <t>FLEN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46268</v>
      </c>
      <c r="F345" t="inlineStr">
        <is>
          <t>SÖDERMANLANDS LÄN</t>
        </is>
      </c>
      <c r="G345" t="inlineStr">
        <is>
          <t>FLEN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45528</v>
      </c>
      <c r="E346" s="1" t="n">
        <v>46268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46268</v>
      </c>
      <c r="F347" t="inlineStr">
        <is>
          <t>SÖDERMANLANDS LÄN</t>
        </is>
      </c>
      <c r="G347" t="inlineStr">
        <is>
          <t>FLEN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46268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46268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46268</v>
      </c>
      <c r="F350" t="inlineStr">
        <is>
          <t>SÖDERMANLANDS LÄN</t>
        </is>
      </c>
      <c r="G350" t="inlineStr">
        <is>
          <t>FLEN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48497-2021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44449</v>
      </c>
      <c r="E351" s="1" t="n">
        <v>46268</v>
      </c>
      <c r="F351" t="inlineStr">
        <is>
          <t>SÖDERMANLANDS LÄN</t>
        </is>
      </c>
      <c r="G351" t="inlineStr">
        <is>
          <t>FLEN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46112</v>
      </c>
      <c r="E352" s="1" t="n">
        <v>46268</v>
      </c>
      <c r="F352" t="inlineStr">
        <is>
          <t>SÖDERMANLANDS LÄN</t>
        </is>
      </c>
      <c r="G352" t="inlineStr">
        <is>
          <t>FLEN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46268</v>
      </c>
      <c r="F353" t="inlineStr">
        <is>
          <t>SÖDERMANLANDS LÄN</t>
        </is>
      </c>
      <c r="G353" t="inlineStr">
        <is>
          <t>FLEN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45140</v>
      </c>
      <c r="E354" s="1" t="n">
        <v>46268</v>
      </c>
      <c r="F354" t="inlineStr">
        <is>
          <t>SÖDERMANLANDS LÄN</t>
        </is>
      </c>
      <c r="G354" t="inlineStr">
        <is>
          <t>FLEN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45713</v>
      </c>
      <c r="E355" s="1" t="n">
        <v>46268</v>
      </c>
      <c r="F355" t="inlineStr">
        <is>
          <t>SÖDERMANLANDS LÄN</t>
        </is>
      </c>
      <c r="G355" t="inlineStr">
        <is>
          <t>FLEN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46268</v>
      </c>
      <c r="F356" t="inlineStr">
        <is>
          <t>SÖDERMANLANDS LÄN</t>
        </is>
      </c>
      <c r="G356" t="inlineStr">
        <is>
          <t>FLEN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46268</v>
      </c>
      <c r="F357" t="inlineStr">
        <is>
          <t>SÖDERMANLANDS LÄN</t>
        </is>
      </c>
      <c r="G357" t="inlineStr">
        <is>
          <t>FLEN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18000-2026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46268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46268</v>
      </c>
      <c r="F359" t="inlineStr">
        <is>
          <t>SÖDERMANLANDS LÄN</t>
        </is>
      </c>
      <c r="G359" t="inlineStr">
        <is>
          <t>FLEN</t>
        </is>
      </c>
      <c r="I359" t="n">
        <v>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46268</v>
      </c>
      <c r="F360" t="inlineStr">
        <is>
          <t>SÖDERMANLANDS LÄN</t>
        </is>
      </c>
      <c r="G360" t="inlineStr">
        <is>
          <t>FLEN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45209</v>
      </c>
      <c r="E361" s="1" t="n">
        <v>46268</v>
      </c>
      <c r="F361" t="inlineStr">
        <is>
          <t>SÖDERMANLANDS LÄN</t>
        </is>
      </c>
      <c r="G361" t="inlineStr">
        <is>
          <t>FLEN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46268</v>
      </c>
      <c r="F362" t="inlineStr">
        <is>
          <t>SÖDERMANLANDS LÄN</t>
        </is>
      </c>
      <c r="G362" t="inlineStr">
        <is>
          <t>FLEN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46268</v>
      </c>
      <c r="F363" t="inlineStr">
        <is>
          <t>SÖDERMANLANDS LÄN</t>
        </is>
      </c>
      <c r="G363" t="inlineStr">
        <is>
          <t>FLEN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18918-2026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46129</v>
      </c>
      <c r="E364" s="1" t="n">
        <v>46268</v>
      </c>
      <c r="F364" t="inlineStr">
        <is>
          <t>SÖDERMANLANDS LÄN</t>
        </is>
      </c>
      <c r="G364" t="inlineStr">
        <is>
          <t>FLEN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46268</v>
      </c>
      <c r="F365" t="inlineStr">
        <is>
          <t>SÖDERMANLANDS LÄN</t>
        </is>
      </c>
      <c r="G365" t="inlineStr">
        <is>
          <t>FLEN</t>
        </is>
      </c>
      <c r="H365" t="inlineStr">
        <is>
          <t>Övriga statliga verk och myndigheter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17848-2026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46268</v>
      </c>
      <c r="F366" t="inlineStr">
        <is>
          <t>SÖDERMANLANDS LÄN</t>
        </is>
      </c>
      <c r="G366" t="inlineStr">
        <is>
          <t>FLEN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44991</v>
      </c>
      <c r="E367" s="1" t="n">
        <v>46268</v>
      </c>
      <c r="F367" t="inlineStr">
        <is>
          <t>SÖDERMANLANDS LÄN</t>
        </is>
      </c>
      <c r="G367" t="inlineStr">
        <is>
          <t>FLEN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46268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46268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45048</v>
      </c>
      <c r="E370" s="1" t="n">
        <v>46268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45056</v>
      </c>
      <c r="E371" s="1" t="n">
        <v>46268</v>
      </c>
      <c r="F371" t="inlineStr">
        <is>
          <t>SÖDERMANLANDS LÄN</t>
        </is>
      </c>
      <c r="G371" t="inlineStr">
        <is>
          <t>FLEN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46268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45574</v>
      </c>
      <c r="E373" s="1" t="n">
        <v>46268</v>
      </c>
      <c r="F373" t="inlineStr">
        <is>
          <t>SÖDERMANLANDS LÄN</t>
        </is>
      </c>
      <c r="G373" t="inlineStr">
        <is>
          <t>FLEN</t>
        </is>
      </c>
      <c r="H373" t="inlineStr">
        <is>
          <t>Övriga statliga verk och myndigheter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45230</v>
      </c>
      <c r="E374" s="1" t="n">
        <v>46268</v>
      </c>
      <c r="F374" t="inlineStr">
        <is>
          <t>SÖDERMANLANDS LÄN</t>
        </is>
      </c>
      <c r="G374" t="inlineStr">
        <is>
          <t>FLEN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45119</v>
      </c>
      <c r="E375" s="1" t="n">
        <v>46268</v>
      </c>
      <c r="F375" t="inlineStr">
        <is>
          <t>SÖDERMANLANDS LÄN</t>
        </is>
      </c>
      <c r="G375" t="inlineStr">
        <is>
          <t>FLEN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44566</v>
      </c>
      <c r="E376" s="1" t="n">
        <v>46268</v>
      </c>
      <c r="F376" t="inlineStr">
        <is>
          <t>SÖDERMANLANDS LÄN</t>
        </is>
      </c>
      <c r="G376" t="inlineStr">
        <is>
          <t>FLEN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46268</v>
      </c>
      <c r="F377" t="inlineStr">
        <is>
          <t>SÖDERMANLANDS LÄN</t>
        </is>
      </c>
      <c r="G377" t="inlineStr">
        <is>
          <t>FLEN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46268</v>
      </c>
      <c r="F378" t="inlineStr">
        <is>
          <t>SÖDERMANLANDS LÄN</t>
        </is>
      </c>
      <c r="G378" t="inlineStr">
        <is>
          <t>FLEN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45718</v>
      </c>
      <c r="E379" s="1" t="n">
        <v>46268</v>
      </c>
      <c r="F379" t="inlineStr">
        <is>
          <t>SÖDERMANLANDS LÄN</t>
        </is>
      </c>
      <c r="G379" t="inlineStr">
        <is>
          <t>FLEN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44624</v>
      </c>
      <c r="E380" s="1" t="n">
        <v>46268</v>
      </c>
      <c r="F380" t="inlineStr">
        <is>
          <t>SÖDERMANLANDS LÄN</t>
        </is>
      </c>
      <c r="G380" t="inlineStr">
        <is>
          <t>FLEN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45789</v>
      </c>
      <c r="E381" s="1" t="n">
        <v>46268</v>
      </c>
      <c r="F381" t="inlineStr">
        <is>
          <t>SÖDERMANLANDS LÄN</t>
        </is>
      </c>
      <c r="G381" t="inlineStr">
        <is>
          <t>FLEN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18511-2023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46268</v>
      </c>
      <c r="F382" t="inlineStr">
        <is>
          <t>SÖDERMANLANDS LÄN</t>
        </is>
      </c>
      <c r="G382" t="inlineStr">
        <is>
          <t>FLEN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46268</v>
      </c>
      <c r="F383" t="inlineStr">
        <is>
          <t>SÖDERMANLANDS LÄN</t>
        </is>
      </c>
      <c r="G383" t="inlineStr">
        <is>
          <t>FLEN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46268</v>
      </c>
      <c r="F384" t="inlineStr">
        <is>
          <t>SÖDERMANLANDS LÄN</t>
        </is>
      </c>
      <c r="G384" t="inlineStr">
        <is>
          <t>FLEN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44701</v>
      </c>
      <c r="E385" s="1" t="n">
        <v>46268</v>
      </c>
      <c r="F385" t="inlineStr">
        <is>
          <t>SÖDERMANLANDS LÄN</t>
        </is>
      </c>
      <c r="G385" t="inlineStr">
        <is>
          <t>FLEN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46268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46268</v>
      </c>
      <c r="F387" t="inlineStr">
        <is>
          <t>SÖDERMANLANDS LÄN</t>
        </is>
      </c>
      <c r="G387" t="inlineStr">
        <is>
          <t>FLEN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44909</v>
      </c>
      <c r="E388" s="1" t="n">
        <v>46268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45518</v>
      </c>
      <c r="E389" s="1" t="n">
        <v>46268</v>
      </c>
      <c r="F389" t="inlineStr">
        <is>
          <t>SÖDERMANLANDS LÄN</t>
        </is>
      </c>
      <c r="G389" t="inlineStr">
        <is>
          <t>FLEN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62763-2023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45271</v>
      </c>
      <c r="E390" s="1" t="n">
        <v>46268</v>
      </c>
      <c r="F390" t="inlineStr">
        <is>
          <t>SÖDERMANLANDS LÄN</t>
        </is>
      </c>
      <c r="G390" t="inlineStr">
        <is>
          <t>FLEN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45257</v>
      </c>
      <c r="E391" s="1" t="n">
        <v>46268</v>
      </c>
      <c r="F391" t="inlineStr">
        <is>
          <t>SÖDERMANLANDS LÄN</t>
        </is>
      </c>
      <c r="G391" t="inlineStr">
        <is>
          <t>FLEN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46268</v>
      </c>
      <c r="F392" t="inlineStr">
        <is>
          <t>SÖDERMANLANDS LÄN</t>
        </is>
      </c>
      <c r="G392" t="inlineStr">
        <is>
          <t>FLEN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46268</v>
      </c>
      <c r="F393" t="inlineStr">
        <is>
          <t>SÖDERMANLANDS LÄN</t>
        </is>
      </c>
      <c r="G393" t="inlineStr">
        <is>
          <t>FLEN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46268</v>
      </c>
      <c r="F394" t="inlineStr">
        <is>
          <t>SÖDERMANLANDS LÄN</t>
        </is>
      </c>
      <c r="G394" t="inlineStr">
        <is>
          <t>FLEN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44676</v>
      </c>
      <c r="E395" s="1" t="n">
        <v>46268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46268</v>
      </c>
      <c r="F396" t="inlineStr">
        <is>
          <t>SÖDERMANLANDS LÄN</t>
        </is>
      </c>
      <c r="G396" t="inlineStr">
        <is>
          <t>FLEN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45869</v>
      </c>
      <c r="E397" s="1" t="n">
        <v>46268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14599-2023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45013</v>
      </c>
      <c r="E398" s="1" t="n">
        <v>46268</v>
      </c>
      <c r="F398" t="inlineStr">
        <is>
          <t>SÖDERMANLANDS LÄN</t>
        </is>
      </c>
      <c r="G398" t="inlineStr">
        <is>
          <t>FLEN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44807</v>
      </c>
      <c r="E399" s="1" t="n">
        <v>46268</v>
      </c>
      <c r="F399" t="inlineStr">
        <is>
          <t>SÖDERMANLANDS LÄN</t>
        </is>
      </c>
      <c r="G399" t="inlineStr">
        <is>
          <t>FLEN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45791</v>
      </c>
      <c r="E400" s="1" t="n">
        <v>46268</v>
      </c>
      <c r="F400" t="inlineStr">
        <is>
          <t>SÖDERMANLANDS LÄN</t>
        </is>
      </c>
      <c r="G400" t="inlineStr">
        <is>
          <t>FLEN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53507-2023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46268</v>
      </c>
      <c r="F401" t="inlineStr">
        <is>
          <t>SÖDERMANLANDS LÄN</t>
        </is>
      </c>
      <c r="G401" t="inlineStr">
        <is>
          <t>FLEN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45230</v>
      </c>
      <c r="E402" s="1" t="n">
        <v>46268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46268</v>
      </c>
      <c r="F403" t="inlineStr">
        <is>
          <t>SÖDERMANLANDS LÄN</t>
        </is>
      </c>
      <c r="G403" t="inlineStr">
        <is>
          <t>FLEN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50796-2021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44459</v>
      </c>
      <c r="E404" s="1" t="n">
        <v>46268</v>
      </c>
      <c r="F404" t="inlineStr">
        <is>
          <t>SÖDERMANLANDS LÄN</t>
        </is>
      </c>
      <c r="G404" t="inlineStr">
        <is>
          <t>FLEN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39053-2023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45163</v>
      </c>
      <c r="E405" s="1" t="n">
        <v>46268</v>
      </c>
      <c r="F405" t="inlineStr">
        <is>
          <t>SÖDERMANLANDS LÄN</t>
        </is>
      </c>
      <c r="G405" t="inlineStr">
        <is>
          <t>FLEN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44741</v>
      </c>
      <c r="E406" s="1" t="n">
        <v>46268</v>
      </c>
      <c r="F406" t="inlineStr">
        <is>
          <t>SÖDERMANLANDS LÄN</t>
        </is>
      </c>
      <c r="G406" t="inlineStr">
        <is>
          <t>FLEN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12172-2022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44636</v>
      </c>
      <c r="E407" s="1" t="n">
        <v>46268</v>
      </c>
      <c r="F407" t="inlineStr">
        <is>
          <t>SÖDERMANLANDS LÄN</t>
        </is>
      </c>
      <c r="G407" t="inlineStr">
        <is>
          <t>FLEN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46268</v>
      </c>
      <c r="F408" t="inlineStr">
        <is>
          <t>SÖDERMANLANDS LÄN</t>
        </is>
      </c>
      <c r="G408" t="inlineStr">
        <is>
          <t>FLEN</t>
        </is>
      </c>
      <c r="H408" t="inlineStr">
        <is>
          <t>Kyrkan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44887</v>
      </c>
      <c r="E409" s="1" t="n">
        <v>46268</v>
      </c>
      <c r="F409" t="inlineStr">
        <is>
          <t>SÖDERMANLANDS LÄN</t>
        </is>
      </c>
      <c r="G409" t="inlineStr">
        <is>
          <t>FLEN</t>
        </is>
      </c>
      <c r="I409" t="n">
        <v>11.3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46268</v>
      </c>
      <c r="F410" t="inlineStr">
        <is>
          <t>SÖDERMANLANDS LÄN</t>
        </is>
      </c>
      <c r="G410" t="inlineStr">
        <is>
          <t>FLEN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38331-2023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45161</v>
      </c>
      <c r="E411" s="1" t="n">
        <v>46268</v>
      </c>
      <c r="F411" t="inlineStr">
        <is>
          <t>SÖDERMANLANDS LÄN</t>
        </is>
      </c>
      <c r="G411" t="inlineStr">
        <is>
          <t>FLEN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60609-2022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44911</v>
      </c>
      <c r="E412" s="1" t="n">
        <v>46268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45114</v>
      </c>
      <c r="E413" s="1" t="n">
        <v>46268</v>
      </c>
      <c r="F413" t="inlineStr">
        <is>
          <t>SÖDERMANLANDS LÄN</t>
        </is>
      </c>
      <c r="G413" t="inlineStr">
        <is>
          <t>FLEN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46268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46268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46268</v>
      </c>
      <c r="F416" t="inlineStr">
        <is>
          <t>SÖDERMANLANDS LÄN</t>
        </is>
      </c>
      <c r="G416" t="inlineStr">
        <is>
          <t>FLEN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24157-2026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46268</v>
      </c>
      <c r="F417" t="inlineStr">
        <is>
          <t>SÖDERMANLANDS LÄN</t>
        </is>
      </c>
      <c r="G417" t="inlineStr">
        <is>
          <t>FLEN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46268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46268</v>
      </c>
      <c r="F419" t="inlineStr">
        <is>
          <t>SÖDERMANLANDS LÄN</t>
        </is>
      </c>
      <c r="G419" t="inlineStr">
        <is>
          <t>FLEN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24163-2026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46268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46268</v>
      </c>
      <c r="F421" t="inlineStr">
        <is>
          <t>SÖDERMANLANDS LÄN</t>
        </is>
      </c>
      <c r="G421" t="inlineStr">
        <is>
          <t>FLEN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46268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  <c r="Z422">
        <f>HYPERLINK("https://klasma.github.io/Logging_0482/knärot/A 24450-2026 karta knärot.png", "A 24450-2026")</f>
        <v/>
      </c>
      <c r="AA422">
        <f>HYPERLINK("https://klasma.github.io/Logging_0482/klagomål/A 24450-2026 FSC-klagomål.docx", "A 24450-2026")</f>
        <v/>
      </c>
      <c r="AB422">
        <f>HYPERLINK("https://klasma.github.io/Logging_0482/klagomålsmail/A 24450-2026 FSC-klagomål mail.docx", "A 24450-2026")</f>
        <v/>
      </c>
      <c r="AC422">
        <f>HYPERLINK("https://klasma.github.io/Logging_0482/tillsyn/A 24450-2026 tillsynsbegäran.docx", "A 24450-2026")</f>
        <v/>
      </c>
      <c r="AD422">
        <f>HYPERLINK("https://klasma.github.io/Logging_0482/tillsynsmail/A 24450-2026 tillsynsbegäran mail.docx", "A 24450-2026")</f>
        <v/>
      </c>
    </row>
    <row r="423" ht="15" customHeight="1">
      <c r="A423" t="inlineStr">
        <is>
          <t>A 24721-2026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46268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45012</v>
      </c>
      <c r="E424" s="1" t="n">
        <v>46268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54781-2024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45618</v>
      </c>
      <c r="E425" s="1" t="n">
        <v>46268</v>
      </c>
      <c r="F425" t="inlineStr">
        <is>
          <t>SÖDERMANLANDS LÄN</t>
        </is>
      </c>
      <c r="G425" t="inlineStr">
        <is>
          <t>FLEN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46268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46268</v>
      </c>
      <c r="F427" t="inlineStr">
        <is>
          <t>SÖDERMANLANDS LÄN</t>
        </is>
      </c>
      <c r="G427" t="inlineStr">
        <is>
          <t>FLEN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46268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44900</v>
      </c>
      <c r="E429" s="1" t="n">
        <v>46268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47872-2025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45932</v>
      </c>
      <c r="E430" s="1" t="n">
        <v>46268</v>
      </c>
      <c r="F430" t="inlineStr">
        <is>
          <t>SÖDERMANLANDS LÄN</t>
        </is>
      </c>
      <c r="G430" t="inlineStr">
        <is>
          <t>FLEN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22957-2023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46268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46268</v>
      </c>
      <c r="F432" t="inlineStr">
        <is>
          <t>SÖDERMANLANDS LÄN</t>
        </is>
      </c>
      <c r="G432" t="inlineStr">
        <is>
          <t>FLEN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46268</v>
      </c>
      <c r="F433" t="inlineStr">
        <is>
          <t>SÖDERMANLANDS LÄN</t>
        </is>
      </c>
      <c r="G433" t="inlineStr">
        <is>
          <t>FLEN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46268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46268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45114</v>
      </c>
      <c r="E436" s="1" t="n">
        <v>46268</v>
      </c>
      <c r="F436" t="inlineStr">
        <is>
          <t>SÖDERMANLANDS LÄN</t>
        </is>
      </c>
      <c r="G436" t="inlineStr">
        <is>
          <t>FLEN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45299</v>
      </c>
      <c r="E437" s="1" t="n">
        <v>46268</v>
      </c>
      <c r="F437" t="inlineStr">
        <is>
          <t>SÖDERMANLANDS LÄN</t>
        </is>
      </c>
      <c r="G437" t="inlineStr">
        <is>
          <t>FLEN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46268</v>
      </c>
      <c r="F438" t="inlineStr">
        <is>
          <t>SÖDERMANLANDS LÄN</t>
        </is>
      </c>
      <c r="G438" t="inlineStr">
        <is>
          <t>FLEN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46268</v>
      </c>
      <c r="F439" t="inlineStr">
        <is>
          <t>SÖDERMANLANDS LÄN</t>
        </is>
      </c>
      <c r="G439" t="inlineStr">
        <is>
          <t>FLEN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46268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46268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46268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26050-2026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46181</v>
      </c>
      <c r="E443" s="1" t="n">
        <v>46268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46268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46268</v>
      </c>
      <c r="F445" t="inlineStr">
        <is>
          <t>SÖDERMANLANDS LÄN</t>
        </is>
      </c>
      <c r="G445" t="inlineStr">
        <is>
          <t>FLEN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45225</v>
      </c>
      <c r="E446" s="1" t="n">
        <v>46268</v>
      </c>
      <c r="F446" t="inlineStr">
        <is>
          <t>SÖDERMANLANDS LÄN</t>
        </is>
      </c>
      <c r="G446" t="inlineStr">
        <is>
          <t>FLEN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45501</v>
      </c>
      <c r="E447" s="1" t="n">
        <v>46268</v>
      </c>
      <c r="F447" t="inlineStr">
        <is>
          <t>SÖDERMANLANDS LÄN</t>
        </is>
      </c>
      <c r="G447" t="inlineStr">
        <is>
          <t>FLEN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46268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46268</v>
      </c>
      <c r="F449" t="inlineStr">
        <is>
          <t>SÖDERMANLANDS LÄN</t>
        </is>
      </c>
      <c r="G449" t="inlineStr">
        <is>
          <t>FLEN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46268</v>
      </c>
      <c r="F450" t="inlineStr">
        <is>
          <t>SÖDERMANLANDS LÄN</t>
        </is>
      </c>
      <c r="G450" t="inlineStr">
        <is>
          <t>FLEN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46268</v>
      </c>
      <c r="F451" t="inlineStr">
        <is>
          <t>SÖDERMANLANDS LÄN</t>
        </is>
      </c>
      <c r="G451" t="inlineStr">
        <is>
          <t>FLEN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46268</v>
      </c>
      <c r="F452" t="inlineStr">
        <is>
          <t>SÖDERMANLANDS LÄN</t>
        </is>
      </c>
      <c r="G452" t="inlineStr">
        <is>
          <t>FLEN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26444-2026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46268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46268</v>
      </c>
      <c r="F454" t="inlineStr">
        <is>
          <t>SÖDERMANLANDS LÄN</t>
        </is>
      </c>
      <c r="G454" t="inlineStr">
        <is>
          <t>FLEN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46229</v>
      </c>
      <c r="E455" s="1" t="n">
        <v>46268</v>
      </c>
      <c r="F455" t="inlineStr">
        <is>
          <t>SÖDERMANLANDS LÄN</t>
        </is>
      </c>
      <c r="G455" t="inlineStr">
        <is>
          <t>FLEN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46268</v>
      </c>
      <c r="F456" t="inlineStr">
        <is>
          <t>SÖDERMANLANDS LÄN</t>
        </is>
      </c>
      <c r="G456" t="inlineStr">
        <is>
          <t>FLEN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46268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46268</v>
      </c>
      <c r="F458" t="inlineStr">
        <is>
          <t>SÖDERMANLANDS LÄN</t>
        </is>
      </c>
      <c r="G458" t="inlineStr">
        <is>
          <t>FLEN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27328-2026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46268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49811-2023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46268</v>
      </c>
      <c r="F460" t="inlineStr">
        <is>
          <t>SÖDERMANLANDS LÄN</t>
        </is>
      </c>
      <c r="G460" t="inlineStr">
        <is>
          <t>FLEN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52481-2023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45225</v>
      </c>
      <c r="E461" s="1" t="n">
        <v>46268</v>
      </c>
      <c r="F461" t="inlineStr">
        <is>
          <t>SÖDERMANLANDS LÄN</t>
        </is>
      </c>
      <c r="G461" t="inlineStr">
        <is>
          <t>FLEN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47187-2022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44848</v>
      </c>
      <c r="E462" s="1" t="n">
        <v>46268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45441</v>
      </c>
      <c r="E463" s="1" t="n">
        <v>46268</v>
      </c>
      <c r="F463" t="inlineStr">
        <is>
          <t>SÖDERMANLANDS LÄN</t>
        </is>
      </c>
      <c r="G463" t="inlineStr">
        <is>
          <t>FLEN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46268</v>
      </c>
      <c r="F464" t="inlineStr">
        <is>
          <t>SÖDERMANLANDS LÄN</t>
        </is>
      </c>
      <c r="G464" t="inlineStr">
        <is>
          <t>FLEN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45720</v>
      </c>
      <c r="E465" s="1" t="n">
        <v>46268</v>
      </c>
      <c r="F465" t="inlineStr">
        <is>
          <t>SÖDERMANLANDS LÄN</t>
        </is>
      </c>
      <c r="G465" t="inlineStr">
        <is>
          <t>FLEN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28316-2026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46268</v>
      </c>
      <c r="F466" t="inlineStr">
        <is>
          <t>SÖDERMANLANDS LÄN</t>
        </is>
      </c>
      <c r="G466" t="inlineStr">
        <is>
          <t>FLEN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53517-2023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45230</v>
      </c>
      <c r="E467" s="1" t="n">
        <v>46268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46268</v>
      </c>
      <c r="F468" t="inlineStr">
        <is>
          <t>SÖDERMANLANDS LÄN</t>
        </is>
      </c>
      <c r="G468" t="inlineStr">
        <is>
          <t>FLEN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37286-2024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45540</v>
      </c>
      <c r="E469" s="1" t="n">
        <v>46268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46268</v>
      </c>
      <c r="F470" t="inlineStr">
        <is>
          <t>SÖDERMANLANDS LÄN</t>
        </is>
      </c>
      <c r="G470" t="inlineStr">
        <is>
          <t>FLEN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60034-2022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44909</v>
      </c>
      <c r="E471" s="1" t="n">
        <v>46268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46268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45001</v>
      </c>
      <c r="E473" s="1" t="n">
        <v>46268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46268</v>
      </c>
      <c r="F474" t="inlineStr">
        <is>
          <t>SÖDERMANLANDS LÄN</t>
        </is>
      </c>
      <c r="G474" t="inlineStr">
        <is>
          <t>FLEN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73923-2021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44553</v>
      </c>
      <c r="E475" s="1" t="n">
        <v>46268</v>
      </c>
      <c r="F475" t="inlineStr">
        <is>
          <t>SÖDERMANLANDS LÄN</t>
        </is>
      </c>
      <c r="G475" t="inlineStr">
        <is>
          <t>FLEN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45345</v>
      </c>
      <c r="E476" s="1" t="n">
        <v>46268</v>
      </c>
      <c r="F476" t="inlineStr">
        <is>
          <t>SÖDERMANLANDS LÄN</t>
        </is>
      </c>
      <c r="G476" t="inlineStr">
        <is>
          <t>FLEN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46251</v>
      </c>
      <c r="E477" s="1" t="n">
        <v>46268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46251</v>
      </c>
      <c r="E478" s="1" t="n">
        <v>46268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33730-2026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46251</v>
      </c>
      <c r="E479" s="1" t="n">
        <v>46268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46268</v>
      </c>
      <c r="F480" t="inlineStr">
        <is>
          <t>SÖDERMANLANDS LÄN</t>
        </is>
      </c>
      <c r="G480" t="inlineStr">
        <is>
          <t>FLEN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46268</v>
      </c>
      <c r="F481" t="inlineStr">
        <is>
          <t>SÖDERMANLANDS LÄN</t>
        </is>
      </c>
      <c r="G481" t="inlineStr">
        <is>
          <t>FLEN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26663-2022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46268</v>
      </c>
      <c r="F482" t="inlineStr">
        <is>
          <t>SÖDERMANLANDS LÄN</t>
        </is>
      </c>
      <c r="G482" t="inlineStr">
        <is>
          <t>FLEN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23716-2024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45454</v>
      </c>
      <c r="E483" s="1" t="n">
        <v>46268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33936-2026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46250</v>
      </c>
      <c r="E484" s="1" t="n">
        <v>46268</v>
      </c>
      <c r="F484" t="inlineStr">
        <is>
          <t>SÖDERMANLANDS LÄN</t>
        </is>
      </c>
      <c r="G484" t="inlineStr">
        <is>
          <t>FLEN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45478</v>
      </c>
      <c r="E485" s="1" t="n">
        <v>46268</v>
      </c>
      <c r="F485" t="inlineStr">
        <is>
          <t>SÖDERMANLANDS LÄN</t>
        </is>
      </c>
      <c r="G485" t="inlineStr">
        <is>
          <t>FLEN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46268</v>
      </c>
      <c r="F486" t="inlineStr">
        <is>
          <t>SÖDERMANLANDS LÄN</t>
        </is>
      </c>
      <c r="G486" t="inlineStr">
        <is>
          <t>FLEN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45713</v>
      </c>
      <c r="E487" s="1" t="n">
        <v>46268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44580</v>
      </c>
      <c r="E488" s="1" t="n">
        <v>46268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46268</v>
      </c>
      <c r="F489" t="inlineStr">
        <is>
          <t>SÖDERMANLANDS LÄN</t>
        </is>
      </c>
      <c r="G489" t="inlineStr">
        <is>
          <t>FLEN</t>
        </is>
      </c>
      <c r="H489" t="inlineStr">
        <is>
          <t>Kyrkan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44819</v>
      </c>
      <c r="E490" s="1" t="n">
        <v>46268</v>
      </c>
      <c r="F490" t="inlineStr">
        <is>
          <t>SÖDERMANLANDS LÄN</t>
        </is>
      </c>
      <c r="G490" t="inlineStr">
        <is>
          <t>FLEN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46268</v>
      </c>
      <c r="F491" t="inlineStr">
        <is>
          <t>SÖDERMANLANDS LÄN</t>
        </is>
      </c>
      <c r="G491" t="inlineStr">
        <is>
          <t>FLEN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44769</v>
      </c>
      <c r="E492" s="1" t="n">
        <v>46268</v>
      </c>
      <c r="F492" t="inlineStr">
        <is>
          <t>SÖDERMANLANDS LÄN</t>
        </is>
      </c>
      <c r="G492" t="inlineStr">
        <is>
          <t>FLEN</t>
        </is>
      </c>
      <c r="I492" t="n">
        <v>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46268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45250</v>
      </c>
      <c r="E494" s="1" t="n">
        <v>46268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46268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46268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46268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46268</v>
      </c>
      <c r="F498" t="inlineStr">
        <is>
          <t>SÖDERMANLANDS LÄN</t>
        </is>
      </c>
      <c r="G498" t="inlineStr">
        <is>
          <t>FLEN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46268</v>
      </c>
      <c r="F499" t="inlineStr">
        <is>
          <t>SÖDERMANLANDS LÄN</t>
        </is>
      </c>
      <c r="G499" t="inlineStr">
        <is>
          <t>FLEN</t>
        </is>
      </c>
      <c r="H499" t="inlineStr">
        <is>
          <t>Övriga statliga verk och myndigheter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46268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46268</v>
      </c>
      <c r="F501" t="inlineStr">
        <is>
          <t>SÖDERMANLANDS LÄN</t>
        </is>
      </c>
      <c r="G501" t="inlineStr">
        <is>
          <t>FLEN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46268</v>
      </c>
      <c r="F502" t="inlineStr">
        <is>
          <t>SÖDERMANLANDS LÄN</t>
        </is>
      </c>
      <c r="G502" t="inlineStr">
        <is>
          <t>FLEN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46268</v>
      </c>
      <c r="F503" t="inlineStr">
        <is>
          <t>SÖDERMANLANDS LÄN</t>
        </is>
      </c>
      <c r="G503" t="inlineStr">
        <is>
          <t>FLEN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46268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45365</v>
      </c>
      <c r="E505" s="1" t="n">
        <v>46268</v>
      </c>
      <c r="F505" t="inlineStr">
        <is>
          <t>SÖDERMANLANDS LÄN</t>
        </is>
      </c>
      <c r="G505" t="inlineStr">
        <is>
          <t>FLEN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46268</v>
      </c>
      <c r="F506" t="inlineStr">
        <is>
          <t>SÖDERMANLANDS LÄN</t>
        </is>
      </c>
      <c r="G506" t="inlineStr">
        <is>
          <t>FLEN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46268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46268</v>
      </c>
      <c r="F508" t="inlineStr">
        <is>
          <t>SÖDERMANLANDS LÄN</t>
        </is>
      </c>
      <c r="G508" t="inlineStr">
        <is>
          <t>FLEN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46268</v>
      </c>
      <c r="F509" t="inlineStr">
        <is>
          <t>SÖDERMANLANDS LÄN</t>
        </is>
      </c>
      <c r="G509" t="inlineStr">
        <is>
          <t>FLEN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11747-2022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44634</v>
      </c>
      <c r="E510" s="1" t="n">
        <v>46268</v>
      </c>
      <c r="F510" t="inlineStr">
        <is>
          <t>SÖDERMANLANDS LÄN</t>
        </is>
      </c>
      <c r="G510" t="inlineStr">
        <is>
          <t>FLEN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41806-2023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45176</v>
      </c>
      <c r="E511" s="1" t="n">
        <v>46268</v>
      </c>
      <c r="F511" t="inlineStr">
        <is>
          <t>SÖDERMANLANDS LÄN</t>
        </is>
      </c>
      <c r="G511" t="inlineStr">
        <is>
          <t>FLEN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46268</v>
      </c>
      <c r="F512" t="inlineStr">
        <is>
          <t>SÖDERMANLANDS LÄN</t>
        </is>
      </c>
      <c r="G512" t="inlineStr">
        <is>
          <t>FLEN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45216</v>
      </c>
      <c r="E513" s="1" t="n">
        <v>46268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35990-2026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46268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46268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46268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46268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59690-2023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45256</v>
      </c>
      <c r="E518" s="1" t="n">
        <v>46268</v>
      </c>
      <c r="F518" t="inlineStr">
        <is>
          <t>SÖDERMANLANDS LÄN</t>
        </is>
      </c>
      <c r="G518" t="inlineStr">
        <is>
          <t>FLEN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45007</v>
      </c>
      <c r="E519" s="1" t="n">
        <v>46268</v>
      </c>
      <c r="F519" t="inlineStr">
        <is>
          <t>SÖDERMANLANDS LÄN</t>
        </is>
      </c>
      <c r="G519" t="inlineStr">
        <is>
          <t>FLEN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46268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46249</v>
      </c>
      <c r="E521" s="1" t="n">
        <v>46268</v>
      </c>
      <c r="F521" t="inlineStr">
        <is>
          <t>SÖDERMANLANDS LÄN</t>
        </is>
      </c>
      <c r="G521" t="inlineStr">
        <is>
          <t>FLEN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45448</v>
      </c>
      <c r="E522" s="1" t="n">
        <v>46268</v>
      </c>
      <c r="F522" t="inlineStr">
        <is>
          <t>SÖDERMANLANDS LÄN</t>
        </is>
      </c>
      <c r="G522" t="inlineStr">
        <is>
          <t>FLEN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13233-2024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45386</v>
      </c>
      <c r="E523" s="1" t="n">
        <v>46268</v>
      </c>
      <c r="F523" t="inlineStr">
        <is>
          <t>SÖDERMANLANDS LÄN</t>
        </is>
      </c>
      <c r="G523" t="inlineStr">
        <is>
          <t>FLEN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8293-2022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44610</v>
      </c>
      <c r="E524" s="1" t="n">
        <v>46268</v>
      </c>
      <c r="F524" t="inlineStr">
        <is>
          <t>SÖDERMANLANDS LÄN</t>
        </is>
      </c>
      <c r="G524" t="inlineStr">
        <is>
          <t>FLEN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14755-2023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45014</v>
      </c>
      <c r="E525" s="1" t="n">
        <v>46268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45671</v>
      </c>
      <c r="E526" s="1" t="n">
        <v>46268</v>
      </c>
      <c r="F526" t="inlineStr">
        <is>
          <t>SÖDERMANLANDS LÄN</t>
        </is>
      </c>
      <c r="G526" t="inlineStr">
        <is>
          <t>FLEN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38753-2023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45163</v>
      </c>
      <c r="E527" s="1" t="n">
        <v>46268</v>
      </c>
      <c r="F527" t="inlineStr">
        <is>
          <t>SÖDERMANLANDS LÄN</t>
        </is>
      </c>
      <c r="G527" t="inlineStr">
        <is>
          <t>FLEN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4899-2023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44958</v>
      </c>
      <c r="E528" s="1" t="n">
        <v>46268</v>
      </c>
      <c r="F528" t="inlineStr">
        <is>
          <t>SÖDERMANLANDS LÄN</t>
        </is>
      </c>
      <c r="G528" t="inlineStr">
        <is>
          <t>FLEN</t>
        </is>
      </c>
      <c r="H528" t="inlineStr">
        <is>
          <t>Kyrkan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46268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45414</v>
      </c>
      <c r="E530" s="1" t="n">
        <v>46268</v>
      </c>
      <c r="F530" t="inlineStr">
        <is>
          <t>SÖDERMANLANDS LÄN</t>
        </is>
      </c>
      <c r="G530" t="inlineStr">
        <is>
          <t>FLEN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46268</v>
      </c>
      <c r="F531" t="inlineStr">
        <is>
          <t>SÖDERMANLANDS LÄN</t>
        </is>
      </c>
      <c r="G531" t="inlineStr">
        <is>
          <t>FLEN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45350</v>
      </c>
      <c r="E532" s="1" t="n">
        <v>46268</v>
      </c>
      <c r="F532" t="inlineStr">
        <is>
          <t>SÖDERMANLANDS LÄN</t>
        </is>
      </c>
      <c r="G532" t="inlineStr">
        <is>
          <t>FLEN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54736-2022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44883</v>
      </c>
      <c r="E533" s="1" t="n">
        <v>46268</v>
      </c>
      <c r="F533" t="inlineStr">
        <is>
          <t>SÖDERMANLANDS LÄN</t>
        </is>
      </c>
      <c r="G533" t="inlineStr">
        <is>
          <t>FLEN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44852</v>
      </c>
      <c r="E534" s="1" t="n">
        <v>46268</v>
      </c>
      <c r="F534" t="inlineStr">
        <is>
          <t>SÖDERMANLANDS LÄN</t>
        </is>
      </c>
      <c r="G534" t="inlineStr">
        <is>
          <t>FLEN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45008</v>
      </c>
      <c r="E535" s="1" t="n">
        <v>46268</v>
      </c>
      <c r="F535" t="inlineStr">
        <is>
          <t>SÖDERMANLANDS LÄN</t>
        </is>
      </c>
      <c r="G535" t="inlineStr">
        <is>
          <t>FLEN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46268</v>
      </c>
      <c r="F536" t="inlineStr">
        <is>
          <t>SÖDERMANLANDS LÄN</t>
        </is>
      </c>
      <c r="G536" t="inlineStr">
        <is>
          <t>FLEN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22998-2025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46268</v>
      </c>
      <c r="F537" t="inlineStr">
        <is>
          <t>SÖDERMANLANDS LÄN</t>
        </is>
      </c>
      <c r="G537" t="inlineStr">
        <is>
          <t>FLEN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22867-2025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45790</v>
      </c>
      <c r="E538" s="1" t="n">
        <v>46268</v>
      </c>
      <c r="F538" t="inlineStr">
        <is>
          <t>SÖDERMANLANDS LÄN</t>
        </is>
      </c>
      <c r="G538" t="inlineStr">
        <is>
          <t>FLEN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52775-2024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45610</v>
      </c>
      <c r="E539" s="1" t="n">
        <v>46268</v>
      </c>
      <c r="F539" t="inlineStr">
        <is>
          <t>SÖDERMANLANDS LÄN</t>
        </is>
      </c>
      <c r="G539" t="inlineStr">
        <is>
          <t>FLEN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40412-2024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45555</v>
      </c>
      <c r="E540" s="1" t="n">
        <v>46268</v>
      </c>
      <c r="F540" t="inlineStr">
        <is>
          <t>SÖDERMANLANDS LÄN</t>
        </is>
      </c>
      <c r="G540" t="inlineStr">
        <is>
          <t>FLEN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45797</v>
      </c>
      <c r="E541" s="1" t="n">
        <v>46268</v>
      </c>
      <c r="F541" t="inlineStr">
        <is>
          <t>SÖDERMANLANDS LÄN</t>
        </is>
      </c>
      <c r="G541" t="inlineStr">
        <is>
          <t>FLEN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24541-2025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46268</v>
      </c>
      <c r="F542" t="inlineStr">
        <is>
          <t>SÖDERMANLANDS LÄN</t>
        </is>
      </c>
      <c r="G542" t="inlineStr">
        <is>
          <t>FLEN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45798</v>
      </c>
      <c r="E543" s="1" t="n">
        <v>46268</v>
      </c>
      <c r="F543" t="inlineStr">
        <is>
          <t>SÖDERMANLANDS LÄN</t>
        </is>
      </c>
      <c r="G543" t="inlineStr">
        <is>
          <t>FLEN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46268</v>
      </c>
      <c r="F544" t="inlineStr">
        <is>
          <t>SÖDERMANLANDS LÄN</t>
        </is>
      </c>
      <c r="G544" t="inlineStr">
        <is>
          <t>FLEN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458-2023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44964</v>
      </c>
      <c r="E545" s="1" t="n">
        <v>46268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292-2025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45686</v>
      </c>
      <c r="E546" s="1" t="n">
        <v>46268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3723-2022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44742</v>
      </c>
      <c r="E547" s="1" t="n">
        <v>46268</v>
      </c>
      <c r="F547" t="inlineStr">
        <is>
          <t>SÖDERMANLANDS LÄN</t>
        </is>
      </c>
      <c r="G547" t="inlineStr">
        <is>
          <t>FLEN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46268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46268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46268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46268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46268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2026-09-03T02:02:43Z</dcterms:created>
  <dcterms:modified xmlns:dcterms="http://purl.org/dc/terms/" xmlns:xsi="http://www.w3.org/2001/XMLSchema-instance" xsi:type="dcterms:W3CDTF">2026-09-03T02:02:43Z</dcterms:modified>
</cp:coreProperties>
</file>