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46297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46297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46297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46297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46297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46297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46297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46297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46297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46297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46297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46297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46297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46297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46297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46297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46297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46297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46297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46297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46297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46297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46297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46297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46297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46297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46297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46297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46297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46297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46297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46297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46297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46297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46297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46297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Tallkötticka
Grönpyrola
Kamjordstjärna</t>
        </is>
      </c>
      <c r="W54">
        <f>HYPERLINK("https://klasma.github.io/Logging_0482/artfynd/A 1149-2025 artfynd.xlsx", "A 1149-2025")</f>
        <v/>
      </c>
      <c r="X54">
        <f>HYPERLINK("https://klasma.github.io/Logging_0482/kartor/A 1149-2025 karta.png", "A 1149-2025")</f>
        <v/>
      </c>
      <c r="Y54">
        <f>HYPERLINK("https://klasma.github.io/Logging_0482/kartor_geotiff/A 1149-2025 georefererad karta.tif", "A 1149-2025")</f>
        <v/>
      </c>
      <c r="AA54">
        <f>HYPERLINK("https://klasma.github.io/Logging_0482/klagomål/A 1149-2025 FSC-klagomål.docx", "A 1149-2025")</f>
        <v/>
      </c>
      <c r="AB54">
        <f>HYPERLINK("https://klasma.github.io/Logging_0482/klagomålsmail/A 1149-2025 FSC-klagomål mail.docx", "A 1149-2025")</f>
        <v/>
      </c>
      <c r="AC54">
        <f>HYPERLINK("https://klasma.github.io/Logging_0482/tillsyn/A 1149-2025 tillsynsbegäran.docx", "A 1149-2025")</f>
        <v/>
      </c>
      <c r="AD54">
        <f>HYPERLINK("https://klasma.github.io/Logging_0482/tillsynsmail/A 1149-2025 tillsynsbegäran mail.docx", "A 1149-2025")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46297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46297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46297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46297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46297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46297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46297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46297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46297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46297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46297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46297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46297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46297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46297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46297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46297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46297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46297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41435-2022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46297</v>
      </c>
      <c r="F74" t="inlineStr">
        <is>
          <t>SÖDERMANLANDS LÄN</t>
        </is>
      </c>
      <c r="G74" t="inlineStr">
        <is>
          <t>FLEN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Vitsippa
Gullviva</t>
        </is>
      </c>
      <c r="W74">
        <f>HYPERLINK("https://klasma.github.io/Logging_0482/artfynd/A 41435-2022 artfynd.xlsx", "A 41435-2022")</f>
        <v/>
      </c>
      <c r="X74">
        <f>HYPERLINK("https://klasma.github.io/Logging_0482/kartor/A 41435-2022 karta.png", "A 41435-2022")</f>
        <v/>
      </c>
      <c r="Y74">
        <f>HYPERLINK("https://klasma.github.io/Logging_0482/kartor_geotiff/A 41435-2022 georefererad karta.tif", "A 41435-2022")</f>
        <v/>
      </c>
      <c r="AA74">
        <f>HYPERLINK("https://klasma.github.io/Logging_0482/klagomål/A 41435-2022 FSC-klagomål.docx", "A 41435-2022")</f>
        <v/>
      </c>
      <c r="AB74">
        <f>HYPERLINK("https://klasma.github.io/Logging_0482/klagomålsmail/A 41435-2022 FSC-klagomål mail.docx", "A 41435-2022")</f>
        <v/>
      </c>
      <c r="AC74">
        <f>HYPERLINK("https://klasma.github.io/Logging_0482/tillsyn/A 41435-2022 tillsynsbegäran.docx", "A 41435-2022")</f>
        <v/>
      </c>
      <c r="AD74">
        <f>HYPERLINK("https://klasma.github.io/Logging_0482/tillsynsmail/A 41435-2022 tillsynsbegäran mail.docx", "A 41435-2022")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46297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46297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46297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46297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46297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46297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46297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46297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46297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46297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46297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46297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46297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46297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46297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46297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46297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46297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46297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46297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46297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2043-2026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46297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Scharlakansvaxing</t>
        </is>
      </c>
      <c r="W96">
        <f>HYPERLINK("https://klasma.github.io/Logging_0482/artfynd/A 2043-2026 artfynd.xlsx", "A 2043-2026")</f>
        <v/>
      </c>
      <c r="X96">
        <f>HYPERLINK("https://klasma.github.io/Logging_0482/kartor/A 2043-2026 karta.png", "A 2043-2026")</f>
        <v/>
      </c>
      <c r="Y96">
        <f>HYPERLINK("https://klasma.github.io/Logging_0482/kartor_geotiff/A 2043-2026 georefererad karta.tif", "A 2043-2026")</f>
        <v/>
      </c>
      <c r="AA96">
        <f>HYPERLINK("https://klasma.github.io/Logging_0482/klagomål/A 2043-2026 FSC-klagomål.docx", "A 2043-2026")</f>
        <v/>
      </c>
      <c r="AB96">
        <f>HYPERLINK("https://klasma.github.io/Logging_0482/klagomålsmail/A 2043-2026 FSC-klagomål mail.docx", "A 2043-2026")</f>
        <v/>
      </c>
      <c r="AC96">
        <f>HYPERLINK("https://klasma.github.io/Logging_0482/tillsyn/A 2043-2026 tillsynsbegäran.docx", "A 2043-2026")</f>
        <v/>
      </c>
      <c r="AD96">
        <f>HYPERLINK("https://klasma.github.io/Logging_0482/tillsynsmail/A 2043-2026 tillsynsbegäran mail.docx", "A 2043-2026")</f>
        <v/>
      </c>
    </row>
    <row r="97" ht="15" customHeight="1">
      <c r="A97" t="inlineStr">
        <is>
          <t>A 2036-2026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46297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HYPERLINK("https://klasma.github.io/Logging_0482/artfynd/A 2036-2026 artfynd.xlsx", "A 2036-2026")</f>
        <v/>
      </c>
      <c r="X97">
        <f>HYPERLINK("https://klasma.github.io/Logging_0482/kartor/A 2036-2026 karta.png", "A 2036-2026")</f>
        <v/>
      </c>
      <c r="Y97">
        <f>HYPERLINK("https://klasma.github.io/Logging_0482/kartor_geotiff/A 2036-2026 georefererad karta.tif", "A 2036-2026")</f>
        <v/>
      </c>
      <c r="Z97">
        <f>HYPERLINK("https://klasma.github.io/Logging_0482/knärot/A 2036-2026 karta knärot.png", "A 2036-2026")</f>
        <v/>
      </c>
      <c r="AA97">
        <f>HYPERLINK("https://klasma.github.io/Logging_0482/klagomål/A 2036-2026 FSC-klagomål.docx", "A 2036-2026")</f>
        <v/>
      </c>
      <c r="AB97">
        <f>HYPERLINK("https://klasma.github.io/Logging_0482/klagomålsmail/A 2036-2026 FSC-klagomål mail.docx", "A 2036-2026")</f>
        <v/>
      </c>
      <c r="AC97">
        <f>HYPERLINK("https://klasma.github.io/Logging_0482/tillsyn/A 2036-2026 tillsynsbegäran.docx", "A 2036-2026")</f>
        <v/>
      </c>
      <c r="AD97">
        <f>HYPERLINK("https://klasma.github.io/Logging_0482/tillsynsmail/A 2036-2026 tillsynsbegäran mail.docx", "A 2036-2026")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46297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46297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46297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46297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46297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9446-2026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46071</v>
      </c>
      <c r="E103" s="1" t="n">
        <v>46297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HYPERLINK("https://klasma.github.io/Logging_0482/artfynd/A 9446-2026 artfynd.xlsx", "A 9446-2026")</f>
        <v/>
      </c>
      <c r="X103">
        <f>HYPERLINK("https://klasma.github.io/Logging_0482/kartor/A 9446-2026 karta.png", "A 9446-2026")</f>
        <v/>
      </c>
      <c r="Y103">
        <f>HYPERLINK("https://klasma.github.io/Logging_0482/kartor_geotiff/A 9446-2026 georefererad karta.tif", "A 9446-2026")</f>
        <v/>
      </c>
      <c r="AA103">
        <f>HYPERLINK("https://klasma.github.io/Logging_0482/klagomål/A 9446-2026 FSC-klagomål.docx", "A 9446-2026")</f>
        <v/>
      </c>
      <c r="AB103">
        <f>HYPERLINK("https://klasma.github.io/Logging_0482/klagomålsmail/A 9446-2026 FSC-klagomål mail.docx", "A 9446-2026")</f>
        <v/>
      </c>
      <c r="AC103">
        <f>HYPERLINK("https://klasma.github.io/Logging_0482/tillsyn/A 9446-2026 tillsynsbegäran.docx", "A 9446-2026")</f>
        <v/>
      </c>
      <c r="AD103">
        <f>HYPERLINK("https://klasma.github.io/Logging_0482/tillsynsmail/A 9446-2026 tillsynsbegäran mail.docx", "A 9446-2026")</f>
        <v/>
      </c>
    </row>
    <row r="104" ht="15" customHeight="1">
      <c r="A104" t="inlineStr">
        <is>
          <t>A 10999-2026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46079</v>
      </c>
      <c r="E104" s="1" t="n">
        <v>46297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10999-2026 artfynd.xlsx", "A 10999-2026")</f>
        <v/>
      </c>
      <c r="X104">
        <f>HYPERLINK("https://klasma.github.io/Logging_0482/kartor/A 10999-2026 karta.png", "A 10999-2026")</f>
        <v/>
      </c>
      <c r="Y104">
        <f>HYPERLINK("https://klasma.github.io/Logging_0482/kartor_geotiff/A 10999-2026 georefererad karta.tif", "A 10999-2026")</f>
        <v/>
      </c>
      <c r="AA104">
        <f>HYPERLINK("https://klasma.github.io/Logging_0482/klagomål/A 10999-2026 FSC-klagomål.docx", "A 10999-2026")</f>
        <v/>
      </c>
      <c r="AB104">
        <f>HYPERLINK("https://klasma.github.io/Logging_0482/klagomålsmail/A 10999-2026 FSC-klagomål mail.docx", "A 10999-2026")</f>
        <v/>
      </c>
      <c r="AC104">
        <f>HYPERLINK("https://klasma.github.io/Logging_0482/tillsyn/A 10999-2026 tillsynsbegäran.docx", "A 10999-2026")</f>
        <v/>
      </c>
      <c r="AD104">
        <f>HYPERLINK("https://klasma.github.io/Logging_0482/tillsynsmail/A 10999-2026 tillsynsbegäran mail.docx", "A 10999-2026")</f>
        <v/>
      </c>
    </row>
    <row r="105" ht="15" customHeight="1">
      <c r="A105" t="inlineStr">
        <is>
          <t>A 47581-2025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46297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47581-2025 artfynd.xlsx", "A 47581-2025")</f>
        <v/>
      </c>
      <c r="X105">
        <f>HYPERLINK("https://klasma.github.io/Logging_0482/kartor/A 47581-2025 karta.png", "A 47581-2025")</f>
        <v/>
      </c>
      <c r="Y105">
        <f>HYPERLINK("https://klasma.github.io/Logging_0482/kartor_geotiff/A 47581-2025 georefererad karta.tif", "A 47581-2025")</f>
        <v/>
      </c>
      <c r="AA105">
        <f>HYPERLINK("https://klasma.github.io/Logging_0482/klagomål/A 47581-2025 FSC-klagomål.docx", "A 47581-2025")</f>
        <v/>
      </c>
      <c r="AB105">
        <f>HYPERLINK("https://klasma.github.io/Logging_0482/klagomålsmail/A 47581-2025 FSC-klagomål mail.docx", "A 47581-2025")</f>
        <v/>
      </c>
      <c r="AC105">
        <f>HYPERLINK("https://klasma.github.io/Logging_0482/tillsyn/A 47581-2025 tillsynsbegäran.docx", "A 47581-2025")</f>
        <v/>
      </c>
      <c r="AD105">
        <f>HYPERLINK("https://klasma.github.io/Logging_0482/tillsynsmail/A 47581-2025 tillsynsbegäran mail.docx", "A 47581-2025")</f>
        <v/>
      </c>
    </row>
    <row r="106" ht="15" customHeight="1">
      <c r="A106" t="inlineStr">
        <is>
          <t>A 14273-2025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46297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Vedskivlav</t>
        </is>
      </c>
      <c r="W106">
        <f>HYPERLINK("https://klasma.github.io/Logging_0482/artfynd/A 14273-2025 artfynd.xlsx", "A 14273-2025")</f>
        <v/>
      </c>
      <c r="X106">
        <f>HYPERLINK("https://klasma.github.io/Logging_0482/kartor/A 14273-2025 karta.png", "A 14273-2025")</f>
        <v/>
      </c>
      <c r="Y106">
        <f>HYPERLINK("https://klasma.github.io/Logging_0482/kartor_geotiff/A 14273-2025 georefererad karta.tif", "A 14273-2025")</f>
        <v/>
      </c>
      <c r="AA106">
        <f>HYPERLINK("https://klasma.github.io/Logging_0482/klagomål/A 14273-2025 FSC-klagomål.docx", "A 14273-2025")</f>
        <v/>
      </c>
      <c r="AB106">
        <f>HYPERLINK("https://klasma.github.io/Logging_0482/klagomålsmail/A 14273-2025 FSC-klagomål mail.docx", "A 14273-2025")</f>
        <v/>
      </c>
      <c r="AC106">
        <f>HYPERLINK("https://klasma.github.io/Logging_0482/tillsyn/A 14273-2025 tillsynsbegäran.docx", "A 14273-2025")</f>
        <v/>
      </c>
      <c r="AD106">
        <f>HYPERLINK("https://klasma.github.io/Logging_0482/tillsynsmail/A 14273-2025 tillsynsbegäran mail.docx", "A 14273-2025")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46297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46297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46297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62535-2021 artfynd.xlsx", "A 62535-2021")</f>
        <v/>
      </c>
      <c r="X109">
        <f>HYPERLINK("https://klasma.github.io/Logging_0482/kartor/A 62535-2021 karta.png", "A 62535-2021")</f>
        <v/>
      </c>
      <c r="Y109">
        <f>HYPERLINK("https://klasma.github.io/Logging_0482/kartor_geotiff/A 62535-2021 georefererad karta.tif", "A 62535-2021")</f>
        <v/>
      </c>
      <c r="AA109">
        <f>HYPERLINK("https://klasma.github.io/Logging_0482/klagomål/A 62535-2021 FSC-klagomål.docx", "A 62535-2021")</f>
        <v/>
      </c>
      <c r="AB109">
        <f>HYPERLINK("https://klasma.github.io/Logging_0482/klagomålsmail/A 62535-2021 FSC-klagomål mail.docx", "A 62535-2021")</f>
        <v/>
      </c>
      <c r="AC109">
        <f>HYPERLINK("https://klasma.github.io/Logging_0482/tillsyn/A 62535-2021 tillsynsbegäran.docx", "A 62535-2021")</f>
        <v/>
      </c>
      <c r="AD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50202-2022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46297</v>
      </c>
      <c r="F110" t="inlineStr">
        <is>
          <t>SÖDERMANLANDS LÄN</t>
        </is>
      </c>
      <c r="G110" t="inlineStr">
        <is>
          <t>FLEN</t>
        </is>
      </c>
      <c r="H110" t="inlineStr">
        <is>
          <t>Kyrkan</t>
        </is>
      </c>
      <c r="I110" t="n">
        <v>5.8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50202-2022 artfynd.xlsx", "A 50202-2022")</f>
        <v/>
      </c>
      <c r="X110">
        <f>HYPERLINK("https://klasma.github.io/Logging_0482/kartor/A 50202-2022 karta.png", "A 50202-2022")</f>
        <v/>
      </c>
      <c r="Y110">
        <f>HYPERLINK("https://klasma.github.io/Logging_0482/kartor_geotiff/A 50202-2022 georefererad karta.tif", "A 50202-2022")</f>
        <v/>
      </c>
      <c r="AA110">
        <f>HYPERLINK("https://klasma.github.io/Logging_0482/klagomål/A 50202-2022 FSC-klagomål.docx", "A 50202-2022")</f>
        <v/>
      </c>
      <c r="AB110">
        <f>HYPERLINK("https://klasma.github.io/Logging_0482/klagomålsmail/A 50202-2022 FSC-klagomål mail.docx", "A 50202-2022")</f>
        <v/>
      </c>
      <c r="AC110">
        <f>HYPERLINK("https://klasma.github.io/Logging_0482/tillsyn/A 50202-2022 tillsynsbegäran.docx", "A 50202-2022")</f>
        <v/>
      </c>
      <c r="AD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46297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46297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60562-2021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46297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Gullklöver</t>
        </is>
      </c>
      <c r="W113">
        <f>HYPERLINK("https://klasma.github.io/Logging_0482/artfynd/A 60562-2021 artfynd.xlsx", "A 60562-2021")</f>
        <v/>
      </c>
      <c r="X113">
        <f>HYPERLINK("https://klasma.github.io/Logging_0482/kartor/A 60562-2021 karta.png", "A 60562-2021")</f>
        <v/>
      </c>
      <c r="Y113">
        <f>HYPERLINK("https://klasma.github.io/Logging_0482/kartor_geotiff/A 60562-2021 georefererad karta.tif", "A 60562-2021")</f>
        <v/>
      </c>
      <c r="AA113">
        <f>HYPERLINK("https://klasma.github.io/Logging_0482/klagomål/A 60562-2021 FSC-klagomål.docx", "A 60562-2021")</f>
        <v/>
      </c>
      <c r="AB113">
        <f>HYPERLINK("https://klasma.github.io/Logging_0482/klagomålsmail/A 60562-2021 FSC-klagomål mail.docx", "A 60562-2021")</f>
        <v/>
      </c>
      <c r="AC113">
        <f>HYPERLINK("https://klasma.github.io/Logging_0482/tillsyn/A 60562-2021 tillsynsbegäran.docx", "A 60562-2021")</f>
        <v/>
      </c>
      <c r="AD113">
        <f>HYPERLINK("https://klasma.github.io/Logging_0482/tillsynsmail/A 60562-2021 tillsynsbegäran mail.docx", "A 60562-2021")</f>
        <v/>
      </c>
    </row>
    <row r="114" ht="15" customHeight="1">
      <c r="A114" t="inlineStr">
        <is>
          <t>A 7525-2024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45348</v>
      </c>
      <c r="E114" s="1" t="n">
        <v>46297</v>
      </c>
      <c r="F114" t="inlineStr">
        <is>
          <t>SÖDERMANLANDS LÄN</t>
        </is>
      </c>
      <c r="G114" t="inlineStr">
        <is>
          <t>FLEN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Vanlig backsmörblomma</t>
        </is>
      </c>
      <c r="W114">
        <f>HYPERLINK("https://klasma.github.io/Logging_0482/artfynd/A 7525-2024 artfynd.xlsx", "A 7525-2024")</f>
        <v/>
      </c>
      <c r="X114">
        <f>HYPERLINK("https://klasma.github.io/Logging_0482/kartor/A 7525-2024 karta.png", "A 7525-2024")</f>
        <v/>
      </c>
      <c r="Y114">
        <f>HYPERLINK("https://klasma.github.io/Logging_0482/kartor_geotiff/A 7525-2024 georefererad karta.tif", "A 7525-2024")</f>
        <v/>
      </c>
      <c r="AA114">
        <f>HYPERLINK("https://klasma.github.io/Logging_0482/klagomål/A 7525-2024 FSC-klagomål.docx", "A 7525-2024")</f>
        <v/>
      </c>
      <c r="AB114">
        <f>HYPERLINK("https://klasma.github.io/Logging_0482/klagomålsmail/A 7525-2024 FSC-klagomål mail.docx", "A 7525-2024")</f>
        <v/>
      </c>
      <c r="AC114">
        <f>HYPERLINK("https://klasma.github.io/Logging_0482/tillsyn/A 7525-2024 tillsynsbegäran.docx", "A 7525-2024")</f>
        <v/>
      </c>
      <c r="AD114">
        <f>HYPERLINK("https://klasma.github.io/Logging_0482/tillsynsmail/A 7525-2024 tillsynsbegäran mail.docx", "A 7525-2024")</f>
        <v/>
      </c>
    </row>
    <row r="115" ht="15" customHeight="1">
      <c r="A115" t="inlineStr">
        <is>
          <t>A 24179-2026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46168</v>
      </c>
      <c r="E115" s="1" t="n">
        <v>46297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24179-2026 artfynd.xlsx", "A 24179-2026")</f>
        <v/>
      </c>
      <c r="X115">
        <f>HYPERLINK("https://klasma.github.io/Logging_0482/kartor/A 24179-2026 karta.png", "A 24179-2026")</f>
        <v/>
      </c>
      <c r="Y115">
        <f>HYPERLINK("https://klasma.github.io/Logging_0482/kartor_geotiff/A 24179-2026 georefererad karta.tif", "A 24179-2026")</f>
        <v/>
      </c>
      <c r="AA115">
        <f>HYPERLINK("https://klasma.github.io/Logging_0482/klagomål/A 24179-2026 FSC-klagomål.docx", "A 24179-2026")</f>
        <v/>
      </c>
      <c r="AB115">
        <f>HYPERLINK("https://klasma.github.io/Logging_0482/klagomålsmail/A 24179-2026 FSC-klagomål mail.docx", "A 24179-2026")</f>
        <v/>
      </c>
      <c r="AC115">
        <f>HYPERLINK("https://klasma.github.io/Logging_0482/tillsyn/A 24179-2026 tillsynsbegäran.docx", "A 24179-2026")</f>
        <v/>
      </c>
      <c r="AD115">
        <f>HYPERLINK("https://klasma.github.io/Logging_0482/tillsynsmail/A 24179-2026 tillsynsbegäran mail.docx", "A 24179-2026")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46297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46297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46297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HYPERLINK("https://klasma.github.io/Logging_0482/artfynd/A 26052-2026 artfynd.xlsx", "A 26052-2026")</f>
        <v/>
      </c>
      <c r="X118">
        <f>HYPERLINK("https://klasma.github.io/Logging_0482/kartor/A 26052-2026 karta.png", "A 26052-2026")</f>
        <v/>
      </c>
      <c r="Y118">
        <f>HYPERLINK("https://klasma.github.io/Logging_0482/kartor_geotiff/A 26052-2026 georefererad karta.tif", "A 26052-2026")</f>
        <v/>
      </c>
      <c r="AA118">
        <f>HYPERLINK("https://klasma.github.io/Logging_0482/klagomål/A 26052-2026 FSC-klagomål.docx", "A 26052-2026")</f>
        <v/>
      </c>
      <c r="AB118">
        <f>HYPERLINK("https://klasma.github.io/Logging_0482/klagomålsmail/A 26052-2026 FSC-klagomål mail.docx", "A 26052-2026")</f>
        <v/>
      </c>
      <c r="AC118">
        <f>HYPERLINK("https://klasma.github.io/Logging_0482/tillsyn/A 26052-2026 tillsynsbegäran.docx", "A 26052-2026")</f>
        <v/>
      </c>
      <c r="AD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46297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46297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12371-2022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44637</v>
      </c>
      <c r="E121" s="1" t="n">
        <v>46297</v>
      </c>
      <c r="F121" t="inlineStr">
        <is>
          <t>SÖDERMANLANDS LÄN</t>
        </is>
      </c>
      <c r="G121" t="inlineStr">
        <is>
          <t>FLEN</t>
        </is>
      </c>
      <c r="H121" t="inlineStr">
        <is>
          <t>Kommuner</t>
        </is>
      </c>
      <c r="I121" t="n">
        <v>2.1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12371-2022 artfynd.xlsx", "A 12371-2022")</f>
        <v/>
      </c>
      <c r="X121">
        <f>HYPERLINK("https://klasma.github.io/Logging_0482/kartor/A 12371-2022 karta.png", "A 12371-2022")</f>
        <v/>
      </c>
      <c r="Y121">
        <f>HYPERLINK("https://klasma.github.io/Logging_0482/kartor_geotiff/A 12371-2022 georefererad karta.tif", "A 12371-2022")</f>
        <v/>
      </c>
      <c r="AA121">
        <f>HYPERLINK("https://klasma.github.io/Logging_0482/klagomål/A 12371-2022 FSC-klagomål.docx", "A 12371-2022")</f>
        <v/>
      </c>
      <c r="AB121">
        <f>HYPERLINK("https://klasma.github.io/Logging_0482/klagomålsmail/A 12371-2022 FSC-klagomål mail.docx", "A 12371-2022")</f>
        <v/>
      </c>
      <c r="AC121">
        <f>HYPERLINK("https://klasma.github.io/Logging_0482/tillsyn/A 12371-2022 tillsynsbegäran.docx", "A 12371-2022")</f>
        <v/>
      </c>
      <c r="AD121">
        <f>HYPERLINK("https://klasma.github.io/Logging_0482/tillsynsmail/A 12371-2022 tillsynsbegäran mail.docx", "A 12371-2022")</f>
        <v/>
      </c>
    </row>
    <row r="122" ht="15" customHeight="1">
      <c r="A122" t="inlineStr">
        <is>
          <t>A 14113-2025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46297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3.6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HYPERLINK("https://klasma.github.io/Logging_0482/artfynd/A 14113-2025 artfynd.xlsx", "A 14113-2025")</f>
        <v/>
      </c>
      <c r="X122">
        <f>HYPERLINK("https://klasma.github.io/Logging_0482/kartor/A 14113-2025 karta.png", "A 14113-2025")</f>
        <v/>
      </c>
      <c r="Y122">
        <f>HYPERLINK("https://klasma.github.io/Logging_0482/kartor_geotiff/A 14113-2025 georefererad karta.tif", "A 14113-2025")</f>
        <v/>
      </c>
      <c r="AA122">
        <f>HYPERLINK("https://klasma.github.io/Logging_0482/klagomål/A 14113-2025 FSC-klagomål.docx", "A 14113-2025")</f>
        <v/>
      </c>
      <c r="AB122">
        <f>HYPERLINK("https://klasma.github.io/Logging_0482/klagomålsmail/A 14113-2025 FSC-klagomål mail.docx", "A 14113-2025")</f>
        <v/>
      </c>
      <c r="AC122">
        <f>HYPERLINK("https://klasma.github.io/Logging_0482/tillsyn/A 14113-2025 tillsynsbegäran.docx", "A 14113-2025")</f>
        <v/>
      </c>
      <c r="AD122">
        <f>HYPERLINK("https://klasma.github.io/Logging_0482/tillsynsmail/A 14113-2025 tillsynsbegäran mail.docx", "A 14113-2025")</f>
        <v/>
      </c>
    </row>
    <row r="123" ht="15" customHeight="1">
      <c r="A123" t="inlineStr">
        <is>
          <t>A 39036-2023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46297</v>
      </c>
      <c r="F123" t="inlineStr">
        <is>
          <t>SÖDERMANLANDS LÄN</t>
        </is>
      </c>
      <c r="G123" t="inlineStr">
        <is>
          <t>FLEN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HYPERLINK("https://klasma.github.io/Logging_0482/artfynd/A 39036-2023 artfynd.xlsx", "A 39036-2023")</f>
        <v/>
      </c>
      <c r="X123">
        <f>HYPERLINK("https://klasma.github.io/Logging_0482/kartor/A 39036-2023 karta.png", "A 39036-2023")</f>
        <v/>
      </c>
      <c r="Y123">
        <f>HYPERLINK("https://klasma.github.io/Logging_0482/kartor_geotiff/A 39036-2023 georefererad karta.tif", "A 39036-2023")</f>
        <v/>
      </c>
      <c r="AA123">
        <f>HYPERLINK("https://klasma.github.io/Logging_0482/klagomål/A 39036-2023 FSC-klagomål.docx", "A 39036-2023")</f>
        <v/>
      </c>
      <c r="AB123">
        <f>HYPERLINK("https://klasma.github.io/Logging_0482/klagomålsmail/A 39036-2023 FSC-klagomål mail.docx", "A 39036-2023")</f>
        <v/>
      </c>
      <c r="AC123">
        <f>HYPERLINK("https://klasma.github.io/Logging_0482/tillsyn/A 39036-2023 tillsynsbegäran.docx", "A 39036-2023")</f>
        <v/>
      </c>
      <c r="AD123">
        <f>HYPERLINK("https://klasma.github.io/Logging_0482/tillsynsmail/A 39036-2023 tillsynsbegäran mail.docx", "A 39036-2023")</f>
        <v/>
      </c>
    </row>
    <row r="124" ht="15" customHeight="1">
      <c r="A124" t="inlineStr">
        <is>
          <t>A 30406-2026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46209</v>
      </c>
      <c r="E124" s="1" t="n">
        <v>46297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Ullticka</t>
        </is>
      </c>
      <c r="W124">
        <f>HYPERLINK("https://klasma.github.io/Logging_0482/artfynd/A 30406-2026 artfynd.xlsx", "A 30406-2026")</f>
        <v/>
      </c>
      <c r="X124">
        <f>HYPERLINK("https://klasma.github.io/Logging_0482/kartor/A 30406-2026 karta.png", "A 30406-2026")</f>
        <v/>
      </c>
      <c r="Y124">
        <f>HYPERLINK("https://klasma.github.io/Logging_0482/kartor_geotiff/A 30406-2026 georefererad karta.tif", "A 30406-2026")</f>
        <v/>
      </c>
      <c r="AA124">
        <f>HYPERLINK("https://klasma.github.io/Logging_0482/klagomål/A 30406-2026 FSC-klagomål.docx", "A 30406-2026")</f>
        <v/>
      </c>
      <c r="AB124">
        <f>HYPERLINK("https://klasma.github.io/Logging_0482/klagomålsmail/A 30406-2026 FSC-klagomål mail.docx", "A 30406-2026")</f>
        <v/>
      </c>
      <c r="AC124">
        <f>HYPERLINK("https://klasma.github.io/Logging_0482/tillsyn/A 30406-2026 tillsynsbegäran.docx", "A 30406-2026")</f>
        <v/>
      </c>
      <c r="AD124">
        <f>HYPERLINK("https://klasma.github.io/Logging_0482/tillsynsmail/A 30406-2026 tillsynsbegäran mail.docx", "A 30406-2026")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46297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46297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6982-2024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46297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HYPERLINK("https://klasma.github.io/Logging_0482/artfynd/A 6982-2024 artfynd.xlsx", "A 6982-2024")</f>
        <v/>
      </c>
      <c r="X127">
        <f>HYPERLINK("https://klasma.github.io/Logging_0482/kartor/A 6982-2024 karta.png", "A 6982-2024")</f>
        <v/>
      </c>
      <c r="Y127">
        <f>HYPERLINK("https://klasma.github.io/Logging_0482/kartor_geotiff/A 6982-2024 georefererad karta.tif", "A 6982-2024")</f>
        <v/>
      </c>
      <c r="AA127">
        <f>HYPERLINK("https://klasma.github.io/Logging_0482/klagomål/A 6982-2024 FSC-klagomål.docx", "A 6982-2024")</f>
        <v/>
      </c>
      <c r="AB127">
        <f>HYPERLINK("https://klasma.github.io/Logging_0482/klagomålsmail/A 6982-2024 FSC-klagomål mail.docx", "A 6982-2024")</f>
        <v/>
      </c>
      <c r="AC127">
        <f>HYPERLINK("https://klasma.github.io/Logging_0482/tillsyn/A 6982-2024 tillsynsbegäran.docx", "A 6982-2024")</f>
        <v/>
      </c>
      <c r="AD127">
        <f>HYPERLINK("https://klasma.github.io/Logging_0482/tillsynsmail/A 6982-2024 tillsynsbegäran mail.docx", "A 6982-2024")</f>
        <v/>
      </c>
    </row>
    <row r="128" ht="15" customHeight="1">
      <c r="A128" t="inlineStr">
        <is>
          <t>A 53339-2023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46297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53339-2023 artfynd.xlsx", "A 53339-2023")</f>
        <v/>
      </c>
      <c r="X128">
        <f>HYPERLINK("https://klasma.github.io/Logging_0482/kartor/A 53339-2023 karta.png", "A 53339-2023")</f>
        <v/>
      </c>
      <c r="Y128">
        <f>HYPERLINK("https://klasma.github.io/Logging_0482/kartor_geotiff/A 53339-2023 georefererad karta.tif", "A 53339-2023")</f>
        <v/>
      </c>
      <c r="AA128">
        <f>HYPERLINK("https://klasma.github.io/Logging_0482/klagomål/A 53339-2023 FSC-klagomål.docx", "A 53339-2023")</f>
        <v/>
      </c>
      <c r="AB128">
        <f>HYPERLINK("https://klasma.github.io/Logging_0482/klagomålsmail/A 53339-2023 FSC-klagomål mail.docx", "A 53339-2023")</f>
        <v/>
      </c>
      <c r="AC128">
        <f>HYPERLINK("https://klasma.github.io/Logging_0482/tillsyn/A 53339-2023 tillsynsbegäran.docx", "A 53339-2023")</f>
        <v/>
      </c>
      <c r="AD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46297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46297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46297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46297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66230-2021 artfynd.xlsx", "A 66230-2021")</f>
        <v/>
      </c>
      <c r="X132">
        <f>HYPERLINK("https://klasma.github.io/Logging_0482/kartor/A 66230-2021 karta.png", "A 66230-2021")</f>
        <v/>
      </c>
      <c r="Y132">
        <f>HYPERLINK("https://klasma.github.io/Logging_0482/kartor_geotiff/A 66230-2021 georefererad karta.tif", "A 66230-2021")</f>
        <v/>
      </c>
      <c r="AA132">
        <f>HYPERLINK("https://klasma.github.io/Logging_0482/klagomål/A 66230-2021 FSC-klagomål.docx", "A 66230-2021")</f>
        <v/>
      </c>
      <c r="AB132">
        <f>HYPERLINK("https://klasma.github.io/Logging_0482/klagomålsmail/A 66230-2021 FSC-klagomål mail.docx", "A 66230-2021")</f>
        <v/>
      </c>
      <c r="AC132">
        <f>HYPERLINK("https://klasma.github.io/Logging_0482/tillsyn/A 66230-2021 tillsynsbegäran.docx", "A 66230-2021")</f>
        <v/>
      </c>
      <c r="AD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46297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46297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46297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40333-2026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46294</v>
      </c>
      <c r="E136" s="1" t="n">
        <v>46297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Gullviva</t>
        </is>
      </c>
      <c r="W136">
        <f>HYPERLINK("https://klasma.github.io/Logging_0482/artfynd/A 40333-2026 artfynd.xlsx", "A 40333-2026")</f>
        <v/>
      </c>
      <c r="X136">
        <f>HYPERLINK("https://klasma.github.io/Logging_0482/kartor/A 40333-2026 karta.png", "A 40333-2026")</f>
        <v/>
      </c>
      <c r="Y136">
        <f>HYPERLINK("https://klasma.github.io/Logging_0482/kartor_geotiff/A 40333-2026 georefererad karta.tif", "A 40333-2026")</f>
        <v/>
      </c>
      <c r="AA136">
        <f>HYPERLINK("https://klasma.github.io/Logging_0482/klagomål/A 40333-2026 FSC-klagomål.docx", "A 40333-2026")</f>
        <v/>
      </c>
      <c r="AB136">
        <f>HYPERLINK("https://klasma.github.io/Logging_0482/klagomålsmail/A 40333-2026 FSC-klagomål mail.docx", "A 40333-2026")</f>
        <v/>
      </c>
      <c r="AC136">
        <f>HYPERLINK("https://klasma.github.io/Logging_0482/tillsyn/A 40333-2026 tillsynsbegäran.docx", "A 40333-2026")</f>
        <v/>
      </c>
      <c r="AD136">
        <f>HYPERLINK("https://klasma.github.io/Logging_0482/tillsynsmail/A 40333-2026 tillsynsbegäran mail.docx", "A 40333-2026")</f>
        <v/>
      </c>
    </row>
    <row r="137" ht="15" customHeight="1">
      <c r="A137" t="inlineStr">
        <is>
          <t>A 34823-2023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45140</v>
      </c>
      <c r="E137" s="1" t="n">
        <v>46297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Mörk dunört</t>
        </is>
      </c>
      <c r="W137">
        <f>HYPERLINK("https://klasma.github.io/Logging_0482/artfynd/A 34823-2023 artfynd.xlsx", "A 34823-2023")</f>
        <v/>
      </c>
      <c r="X137">
        <f>HYPERLINK("https://klasma.github.io/Logging_0482/kartor/A 34823-2023 karta.png", "A 34823-2023")</f>
        <v/>
      </c>
      <c r="Y137">
        <f>HYPERLINK("https://klasma.github.io/Logging_0482/kartor_geotiff/A 34823-2023 georefererad karta.tif", "A 34823-2023")</f>
        <v/>
      </c>
      <c r="AA137">
        <f>HYPERLINK("https://klasma.github.io/Logging_0482/klagomål/A 34823-2023 FSC-klagomål.docx", "A 34823-2023")</f>
        <v/>
      </c>
      <c r="AB137">
        <f>HYPERLINK("https://klasma.github.io/Logging_0482/klagomålsmail/A 34823-2023 FSC-klagomål mail.docx", "A 34823-2023")</f>
        <v/>
      </c>
      <c r="AC137">
        <f>HYPERLINK("https://klasma.github.io/Logging_0482/tillsyn/A 34823-2023 tillsynsbegäran.docx", "A 34823-2023")</f>
        <v/>
      </c>
      <c r="AD137">
        <f>HYPERLINK("https://klasma.github.io/Logging_0482/tillsynsmail/A 34823-2023 tillsynsbegäran mail.docx", "A 34823-2023")</f>
        <v/>
      </c>
    </row>
    <row r="138" ht="15" customHeight="1">
      <c r="A138" t="inlineStr">
        <is>
          <t>A 60529-2024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46297</v>
      </c>
      <c r="F138" t="inlineStr">
        <is>
          <t>SÖDERMANLANDS LÄN</t>
        </is>
      </c>
      <c r="G138" t="inlineStr">
        <is>
          <t>FLEN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Skarp dropptaggsvamp</t>
        </is>
      </c>
      <c r="W138">
        <f>HYPERLINK("https://klasma.github.io/Logging_0482/artfynd/A 60529-2024 artfynd.xlsx", "A 60529-2024")</f>
        <v/>
      </c>
      <c r="X138">
        <f>HYPERLINK("https://klasma.github.io/Logging_0482/kartor/A 60529-2024 karta.png", "A 60529-2024")</f>
        <v/>
      </c>
      <c r="Y138">
        <f>HYPERLINK("https://klasma.github.io/Logging_0482/kartor_geotiff/A 60529-2024 georefererad karta.tif", "A 60529-2024")</f>
        <v/>
      </c>
      <c r="AA138">
        <f>HYPERLINK("https://klasma.github.io/Logging_0482/klagomål/A 60529-2024 FSC-klagomål.docx", "A 60529-2024")</f>
        <v/>
      </c>
      <c r="AB138">
        <f>HYPERLINK("https://klasma.github.io/Logging_0482/klagomålsmail/A 60529-2024 FSC-klagomål mail.docx", "A 60529-2024")</f>
        <v/>
      </c>
      <c r="AC138">
        <f>HYPERLINK("https://klasma.github.io/Logging_0482/tillsyn/A 60529-2024 tillsynsbegäran.docx", "A 60529-2024")</f>
        <v/>
      </c>
      <c r="AD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49820-2023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46297</v>
      </c>
      <c r="F139" t="inlineStr">
        <is>
          <t>SÖDERMANLANDS LÄN</t>
        </is>
      </c>
      <c r="G139" t="inlineStr">
        <is>
          <t>FLEN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Gullviva</t>
        </is>
      </c>
      <c r="W139">
        <f>HYPERLINK("https://klasma.github.io/Logging_0482/artfynd/A 49820-2023 artfynd.xlsx", "A 49820-2023")</f>
        <v/>
      </c>
      <c r="X139">
        <f>HYPERLINK("https://klasma.github.io/Logging_0482/kartor/A 49820-2023 karta.png", "A 49820-2023")</f>
        <v/>
      </c>
      <c r="Y139">
        <f>HYPERLINK("https://klasma.github.io/Logging_0482/kartor_geotiff/A 49820-2023 georefererad karta.tif", "A 49820-2023")</f>
        <v/>
      </c>
      <c r="AA139">
        <f>HYPERLINK("https://klasma.github.io/Logging_0482/klagomål/A 49820-2023 FSC-klagomål.docx", "A 49820-2023")</f>
        <v/>
      </c>
      <c r="AB139">
        <f>HYPERLINK("https://klasma.github.io/Logging_0482/klagomålsmail/A 49820-2023 FSC-klagomål mail.docx", "A 49820-2023")</f>
        <v/>
      </c>
      <c r="AC139">
        <f>HYPERLINK("https://klasma.github.io/Logging_0482/tillsyn/A 49820-2023 tillsynsbegäran.docx", "A 49820-2023")</f>
        <v/>
      </c>
      <c r="AD139">
        <f>HYPERLINK("https://klasma.github.io/Logging_0482/tillsynsmail/A 49820-2023 tillsynsbegäran mail.docx", "A 49820-2023")</f>
        <v/>
      </c>
    </row>
    <row r="140" ht="15" customHeight="1">
      <c r="A140" t="inlineStr">
        <is>
          <t>A 37283-2024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45540</v>
      </c>
      <c r="E140" s="1" t="n">
        <v>46297</v>
      </c>
      <c r="F140" t="inlineStr">
        <is>
          <t>SÖDERMANLANDS LÄN</t>
        </is>
      </c>
      <c r="G140" t="inlineStr">
        <is>
          <t>FLEN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37283-2024 artfynd.xlsx", "A 37283-2024")</f>
        <v/>
      </c>
      <c r="X140">
        <f>HYPERLINK("https://klasma.github.io/Logging_0482/kartor/A 37283-2024 karta.png", "A 37283-2024")</f>
        <v/>
      </c>
      <c r="Y140">
        <f>HYPERLINK("https://klasma.github.io/Logging_0482/kartor_geotiff/A 37283-2024 georefererad karta.tif", "A 37283-2024")</f>
        <v/>
      </c>
      <c r="AA140">
        <f>HYPERLINK("https://klasma.github.io/Logging_0482/klagomål/A 37283-2024 FSC-klagomål.docx", "A 37283-2024")</f>
        <v/>
      </c>
      <c r="AB140">
        <f>HYPERLINK("https://klasma.github.io/Logging_0482/klagomålsmail/A 37283-2024 FSC-klagomål mail.docx", "A 37283-2024")</f>
        <v/>
      </c>
      <c r="AC140">
        <f>HYPERLINK("https://klasma.github.io/Logging_0482/tillsyn/A 37283-2024 tillsynsbegäran.docx", "A 37283-2024")</f>
        <v/>
      </c>
      <c r="AD140">
        <f>HYPERLINK("https://klasma.github.io/Logging_0482/tillsynsmail/A 37283-2024 tillsynsbegäran mail.docx", "A 37283-2024")</f>
        <v/>
      </c>
    </row>
    <row r="141" ht="15" customHeight="1">
      <c r="A141" t="inlineStr">
        <is>
          <t>A 7973-2024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46297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Vippärt</t>
        </is>
      </c>
      <c r="W141">
        <f>HYPERLINK("https://klasma.github.io/Logging_0482/artfynd/A 7973-2024 artfynd.xlsx", "A 7973-2024")</f>
        <v/>
      </c>
      <c r="X141">
        <f>HYPERLINK("https://klasma.github.io/Logging_0482/kartor/A 7973-2024 karta.png", "A 7973-2024")</f>
        <v/>
      </c>
      <c r="Y141">
        <f>HYPERLINK("https://klasma.github.io/Logging_0482/kartor_geotiff/A 7973-2024 georefererad karta.tif", "A 7973-2024")</f>
        <v/>
      </c>
      <c r="AA141">
        <f>HYPERLINK("https://klasma.github.io/Logging_0482/klagomål/A 7973-2024 FSC-klagomål.docx", "A 7973-2024")</f>
        <v/>
      </c>
      <c r="AB141">
        <f>HYPERLINK("https://klasma.github.io/Logging_0482/klagomålsmail/A 7973-2024 FSC-klagomål mail.docx", "A 7973-2024")</f>
        <v/>
      </c>
      <c r="AC141">
        <f>HYPERLINK("https://klasma.github.io/Logging_0482/tillsyn/A 7973-2024 tillsynsbegäran.docx", "A 7973-2024")</f>
        <v/>
      </c>
      <c r="AD141">
        <f>HYPERLINK("https://klasma.github.io/Logging_0482/tillsynsmail/A 7973-2024 tillsynsbegäran mail.docx", "A 7973-2024")</f>
        <v/>
      </c>
    </row>
    <row r="142" ht="15" customHeight="1">
      <c r="A142" t="inlineStr">
        <is>
          <t>A 43008-2023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46297</v>
      </c>
      <c r="F142" t="inlineStr">
        <is>
          <t>SÖDERMANLANDS LÄN</t>
        </is>
      </c>
      <c r="G142" t="inlineStr">
        <is>
          <t>FLEN</t>
        </is>
      </c>
      <c r="I142" t="n">
        <v>1.5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Gullklöver</t>
        </is>
      </c>
      <c r="W142">
        <f>HYPERLINK("https://klasma.github.io/Logging_0482/artfynd/A 43008-2023 artfynd.xlsx", "A 43008-2023")</f>
        <v/>
      </c>
      <c r="X142">
        <f>HYPERLINK("https://klasma.github.io/Logging_0482/kartor/A 43008-2023 karta.png", "A 43008-2023")</f>
        <v/>
      </c>
      <c r="Y142">
        <f>HYPERLINK("https://klasma.github.io/Logging_0482/kartor_geotiff/A 43008-2023 georefererad karta.tif", "A 43008-2023")</f>
        <v/>
      </c>
      <c r="AA142">
        <f>HYPERLINK("https://klasma.github.io/Logging_0482/klagomål/A 43008-2023 FSC-klagomål.docx", "A 43008-2023")</f>
        <v/>
      </c>
      <c r="AB142">
        <f>HYPERLINK("https://klasma.github.io/Logging_0482/klagomålsmail/A 43008-2023 FSC-klagomål mail.docx", "A 43008-2023")</f>
        <v/>
      </c>
      <c r="AC142">
        <f>HYPERLINK("https://klasma.github.io/Logging_0482/tillsyn/A 43008-2023 tillsynsbegäran.docx", "A 43008-2023")</f>
        <v/>
      </c>
      <c r="AD142">
        <f>HYPERLINK("https://klasma.github.io/Logging_0482/tillsynsmail/A 43008-2023 tillsynsbegäran mail.docx", "A 43008-2023")</f>
        <v/>
      </c>
    </row>
    <row r="143" ht="15" customHeight="1">
      <c r="A143" t="inlineStr">
        <is>
          <t>A 37317-2023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46297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5.1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Svavelriska</t>
        </is>
      </c>
      <c r="W143">
        <f>HYPERLINK("https://klasma.github.io/Logging_0482/artfynd/A 37317-2023 artfynd.xlsx", "A 37317-2023")</f>
        <v/>
      </c>
      <c r="X143">
        <f>HYPERLINK("https://klasma.github.io/Logging_0482/kartor/A 37317-2023 karta.png", "A 37317-2023")</f>
        <v/>
      </c>
      <c r="Y143">
        <f>HYPERLINK("https://klasma.github.io/Logging_0482/kartor_geotiff/A 37317-2023 georefererad karta.tif", "A 37317-2023")</f>
        <v/>
      </c>
      <c r="AA143">
        <f>HYPERLINK("https://klasma.github.io/Logging_0482/klagomål/A 37317-2023 FSC-klagomål.docx", "A 37317-2023")</f>
        <v/>
      </c>
      <c r="AB143">
        <f>HYPERLINK("https://klasma.github.io/Logging_0482/klagomålsmail/A 37317-2023 FSC-klagomål mail.docx", "A 37317-2023")</f>
        <v/>
      </c>
      <c r="AC143">
        <f>HYPERLINK("https://klasma.github.io/Logging_0482/tillsyn/A 37317-2023 tillsynsbegäran.docx", "A 37317-2023")</f>
        <v/>
      </c>
      <c r="AD143">
        <f>HYPERLINK("https://klasma.github.io/Logging_0482/tillsynsmail/A 37317-2023 tillsynsbegäran mail.docx", "A 37317-2023")</f>
        <v/>
      </c>
    </row>
    <row r="144" ht="15" customHeight="1">
      <c r="A144" t="inlineStr">
        <is>
          <t>A 46115-2023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46297</v>
      </c>
      <c r="F144" t="inlineStr">
        <is>
          <t>SÖDERMANLANDS LÄN</t>
        </is>
      </c>
      <c r="G144" t="inlineStr">
        <is>
          <t>FLEN</t>
        </is>
      </c>
      <c r="H144" t="inlineStr">
        <is>
          <t>Kyrkan</t>
        </is>
      </c>
      <c r="I144" t="n">
        <v>3.3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Ullticka</t>
        </is>
      </c>
      <c r="W144">
        <f>HYPERLINK("https://klasma.github.io/Logging_0482/artfynd/A 46115-2023 artfynd.xlsx", "A 46115-2023")</f>
        <v/>
      </c>
      <c r="X144">
        <f>HYPERLINK("https://klasma.github.io/Logging_0482/kartor/A 46115-2023 karta.png", "A 46115-2023")</f>
        <v/>
      </c>
      <c r="Y144">
        <f>HYPERLINK("https://klasma.github.io/Logging_0482/kartor_geotiff/A 46115-2023 georefererad karta.tif", "A 46115-2023")</f>
        <v/>
      </c>
      <c r="AA144">
        <f>HYPERLINK("https://klasma.github.io/Logging_0482/klagomål/A 46115-2023 FSC-klagomål.docx", "A 46115-2023")</f>
        <v/>
      </c>
      <c r="AB144">
        <f>HYPERLINK("https://klasma.github.io/Logging_0482/klagomålsmail/A 46115-2023 FSC-klagomål mail.docx", "A 46115-2023")</f>
        <v/>
      </c>
      <c r="AC144">
        <f>HYPERLINK("https://klasma.github.io/Logging_0482/tillsyn/A 46115-2023 tillsynsbegäran.docx", "A 46115-2023")</f>
        <v/>
      </c>
      <c r="AD144">
        <f>HYPERLINK("https://klasma.github.io/Logging_0482/tillsynsmail/A 46115-2023 tillsynsbegäran mail.docx", "A 46115-2023")</f>
        <v/>
      </c>
    </row>
    <row r="145" ht="15" customHeight="1">
      <c r="A145" t="inlineStr">
        <is>
          <t>A 56308-2024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46297</v>
      </c>
      <c r="F145" t="inlineStr">
        <is>
          <t>SÖDERMANLANDS LÄN</t>
        </is>
      </c>
      <c r="G145" t="inlineStr">
        <is>
          <t>FLEN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Gullklöver</t>
        </is>
      </c>
      <c r="W145">
        <f>HYPERLINK("https://klasma.github.io/Logging_0482/artfynd/A 56308-2024 artfynd.xlsx", "A 56308-2024")</f>
        <v/>
      </c>
      <c r="X145">
        <f>HYPERLINK("https://klasma.github.io/Logging_0482/kartor/A 56308-2024 karta.png", "A 56308-2024")</f>
        <v/>
      </c>
      <c r="Y145">
        <f>HYPERLINK("https://klasma.github.io/Logging_0482/kartor_geotiff/A 56308-2024 georefererad karta.tif", "A 56308-2024")</f>
        <v/>
      </c>
      <c r="AA145">
        <f>HYPERLINK("https://klasma.github.io/Logging_0482/klagomål/A 56308-2024 FSC-klagomål.docx", "A 56308-2024")</f>
        <v/>
      </c>
      <c r="AB145">
        <f>HYPERLINK("https://klasma.github.io/Logging_0482/klagomålsmail/A 56308-2024 FSC-klagomål mail.docx", "A 56308-2024")</f>
        <v/>
      </c>
      <c r="AC145">
        <f>HYPERLINK("https://klasma.github.io/Logging_0482/tillsyn/A 56308-2024 tillsynsbegäran.docx", "A 56308-2024")</f>
        <v/>
      </c>
      <c r="AD145">
        <f>HYPERLINK("https://klasma.github.io/Logging_0482/tillsynsmail/A 56308-2024 tillsynsbegäran mail.docx", "A 56308-2024")</f>
        <v/>
      </c>
    </row>
    <row r="146" ht="15" customHeight="1">
      <c r="A146" t="inlineStr">
        <is>
          <t>A 62223-2021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46297</v>
      </c>
      <c r="F146" t="inlineStr">
        <is>
          <t>SÖDERMANLANDS LÄN</t>
        </is>
      </c>
      <c r="G146" t="inlineStr">
        <is>
          <t>FLEN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24037-2022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44724</v>
      </c>
      <c r="E147" s="1" t="n">
        <v>46297</v>
      </c>
      <c r="F147" t="inlineStr">
        <is>
          <t>SÖDERMANLANDS LÄN</t>
        </is>
      </c>
      <c r="G147" t="inlineStr">
        <is>
          <t>FLEN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44536</v>
      </c>
      <c r="E148" s="1" t="n">
        <v>46297</v>
      </c>
      <c r="F148" t="inlineStr">
        <is>
          <t>SÖDERMANLANDS LÄN</t>
        </is>
      </c>
      <c r="G148" t="inlineStr">
        <is>
          <t>FLEN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46297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70215-2021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44535</v>
      </c>
      <c r="E150" s="1" t="n">
        <v>46297</v>
      </c>
      <c r="F150" t="inlineStr">
        <is>
          <t>SÖDERMANLANDS LÄN</t>
        </is>
      </c>
      <c r="G150" t="inlineStr">
        <is>
          <t>FLEN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46297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44869</v>
      </c>
      <c r="E152" s="1" t="n">
        <v>46297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46297</v>
      </c>
      <c r="F153" t="inlineStr">
        <is>
          <t>SÖDERMANLANDS LÄN</t>
        </is>
      </c>
      <c r="G153" t="inlineStr">
        <is>
          <t>FLEN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46297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46297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46297</v>
      </c>
      <c r="F156" t="inlineStr">
        <is>
          <t>SÖDERMANLANDS LÄN</t>
        </is>
      </c>
      <c r="G156" t="inlineStr">
        <is>
          <t>FLEN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44873</v>
      </c>
      <c r="E157" s="1" t="n">
        <v>46297</v>
      </c>
      <c r="F157" t="inlineStr">
        <is>
          <t>SÖDERMANLANDS LÄN</t>
        </is>
      </c>
      <c r="G157" t="inlineStr">
        <is>
          <t>FLEN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46297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46297</v>
      </c>
      <c r="F159" t="inlineStr">
        <is>
          <t>SÖDERMANLANDS LÄN</t>
        </is>
      </c>
      <c r="G159" t="inlineStr">
        <is>
          <t>FLEN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46297</v>
      </c>
      <c r="F160" t="inlineStr">
        <is>
          <t>SÖDERMANLANDS LÄN</t>
        </is>
      </c>
      <c r="G160" t="inlineStr">
        <is>
          <t>FLEN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44579</v>
      </c>
      <c r="E161" s="1" t="n">
        <v>46297</v>
      </c>
      <c r="F161" t="inlineStr">
        <is>
          <t>SÖDERMANLANDS LÄN</t>
        </is>
      </c>
      <c r="G161" t="inlineStr">
        <is>
          <t>FLEN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44807</v>
      </c>
      <c r="E162" s="1" t="n">
        <v>46297</v>
      </c>
      <c r="F162" t="inlineStr">
        <is>
          <t>SÖDERMANLANDS LÄN</t>
        </is>
      </c>
      <c r="G162" t="inlineStr">
        <is>
          <t>FLEN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44855</v>
      </c>
      <c r="E163" s="1" t="n">
        <v>46297</v>
      </c>
      <c r="F163" t="inlineStr">
        <is>
          <t>SÖDERMANLANDS LÄN</t>
        </is>
      </c>
      <c r="G163" t="inlineStr">
        <is>
          <t>FLEN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46297</v>
      </c>
      <c r="F164" t="inlineStr">
        <is>
          <t>SÖDERMANLANDS LÄN</t>
        </is>
      </c>
      <c r="G164" t="inlineStr">
        <is>
          <t>FLEN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44739</v>
      </c>
      <c r="E165" s="1" t="n">
        <v>46297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44770</v>
      </c>
      <c r="E166" s="1" t="n">
        <v>46297</v>
      </c>
      <c r="F166" t="inlineStr">
        <is>
          <t>SÖDERMANLANDS LÄN</t>
        </is>
      </c>
      <c r="G166" t="inlineStr">
        <is>
          <t>FLEN</t>
        </is>
      </c>
      <c r="H166" t="inlineStr">
        <is>
          <t>Övriga statliga verk och myndigheter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46297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44640</v>
      </c>
      <c r="E168" s="1" t="n">
        <v>46297</v>
      </c>
      <c r="F168" t="inlineStr">
        <is>
          <t>SÖDERMANLANDS LÄN</t>
        </is>
      </c>
      <c r="G168" t="inlineStr">
        <is>
          <t>FLEN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46297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46297</v>
      </c>
      <c r="F170" t="inlineStr">
        <is>
          <t>SÖDERMANLANDS LÄN</t>
        </is>
      </c>
      <c r="G170" t="inlineStr">
        <is>
          <t>FLEN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44643</v>
      </c>
      <c r="E171" s="1" t="n">
        <v>46297</v>
      </c>
      <c r="F171" t="inlineStr">
        <is>
          <t>SÖDERMANLANDS LÄN</t>
        </is>
      </c>
      <c r="G171" t="inlineStr">
        <is>
          <t>FLEN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46297</v>
      </c>
      <c r="F172" t="inlineStr">
        <is>
          <t>SÖDERMANLANDS LÄN</t>
        </is>
      </c>
      <c r="G172" t="inlineStr">
        <is>
          <t>FLEN</t>
        </is>
      </c>
      <c r="H172" t="inlineStr">
        <is>
          <t>Holmen skog AB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44778</v>
      </c>
      <c r="E173" s="1" t="n">
        <v>46297</v>
      </c>
      <c r="F173" t="inlineStr">
        <is>
          <t>SÖDERMANLANDS LÄN</t>
        </is>
      </c>
      <c r="G173" t="inlineStr">
        <is>
          <t>FLEN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44588</v>
      </c>
      <c r="E174" s="1" t="n">
        <v>46297</v>
      </c>
      <c r="F174" t="inlineStr">
        <is>
          <t>SÖDERMANLANDS LÄN</t>
        </is>
      </c>
      <c r="G174" t="inlineStr">
        <is>
          <t>FLEN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46297</v>
      </c>
      <c r="F175" t="inlineStr">
        <is>
          <t>SÖDERMANLANDS LÄN</t>
        </is>
      </c>
      <c r="G175" t="inlineStr">
        <is>
          <t>FLEN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46297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46297</v>
      </c>
      <c r="F177" t="inlineStr">
        <is>
          <t>SÖDERMANLANDS LÄN</t>
        </is>
      </c>
      <c r="G177" t="inlineStr">
        <is>
          <t>FLEN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44854</v>
      </c>
      <c r="E178" s="1" t="n">
        <v>46297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46297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46297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44769</v>
      </c>
      <c r="E181" s="1" t="n">
        <v>46297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46297</v>
      </c>
      <c r="F182" t="inlineStr">
        <is>
          <t>SÖDERMANLANDS LÄN</t>
        </is>
      </c>
      <c r="G182" t="inlineStr">
        <is>
          <t>FLEN</t>
        </is>
      </c>
      <c r="H182" t="inlineStr">
        <is>
          <t>Kyrkan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46297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46297</v>
      </c>
      <c r="F184" t="inlineStr">
        <is>
          <t>SÖDERMANLANDS LÄN</t>
        </is>
      </c>
      <c r="G184" t="inlineStr">
        <is>
          <t>FLEN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44752</v>
      </c>
      <c r="E185" s="1" t="n">
        <v>46297</v>
      </c>
      <c r="F185" t="inlineStr">
        <is>
          <t>SÖDERMANLANDS LÄN</t>
        </is>
      </c>
      <c r="G185" t="inlineStr">
        <is>
          <t>FLEN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46297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46297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46297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44643</v>
      </c>
      <c r="E189" s="1" t="n">
        <v>46297</v>
      </c>
      <c r="F189" t="inlineStr">
        <is>
          <t>SÖDERMANLANDS LÄN</t>
        </is>
      </c>
      <c r="G189" t="inlineStr">
        <is>
          <t>FLEN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46297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46297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46297</v>
      </c>
      <c r="F192" t="inlineStr">
        <is>
          <t>SÖDERMANLANDS LÄN</t>
        </is>
      </c>
      <c r="G192" t="inlineStr">
        <is>
          <t>FLEN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46297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53517-2023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46297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45311</v>
      </c>
      <c r="E195" s="1" t="n">
        <v>46297</v>
      </c>
      <c r="F195" t="inlineStr">
        <is>
          <t>SÖDERMANLANDS LÄN</t>
        </is>
      </c>
      <c r="G195" t="inlineStr">
        <is>
          <t>FLEN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46297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46297</v>
      </c>
      <c r="F197" t="inlineStr">
        <is>
          <t>SÖDERMANLANDS LÄN</t>
        </is>
      </c>
      <c r="G197" t="inlineStr">
        <is>
          <t>FLEN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46297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46297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46297</v>
      </c>
      <c r="F200" t="inlineStr">
        <is>
          <t>SÖDERMANLANDS LÄN</t>
        </is>
      </c>
      <c r="G200" t="inlineStr">
        <is>
          <t>FLEN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46297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45398</v>
      </c>
      <c r="E202" s="1" t="n">
        <v>46297</v>
      </c>
      <c r="F202" t="inlineStr">
        <is>
          <t>SÖDERMANLANDS LÄN</t>
        </is>
      </c>
      <c r="G202" t="inlineStr">
        <is>
          <t>FLEN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46297</v>
      </c>
      <c r="F203" t="inlineStr">
        <is>
          <t>SÖDERMANLANDS LÄN</t>
        </is>
      </c>
      <c r="G203" t="inlineStr">
        <is>
          <t>FLEN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46297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46297</v>
      </c>
      <c r="F205" t="inlineStr">
        <is>
          <t>SÖDERMANLANDS LÄN</t>
        </is>
      </c>
      <c r="G205" t="inlineStr">
        <is>
          <t>FLEN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44796</v>
      </c>
      <c r="E206" s="1" t="n">
        <v>46297</v>
      </c>
      <c r="F206" t="inlineStr">
        <is>
          <t>SÖDERMANLANDS LÄN</t>
        </is>
      </c>
      <c r="G206" t="inlineStr">
        <is>
          <t>FLEN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46297</v>
      </c>
      <c r="F207" t="inlineStr">
        <is>
          <t>SÖDERMANLANDS LÄN</t>
        </is>
      </c>
      <c r="G207" t="inlineStr">
        <is>
          <t>FLEN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46297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46297</v>
      </c>
      <c r="F209" t="inlineStr">
        <is>
          <t>SÖDERMANLANDS LÄN</t>
        </is>
      </c>
      <c r="G209" t="inlineStr">
        <is>
          <t>FLEN</t>
        </is>
      </c>
      <c r="I209" t="n">
        <v>11.3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46297</v>
      </c>
      <c r="F210" t="inlineStr">
        <is>
          <t>SÖDERMANLANDS LÄN</t>
        </is>
      </c>
      <c r="G210" t="inlineStr">
        <is>
          <t>FLEN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46297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46297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46297</v>
      </c>
      <c r="F213" t="inlineStr">
        <is>
          <t>SÖDERMANLANDS LÄN</t>
        </is>
      </c>
      <c r="G213" t="inlineStr">
        <is>
          <t>FLEN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45256</v>
      </c>
      <c r="E214" s="1" t="n">
        <v>46297</v>
      </c>
      <c r="F214" t="inlineStr">
        <is>
          <t>SÖDERMANLANDS LÄN</t>
        </is>
      </c>
      <c r="G214" t="inlineStr">
        <is>
          <t>FLEN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46297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46297</v>
      </c>
      <c r="F216" t="inlineStr">
        <is>
          <t>SÖDERMANLANDS LÄN</t>
        </is>
      </c>
      <c r="G216" t="inlineStr">
        <is>
          <t>FLEN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46297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46297</v>
      </c>
      <c r="F218" t="inlineStr">
        <is>
          <t>SÖDERMANLANDS LÄN</t>
        </is>
      </c>
      <c r="G218" t="inlineStr">
        <is>
          <t>FLEN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46297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46297</v>
      </c>
      <c r="F220" t="inlineStr">
        <is>
          <t>SÖDERMANLANDS LÄN</t>
        </is>
      </c>
      <c r="G220" t="inlineStr">
        <is>
          <t>FLEN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46297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45797</v>
      </c>
      <c r="E222" s="1" t="n">
        <v>46297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46297</v>
      </c>
      <c r="F223" t="inlineStr">
        <is>
          <t>SÖDERMANLANDS LÄN</t>
        </is>
      </c>
      <c r="G223" t="inlineStr">
        <is>
          <t>FLEN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46297</v>
      </c>
      <c r="F224" t="inlineStr">
        <is>
          <t>SÖDERMANLANDS LÄN</t>
        </is>
      </c>
      <c r="G224" t="inlineStr">
        <is>
          <t>FLEN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46297</v>
      </c>
      <c r="F225" t="inlineStr">
        <is>
          <t>SÖDERMANLANDS LÄN</t>
        </is>
      </c>
      <c r="G225" t="inlineStr">
        <is>
          <t>FLEN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66979-2021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44522</v>
      </c>
      <c r="E226" s="1" t="n">
        <v>46297</v>
      </c>
      <c r="F226" t="inlineStr">
        <is>
          <t>SÖDERMANLANDS LÄN</t>
        </is>
      </c>
      <c r="G226" t="inlineStr">
        <is>
          <t>FLEN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46297</v>
      </c>
      <c r="F227" t="inlineStr">
        <is>
          <t>SÖDERMANLANDS LÄN</t>
        </is>
      </c>
      <c r="G227" t="inlineStr">
        <is>
          <t>FLEN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46297</v>
      </c>
      <c r="F228" t="inlineStr">
        <is>
          <t>SÖDERMANLANDS LÄN</t>
        </is>
      </c>
      <c r="G228" t="inlineStr">
        <is>
          <t>FLEN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46297</v>
      </c>
      <c r="F229" t="inlineStr">
        <is>
          <t>SÖDERMANLANDS LÄN</t>
        </is>
      </c>
      <c r="G229" t="inlineStr">
        <is>
          <t>FLEN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46297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46297</v>
      </c>
      <c r="F231" t="inlineStr">
        <is>
          <t>SÖDERMANLANDS LÄN</t>
        </is>
      </c>
      <c r="G231" t="inlineStr">
        <is>
          <t>FLEN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46297</v>
      </c>
      <c r="F232" t="inlineStr">
        <is>
          <t>SÖDERMANLANDS LÄN</t>
        </is>
      </c>
      <c r="G232" t="inlineStr">
        <is>
          <t>FLEN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46297</v>
      </c>
      <c r="F233" t="inlineStr">
        <is>
          <t>SÖDERMANLANDS LÄN</t>
        </is>
      </c>
      <c r="G233" t="inlineStr">
        <is>
          <t>FLEN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46297</v>
      </c>
      <c r="F234" t="inlineStr">
        <is>
          <t>SÖDERMANLANDS LÄN</t>
        </is>
      </c>
      <c r="G234" t="inlineStr">
        <is>
          <t>FLEN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44859</v>
      </c>
      <c r="E235" s="1" t="n">
        <v>46297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45280</v>
      </c>
      <c r="E236" s="1" t="n">
        <v>46297</v>
      </c>
      <c r="F236" t="inlineStr">
        <is>
          <t>SÖDERMANLANDS LÄN</t>
        </is>
      </c>
      <c r="G236" t="inlineStr">
        <is>
          <t>FLEN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46297</v>
      </c>
      <c r="F237" t="inlineStr">
        <is>
          <t>SÖDERMANLANDS LÄN</t>
        </is>
      </c>
      <c r="G237" t="inlineStr">
        <is>
          <t>FLEN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46297</v>
      </c>
      <c r="F238" t="inlineStr">
        <is>
          <t>SÖDERMANLANDS LÄN</t>
        </is>
      </c>
      <c r="G238" t="inlineStr">
        <is>
          <t>FLEN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46297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46297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46077</v>
      </c>
      <c r="E241" s="1" t="n">
        <v>46297</v>
      </c>
      <c r="F241" t="inlineStr">
        <is>
          <t>SÖDERMANLANDS LÄN</t>
        </is>
      </c>
      <c r="G241" t="inlineStr">
        <is>
          <t>FLEN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46297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46297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46079</v>
      </c>
      <c r="E244" s="1" t="n">
        <v>46297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46297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46082</v>
      </c>
      <c r="E246" s="1" t="n">
        <v>46297</v>
      </c>
      <c r="F246" t="inlineStr">
        <is>
          <t>SÖDERMANLANDS LÄN</t>
        </is>
      </c>
      <c r="G246" t="inlineStr">
        <is>
          <t>FLEN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46297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46080</v>
      </c>
      <c r="E248" s="1" t="n">
        <v>46297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44896</v>
      </c>
      <c r="E249" s="1" t="n">
        <v>46297</v>
      </c>
      <c r="F249" t="inlineStr">
        <is>
          <t>SÖDERMANLANDS LÄN</t>
        </is>
      </c>
      <c r="G249" t="inlineStr">
        <is>
          <t>FLEN</t>
        </is>
      </c>
      <c r="H249" t="inlineStr">
        <is>
          <t>Övriga statliga verk och myndigheter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46297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46297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9431-2022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44616</v>
      </c>
      <c r="E252" s="1" t="n">
        <v>46297</v>
      </c>
      <c r="F252" t="inlineStr">
        <is>
          <t>SÖDERMANLANDS LÄN</t>
        </is>
      </c>
      <c r="G252" t="inlineStr">
        <is>
          <t>FLEN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45014</v>
      </c>
      <c r="E253" s="1" t="n">
        <v>46297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46297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44588</v>
      </c>
      <c r="E255" s="1" t="n">
        <v>46297</v>
      </c>
      <c r="F255" t="inlineStr">
        <is>
          <t>SÖDERMANLANDS LÄN</t>
        </is>
      </c>
      <c r="G255" t="inlineStr">
        <is>
          <t>FLEN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44838</v>
      </c>
      <c r="E256" s="1" t="n">
        <v>46297</v>
      </c>
      <c r="F256" t="inlineStr">
        <is>
          <t>SÖDERMANLANDS LÄN</t>
        </is>
      </c>
      <c r="G256" t="inlineStr">
        <is>
          <t>FLEN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4899-2023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44958</v>
      </c>
      <c r="E257" s="1" t="n">
        <v>46297</v>
      </c>
      <c r="F257" t="inlineStr">
        <is>
          <t>SÖDERMANLANDS LÄN</t>
        </is>
      </c>
      <c r="G257" t="inlineStr">
        <is>
          <t>FLEN</t>
        </is>
      </c>
      <c r="H257" t="inlineStr">
        <is>
          <t>Kyrkan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46297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46297</v>
      </c>
      <c r="F259" t="inlineStr">
        <is>
          <t>SÖDERMANLANDS LÄN</t>
        </is>
      </c>
      <c r="G259" t="inlineStr">
        <is>
          <t>FLEN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46297</v>
      </c>
      <c r="F260" t="inlineStr">
        <is>
          <t>SÖDERMANLANDS LÄN</t>
        </is>
      </c>
      <c r="G260" t="inlineStr">
        <is>
          <t>FLEN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44979</v>
      </c>
      <c r="E261" s="1" t="n">
        <v>46297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46297</v>
      </c>
      <c r="F262" t="inlineStr">
        <is>
          <t>SÖDERMANLANDS LÄN</t>
        </is>
      </c>
      <c r="G262" t="inlineStr">
        <is>
          <t>FLEN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46297</v>
      </c>
      <c r="F263" t="inlineStr">
        <is>
          <t>SÖDERMANLANDS LÄN</t>
        </is>
      </c>
      <c r="G263" t="inlineStr">
        <is>
          <t>FLEN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67464-2021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44524</v>
      </c>
      <c r="E264" s="1" t="n">
        <v>46297</v>
      </c>
      <c r="F264" t="inlineStr">
        <is>
          <t>SÖDERMANLANDS LÄN</t>
        </is>
      </c>
      <c r="G264" t="inlineStr">
        <is>
          <t>FLEN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46297</v>
      </c>
      <c r="F265" t="inlineStr">
        <is>
          <t>SÖDERMANLANDS LÄN</t>
        </is>
      </c>
      <c r="G265" t="inlineStr">
        <is>
          <t>FLEN</t>
        </is>
      </c>
      <c r="H265" t="inlineStr">
        <is>
          <t>Övriga statliga verk och myndigheter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46297</v>
      </c>
      <c r="F266" t="inlineStr">
        <is>
          <t>SÖDERMANLANDS LÄN</t>
        </is>
      </c>
      <c r="G266" t="inlineStr">
        <is>
          <t>FLEN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46297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44986</v>
      </c>
      <c r="E268" s="1" t="n">
        <v>46297</v>
      </c>
      <c r="F268" t="inlineStr">
        <is>
          <t>SÖDERMANLANDS LÄN</t>
        </is>
      </c>
      <c r="G268" t="inlineStr">
        <is>
          <t>FLEN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46297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32023-2022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44778</v>
      </c>
      <c r="E270" s="1" t="n">
        <v>46297</v>
      </c>
      <c r="F270" t="inlineStr">
        <is>
          <t>SÖDERMANLANDS LÄN</t>
        </is>
      </c>
      <c r="G270" t="inlineStr">
        <is>
          <t>FLEN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46297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45448</v>
      </c>
      <c r="E272" s="1" t="n">
        <v>46297</v>
      </c>
      <c r="F272" t="inlineStr">
        <is>
          <t>SÖDERMANLANDS LÄN</t>
        </is>
      </c>
      <c r="G272" t="inlineStr">
        <is>
          <t>FLEN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46297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54282-2025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45964</v>
      </c>
      <c r="E274" s="1" t="n">
        <v>46297</v>
      </c>
      <c r="F274" t="inlineStr">
        <is>
          <t>SÖDERMANLANDS LÄN</t>
        </is>
      </c>
      <c r="G274" t="inlineStr">
        <is>
          <t>FLEN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54283-2025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45964</v>
      </c>
      <c r="E275" s="1" t="n">
        <v>46297</v>
      </c>
      <c r="F275" t="inlineStr">
        <is>
          <t>SÖDERMANLANDS LÄN</t>
        </is>
      </c>
      <c r="G275" t="inlineStr">
        <is>
          <t>FLEN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46297</v>
      </c>
      <c r="F276" t="inlineStr">
        <is>
          <t>SÖDERMANLANDS LÄN</t>
        </is>
      </c>
      <c r="G276" t="inlineStr">
        <is>
          <t>FLEN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46113</v>
      </c>
      <c r="E277" s="1" t="n">
        <v>46297</v>
      </c>
      <c r="F277" t="inlineStr">
        <is>
          <t>SÖDERMANLANDS LÄN</t>
        </is>
      </c>
      <c r="G277" t="inlineStr">
        <is>
          <t>FLEN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45553</v>
      </c>
      <c r="E278" s="1" t="n">
        <v>46297</v>
      </c>
      <c r="F278" t="inlineStr">
        <is>
          <t>SÖDERMANLANDS LÄN</t>
        </is>
      </c>
      <c r="G278" t="inlineStr">
        <is>
          <t>FLEN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46297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44911</v>
      </c>
      <c r="E280" s="1" t="n">
        <v>46297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46297</v>
      </c>
      <c r="F281" t="inlineStr">
        <is>
          <t>SÖDERMANLANDS LÄN</t>
        </is>
      </c>
      <c r="G281" t="inlineStr">
        <is>
          <t>FLEN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46297</v>
      </c>
      <c r="F282" t="inlineStr">
        <is>
          <t>SÖDERMANLANDS LÄN</t>
        </is>
      </c>
      <c r="G282" t="inlineStr">
        <is>
          <t>FLEN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56573-2025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45974</v>
      </c>
      <c r="E283" s="1" t="n">
        <v>46297</v>
      </c>
      <c r="F283" t="inlineStr">
        <is>
          <t>SÖDERMANLANDS LÄN</t>
        </is>
      </c>
      <c r="G283" t="inlineStr">
        <is>
          <t>FLEN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46297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46297</v>
      </c>
      <c r="F285" t="inlineStr">
        <is>
          <t>SÖDERMANLANDS LÄN</t>
        </is>
      </c>
      <c r="G285" t="inlineStr">
        <is>
          <t>FLEN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46297</v>
      </c>
      <c r="F286" t="inlineStr">
        <is>
          <t>SÖDERMANLANDS LÄN</t>
        </is>
      </c>
      <c r="G286" t="inlineStr">
        <is>
          <t>FLEN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46297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45636</v>
      </c>
      <c r="E288" s="1" t="n">
        <v>46297</v>
      </c>
      <c r="F288" t="inlineStr">
        <is>
          <t>SÖDERMANLANDS LÄN</t>
        </is>
      </c>
      <c r="G288" t="inlineStr">
        <is>
          <t>FLEN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46297</v>
      </c>
      <c r="F289" t="inlineStr">
        <is>
          <t>SÖDERMANLANDS LÄN</t>
        </is>
      </c>
      <c r="G289" t="inlineStr">
        <is>
          <t>FLEN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46297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46297</v>
      </c>
      <c r="F291" t="inlineStr">
        <is>
          <t>SÖDERMANLANDS LÄN</t>
        </is>
      </c>
      <c r="G291" t="inlineStr">
        <is>
          <t>FLEN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46297</v>
      </c>
      <c r="F292" t="inlineStr">
        <is>
          <t>SÖDERMANLANDS LÄN</t>
        </is>
      </c>
      <c r="G292" t="inlineStr">
        <is>
          <t>FLEN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46297</v>
      </c>
      <c r="F293" t="inlineStr">
        <is>
          <t>SÖDERMANLANDS LÄN</t>
        </is>
      </c>
      <c r="G293" t="inlineStr">
        <is>
          <t>FLEN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46297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46297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46297</v>
      </c>
      <c r="F296" t="inlineStr">
        <is>
          <t>SÖDERMANLANDS LÄN</t>
        </is>
      </c>
      <c r="G296" t="inlineStr">
        <is>
          <t>FLEN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23835-2022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44722</v>
      </c>
      <c r="E297" s="1" t="n">
        <v>46297</v>
      </c>
      <c r="F297" t="inlineStr">
        <is>
          <t>SÖDERMANLANDS LÄN</t>
        </is>
      </c>
      <c r="G297" t="inlineStr">
        <is>
          <t>FLEN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46297</v>
      </c>
      <c r="F298" t="inlineStr">
        <is>
          <t>SÖDERMANLANDS LÄN</t>
        </is>
      </c>
      <c r="G298" t="inlineStr">
        <is>
          <t>FLEN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45805</v>
      </c>
      <c r="E299" s="1" t="n">
        <v>46297</v>
      </c>
      <c r="F299" t="inlineStr">
        <is>
          <t>SÖDERMANLANDS LÄN</t>
        </is>
      </c>
      <c r="G299" t="inlineStr">
        <is>
          <t>FLEN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46297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46297</v>
      </c>
      <c r="F301" t="inlineStr">
        <is>
          <t>SÖDERMANLANDS LÄN</t>
        </is>
      </c>
      <c r="G301" t="inlineStr">
        <is>
          <t>FLEN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46297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46297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9.699999999999999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46297</v>
      </c>
      <c r="F304" t="inlineStr">
        <is>
          <t>SÖDERMANLANDS LÄN</t>
        </is>
      </c>
      <c r="G304" t="inlineStr">
        <is>
          <t>FLEN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46297</v>
      </c>
      <c r="F305" t="inlineStr">
        <is>
          <t>SÖDERMANLANDS LÄN</t>
        </is>
      </c>
      <c r="G305" t="inlineStr">
        <is>
          <t>FLEN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46297</v>
      </c>
      <c r="F306" t="inlineStr">
        <is>
          <t>SÖDERMANLANDS LÄN</t>
        </is>
      </c>
      <c r="G306" t="inlineStr">
        <is>
          <t>FLEN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46297</v>
      </c>
      <c r="F307" t="inlineStr">
        <is>
          <t>SÖDERMANLANDS LÄN</t>
        </is>
      </c>
      <c r="G307" t="inlineStr">
        <is>
          <t>FLEN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46297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46297</v>
      </c>
      <c r="F309" t="inlineStr">
        <is>
          <t>SÖDERMANLANDS LÄN</t>
        </is>
      </c>
      <c r="G309" t="inlineStr">
        <is>
          <t>FLEN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37256-2022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44807</v>
      </c>
      <c r="E310" s="1" t="n">
        <v>46297</v>
      </c>
      <c r="F310" t="inlineStr">
        <is>
          <t>SÖDERMANLANDS LÄN</t>
        </is>
      </c>
      <c r="G310" t="inlineStr">
        <is>
          <t>FLEN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46297</v>
      </c>
      <c r="F311" t="inlineStr">
        <is>
          <t>SÖDERMANLANDS LÄN</t>
        </is>
      </c>
      <c r="G311" t="inlineStr">
        <is>
          <t>FLEN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45632</v>
      </c>
      <c r="E312" s="1" t="n">
        <v>46297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46297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46297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46297</v>
      </c>
      <c r="F315" t="inlineStr">
        <is>
          <t>SÖDERMANLANDS LÄN</t>
        </is>
      </c>
      <c r="G315" t="inlineStr">
        <is>
          <t>FLEN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45869</v>
      </c>
      <c r="E316" s="1" t="n">
        <v>46297</v>
      </c>
      <c r="F316" t="inlineStr">
        <is>
          <t>SÖDERMANLANDS LÄN</t>
        </is>
      </c>
      <c r="G316" t="inlineStr">
        <is>
          <t>FLEN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46297</v>
      </c>
      <c r="F317" t="inlineStr">
        <is>
          <t>SÖDERMANLANDS LÄN</t>
        </is>
      </c>
      <c r="G317" t="inlineStr">
        <is>
          <t>FLEN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46297</v>
      </c>
      <c r="F318" t="inlineStr">
        <is>
          <t>SÖDERMANLANDS LÄN</t>
        </is>
      </c>
      <c r="G318" t="inlineStr">
        <is>
          <t>FLEN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45030</v>
      </c>
      <c r="E319" s="1" t="n">
        <v>46297</v>
      </c>
      <c r="F319" t="inlineStr">
        <is>
          <t>SÖDERMANLANDS LÄN</t>
        </is>
      </c>
      <c r="G319" t="inlineStr">
        <is>
          <t>FLEN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45713</v>
      </c>
      <c r="E320" s="1" t="n">
        <v>46297</v>
      </c>
      <c r="F320" t="inlineStr">
        <is>
          <t>SÖDERMANLANDS LÄN</t>
        </is>
      </c>
      <c r="G320" t="inlineStr">
        <is>
          <t>FLEN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46297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45830</v>
      </c>
      <c r="E322" s="1" t="n">
        <v>46297</v>
      </c>
      <c r="F322" t="inlineStr">
        <is>
          <t>SÖDERMANLANDS LÄN</t>
        </is>
      </c>
      <c r="G322" t="inlineStr">
        <is>
          <t>FLEN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45830</v>
      </c>
      <c r="E323" s="1" t="n">
        <v>46297</v>
      </c>
      <c r="F323" t="inlineStr">
        <is>
          <t>SÖDERMANLANDS LÄN</t>
        </is>
      </c>
      <c r="G323" t="inlineStr">
        <is>
          <t>FLEN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45228</v>
      </c>
      <c r="E324" s="1" t="n">
        <v>46297</v>
      </c>
      <c r="F324" t="inlineStr">
        <is>
          <t>SÖDERMANLANDS LÄN</t>
        </is>
      </c>
      <c r="G324" t="inlineStr">
        <is>
          <t>FLEN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45702</v>
      </c>
      <c r="E325" s="1" t="n">
        <v>46297</v>
      </c>
      <c r="F325" t="inlineStr">
        <is>
          <t>SÖDERMANLANDS LÄN</t>
        </is>
      </c>
      <c r="G325" t="inlineStr">
        <is>
          <t>FLEN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45729</v>
      </c>
      <c r="E326" s="1" t="n">
        <v>46297</v>
      </c>
      <c r="F326" t="inlineStr">
        <is>
          <t>SÖDERMANLANDS LÄN</t>
        </is>
      </c>
      <c r="G326" t="inlineStr">
        <is>
          <t>FLEN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66867-2021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46297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57863-2022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44899</v>
      </c>
      <c r="E328" s="1" t="n">
        <v>46297</v>
      </c>
      <c r="F328" t="inlineStr">
        <is>
          <t>SÖDERMANLANDS LÄN</t>
        </is>
      </c>
      <c r="G328" t="inlineStr">
        <is>
          <t>FLEN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46297</v>
      </c>
      <c r="F329" t="inlineStr">
        <is>
          <t>SÖDERMANLANDS LÄN</t>
        </is>
      </c>
      <c r="G329" t="inlineStr">
        <is>
          <t>FLEN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45048</v>
      </c>
      <c r="E330" s="1" t="n">
        <v>46297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46297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46297</v>
      </c>
      <c r="F332" t="inlineStr">
        <is>
          <t>SÖDERMANLANDS LÄN</t>
        </is>
      </c>
      <c r="G332" t="inlineStr">
        <is>
          <t>FLEN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45345</v>
      </c>
      <c r="E333" s="1" t="n">
        <v>46297</v>
      </c>
      <c r="F333" t="inlineStr">
        <is>
          <t>SÖDERMANLANDS LÄN</t>
        </is>
      </c>
      <c r="G333" t="inlineStr">
        <is>
          <t>FLEN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45082</v>
      </c>
      <c r="E334" s="1" t="n">
        <v>46297</v>
      </c>
      <c r="F334" t="inlineStr">
        <is>
          <t>SÖDERMANLANDS LÄN</t>
        </is>
      </c>
      <c r="G334" t="inlineStr">
        <is>
          <t>FLEN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44909</v>
      </c>
      <c r="E335" s="1" t="n">
        <v>46297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46297</v>
      </c>
      <c r="F336" t="inlineStr">
        <is>
          <t>SÖDERMANLANDS LÄN</t>
        </is>
      </c>
      <c r="G336" t="inlineStr">
        <is>
          <t>FLEN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46297</v>
      </c>
      <c r="F337" t="inlineStr">
        <is>
          <t>SÖDERMANLANDS LÄN</t>
        </is>
      </c>
      <c r="G337" t="inlineStr">
        <is>
          <t>FLEN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46297</v>
      </c>
      <c r="F338" t="inlineStr">
        <is>
          <t>SÖDERMANLANDS LÄN</t>
        </is>
      </c>
      <c r="G338" t="inlineStr">
        <is>
          <t>FLEN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45068</v>
      </c>
      <c r="E339" s="1" t="n">
        <v>46297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46297</v>
      </c>
      <c r="F340" t="inlineStr">
        <is>
          <t>SÖDERMANLANDS LÄN</t>
        </is>
      </c>
      <c r="G340" t="inlineStr">
        <is>
          <t>FLEN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46297</v>
      </c>
      <c r="F341" t="inlineStr">
        <is>
          <t>SÖDERMANLANDS LÄN</t>
        </is>
      </c>
      <c r="G341" t="inlineStr">
        <is>
          <t>FLEN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47187-2022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44848</v>
      </c>
      <c r="E342" s="1" t="n">
        <v>46297</v>
      </c>
      <c r="F342" t="inlineStr">
        <is>
          <t>SÖDERMANLANDS LÄN</t>
        </is>
      </c>
      <c r="G342" t="inlineStr">
        <is>
          <t>FLEN</t>
        </is>
      </c>
      <c r="H342" t="inlineStr">
        <is>
          <t>Övriga statliga verk och myndigheter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46297</v>
      </c>
      <c r="F343" t="inlineStr">
        <is>
          <t>SÖDERMANLANDS LÄN</t>
        </is>
      </c>
      <c r="G343" t="inlineStr">
        <is>
          <t>FLEN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44864</v>
      </c>
      <c r="E344" s="1" t="n">
        <v>46297</v>
      </c>
      <c r="F344" t="inlineStr">
        <is>
          <t>SÖDERMANLANDS LÄN</t>
        </is>
      </c>
      <c r="G344" t="inlineStr">
        <is>
          <t>FLEN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45216</v>
      </c>
      <c r="E345" s="1" t="n">
        <v>46297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40404-2024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46297</v>
      </c>
      <c r="F346" t="inlineStr">
        <is>
          <t>SÖDERMANLANDS LÄN</t>
        </is>
      </c>
      <c r="G346" t="inlineStr">
        <is>
          <t>FLEN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46297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46297</v>
      </c>
      <c r="F348" t="inlineStr">
        <is>
          <t>SÖDERMANLANDS LÄN</t>
        </is>
      </c>
      <c r="G348" t="inlineStr">
        <is>
          <t>FLEN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46297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46297</v>
      </c>
      <c r="F350" t="inlineStr">
        <is>
          <t>SÖDERMANLANDS LÄN</t>
        </is>
      </c>
      <c r="G350" t="inlineStr">
        <is>
          <t>FLEN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46297</v>
      </c>
      <c r="F351" t="inlineStr">
        <is>
          <t>SÖDERMANLANDS LÄN</t>
        </is>
      </c>
      <c r="G351" t="inlineStr">
        <is>
          <t>FLEN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45034</v>
      </c>
      <c r="E352" s="1" t="n">
        <v>46297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28938-2023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46297</v>
      </c>
      <c r="F353" t="inlineStr">
        <is>
          <t>SÖDERMANLANDS LÄN</t>
        </is>
      </c>
      <c r="G353" t="inlineStr">
        <is>
          <t>FLEN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45081</v>
      </c>
      <c r="E354" s="1" t="n">
        <v>46297</v>
      </c>
      <c r="F354" t="inlineStr">
        <is>
          <t>SÖDERMANLANDS LÄN</t>
        </is>
      </c>
      <c r="G354" t="inlineStr">
        <is>
          <t>FLEN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25474-2023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45081</v>
      </c>
      <c r="E355" s="1" t="n">
        <v>46297</v>
      </c>
      <c r="F355" t="inlineStr">
        <is>
          <t>SÖDERMANLANDS LÄN</t>
        </is>
      </c>
      <c r="G355" t="inlineStr">
        <is>
          <t>FLEN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46297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45224</v>
      </c>
      <c r="E357" s="1" t="n">
        <v>46297</v>
      </c>
      <c r="F357" t="inlineStr">
        <is>
          <t>SÖDERMANLANDS LÄN</t>
        </is>
      </c>
      <c r="G357" t="inlineStr">
        <is>
          <t>FLEN</t>
        </is>
      </c>
      <c r="H357" t="inlineStr">
        <is>
          <t>Kyrkan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46297</v>
      </c>
      <c r="F358" t="inlineStr">
        <is>
          <t>SÖDERMANLANDS LÄN</t>
        </is>
      </c>
      <c r="G358" t="inlineStr">
        <is>
          <t>FLEN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73923-2021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44553</v>
      </c>
      <c r="E359" s="1" t="n">
        <v>46297</v>
      </c>
      <c r="F359" t="inlineStr">
        <is>
          <t>SÖDERMANLANDS LÄN</t>
        </is>
      </c>
      <c r="G359" t="inlineStr">
        <is>
          <t>FLEN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46297</v>
      </c>
      <c r="F360" t="inlineStr">
        <is>
          <t>SÖDERMANLANDS LÄN</t>
        </is>
      </c>
      <c r="G360" t="inlineStr">
        <is>
          <t>FLEN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44909</v>
      </c>
      <c r="E361" s="1" t="n">
        <v>46297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46297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46297</v>
      </c>
      <c r="F363" t="inlineStr">
        <is>
          <t>SÖDERMANLANDS LÄN</t>
        </is>
      </c>
      <c r="G363" t="inlineStr">
        <is>
          <t>FLEN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46297</v>
      </c>
      <c r="F364" t="inlineStr">
        <is>
          <t>SÖDERMANLANDS LÄN</t>
        </is>
      </c>
      <c r="G364" t="inlineStr">
        <is>
          <t>FLEN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46297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46297</v>
      </c>
      <c r="F366" t="inlineStr">
        <is>
          <t>SÖDERMANLANDS LÄN</t>
        </is>
      </c>
      <c r="G366" t="inlineStr">
        <is>
          <t>FLEN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46297</v>
      </c>
      <c r="F367" t="inlineStr">
        <is>
          <t>SÖDERMANLANDS LÄN</t>
        </is>
      </c>
      <c r="G367" t="inlineStr">
        <is>
          <t>FLEN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46297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46297</v>
      </c>
      <c r="F369" t="inlineStr">
        <is>
          <t>SÖDERMANLANDS LÄN</t>
        </is>
      </c>
      <c r="G369" t="inlineStr">
        <is>
          <t>FLEN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46297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46297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54666-2021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44473</v>
      </c>
      <c r="E372" s="1" t="n">
        <v>46297</v>
      </c>
      <c r="F372" t="inlineStr">
        <is>
          <t>SÖDERMANLANDS LÄN</t>
        </is>
      </c>
      <c r="G372" t="inlineStr">
        <is>
          <t>FLEN</t>
        </is>
      </c>
      <c r="I372" t="n">
        <v>10.1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46297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44991</v>
      </c>
      <c r="E374" s="1" t="n">
        <v>46297</v>
      </c>
      <c r="F374" t="inlineStr">
        <is>
          <t>SÖDERMANLANDS LÄN</t>
        </is>
      </c>
      <c r="G374" t="inlineStr">
        <is>
          <t>FLEN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46297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54781-2024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45618</v>
      </c>
      <c r="E376" s="1" t="n">
        <v>46297</v>
      </c>
      <c r="F376" t="inlineStr">
        <is>
          <t>SÖDERMANLANDS LÄN</t>
        </is>
      </c>
      <c r="G376" t="inlineStr">
        <is>
          <t>FLEN</t>
        </is>
      </c>
      <c r="I376" t="n">
        <v>10.3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46297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  <c r="Z377">
        <f>HYPERLINK("https://klasma.github.io/Logging_0482/knärot/A 24450-2026 karta knärot.png", "A 24450-2026")</f>
        <v/>
      </c>
      <c r="AA377">
        <f>HYPERLINK("https://klasma.github.io/Logging_0482/klagomål/A 24450-2026 FSC-klagomål.docx", "A 24450-2026")</f>
        <v/>
      </c>
      <c r="AB377">
        <f>HYPERLINK("https://klasma.github.io/Logging_0482/klagomålsmail/A 24450-2026 FSC-klagomål mail.docx", "A 24450-2026")</f>
        <v/>
      </c>
      <c r="AC377">
        <f>HYPERLINK("https://klasma.github.io/Logging_0482/tillsyn/A 24450-2026 tillsynsbegäran.docx", "A 24450-2026")</f>
        <v/>
      </c>
      <c r="AD377">
        <f>HYPERLINK("https://klasma.github.io/Logging_0482/tillsynsmail/A 24450-2026 tillsynsbegäran mail.docx", "A 24450-2026")</f>
        <v/>
      </c>
    </row>
    <row r="378" ht="15" customHeight="1">
      <c r="A378" t="inlineStr">
        <is>
          <t>A 4742-2023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44957</v>
      </c>
      <c r="E378" s="1" t="n">
        <v>46297</v>
      </c>
      <c r="F378" t="inlineStr">
        <is>
          <t>SÖDERMANLANDS LÄN</t>
        </is>
      </c>
      <c r="G378" t="inlineStr">
        <is>
          <t>FLEN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44614</v>
      </c>
      <c r="E379" s="1" t="n">
        <v>46297</v>
      </c>
      <c r="F379" t="inlineStr">
        <is>
          <t>SÖDERMANLANDS LÄN</t>
        </is>
      </c>
      <c r="G379" t="inlineStr">
        <is>
          <t>FLEN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46297</v>
      </c>
      <c r="F380" t="inlineStr">
        <is>
          <t>SÖDERMANLANDS LÄN</t>
        </is>
      </c>
      <c r="G380" t="inlineStr">
        <is>
          <t>FLEN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47872-2025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45932</v>
      </c>
      <c r="E381" s="1" t="n">
        <v>46297</v>
      </c>
      <c r="F381" t="inlineStr">
        <is>
          <t>SÖDERMANLANDS LÄN</t>
        </is>
      </c>
      <c r="G381" t="inlineStr">
        <is>
          <t>FLEN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45528</v>
      </c>
      <c r="E382" s="1" t="n">
        <v>46297</v>
      </c>
      <c r="F382" t="inlineStr">
        <is>
          <t>SÖDERMANLANDS LÄN</t>
        </is>
      </c>
      <c r="G382" t="inlineStr">
        <is>
          <t>FLEN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46297</v>
      </c>
      <c r="F383" t="inlineStr">
        <is>
          <t>SÖDERMANLANDS LÄN</t>
        </is>
      </c>
      <c r="G383" t="inlineStr">
        <is>
          <t>FLEN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72314-2021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46297</v>
      </c>
      <c r="F384" t="inlineStr">
        <is>
          <t>SÖDERMANLANDS LÄN</t>
        </is>
      </c>
      <c r="G384" t="inlineStr">
        <is>
          <t>FLEN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41630-2023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46297</v>
      </c>
      <c r="F385" t="inlineStr">
        <is>
          <t>SÖDERMANLANDS LÄN</t>
        </is>
      </c>
      <c r="G385" t="inlineStr">
        <is>
          <t>FLEN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46297</v>
      </c>
      <c r="F386" t="inlineStr">
        <is>
          <t>SÖDERMANLANDS LÄN</t>
        </is>
      </c>
      <c r="G386" t="inlineStr">
        <is>
          <t>FLEN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60255-2021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46297</v>
      </c>
      <c r="F387" t="inlineStr">
        <is>
          <t>SÖDERMANLANDS LÄN</t>
        </is>
      </c>
      <c r="G387" t="inlineStr">
        <is>
          <t>FLEN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46297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4536-2024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45327</v>
      </c>
      <c r="E389" s="1" t="n">
        <v>46297</v>
      </c>
      <c r="F389" t="inlineStr">
        <is>
          <t>SÖDERMANLANDS LÄN</t>
        </is>
      </c>
      <c r="G389" t="inlineStr">
        <is>
          <t>FLEN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46297</v>
      </c>
      <c r="F390" t="inlineStr">
        <is>
          <t>SÖDERMANLANDS LÄN</t>
        </is>
      </c>
      <c r="G390" t="inlineStr">
        <is>
          <t>FLEN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46297</v>
      </c>
      <c r="F391" t="inlineStr">
        <is>
          <t>SÖDERMANLANDS LÄN</t>
        </is>
      </c>
      <c r="G391" t="inlineStr">
        <is>
          <t>FLEN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46297</v>
      </c>
      <c r="F392" t="inlineStr">
        <is>
          <t>SÖDERMANLANDS LÄN</t>
        </is>
      </c>
      <c r="G392" t="inlineStr">
        <is>
          <t>FLEN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46297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46297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44610</v>
      </c>
      <c r="E395" s="1" t="n">
        <v>46297</v>
      </c>
      <c r="F395" t="inlineStr">
        <is>
          <t>SÖDERMANLANDS LÄN</t>
        </is>
      </c>
      <c r="G395" t="inlineStr">
        <is>
          <t>FLEN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44602</v>
      </c>
      <c r="E396" s="1" t="n">
        <v>46297</v>
      </c>
      <c r="F396" t="inlineStr">
        <is>
          <t>SÖDERMANLANDS LÄN</t>
        </is>
      </c>
      <c r="G396" t="inlineStr">
        <is>
          <t>FLEN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46297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46297</v>
      </c>
      <c r="F398" t="inlineStr">
        <is>
          <t>SÖDERMANLANDS LÄN</t>
        </is>
      </c>
      <c r="G398" t="inlineStr">
        <is>
          <t>FLEN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46297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46297</v>
      </c>
      <c r="F400" t="inlineStr">
        <is>
          <t>SÖDERMANLANDS LÄN</t>
        </is>
      </c>
      <c r="G400" t="inlineStr">
        <is>
          <t>FLEN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46185</v>
      </c>
      <c r="E401" s="1" t="n">
        <v>46297</v>
      </c>
      <c r="F401" t="inlineStr">
        <is>
          <t>SÖDERMANLANDS LÄN</t>
        </is>
      </c>
      <c r="G401" t="inlineStr">
        <is>
          <t>FLEN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46297</v>
      </c>
      <c r="F402" t="inlineStr">
        <is>
          <t>SÖDERMANLANDS LÄN</t>
        </is>
      </c>
      <c r="G402" t="inlineStr">
        <is>
          <t>FLEN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46297</v>
      </c>
      <c r="F403" t="inlineStr">
        <is>
          <t>SÖDERMANLANDS LÄN</t>
        </is>
      </c>
      <c r="G403" t="inlineStr">
        <is>
          <t>FLEN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46297</v>
      </c>
      <c r="F404" t="inlineStr">
        <is>
          <t>SÖDERMANLANDS LÄN</t>
        </is>
      </c>
      <c r="G404" t="inlineStr">
        <is>
          <t>FLEN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46297</v>
      </c>
      <c r="F405" t="inlineStr">
        <is>
          <t>SÖDERMANLANDS LÄN</t>
        </is>
      </c>
      <c r="G405" t="inlineStr">
        <is>
          <t>FLEN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46297</v>
      </c>
      <c r="F406" t="inlineStr">
        <is>
          <t>SÖDERMANLANDS LÄN</t>
        </is>
      </c>
      <c r="G406" t="inlineStr">
        <is>
          <t>FLEN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69588-2021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44531</v>
      </c>
      <c r="E407" s="1" t="n">
        <v>46297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46297</v>
      </c>
      <c r="F408" t="inlineStr">
        <is>
          <t>SÖDERMANLANDS LÄN</t>
        </is>
      </c>
      <c r="G408" t="inlineStr">
        <is>
          <t>FLEN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46297</v>
      </c>
      <c r="F409" t="inlineStr">
        <is>
          <t>SÖDERMANLANDS LÄN</t>
        </is>
      </c>
      <c r="G409" t="inlineStr">
        <is>
          <t>FLEN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45923-2023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46297</v>
      </c>
      <c r="F410" t="inlineStr">
        <is>
          <t>SÖDERMANLANDS LÄN</t>
        </is>
      </c>
      <c r="G410" t="inlineStr">
        <is>
          <t>FLEN</t>
        </is>
      </c>
      <c r="H410" t="inlineStr">
        <is>
          <t>Övriga statliga verk och myndigheter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45209</v>
      </c>
      <c r="E411" s="1" t="n">
        <v>46297</v>
      </c>
      <c r="F411" t="inlineStr">
        <is>
          <t>SÖDERMANLANDS LÄN</t>
        </is>
      </c>
      <c r="G411" t="inlineStr">
        <is>
          <t>FLEN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46297</v>
      </c>
      <c r="F412" t="inlineStr">
        <is>
          <t>SÖDERMANLANDS LÄN</t>
        </is>
      </c>
      <c r="G412" t="inlineStr">
        <is>
          <t>FLEN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46297</v>
      </c>
      <c r="F413" t="inlineStr">
        <is>
          <t>SÖDERMANLANDS LÄN</t>
        </is>
      </c>
      <c r="G413" t="inlineStr">
        <is>
          <t>FLEN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44676</v>
      </c>
      <c r="E414" s="1" t="n">
        <v>46297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45454</v>
      </c>
      <c r="E415" s="1" t="n">
        <v>46297</v>
      </c>
      <c r="F415" t="inlineStr">
        <is>
          <t>SÖDERMANLANDS LÄN</t>
        </is>
      </c>
      <c r="G415" t="inlineStr">
        <is>
          <t>FLEN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46297</v>
      </c>
      <c r="F416" t="inlineStr">
        <is>
          <t>SÖDERMANLANDS LÄN</t>
        </is>
      </c>
      <c r="G416" t="inlineStr">
        <is>
          <t>FLEN</t>
        </is>
      </c>
      <c r="H416" t="inlineStr">
        <is>
          <t>Övriga statliga verk och myndigheter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44785</v>
      </c>
      <c r="E417" s="1" t="n">
        <v>46297</v>
      </c>
      <c r="F417" t="inlineStr">
        <is>
          <t>SÖDERMANLANDS LÄN</t>
        </is>
      </c>
      <c r="G417" t="inlineStr">
        <is>
          <t>FLEN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46297</v>
      </c>
      <c r="F418" t="inlineStr">
        <is>
          <t>SÖDERMANLANDS LÄN</t>
        </is>
      </c>
      <c r="G418" t="inlineStr">
        <is>
          <t>FLEN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46297</v>
      </c>
      <c r="F419" t="inlineStr">
        <is>
          <t>SÖDERMANLANDS LÄN</t>
        </is>
      </c>
      <c r="G419" t="inlineStr">
        <is>
          <t>FLEN</t>
        </is>
      </c>
      <c r="H419" t="inlineStr">
        <is>
          <t>Kyrkan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39891-2022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44819</v>
      </c>
      <c r="E420" s="1" t="n">
        <v>46297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45057</v>
      </c>
      <c r="E421" s="1" t="n">
        <v>46297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46297</v>
      </c>
      <c r="F422" t="inlineStr">
        <is>
          <t>SÖDERMANLANDS LÄN</t>
        </is>
      </c>
      <c r="G422" t="inlineStr">
        <is>
          <t>FLEN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46297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44733</v>
      </c>
      <c r="E424" s="1" t="n">
        <v>46297</v>
      </c>
      <c r="F424" t="inlineStr">
        <is>
          <t>SÖDERMANLANDS LÄN</t>
        </is>
      </c>
      <c r="G424" t="inlineStr">
        <is>
          <t>FLEN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46297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46258</v>
      </c>
      <c r="E426" s="1" t="n">
        <v>46297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59599-2022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44907</v>
      </c>
      <c r="E427" s="1" t="n">
        <v>46297</v>
      </c>
      <c r="F427" t="inlineStr">
        <is>
          <t>SÖDERMANLANDS LÄN</t>
        </is>
      </c>
      <c r="G427" t="inlineStr">
        <is>
          <t>FLEN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46297</v>
      </c>
      <c r="F428" t="inlineStr">
        <is>
          <t>SÖDERMANLANDS LÄN</t>
        </is>
      </c>
      <c r="G428" t="inlineStr">
        <is>
          <t>FLEN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45315</v>
      </c>
      <c r="E429" s="1" t="n">
        <v>46297</v>
      </c>
      <c r="F429" t="inlineStr">
        <is>
          <t>SÖDERMANLANDS LÄN</t>
        </is>
      </c>
      <c r="G429" t="inlineStr">
        <is>
          <t>FLEN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46297</v>
      </c>
      <c r="F430" t="inlineStr">
        <is>
          <t>SÖDERMANLANDS LÄN</t>
        </is>
      </c>
      <c r="G430" t="inlineStr">
        <is>
          <t>FLEN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45378</v>
      </c>
      <c r="E431" s="1" t="n">
        <v>46297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45163</v>
      </c>
      <c r="E432" s="1" t="n">
        <v>46297</v>
      </c>
      <c r="F432" t="inlineStr">
        <is>
          <t>SÖDERMANLANDS LÄN</t>
        </is>
      </c>
      <c r="G432" t="inlineStr">
        <is>
          <t>FLEN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45250</v>
      </c>
      <c r="E433" s="1" t="n">
        <v>46297</v>
      </c>
      <c r="F433" t="inlineStr">
        <is>
          <t>SÖDERMANLANDS LÄN</t>
        </is>
      </c>
      <c r="G433" t="inlineStr">
        <is>
          <t>FLEN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46297</v>
      </c>
      <c r="F434" t="inlineStr">
        <is>
          <t>SÖDERMANLANDS LÄN</t>
        </is>
      </c>
      <c r="G434" t="inlineStr">
        <is>
          <t>FLEN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35990-2026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46266</v>
      </c>
      <c r="E435" s="1" t="n">
        <v>46297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59817-2022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46297</v>
      </c>
      <c r="F436" t="inlineStr">
        <is>
          <t>SÖDERMANLANDS LÄN</t>
        </is>
      </c>
      <c r="G436" t="inlineStr">
        <is>
          <t>FLEN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46297</v>
      </c>
      <c r="F437" t="inlineStr">
        <is>
          <t>SÖDERMANLANDS LÄN</t>
        </is>
      </c>
      <c r="G437" t="inlineStr">
        <is>
          <t>FLEN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46297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45309</v>
      </c>
      <c r="E439" s="1" t="n">
        <v>46297</v>
      </c>
      <c r="F439" t="inlineStr">
        <is>
          <t>SÖDERMANLANDS LÄN</t>
        </is>
      </c>
      <c r="G439" t="inlineStr">
        <is>
          <t>FLEN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46297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46267</v>
      </c>
      <c r="E441" s="1" t="n">
        <v>46297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44958</v>
      </c>
      <c r="E442" s="1" t="n">
        <v>46297</v>
      </c>
      <c r="F442" t="inlineStr">
        <is>
          <t>SÖDERMANLANDS LÄN</t>
        </is>
      </c>
      <c r="G442" t="inlineStr">
        <is>
          <t>FLEN</t>
        </is>
      </c>
      <c r="I442" t="n">
        <v>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51925-2022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44868</v>
      </c>
      <c r="E443" s="1" t="n">
        <v>46297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46229</v>
      </c>
      <c r="E444" s="1" t="n">
        <v>46297</v>
      </c>
      <c r="F444" t="inlineStr">
        <is>
          <t>SÖDERMANLANDS LÄN</t>
        </is>
      </c>
      <c r="G444" t="inlineStr">
        <is>
          <t>FLEN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44624</v>
      </c>
      <c r="E445" s="1" t="n">
        <v>46297</v>
      </c>
      <c r="F445" t="inlineStr">
        <is>
          <t>SÖDERMANLANDS LÄN</t>
        </is>
      </c>
      <c r="G445" t="inlineStr">
        <is>
          <t>FLEN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10828-2022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44624</v>
      </c>
      <c r="E446" s="1" t="n">
        <v>46297</v>
      </c>
      <c r="F446" t="inlineStr">
        <is>
          <t>SÖDERMANLANDS LÄN</t>
        </is>
      </c>
      <c r="G446" t="inlineStr">
        <is>
          <t>FLEN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16908-2024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45411</v>
      </c>
      <c r="E447" s="1" t="n">
        <v>46297</v>
      </c>
      <c r="F447" t="inlineStr">
        <is>
          <t>SÖDERMANLANDS LÄN</t>
        </is>
      </c>
      <c r="G447" t="inlineStr">
        <is>
          <t>FLEN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46297</v>
      </c>
      <c r="F448" t="inlineStr">
        <is>
          <t>SÖDERMANLANDS LÄN</t>
        </is>
      </c>
      <c r="G448" t="inlineStr">
        <is>
          <t>FLEN</t>
        </is>
      </c>
      <c r="H448" t="inlineStr">
        <is>
          <t>Kommuner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46297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46297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46297</v>
      </c>
      <c r="F451" t="inlineStr">
        <is>
          <t>SÖDERMANLANDS LÄN</t>
        </is>
      </c>
      <c r="G451" t="inlineStr">
        <is>
          <t>FLEN</t>
        </is>
      </c>
      <c r="H451" t="inlineStr">
        <is>
          <t>Övriga statliga verk och myndigheter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46297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46297</v>
      </c>
      <c r="F453" t="inlineStr">
        <is>
          <t>SÖDERMANLANDS LÄN</t>
        </is>
      </c>
      <c r="G453" t="inlineStr">
        <is>
          <t>FLEN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46273</v>
      </c>
      <c r="E454" s="1" t="n">
        <v>46297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48826-2022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44859</v>
      </c>
      <c r="E455" s="1" t="n">
        <v>46297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45501</v>
      </c>
      <c r="E456" s="1" t="n">
        <v>46297</v>
      </c>
      <c r="F456" t="inlineStr">
        <is>
          <t>SÖDERMANLANDS LÄN</t>
        </is>
      </c>
      <c r="G456" t="inlineStr">
        <is>
          <t>FLEN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44566</v>
      </c>
      <c r="E457" s="1" t="n">
        <v>46297</v>
      </c>
      <c r="F457" t="inlineStr">
        <is>
          <t>SÖDERMANLANDS LÄN</t>
        </is>
      </c>
      <c r="G457" t="inlineStr">
        <is>
          <t>FLEN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44960</v>
      </c>
      <c r="E458" s="1" t="n">
        <v>46297</v>
      </c>
      <c r="F458" t="inlineStr">
        <is>
          <t>SÖDERMANLANDS LÄN</t>
        </is>
      </c>
      <c r="G458" t="inlineStr">
        <is>
          <t>FLEN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48749-2022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44855</v>
      </c>
      <c r="E459" s="1" t="n">
        <v>46297</v>
      </c>
      <c r="F459" t="inlineStr">
        <is>
          <t>SÖDERMANLANDS LÄN</t>
        </is>
      </c>
      <c r="G459" t="inlineStr">
        <is>
          <t>FLEN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48774-2022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44855</v>
      </c>
      <c r="E460" s="1" t="n">
        <v>46297</v>
      </c>
      <c r="F460" t="inlineStr">
        <is>
          <t>SÖDERMANLANDS LÄN</t>
        </is>
      </c>
      <c r="G460" t="inlineStr">
        <is>
          <t>FLEN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45140</v>
      </c>
      <c r="E461" s="1" t="n">
        <v>46297</v>
      </c>
      <c r="F461" t="inlineStr">
        <is>
          <t>SÖDERMANLANDS LÄN</t>
        </is>
      </c>
      <c r="G461" t="inlineStr">
        <is>
          <t>FLEN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46297</v>
      </c>
      <c r="F462" t="inlineStr">
        <is>
          <t>SÖDERMANLANDS LÄN</t>
        </is>
      </c>
      <c r="G462" t="inlineStr">
        <is>
          <t>FLEN</t>
        </is>
      </c>
      <c r="I462" t="n">
        <v>9.5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22957-2023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46297</v>
      </c>
      <c r="F463" t="inlineStr">
        <is>
          <t>SÖDERMANLANDS LÄN</t>
        </is>
      </c>
      <c r="G463" t="inlineStr">
        <is>
          <t>FLEN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45482</v>
      </c>
      <c r="E464" s="1" t="n">
        <v>46297</v>
      </c>
      <c r="F464" t="inlineStr">
        <is>
          <t>SÖDERMANLANDS LÄN</t>
        </is>
      </c>
      <c r="G464" t="inlineStr">
        <is>
          <t>FLEN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49891-2023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45213</v>
      </c>
      <c r="E465" s="1" t="n">
        <v>46297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46297</v>
      </c>
      <c r="F466" t="inlineStr">
        <is>
          <t>SÖDERMANLANDS LÄN</t>
        </is>
      </c>
      <c r="G466" t="inlineStr">
        <is>
          <t>FLEN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46297</v>
      </c>
      <c r="F467" t="inlineStr">
        <is>
          <t>SÖDERMANLANDS LÄN</t>
        </is>
      </c>
      <c r="G467" t="inlineStr">
        <is>
          <t>FLEN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46297</v>
      </c>
      <c r="F468" t="inlineStr">
        <is>
          <t>SÖDERMANLANDS LÄN</t>
        </is>
      </c>
      <c r="G468" t="inlineStr">
        <is>
          <t>FLEN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60937-2022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44914</v>
      </c>
      <c r="E469" s="1" t="n">
        <v>46297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46297</v>
      </c>
      <c r="F470" t="inlineStr">
        <is>
          <t>SÖDERMANLANDS LÄN</t>
        </is>
      </c>
      <c r="G470" t="inlineStr">
        <is>
          <t>FLEN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46286</v>
      </c>
      <c r="E471" s="1" t="n">
        <v>46297</v>
      </c>
      <c r="F471" t="inlineStr">
        <is>
          <t>SÖDERMANLANDS LÄN</t>
        </is>
      </c>
      <c r="G471" t="inlineStr">
        <is>
          <t>FLEN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33103-2022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44785</v>
      </c>
      <c r="E472" s="1" t="n">
        <v>46297</v>
      </c>
      <c r="F472" t="inlineStr">
        <is>
          <t>SÖDERMANLANDS LÄN</t>
        </is>
      </c>
      <c r="G472" t="inlineStr">
        <is>
          <t>FLEN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44648</v>
      </c>
      <c r="E473" s="1" t="n">
        <v>46297</v>
      </c>
      <c r="F473" t="inlineStr">
        <is>
          <t>SÖDERMANLANDS LÄN</t>
        </is>
      </c>
      <c r="G473" t="inlineStr">
        <is>
          <t>FLEN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44979</v>
      </c>
      <c r="E474" s="1" t="n">
        <v>46297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46297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44739</v>
      </c>
      <c r="E476" s="1" t="n">
        <v>46297</v>
      </c>
      <c r="F476" t="inlineStr">
        <is>
          <t>SÖDERMANLANDS LÄN</t>
        </is>
      </c>
      <c r="G476" t="inlineStr">
        <is>
          <t>FLEN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44769</v>
      </c>
      <c r="E477" s="1" t="n">
        <v>46297</v>
      </c>
      <c r="F477" t="inlineStr">
        <is>
          <t>SÖDERMANLANDS LÄN</t>
        </is>
      </c>
      <c r="G477" t="inlineStr">
        <is>
          <t>FLEN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45036</v>
      </c>
      <c r="E478" s="1" t="n">
        <v>46297</v>
      </c>
      <c r="F478" t="inlineStr">
        <is>
          <t>SÖDERMANLANDS LÄN</t>
        </is>
      </c>
      <c r="G478" t="inlineStr">
        <is>
          <t>FLEN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44872</v>
      </c>
      <c r="E479" s="1" t="n">
        <v>46297</v>
      </c>
      <c r="F479" t="inlineStr">
        <is>
          <t>SÖDERMANLANDS LÄN</t>
        </is>
      </c>
      <c r="G479" t="inlineStr">
        <is>
          <t>FLEN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46249</v>
      </c>
      <c r="E480" s="1" t="n">
        <v>46297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46297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46297</v>
      </c>
      <c r="F482" t="inlineStr">
        <is>
          <t>SÖDERMANLANDS LÄN</t>
        </is>
      </c>
      <c r="G482" t="inlineStr">
        <is>
          <t>FLEN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33936-2026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46250</v>
      </c>
      <c r="E483" s="1" t="n">
        <v>46297</v>
      </c>
      <c r="F483" t="inlineStr">
        <is>
          <t>SÖDERMANLANDS LÄN</t>
        </is>
      </c>
      <c r="G483" t="inlineStr">
        <is>
          <t>FLEN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46293</v>
      </c>
      <c r="E484" s="1" t="n">
        <v>46297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46297</v>
      </c>
      <c r="F485" t="inlineStr">
        <is>
          <t>SÖDERMANLANDS LÄN</t>
        </is>
      </c>
      <c r="G485" t="inlineStr">
        <is>
          <t>FLEN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45239</v>
      </c>
      <c r="E486" s="1" t="n">
        <v>46297</v>
      </c>
      <c r="F486" t="inlineStr">
        <is>
          <t>SÖDERMANLANDS LÄN</t>
        </is>
      </c>
      <c r="G486" t="inlineStr">
        <is>
          <t>FLEN</t>
        </is>
      </c>
      <c r="H486" t="inlineStr">
        <is>
          <t>Övriga statliga verk och myndigheter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45244</v>
      </c>
      <c r="E487" s="1" t="n">
        <v>46297</v>
      </c>
      <c r="F487" t="inlineStr">
        <is>
          <t>SÖDERMANLANDS LÄN</t>
        </is>
      </c>
      <c r="G487" t="inlineStr">
        <is>
          <t>FLEN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20791-2022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44701</v>
      </c>
      <c r="E488" s="1" t="n">
        <v>46297</v>
      </c>
      <c r="F488" t="inlineStr">
        <is>
          <t>SÖDERMANLANDS LÄN</t>
        </is>
      </c>
      <c r="G488" t="inlineStr">
        <is>
          <t>FLEN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62579-2023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45270</v>
      </c>
      <c r="E489" s="1" t="n">
        <v>46297</v>
      </c>
      <c r="F489" t="inlineStr">
        <is>
          <t>SÖDERMANLANDS LÄN</t>
        </is>
      </c>
      <c r="G489" t="inlineStr">
        <is>
          <t>FLEN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33717-2026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46251</v>
      </c>
      <c r="E490" s="1" t="n">
        <v>46297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46296</v>
      </c>
      <c r="E491" s="1" t="n">
        <v>46297</v>
      </c>
      <c r="F491" t="inlineStr">
        <is>
          <t>SÖDERMANLANDS LÄN</t>
        </is>
      </c>
      <c r="G491" t="inlineStr">
        <is>
          <t>FLEN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45161</v>
      </c>
      <c r="E492" s="1" t="n">
        <v>46297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45518</v>
      </c>
      <c r="E493" s="1" t="n">
        <v>46297</v>
      </c>
      <c r="F493" t="inlineStr">
        <is>
          <t>SÖDERMANLANDS LÄN</t>
        </is>
      </c>
      <c r="G493" t="inlineStr">
        <is>
          <t>FLEN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44561-2024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45574</v>
      </c>
      <c r="E494" s="1" t="n">
        <v>46297</v>
      </c>
      <c r="F494" t="inlineStr">
        <is>
          <t>SÖDERMANLANDS LÄN</t>
        </is>
      </c>
      <c r="G494" t="inlineStr">
        <is>
          <t>FLEN</t>
        </is>
      </c>
      <c r="H494" t="inlineStr">
        <is>
          <t>Övriga statliga verk och myndigheter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33730-2026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46297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46297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46297</v>
      </c>
      <c r="F497" t="inlineStr">
        <is>
          <t>SÖDERMANLANDS LÄN</t>
        </is>
      </c>
      <c r="G497" t="inlineStr">
        <is>
          <t>FLEN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46297</v>
      </c>
      <c r="F498" t="inlineStr">
        <is>
          <t>SÖDERMANLANDS LÄN</t>
        </is>
      </c>
      <c r="G498" t="inlineStr">
        <is>
          <t>FLEN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46297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45022</v>
      </c>
      <c r="E500" s="1" t="n">
        <v>46297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46297</v>
      </c>
      <c r="F501" t="inlineStr">
        <is>
          <t>SÖDERMANLANDS LÄN</t>
        </is>
      </c>
      <c r="G501" t="inlineStr">
        <is>
          <t>FLEN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46297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36096-2023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45149</v>
      </c>
      <c r="E503" s="1" t="n">
        <v>46297</v>
      </c>
      <c r="F503" t="inlineStr">
        <is>
          <t>SÖDERMANLANDS LÄN</t>
        </is>
      </c>
      <c r="G503" t="inlineStr">
        <is>
          <t>FLEN</t>
        </is>
      </c>
      <c r="H503" t="inlineStr">
        <is>
          <t>Kyrkan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46297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45331</v>
      </c>
      <c r="E505" s="1" t="n">
        <v>46297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45140</v>
      </c>
      <c r="E506" s="1" t="n">
        <v>46297</v>
      </c>
      <c r="F506" t="inlineStr">
        <is>
          <t>SÖDERMANLANDS LÄN</t>
        </is>
      </c>
      <c r="G506" t="inlineStr">
        <is>
          <t>FLEN</t>
        </is>
      </c>
      <c r="H506" t="inlineStr">
        <is>
          <t>Kyrkan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44931</v>
      </c>
      <c r="E507" s="1" t="n">
        <v>46297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44580</v>
      </c>
      <c r="E508" s="1" t="n">
        <v>46297</v>
      </c>
      <c r="F508" t="inlineStr">
        <is>
          <t>SÖDERMANLANDS LÄN</t>
        </is>
      </c>
      <c r="G508" t="inlineStr">
        <is>
          <t>FLEN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46297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22028-2023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45066</v>
      </c>
      <c r="E510" s="1" t="n">
        <v>46297</v>
      </c>
      <c r="F510" t="inlineStr">
        <is>
          <t>SÖDERMANLANDS LÄN</t>
        </is>
      </c>
      <c r="G510" t="inlineStr">
        <is>
          <t>FLEN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44907</v>
      </c>
      <c r="E511" s="1" t="n">
        <v>46297</v>
      </c>
      <c r="F511" t="inlineStr">
        <is>
          <t>SÖDERMANLANDS LÄN</t>
        </is>
      </c>
      <c r="G511" t="inlineStr">
        <is>
          <t>FLEN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45667</v>
      </c>
      <c r="E512" s="1" t="n">
        <v>46297</v>
      </c>
      <c r="F512" t="inlineStr">
        <is>
          <t>SÖDERMANLANDS LÄN</t>
        </is>
      </c>
      <c r="G512" t="inlineStr">
        <is>
          <t>FLEN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46297</v>
      </c>
      <c r="F513" t="inlineStr">
        <is>
          <t>SÖDERMANLANDS LÄN</t>
        </is>
      </c>
      <c r="G513" t="inlineStr">
        <is>
          <t>FLEN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45230</v>
      </c>
      <c r="E514" s="1" t="n">
        <v>46297</v>
      </c>
      <c r="F514" t="inlineStr">
        <is>
          <t>SÖDERMANLANDS LÄN</t>
        </is>
      </c>
      <c r="G514" t="inlineStr">
        <is>
          <t>FLEN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45013</v>
      </c>
      <c r="E515" s="1" t="n">
        <v>46297</v>
      </c>
      <c r="F515" t="inlineStr">
        <is>
          <t>SÖDERMANLANDS LÄN</t>
        </is>
      </c>
      <c r="G515" t="inlineStr">
        <is>
          <t>FLEN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42731-2024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45566</v>
      </c>
      <c r="E516" s="1" t="n">
        <v>46297</v>
      </c>
      <c r="F516" t="inlineStr">
        <is>
          <t>SÖDERMANLANDS LÄN</t>
        </is>
      </c>
      <c r="G516" t="inlineStr">
        <is>
          <t>FLEN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57044-2023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46297</v>
      </c>
      <c r="F517" t="inlineStr">
        <is>
          <t>SÖDERMANLANDS LÄN</t>
        </is>
      </c>
      <c r="G517" t="inlineStr">
        <is>
          <t>FLEN</t>
        </is>
      </c>
      <c r="H517" t="inlineStr">
        <is>
          <t>Övriga statliga verk och myndigheter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13233-2024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45386</v>
      </c>
      <c r="E518" s="1" t="n">
        <v>46297</v>
      </c>
      <c r="F518" t="inlineStr">
        <is>
          <t>SÖDERMANLANDS LÄN</t>
        </is>
      </c>
      <c r="G518" t="inlineStr">
        <is>
          <t>FLEN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45777</v>
      </c>
      <c r="E519" s="1" t="n">
        <v>46297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46297</v>
      </c>
      <c r="F520" t="inlineStr">
        <is>
          <t>SÖDERMANLANDS LÄN</t>
        </is>
      </c>
      <c r="G520" t="inlineStr">
        <is>
          <t>FLEN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46297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46297</v>
      </c>
      <c r="F522" t="inlineStr">
        <is>
          <t>SÖDERMANLANDS LÄN</t>
        </is>
      </c>
      <c r="G522" t="inlineStr">
        <is>
          <t>FLEN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47055-2022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44852</v>
      </c>
      <c r="E523" s="1" t="n">
        <v>46297</v>
      </c>
      <c r="F523" t="inlineStr">
        <is>
          <t>SÖDERMANLANDS LÄN</t>
        </is>
      </c>
      <c r="G523" t="inlineStr">
        <is>
          <t>FLEN</t>
        </is>
      </c>
      <c r="I523" t="n">
        <v>8.699999999999999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54736-2022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44883</v>
      </c>
      <c r="E524" s="1" t="n">
        <v>46297</v>
      </c>
      <c r="F524" t="inlineStr">
        <is>
          <t>SÖDERMANLANDS LÄN</t>
        </is>
      </c>
      <c r="G524" t="inlineStr">
        <is>
          <t>FLEN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46297</v>
      </c>
      <c r="F525" t="inlineStr">
        <is>
          <t>SÖDERMANLANDS LÄN</t>
        </is>
      </c>
      <c r="G525" t="inlineStr">
        <is>
          <t>FLEN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46297</v>
      </c>
      <c r="F526" t="inlineStr">
        <is>
          <t>SÖDERMANLANDS LÄN</t>
        </is>
      </c>
      <c r="G526" t="inlineStr">
        <is>
          <t>FLEN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46297</v>
      </c>
      <c r="F527" t="inlineStr">
        <is>
          <t>SÖDERMANLANDS LÄN</t>
        </is>
      </c>
      <c r="G527" t="inlineStr">
        <is>
          <t>FLEN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46297</v>
      </c>
      <c r="F528" t="inlineStr">
        <is>
          <t>SÖDERMANLANDS LÄN</t>
        </is>
      </c>
      <c r="G528" t="inlineStr">
        <is>
          <t>FLEN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482-2022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44588</v>
      </c>
      <c r="E529" s="1" t="n">
        <v>46297</v>
      </c>
      <c r="F529" t="inlineStr">
        <is>
          <t>SÖDERMANLANDS LÄN</t>
        </is>
      </c>
      <c r="G529" t="inlineStr">
        <is>
          <t>FLEN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2321-2022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44685</v>
      </c>
      <c r="E530" s="1" t="n">
        <v>46297</v>
      </c>
      <c r="F530" t="inlineStr">
        <is>
          <t>SÖDERMANLANDS LÄN</t>
        </is>
      </c>
      <c r="G530" t="inlineStr">
        <is>
          <t>FLEN</t>
        </is>
      </c>
      <c r="H530" t="inlineStr">
        <is>
          <t>Kyrkan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458-2023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44964</v>
      </c>
      <c r="E531" s="1" t="n">
        <v>46297</v>
      </c>
      <c r="F531" t="inlineStr">
        <is>
          <t>SÖDERMANLANDS LÄN</t>
        </is>
      </c>
      <c r="G531" t="inlineStr">
        <is>
          <t>FLEN</t>
        </is>
      </c>
      <c r="H531" t="inlineStr">
        <is>
          <t>Kyrkan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45686</v>
      </c>
      <c r="E532" s="1" t="n">
        <v>46297</v>
      </c>
      <c r="F532" t="inlineStr">
        <is>
          <t>SÖDERMANLANDS LÄN</t>
        </is>
      </c>
      <c r="G532" t="inlineStr">
        <is>
          <t>FLEN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3723-2022</t>
        </is>
      </c>
      <c r="B533" t="inlineStr">
        <is>
          <t>samrådsanmälan</t>
        </is>
      </c>
      <c r="C533" t="inlineStr">
        <is>
          <t>Åtgärd i nyckelbiotop</t>
        </is>
      </c>
      <c r="D533" s="1" t="n">
        <v>44742</v>
      </c>
      <c r="E533" s="1" t="n">
        <v>46297</v>
      </c>
      <c r="F533" t="inlineStr">
        <is>
          <t>SÖDERMANLANDS LÄN</t>
        </is>
      </c>
      <c r="G533" t="inlineStr">
        <is>
          <t>FLEN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1976-2024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45446</v>
      </c>
      <c r="E534" s="1" t="n">
        <v>46297</v>
      </c>
      <c r="F534" t="inlineStr">
        <is>
          <t>SÖDERMANLANDS LÄN</t>
        </is>
      </c>
      <c r="G534" t="inlineStr">
        <is>
          <t>FLEN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1287-2024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45403</v>
      </c>
      <c r="E535" s="1" t="n">
        <v>46297</v>
      </c>
      <c r="F535" t="inlineStr">
        <is>
          <t>SÖDERMANLANDS LÄN</t>
        </is>
      </c>
      <c r="G535" t="inlineStr">
        <is>
          <t>FLEN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>
      <c r="A536" t="inlineStr">
        <is>
          <t>S 1528-2026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46164</v>
      </c>
      <c r="E536" s="1" t="n">
        <v>46297</v>
      </c>
      <c r="F536" t="inlineStr">
        <is>
          <t>SÖDERMANLANDS LÄN</t>
        </is>
      </c>
      <c r="G536" t="inlineStr">
        <is>
          <t>FLEN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2026-10-02T02:04:03Z</dcterms:created>
  <dcterms:modified xmlns:dcterms="http://purl.org/dc/terms/" xmlns:xsi="http://www.w3.org/2001/XMLSchema-instance" xsi:type="dcterms:W3CDTF">2026-10-02T02:04:03Z</dcterms:modified>
</cp:coreProperties>
</file>