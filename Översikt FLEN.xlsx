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46263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46263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46263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46263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46263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46263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46263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46263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46263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46263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46263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46263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46263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46263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46263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46263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46263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46263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46263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46263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50343-2024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45600</v>
      </c>
      <c r="E37" s="1" t="n">
        <v>46263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Svartöra
Tallticka
Blåsippa
Vildkaprifol</t>
        </is>
      </c>
      <c r="W37">
        <f>HYPERLINK("https://klasma.github.io/Logging_0482/artfynd/A 50343-2024 artfynd.xlsx", "A 50343-2024")</f>
        <v/>
      </c>
      <c r="X37">
        <f>HYPERLINK("https://klasma.github.io/Logging_0482/kartor/A 50343-2024 karta.png", "A 50343-2024")</f>
        <v/>
      </c>
      <c r="Y37">
        <f>HYPERLINK("https://klasma.github.io/Logging_0482/kartor_geotiff/A 50343-2024 georefererad karta.tif", "A 50343-2024")</f>
        <v/>
      </c>
      <c r="AA37">
        <f>HYPERLINK("https://klasma.github.io/Logging_0482/klagomål/A 50343-2024 FSC-klagomål.docx", "A 50343-2024")</f>
        <v/>
      </c>
      <c r="AB37">
        <f>HYPERLINK("https://klasma.github.io/Logging_0482/klagomålsmail/A 50343-2024 FSC-klagomål mail.docx", "A 50343-2024")</f>
        <v/>
      </c>
      <c r="AC37">
        <f>HYPERLINK("https://klasma.github.io/Logging_0482/tillsyn/A 50343-2024 tillsynsbegäran.docx", "A 50343-2024")</f>
        <v/>
      </c>
      <c r="AD37">
        <f>HYPERLINK("https://klasma.github.io/Logging_0482/tillsynsmail/A 50343-2024 tillsynsbegäran mail.docx", "A 50343-2024")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46263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46263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46263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13230-2023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46263</v>
      </c>
      <c r="F41" t="inlineStr">
        <is>
          <t>SÖDERMANLANDS LÄN</t>
        </is>
      </c>
      <c r="G41" t="inlineStr">
        <is>
          <t>FLEN</t>
        </is>
      </c>
      <c r="H41" t="inlineStr">
        <is>
          <t>Kommuner</t>
        </is>
      </c>
      <c r="I41" t="n">
        <v>7.8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Källpraktmossa
Stor aspticka
Blåsippa
Glansfläck</t>
        </is>
      </c>
      <c r="W41">
        <f>HYPERLINK("https://klasma.github.io/Logging_0482/artfynd/A 13230-2023 artfynd.xlsx", "A 13230-2023")</f>
        <v/>
      </c>
      <c r="X41">
        <f>HYPERLINK("https://klasma.github.io/Logging_0482/kartor/A 13230-2023 karta.png", "A 13230-2023")</f>
        <v/>
      </c>
      <c r="Y41">
        <f>HYPERLINK("https://klasma.github.io/Logging_0482/kartor_geotiff/A 13230-2023 georefererad karta.tif", "A 13230-2023")</f>
        <v/>
      </c>
      <c r="AA41">
        <f>HYPERLINK("https://klasma.github.io/Logging_0482/klagomål/A 13230-2023 FSC-klagomål.docx", "A 13230-2023")</f>
        <v/>
      </c>
      <c r="AB41">
        <f>HYPERLINK("https://klasma.github.io/Logging_0482/klagomålsmail/A 13230-2023 FSC-klagomål mail.docx", "A 13230-2023")</f>
        <v/>
      </c>
      <c r="AC41">
        <f>HYPERLINK("https://klasma.github.io/Logging_0482/tillsyn/A 13230-2023 tillsynsbegäran.docx", "A 13230-2023")</f>
        <v/>
      </c>
      <c r="AD41">
        <f>HYPERLINK("https://klasma.github.io/Logging_0482/tillsynsmail/A 13230-2023 tillsynsbegäran mail.docx", "A 13230-2023")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46263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46263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46263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46263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Dropptaggsvamp
Fönsterlav
Grå renlav
Gulvit renlav</t>
        </is>
      </c>
      <c r="W45">
        <f>HYPERLINK("https://klasma.github.io/Logging_0482/artfynd/A 11115-2026 artfynd.xlsx", "A 11115-2026")</f>
        <v/>
      </c>
      <c r="X45">
        <f>HYPERLINK("https://klasma.github.io/Logging_0482/kartor/A 11115-2026 karta.png", "A 11115-2026")</f>
        <v/>
      </c>
      <c r="Y45">
        <f>HYPERLINK("https://klasma.github.io/Logging_0482/kartor_geotiff/A 11115-2026 georefererad karta.tif", "A 11115-2026")</f>
        <v/>
      </c>
      <c r="AA45">
        <f>HYPERLINK("https://klasma.github.io/Logging_0482/klagomål/A 11115-2026 FSC-klagomål.docx", "A 11115-2026")</f>
        <v/>
      </c>
      <c r="AB45">
        <f>HYPERLINK("https://klasma.github.io/Logging_0482/klagomålsmail/A 11115-2026 FSC-klagomål mail.docx", "A 11115-2026")</f>
        <v/>
      </c>
      <c r="AC45">
        <f>HYPERLINK("https://klasma.github.io/Logging_0482/tillsyn/A 11115-2026 tillsynsbegäran.docx", "A 11115-2026")</f>
        <v/>
      </c>
      <c r="AD45">
        <f>HYPERLINK("https://klasma.github.io/Logging_0482/tillsynsmail/A 11115-2026 tillsynsbegäran mail.docx", "A 11115-2026")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46263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46263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46263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46263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46263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1149-2025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45666</v>
      </c>
      <c r="E51" s="1" t="n">
        <v>46263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5.1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Tallkötticka
Grönpyrola
Kamjordstjärna</t>
        </is>
      </c>
      <c r="W51">
        <f>HYPERLINK("https://klasma.github.io/Logging_0482/artfynd/A 1149-2025 artfynd.xlsx", "A 1149-2025")</f>
        <v/>
      </c>
      <c r="X51">
        <f>HYPERLINK("https://klasma.github.io/Logging_0482/kartor/A 1149-2025 karta.png", "A 1149-2025")</f>
        <v/>
      </c>
      <c r="Y51">
        <f>HYPERLINK("https://klasma.github.io/Logging_0482/kartor_geotiff/A 1149-2025 georefererad karta.tif", "A 1149-2025")</f>
        <v/>
      </c>
      <c r="AA51">
        <f>HYPERLINK("https://klasma.github.io/Logging_0482/klagomål/A 1149-2025 FSC-klagomål.docx", "A 1149-2025")</f>
        <v/>
      </c>
      <c r="AB51">
        <f>HYPERLINK("https://klasma.github.io/Logging_0482/klagomålsmail/A 1149-2025 FSC-klagomål mail.docx", "A 1149-2025")</f>
        <v/>
      </c>
      <c r="AC51">
        <f>HYPERLINK("https://klasma.github.io/Logging_0482/tillsyn/A 1149-2025 tillsynsbegäran.docx", "A 1149-2025")</f>
        <v/>
      </c>
      <c r="AD51">
        <f>HYPERLINK("https://klasma.github.io/Logging_0482/tillsynsmail/A 1149-2025 tillsynsbegäran mail.docx", "A 1149-2025")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46263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46263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9539-2026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46263</v>
      </c>
      <c r="F54" t="inlineStr">
        <is>
          <t>SÖDERMANLANDS LÄN</t>
        </is>
      </c>
      <c r="G54" t="inlineStr">
        <is>
          <t>FLEN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Ask
Slåtterfibbla
Blåsippa</t>
        </is>
      </c>
      <c r="W54">
        <f>HYPERLINK("https://klasma.github.io/Logging_0482/artfynd/A 9539-2026 artfynd.xlsx", "A 9539-2026")</f>
        <v/>
      </c>
      <c r="X54">
        <f>HYPERLINK("https://klasma.github.io/Logging_0482/kartor/A 9539-2026 karta.png", "A 9539-2026")</f>
        <v/>
      </c>
      <c r="Y54">
        <f>HYPERLINK("https://klasma.github.io/Logging_0482/kartor_geotiff/A 9539-2026 georefererad karta.tif", "A 9539-2026")</f>
        <v/>
      </c>
      <c r="AA54">
        <f>HYPERLINK("https://klasma.github.io/Logging_0482/klagomål/A 9539-2026 FSC-klagomål.docx", "A 9539-2026")</f>
        <v/>
      </c>
      <c r="AB54">
        <f>HYPERLINK("https://klasma.github.io/Logging_0482/klagomålsmail/A 9539-2026 FSC-klagomål mail.docx", "A 9539-2026")</f>
        <v/>
      </c>
      <c r="AC54">
        <f>HYPERLINK("https://klasma.github.io/Logging_0482/tillsyn/A 9539-2026 tillsynsbegäran.docx", "A 9539-2026")</f>
        <v/>
      </c>
      <c r="AD54">
        <f>HYPERLINK("https://klasma.github.io/Logging_0482/tillsynsmail/A 9539-2026 tillsynsbegäran mail.docx", "A 9539-2026")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46263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17512-2026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46263</v>
      </c>
      <c r="F56" t="inlineStr">
        <is>
          <t>SÖDERMANLANDS LÄN</t>
        </is>
      </c>
      <c r="G56" t="inlineStr">
        <is>
          <t>FLEN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Majbräken
Sälg</t>
        </is>
      </c>
      <c r="W56">
        <f>HYPERLINK("https://klasma.github.io/Logging_0482/artfynd/A 17512-2026 artfynd.xlsx", "A 17512-2026")</f>
        <v/>
      </c>
      <c r="X56">
        <f>HYPERLINK("https://klasma.github.io/Logging_0482/kartor/A 17512-2026 karta.png", "A 17512-2026")</f>
        <v/>
      </c>
      <c r="Y56">
        <f>HYPERLINK("https://klasma.github.io/Logging_0482/kartor_geotiff/A 17512-2026 georefererad karta.tif", "A 17512-2026")</f>
        <v/>
      </c>
      <c r="AA56">
        <f>HYPERLINK("https://klasma.github.io/Logging_0482/klagomål/A 17512-2026 FSC-klagomål.docx", "A 17512-2026")</f>
        <v/>
      </c>
      <c r="AB56">
        <f>HYPERLINK("https://klasma.github.io/Logging_0482/klagomålsmail/A 17512-2026 FSC-klagomål mail.docx", "A 17512-2026")</f>
        <v/>
      </c>
      <c r="AC56">
        <f>HYPERLINK("https://klasma.github.io/Logging_0482/tillsyn/A 17512-2026 tillsynsbegäran.docx", "A 17512-2026")</f>
        <v/>
      </c>
      <c r="AD56">
        <f>HYPERLINK("https://klasma.github.io/Logging_0482/tillsynsmail/A 17512-2026 tillsynsbegäran mail.docx", "A 17512-2026")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46263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46263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46263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Knärot
Grönpyrola
Revlummer</t>
        </is>
      </c>
      <c r="W59">
        <f>HYPERLINK("https://klasma.github.io/Logging_0482/artfynd/A 34985-2023 artfynd.xlsx", "A 34985-2023")</f>
        <v/>
      </c>
      <c r="X59">
        <f>HYPERLINK("https://klasma.github.io/Logging_0482/kartor/A 34985-2023 karta.png", "A 34985-2023")</f>
        <v/>
      </c>
      <c r="Y59">
        <f>HYPERLINK("https://klasma.github.io/Logging_0482/kartor_geotiff/A 34985-2023 georefererad karta.tif", "A 34985-2023")</f>
        <v/>
      </c>
      <c r="Z59">
        <f>HYPERLINK("https://klasma.github.io/Logging_0482/knärot/A 34985-2023 karta knärot.png", "A 34985-2023")</f>
        <v/>
      </c>
      <c r="AA59">
        <f>HYPERLINK("https://klasma.github.io/Logging_0482/klagomål/A 34985-2023 FSC-klagomål.docx", "A 34985-2023")</f>
        <v/>
      </c>
      <c r="AB59">
        <f>HYPERLINK("https://klasma.github.io/Logging_0482/klagomålsmail/A 34985-2023 FSC-klagomål mail.docx", "A 34985-2023")</f>
        <v/>
      </c>
      <c r="AC59">
        <f>HYPERLINK("https://klasma.github.io/Logging_0482/tillsyn/A 34985-2023 tillsynsbegäran.docx", "A 34985-2023")</f>
        <v/>
      </c>
      <c r="AD59">
        <f>HYPERLINK("https://klasma.github.io/Logging_0482/tillsynsmail/A 34985-2023 tillsynsbegäran mail.docx", "A 34985-2023")</f>
        <v/>
      </c>
    </row>
    <row r="60" ht="15" customHeight="1">
      <c r="A60" t="inlineStr">
        <is>
          <t>A 54302-2025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45965</v>
      </c>
      <c r="E60" s="1" t="n">
        <v>46263</v>
      </c>
      <c r="F60" t="inlineStr">
        <is>
          <t>SÖDERMANLANDS LÄN</t>
        </is>
      </c>
      <c r="G60" t="inlineStr">
        <is>
          <t>FLEN</t>
        </is>
      </c>
      <c r="I60" t="n">
        <v>12.6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2</v>
      </c>
      <c r="V60" s="2" t="inlineStr">
        <is>
          <t>Dofttaggsvamp
Svinrot
Mattlummer</t>
        </is>
      </c>
      <c r="W60">
        <f>HYPERLINK("https://klasma.github.io/Logging_0482/artfynd/A 54302-2025 artfynd.xlsx", "A 54302-2025")</f>
        <v/>
      </c>
      <c r="X60">
        <f>HYPERLINK("https://klasma.github.io/Logging_0482/kartor/A 54302-2025 karta.png", "A 54302-2025")</f>
        <v/>
      </c>
      <c r="Y60">
        <f>HYPERLINK("https://klasma.github.io/Logging_0482/kartor_geotiff/A 54302-2025 georefererad karta.tif", "A 54302-2025")</f>
        <v/>
      </c>
      <c r="AA60">
        <f>HYPERLINK("https://klasma.github.io/Logging_0482/klagomål/A 54302-2025 FSC-klagomål.docx", "A 54302-2025")</f>
        <v/>
      </c>
      <c r="AB60">
        <f>HYPERLINK("https://klasma.github.io/Logging_0482/klagomålsmail/A 54302-2025 FSC-klagomål mail.docx", "A 54302-2025")</f>
        <v/>
      </c>
      <c r="AC60">
        <f>HYPERLINK("https://klasma.github.io/Logging_0482/tillsyn/A 54302-2025 tillsynsbegäran.docx", "A 54302-2025")</f>
        <v/>
      </c>
      <c r="AD60">
        <f>HYPERLINK("https://klasma.github.io/Logging_0482/tillsynsmail/A 54302-2025 tillsynsbegäran mail.docx", "A 54302-2025")</f>
        <v/>
      </c>
    </row>
    <row r="61" ht="15" customHeight="1">
      <c r="A61" t="inlineStr">
        <is>
          <t>A 29895-2026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46263</v>
      </c>
      <c r="F61" t="inlineStr">
        <is>
          <t>SÖDERMANLANDS LÄN</t>
        </is>
      </c>
      <c r="G61" t="inlineStr">
        <is>
          <t>FLEN</t>
        </is>
      </c>
      <c r="I61" t="n">
        <v>0.7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Gullklöver
Svinrot
Revlummer</t>
        </is>
      </c>
      <c r="W61">
        <f>HYPERLINK("https://klasma.github.io/Logging_0482/artfynd/A 29895-2026 artfynd.xlsx", "A 29895-2026")</f>
        <v/>
      </c>
      <c r="X61">
        <f>HYPERLINK("https://klasma.github.io/Logging_0482/kartor/A 29895-2026 karta.png", "A 29895-2026")</f>
        <v/>
      </c>
      <c r="Y61">
        <f>HYPERLINK("https://klasma.github.io/Logging_0482/kartor_geotiff/A 29895-2026 georefererad karta.tif", "A 29895-2026")</f>
        <v/>
      </c>
      <c r="AA61">
        <f>HYPERLINK("https://klasma.github.io/Logging_0482/klagomål/A 29895-2026 FSC-klagomål.docx", "A 29895-2026")</f>
        <v/>
      </c>
      <c r="AB61">
        <f>HYPERLINK("https://klasma.github.io/Logging_0482/klagomålsmail/A 29895-2026 FSC-klagomål mail.docx", "A 29895-2026")</f>
        <v/>
      </c>
      <c r="AC61">
        <f>HYPERLINK("https://klasma.github.io/Logging_0482/tillsyn/A 29895-2026 tillsynsbegäran.docx", "A 29895-2026")</f>
        <v/>
      </c>
      <c r="AD61">
        <f>HYPERLINK("https://klasma.github.io/Logging_0482/tillsynsmail/A 29895-2026 tillsynsbegäran mail.docx", "A 29895-2026")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46263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46263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46263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46263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46263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46263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46263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46263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32744-2025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45838</v>
      </c>
      <c r="E70" s="1" t="n">
        <v>46263</v>
      </c>
      <c r="F70" t="inlineStr">
        <is>
          <t>SÖDERMANLANDS LÄN</t>
        </is>
      </c>
      <c r="G70" t="inlineStr">
        <is>
          <t>FLEN</t>
        </is>
      </c>
      <c r="I70" t="n">
        <v>1.8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Ekticka
Klasefibbla</t>
        </is>
      </c>
      <c r="W70">
        <f>HYPERLINK("https://klasma.github.io/Logging_0482/artfynd/A 32744-2025 artfynd.xlsx", "A 32744-2025")</f>
        <v/>
      </c>
      <c r="X70">
        <f>HYPERLINK("https://klasma.github.io/Logging_0482/kartor/A 32744-2025 karta.png", "A 32744-2025")</f>
        <v/>
      </c>
      <c r="Y70">
        <f>HYPERLINK("https://klasma.github.io/Logging_0482/kartor_geotiff/A 32744-2025 georefererad karta.tif", "A 32744-2025")</f>
        <v/>
      </c>
      <c r="AA70">
        <f>HYPERLINK("https://klasma.github.io/Logging_0482/klagomål/A 32744-2025 FSC-klagomål.docx", "A 32744-2025")</f>
        <v/>
      </c>
      <c r="AB70">
        <f>HYPERLINK("https://klasma.github.io/Logging_0482/klagomålsmail/A 32744-2025 FSC-klagomål mail.docx", "A 32744-2025")</f>
        <v/>
      </c>
      <c r="AC70">
        <f>HYPERLINK("https://klasma.github.io/Logging_0482/tillsyn/A 32744-2025 tillsynsbegäran.docx", "A 32744-2025")</f>
        <v/>
      </c>
      <c r="AD70">
        <f>HYPERLINK("https://klasma.github.io/Logging_0482/tillsynsmail/A 32744-2025 tillsynsbegäran mail.docx", "A 32744-2025")</f>
        <v/>
      </c>
    </row>
    <row r="71" ht="15" customHeight="1">
      <c r="A71" t="inlineStr">
        <is>
          <t>A 24464-2025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46263</v>
      </c>
      <c r="F71" t="inlineStr">
        <is>
          <t>SÖDERMANLANDS LÄN</t>
        </is>
      </c>
      <c r="G71" t="inlineStr">
        <is>
          <t>FLEN</t>
        </is>
      </c>
      <c r="H71" t="inlineStr">
        <is>
          <t>Holmen skog AB</t>
        </is>
      </c>
      <c r="I71" t="n">
        <v>1.1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Motaggsvamp
Vedskivlav</t>
        </is>
      </c>
      <c r="W71">
        <f>HYPERLINK("https://klasma.github.io/Logging_0482/artfynd/A 24464-2025 artfynd.xlsx", "A 24464-2025")</f>
        <v/>
      </c>
      <c r="X71">
        <f>HYPERLINK("https://klasma.github.io/Logging_0482/kartor/A 24464-2025 karta.png", "A 24464-2025")</f>
        <v/>
      </c>
      <c r="Y71">
        <f>HYPERLINK("https://klasma.github.io/Logging_0482/kartor_geotiff/A 24464-2025 georefererad karta.tif", "A 24464-2025")</f>
        <v/>
      </c>
      <c r="AA71">
        <f>HYPERLINK("https://klasma.github.io/Logging_0482/klagomål/A 24464-2025 FSC-klagomål.docx", "A 24464-2025")</f>
        <v/>
      </c>
      <c r="AB71">
        <f>HYPERLINK("https://klasma.github.io/Logging_0482/klagomålsmail/A 24464-2025 FSC-klagomål mail.docx", "A 24464-2025")</f>
        <v/>
      </c>
      <c r="AC71">
        <f>HYPERLINK("https://klasma.github.io/Logging_0482/tillsyn/A 24464-2025 tillsynsbegäran.docx", "A 24464-2025")</f>
        <v/>
      </c>
      <c r="AD71">
        <f>HYPERLINK("https://klasma.github.io/Logging_0482/tillsynsmail/A 24464-2025 tillsynsbegäran mail.docx", "A 24464-2025")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46263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46263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46263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46263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47194-2022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46263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2.3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Gullklöver
Svinrot</t>
        </is>
      </c>
      <c r="W76">
        <f>HYPERLINK("https://klasma.github.io/Logging_0482/artfynd/A 47194-2022 artfynd.xlsx", "A 47194-2022")</f>
        <v/>
      </c>
      <c r="X76">
        <f>HYPERLINK("https://klasma.github.io/Logging_0482/kartor/A 47194-2022 karta.png", "A 47194-2022")</f>
        <v/>
      </c>
      <c r="Y76">
        <f>HYPERLINK("https://klasma.github.io/Logging_0482/kartor_geotiff/A 47194-2022 georefererad karta.tif", "A 47194-2022")</f>
        <v/>
      </c>
      <c r="AA76">
        <f>HYPERLINK("https://klasma.github.io/Logging_0482/klagomål/A 47194-2022 FSC-klagomål.docx", "A 47194-2022")</f>
        <v/>
      </c>
      <c r="AB76">
        <f>HYPERLINK("https://klasma.github.io/Logging_0482/klagomålsmail/A 47194-2022 FSC-klagomål mail.docx", "A 47194-2022")</f>
        <v/>
      </c>
      <c r="AC76">
        <f>HYPERLINK("https://klasma.github.io/Logging_0482/tillsyn/A 47194-2022 tillsynsbegäran.docx", "A 47194-2022")</f>
        <v/>
      </c>
      <c r="AD76">
        <f>HYPERLINK("https://klasma.github.io/Logging_0482/tillsynsmail/A 47194-2022 tillsynsbegäran mail.docx", "A 47194-2022")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46263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46263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46263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8887-2026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46068</v>
      </c>
      <c r="E80" s="1" t="n">
        <v>46263</v>
      </c>
      <c r="F80" t="inlineStr">
        <is>
          <t>SÖDERMANLANDS LÄN</t>
        </is>
      </c>
      <c r="G80" t="inlineStr">
        <is>
          <t>FLEN</t>
        </is>
      </c>
      <c r="I80" t="n">
        <v>2.1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Större vattensalamander
Mindre vattensalamander</t>
        </is>
      </c>
      <c r="W80">
        <f>HYPERLINK("https://klasma.github.io/Logging_0482/artfynd/A 8887-2026 artfynd.xlsx", "A 8887-2026")</f>
        <v/>
      </c>
      <c r="X80">
        <f>HYPERLINK("https://klasma.github.io/Logging_0482/kartor/A 8887-2026 karta.png", "A 8887-2026")</f>
        <v/>
      </c>
      <c r="Y80">
        <f>HYPERLINK("https://klasma.github.io/Logging_0482/kartor_geotiff/A 8887-2026 georefererad karta.tif", "A 8887-2026")</f>
        <v/>
      </c>
      <c r="AA80">
        <f>HYPERLINK("https://klasma.github.io/Logging_0482/klagomål/A 8887-2026 FSC-klagomål.docx", "A 8887-2026")</f>
        <v/>
      </c>
      <c r="AB80">
        <f>HYPERLINK("https://klasma.github.io/Logging_0482/klagomålsmail/A 8887-2026 FSC-klagomål mail.docx", "A 8887-2026")</f>
        <v/>
      </c>
      <c r="AC80">
        <f>HYPERLINK("https://klasma.github.io/Logging_0482/tillsyn/A 8887-2026 tillsynsbegäran.docx", "A 8887-2026")</f>
        <v/>
      </c>
      <c r="AD80">
        <f>HYPERLINK("https://klasma.github.io/Logging_0482/tillsynsmail/A 8887-2026 tillsynsbegäran mail.docx", "A 8887-2026")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46263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59607-2022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46263</v>
      </c>
      <c r="F82" t="inlineStr">
        <is>
          <t>SÖDERMANLANDS LÄN</t>
        </is>
      </c>
      <c r="G82" t="inlineStr">
        <is>
          <t>FLEN</t>
        </is>
      </c>
      <c r="I82" t="n">
        <v>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Jungfrulin
Svinrot</t>
        </is>
      </c>
      <c r="W82">
        <f>HYPERLINK("https://klasma.github.io/Logging_0482/artfynd/A 59607-2022 artfynd.xlsx", "A 59607-2022")</f>
        <v/>
      </c>
      <c r="X82">
        <f>HYPERLINK("https://klasma.github.io/Logging_0482/kartor/A 59607-2022 karta.png", "A 59607-2022")</f>
        <v/>
      </c>
      <c r="Y82">
        <f>HYPERLINK("https://klasma.github.io/Logging_0482/kartor_geotiff/A 59607-2022 georefererad karta.tif", "A 59607-2022")</f>
        <v/>
      </c>
      <c r="AA82">
        <f>HYPERLINK("https://klasma.github.io/Logging_0482/klagomål/A 59607-2022 FSC-klagomål.docx", "A 59607-2022")</f>
        <v/>
      </c>
      <c r="AB82">
        <f>HYPERLINK("https://klasma.github.io/Logging_0482/klagomålsmail/A 59607-2022 FSC-klagomål mail.docx", "A 59607-2022")</f>
        <v/>
      </c>
      <c r="AC82">
        <f>HYPERLINK("https://klasma.github.io/Logging_0482/tillsyn/A 59607-2022 tillsynsbegäran.docx", "A 59607-2022")</f>
        <v/>
      </c>
      <c r="AD82">
        <f>HYPERLINK("https://klasma.github.io/Logging_0482/tillsynsmail/A 59607-2022 tillsynsbegäran mail.docx", "A 59607-2022")</f>
        <v/>
      </c>
    </row>
    <row r="83" ht="15" customHeight="1">
      <c r="A83" t="inlineStr">
        <is>
          <t>A 52858-2023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46263</v>
      </c>
      <c r="F83" t="inlineStr">
        <is>
          <t>SÖDERMANLANDS LÄN</t>
        </is>
      </c>
      <c r="G83" t="inlineStr">
        <is>
          <t>FLEN</t>
        </is>
      </c>
      <c r="I83" t="n">
        <v>3.6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1</v>
      </c>
      <c r="V83" s="2" t="inlineStr">
        <is>
          <t>Mindre hackspett
Tallticka</t>
        </is>
      </c>
      <c r="W83">
        <f>HYPERLINK("https://klasma.github.io/Logging_0482/artfynd/A 52858-2023 artfynd.xlsx", "A 52858-2023")</f>
        <v/>
      </c>
      <c r="X83">
        <f>HYPERLINK("https://klasma.github.io/Logging_0482/kartor/A 52858-2023 karta.png", "A 52858-2023")</f>
        <v/>
      </c>
      <c r="Y83">
        <f>HYPERLINK("https://klasma.github.io/Logging_0482/kartor_geotiff/A 52858-2023 georefererad karta.tif", "A 52858-2023")</f>
        <v/>
      </c>
      <c r="AA83">
        <f>HYPERLINK("https://klasma.github.io/Logging_0482/klagomål/A 52858-2023 FSC-klagomål.docx", "A 52858-2023")</f>
        <v/>
      </c>
      <c r="AB83">
        <f>HYPERLINK("https://klasma.github.io/Logging_0482/klagomålsmail/A 52858-2023 FSC-klagomål mail.docx", "A 52858-2023")</f>
        <v/>
      </c>
      <c r="AC83">
        <f>HYPERLINK("https://klasma.github.io/Logging_0482/tillsyn/A 52858-2023 tillsynsbegäran.docx", "A 52858-2023")</f>
        <v/>
      </c>
      <c r="AD83">
        <f>HYPERLINK("https://klasma.github.io/Logging_0482/tillsynsmail/A 52858-2023 tillsynsbegäran mail.docx", "A 52858-2023")</f>
        <v/>
      </c>
      <c r="AE83">
        <f>HYPERLINK("https://klasma.github.io/Logging_0482/fåglar/A 52858-2023 prioriterade fågelarter.docx", "A 52858-2023")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46263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Vanlig backsmörblomma</t>
        </is>
      </c>
      <c r="W84">
        <f>HYPERLINK("https://klasma.github.io/Logging_0482/artfynd/A 10825-2022 artfynd.xlsx", "A 10825-2022")</f>
        <v/>
      </c>
      <c r="X84">
        <f>HYPERLINK("https://klasma.github.io/Logging_0482/kartor/A 10825-2022 karta.png", "A 10825-2022")</f>
        <v/>
      </c>
      <c r="Y84">
        <f>HYPERLINK("https://klasma.github.io/Logging_0482/kartor_geotiff/A 10825-2022 georefererad karta.tif", "A 10825-2022")</f>
        <v/>
      </c>
      <c r="AA84">
        <f>HYPERLINK("https://klasma.github.io/Logging_0482/klagomål/A 10825-2022 FSC-klagomål.docx", "A 10825-2022")</f>
        <v/>
      </c>
      <c r="AB84">
        <f>HYPERLINK("https://klasma.github.io/Logging_0482/klagomålsmail/A 10825-2022 FSC-klagomål mail.docx", "A 10825-2022")</f>
        <v/>
      </c>
      <c r="AC84">
        <f>HYPERLINK("https://klasma.github.io/Logging_0482/tillsyn/A 10825-2022 tillsynsbegäran.docx", "A 10825-2022")</f>
        <v/>
      </c>
      <c r="AD84">
        <f>HYPERLINK("https://klasma.github.io/Logging_0482/tillsynsmail/A 10825-2022 tillsynsbegäran mail.docx", "A 10825-2022")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46263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49255-2021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46263</v>
      </c>
      <c r="F86" t="inlineStr">
        <is>
          <t>SÖDERMANLANDS LÄN</t>
        </is>
      </c>
      <c r="G86" t="inlineStr">
        <is>
          <t>FLEN</t>
        </is>
      </c>
      <c r="I86" t="n">
        <v>15.6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Backstarr
Revlummer</t>
        </is>
      </c>
      <c r="W86">
        <f>HYPERLINK("https://klasma.github.io/Logging_0482/artfynd/A 49255-2021 artfynd.xlsx", "A 49255-2021")</f>
        <v/>
      </c>
      <c r="X86">
        <f>HYPERLINK("https://klasma.github.io/Logging_0482/kartor/A 49255-2021 karta.png", "A 49255-2021")</f>
        <v/>
      </c>
      <c r="Y86">
        <f>HYPERLINK("https://klasma.github.io/Logging_0482/kartor_geotiff/A 49255-2021 georefererad karta.tif", "A 49255-2021")</f>
        <v/>
      </c>
      <c r="AA86">
        <f>HYPERLINK("https://klasma.github.io/Logging_0482/klagomål/A 49255-2021 FSC-klagomål.docx", "A 49255-2021")</f>
        <v/>
      </c>
      <c r="AB86">
        <f>HYPERLINK("https://klasma.github.io/Logging_0482/klagomålsmail/A 49255-2021 FSC-klagomål mail.docx", "A 49255-2021")</f>
        <v/>
      </c>
      <c r="AC86">
        <f>HYPERLINK("https://klasma.github.io/Logging_0482/tillsyn/A 49255-2021 tillsynsbegäran.docx", "A 49255-2021")</f>
        <v/>
      </c>
      <c r="AD86">
        <f>HYPERLINK("https://klasma.github.io/Logging_0482/tillsynsmail/A 49255-2021 tillsynsbegäran mail.docx", "A 49255-2021")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46263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46263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22511-2026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46263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Ormbär
Skriftlav</t>
        </is>
      </c>
      <c r="W89">
        <f>HYPERLINK("https://klasma.github.io/Logging_0482/artfynd/A 22511-2026 artfynd.xlsx", "A 22511-2026")</f>
        <v/>
      </c>
      <c r="X89">
        <f>HYPERLINK("https://klasma.github.io/Logging_0482/kartor/A 22511-2026 karta.png", "A 22511-2026")</f>
        <v/>
      </c>
      <c r="Y89">
        <f>HYPERLINK("https://klasma.github.io/Logging_0482/kartor_geotiff/A 22511-2026 georefererad karta.tif", "A 22511-2026")</f>
        <v/>
      </c>
      <c r="AA89">
        <f>HYPERLINK("https://klasma.github.io/Logging_0482/klagomål/A 22511-2026 FSC-klagomål.docx", "A 22511-2026")</f>
        <v/>
      </c>
      <c r="AB89">
        <f>HYPERLINK("https://klasma.github.io/Logging_0482/klagomålsmail/A 22511-2026 FSC-klagomål mail.docx", "A 22511-2026")</f>
        <v/>
      </c>
      <c r="AC89">
        <f>HYPERLINK("https://klasma.github.io/Logging_0482/tillsyn/A 22511-2026 tillsynsbegäran.docx", "A 22511-2026")</f>
        <v/>
      </c>
      <c r="AD89">
        <f>HYPERLINK("https://klasma.github.io/Logging_0482/tillsynsmail/A 22511-2026 tillsynsbegäran mail.docx", "A 22511-2026")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46263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34849-2026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46258</v>
      </c>
      <c r="E91" s="1" t="n">
        <v>46263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5</v>
      </c>
      <c r="U91" t="n">
        <v>0</v>
      </c>
      <c r="V91" s="2" t="inlineStr">
        <is>
          <t>Motaggsvamp
Vedskivlav</t>
        </is>
      </c>
      <c r="W91">
        <f>HYPERLINK("https://klasma.github.io/Logging_0482/artfynd/A 34849-2026 artfynd.xlsx", "A 34849-2026")</f>
        <v/>
      </c>
      <c r="X91">
        <f>HYPERLINK("https://klasma.github.io/Logging_0482/kartor/A 34849-2026 karta.png", "A 34849-2026")</f>
        <v/>
      </c>
      <c r="Y91">
        <f>HYPERLINK("https://klasma.github.io/Logging_0482/kartor_geotiff/A 34849-2026 georefererad karta.tif", "A 34849-2026")</f>
        <v/>
      </c>
      <c r="AA91">
        <f>HYPERLINK("https://klasma.github.io/Logging_0482/klagomål/A 34849-2026 FSC-klagomål.docx", "A 34849-2026")</f>
        <v/>
      </c>
      <c r="AB91">
        <f>HYPERLINK("https://klasma.github.io/Logging_0482/klagomålsmail/A 34849-2026 FSC-klagomål mail.docx", "A 34849-2026")</f>
        <v/>
      </c>
      <c r="AC91">
        <f>HYPERLINK("https://klasma.github.io/Logging_0482/tillsyn/A 34849-2026 tillsynsbegäran.docx", "A 34849-2026")</f>
        <v/>
      </c>
      <c r="AD91">
        <f>HYPERLINK("https://klasma.github.io/Logging_0482/tillsynsmail/A 34849-2026 tillsynsbegäran mail.docx", "A 34849-2026")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46263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46263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46263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46263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46263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46263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52579-2025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45954</v>
      </c>
      <c r="E98" s="1" t="n">
        <v>46263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4.5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Slåtterfibbla</t>
        </is>
      </c>
      <c r="W98">
        <f>HYPERLINK("https://klasma.github.io/Logging_0482/artfynd/A 52579-2025 artfynd.xlsx", "A 52579-2025")</f>
        <v/>
      </c>
      <c r="X98">
        <f>HYPERLINK("https://klasma.github.io/Logging_0482/kartor/A 52579-2025 karta.png", "A 52579-2025")</f>
        <v/>
      </c>
      <c r="Y98">
        <f>HYPERLINK("https://klasma.github.io/Logging_0482/kartor_geotiff/A 52579-2025 georefererad karta.tif", "A 52579-2025")</f>
        <v/>
      </c>
      <c r="AA98">
        <f>HYPERLINK("https://klasma.github.io/Logging_0482/klagomål/A 52579-2025 FSC-klagomål.docx", "A 52579-2025")</f>
        <v/>
      </c>
      <c r="AB98">
        <f>HYPERLINK("https://klasma.github.io/Logging_0482/klagomålsmail/A 52579-2025 FSC-klagomål mail.docx", "A 52579-2025")</f>
        <v/>
      </c>
      <c r="AC98">
        <f>HYPERLINK("https://klasma.github.io/Logging_0482/tillsyn/A 52579-2025 tillsynsbegäran.docx", "A 52579-2025")</f>
        <v/>
      </c>
      <c r="AD98">
        <f>HYPERLINK("https://klasma.github.io/Logging_0482/tillsynsmail/A 52579-2025 tillsynsbegäran mail.docx", "A 52579-2025")</f>
        <v/>
      </c>
    </row>
    <row r="99" ht="15" customHeight="1">
      <c r="A99" t="inlineStr">
        <is>
          <t>A 46115-2023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46263</v>
      </c>
      <c r="F99" t="inlineStr">
        <is>
          <t>SÖDERMANLANDS LÄN</t>
        </is>
      </c>
      <c r="G99" t="inlineStr">
        <is>
          <t>FLEN</t>
        </is>
      </c>
      <c r="H99" t="inlineStr">
        <is>
          <t>Kyrkan</t>
        </is>
      </c>
      <c r="I99" t="n">
        <v>3.3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HYPERLINK("https://klasma.github.io/Logging_0482/artfynd/A 46115-2023 artfynd.xlsx", "A 46115-2023")</f>
        <v/>
      </c>
      <c r="X99">
        <f>HYPERLINK("https://klasma.github.io/Logging_0482/kartor/A 46115-2023 karta.png", "A 46115-2023")</f>
        <v/>
      </c>
      <c r="Y99">
        <f>HYPERLINK("https://klasma.github.io/Logging_0482/kartor_geotiff/A 46115-2023 georefererad karta.tif", "A 46115-2023")</f>
        <v/>
      </c>
      <c r="AA99">
        <f>HYPERLINK("https://klasma.github.io/Logging_0482/klagomål/A 46115-2023 FSC-klagomål.docx", "A 46115-2023")</f>
        <v/>
      </c>
      <c r="AB99">
        <f>HYPERLINK("https://klasma.github.io/Logging_0482/klagomålsmail/A 46115-2023 FSC-klagomål mail.docx", "A 46115-2023")</f>
        <v/>
      </c>
      <c r="AC99">
        <f>HYPERLINK("https://klasma.github.io/Logging_0482/tillsyn/A 46115-2023 tillsynsbegäran.docx", "A 46115-2023")</f>
        <v/>
      </c>
      <c r="AD99">
        <f>HYPERLINK("https://klasma.github.io/Logging_0482/tillsynsmail/A 46115-2023 tillsynsbegäran mail.docx", "A 46115-2023")</f>
        <v/>
      </c>
    </row>
    <row r="100" ht="15" customHeight="1">
      <c r="A100" t="inlineStr">
        <is>
          <t>A 45120-2021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44439</v>
      </c>
      <c r="E100" s="1" t="n">
        <v>46263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Svinrot</t>
        </is>
      </c>
      <c r="W100">
        <f>HYPERLINK("https://klasma.github.io/Logging_0482/artfynd/A 45120-2021 artfynd.xlsx", "A 45120-2021")</f>
        <v/>
      </c>
      <c r="X100">
        <f>HYPERLINK("https://klasma.github.io/Logging_0482/kartor/A 45120-2021 karta.png", "A 45120-2021")</f>
        <v/>
      </c>
      <c r="Y100">
        <f>HYPERLINK("https://klasma.github.io/Logging_0482/kartor_geotiff/A 45120-2021 georefererad karta.tif", "A 45120-2021")</f>
        <v/>
      </c>
      <c r="AA100">
        <f>HYPERLINK("https://klasma.github.io/Logging_0482/klagomål/A 45120-2021 FSC-klagomål.docx", "A 45120-2021")</f>
        <v/>
      </c>
      <c r="AB100">
        <f>HYPERLINK("https://klasma.github.io/Logging_0482/klagomålsmail/A 45120-2021 FSC-klagomål mail.docx", "A 45120-2021")</f>
        <v/>
      </c>
      <c r="AC100">
        <f>HYPERLINK("https://klasma.github.io/Logging_0482/tillsyn/A 45120-2021 tillsynsbegäran.docx", "A 45120-2021")</f>
        <v/>
      </c>
      <c r="AD100">
        <f>HYPERLINK("https://klasma.github.io/Logging_0482/tillsynsmail/A 45120-2021 tillsynsbegäran mail.docx", "A 45120-2021")</f>
        <v/>
      </c>
    </row>
    <row r="101" ht="15" customHeight="1">
      <c r="A101" t="inlineStr">
        <is>
          <t>A 56308-2024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46263</v>
      </c>
      <c r="F101" t="inlineStr">
        <is>
          <t>SÖDERMANLANDS LÄN</t>
        </is>
      </c>
      <c r="G101" t="inlineStr">
        <is>
          <t>FLEN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56308-2024 artfynd.xlsx", "A 56308-2024")</f>
        <v/>
      </c>
      <c r="X101">
        <f>HYPERLINK("https://klasma.github.io/Logging_0482/kartor/A 56308-2024 karta.png", "A 56308-2024")</f>
        <v/>
      </c>
      <c r="Y101">
        <f>HYPERLINK("https://klasma.github.io/Logging_0482/kartor_geotiff/A 56308-2024 georefererad karta.tif", "A 56308-2024")</f>
        <v/>
      </c>
      <c r="AA101">
        <f>HYPERLINK("https://klasma.github.io/Logging_0482/klagomål/A 56308-2024 FSC-klagomål.docx", "A 56308-2024")</f>
        <v/>
      </c>
      <c r="AB101">
        <f>HYPERLINK("https://klasma.github.io/Logging_0482/klagomålsmail/A 56308-2024 FSC-klagomål mail.docx", "A 56308-2024")</f>
        <v/>
      </c>
      <c r="AC101">
        <f>HYPERLINK("https://klasma.github.io/Logging_0482/tillsyn/A 56308-2024 tillsynsbegäran.docx", "A 56308-2024")</f>
        <v/>
      </c>
      <c r="AD101">
        <f>HYPERLINK("https://klasma.github.io/Logging_0482/tillsynsmail/A 56308-2024 tillsynsbegäran mail.docx", "A 56308-2024")</f>
        <v/>
      </c>
    </row>
    <row r="102" ht="15" customHeight="1">
      <c r="A102" t="inlineStr">
        <is>
          <t>A 38829-2025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46263</v>
      </c>
      <c r="F102" t="inlineStr">
        <is>
          <t>SÖDERMANLANDS LÄN</t>
        </is>
      </c>
      <c r="G102" t="inlineStr">
        <is>
          <t>FLEN</t>
        </is>
      </c>
      <c r="I102" t="n">
        <v>4.2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38829-2025 artfynd.xlsx", "A 38829-2025")</f>
        <v/>
      </c>
      <c r="X102">
        <f>HYPERLINK("https://klasma.github.io/Logging_0482/kartor/A 38829-2025 karta.png", "A 38829-2025")</f>
        <v/>
      </c>
      <c r="Y102">
        <f>HYPERLINK("https://klasma.github.io/Logging_0482/kartor_geotiff/A 38829-2025 georefererad karta.tif", "A 38829-2025")</f>
        <v/>
      </c>
      <c r="AA102">
        <f>HYPERLINK("https://klasma.github.io/Logging_0482/klagomål/A 38829-2025 FSC-klagomål.docx", "A 38829-2025")</f>
        <v/>
      </c>
      <c r="AB102">
        <f>HYPERLINK("https://klasma.github.io/Logging_0482/klagomålsmail/A 38829-2025 FSC-klagomål mail.docx", "A 38829-2025")</f>
        <v/>
      </c>
      <c r="AC102">
        <f>HYPERLINK("https://klasma.github.io/Logging_0482/tillsyn/A 38829-2025 tillsynsbegäran.docx", "A 38829-2025")</f>
        <v/>
      </c>
      <c r="AD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46263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12056-2024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46263</v>
      </c>
      <c r="F104" t="inlineStr">
        <is>
          <t>SÖDERMANLANDS LÄN</t>
        </is>
      </c>
      <c r="G104" t="inlineStr">
        <is>
          <t>FLEN</t>
        </is>
      </c>
      <c r="I104" t="n">
        <v>8.4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Fjällig taggsvamp s.str.</t>
        </is>
      </c>
      <c r="W104">
        <f>HYPERLINK("https://klasma.github.io/Logging_0482/artfynd/A 12056-2024 artfynd.xlsx", "A 12056-2024")</f>
        <v/>
      </c>
      <c r="X104">
        <f>HYPERLINK("https://klasma.github.io/Logging_0482/kartor/A 12056-2024 karta.png", "A 12056-2024")</f>
        <v/>
      </c>
      <c r="Y104">
        <f>HYPERLINK("https://klasma.github.io/Logging_0482/kartor_geotiff/A 12056-2024 georefererad karta.tif", "A 12056-2024")</f>
        <v/>
      </c>
      <c r="AA104">
        <f>HYPERLINK("https://klasma.github.io/Logging_0482/klagomål/A 12056-2024 FSC-klagomål.docx", "A 12056-2024")</f>
        <v/>
      </c>
      <c r="AB104">
        <f>HYPERLINK("https://klasma.github.io/Logging_0482/klagomålsmail/A 12056-2024 FSC-klagomål mail.docx", "A 12056-2024")</f>
        <v/>
      </c>
      <c r="AC104">
        <f>HYPERLINK("https://klasma.github.io/Logging_0482/tillsyn/A 12056-2024 tillsynsbegäran.docx", "A 12056-2024")</f>
        <v/>
      </c>
      <c r="AD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52546-2021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46263</v>
      </c>
      <c r="F105" t="inlineStr">
        <is>
          <t>SÖDERMANLANDS LÄN</t>
        </is>
      </c>
      <c r="G105" t="inlineStr">
        <is>
          <t>FLEN</t>
        </is>
      </c>
      <c r="I105" t="n">
        <v>6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HYPERLINK("https://klasma.github.io/Logging_0482/artfynd/A 52546-2021 artfynd.xlsx", "A 52546-2021")</f>
        <v/>
      </c>
      <c r="X105">
        <f>HYPERLINK("https://klasma.github.io/Logging_0482/kartor/A 52546-2021 karta.png", "A 52546-2021")</f>
        <v/>
      </c>
      <c r="Y105">
        <f>HYPERLINK("https://klasma.github.io/Logging_0482/kartor_geotiff/A 52546-2021 georefererad karta.tif", "A 52546-2021")</f>
        <v/>
      </c>
      <c r="AA105">
        <f>HYPERLINK("https://klasma.github.io/Logging_0482/klagomål/A 52546-2021 FSC-klagomål.docx", "A 52546-2021")</f>
        <v/>
      </c>
      <c r="AB105">
        <f>HYPERLINK("https://klasma.github.io/Logging_0482/klagomålsmail/A 52546-2021 FSC-klagomål mail.docx", "A 52546-2021")</f>
        <v/>
      </c>
      <c r="AC105">
        <f>HYPERLINK("https://klasma.github.io/Logging_0482/tillsyn/A 52546-2021 tillsynsbegäran.docx", "A 52546-2021")</f>
        <v/>
      </c>
      <c r="AD105">
        <f>HYPERLINK("https://klasma.github.io/Logging_0482/tillsynsmail/A 52546-2021 tillsynsbegäran mail.docx", "A 52546-2021")</f>
        <v/>
      </c>
    </row>
    <row r="106" ht="15" customHeight="1">
      <c r="A106" t="inlineStr">
        <is>
          <t>A 10770-2022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46263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Svinrot</t>
        </is>
      </c>
      <c r="W106">
        <f>HYPERLINK("https://klasma.github.io/Logging_0482/artfynd/A 10770-2022 artfynd.xlsx", "A 10770-2022")</f>
        <v/>
      </c>
      <c r="X106">
        <f>HYPERLINK("https://klasma.github.io/Logging_0482/kartor/A 10770-2022 karta.png", "A 10770-2022")</f>
        <v/>
      </c>
      <c r="Y106">
        <f>HYPERLINK("https://klasma.github.io/Logging_0482/kartor_geotiff/A 10770-2022 georefererad karta.tif", "A 10770-2022")</f>
        <v/>
      </c>
      <c r="AA106">
        <f>HYPERLINK("https://klasma.github.io/Logging_0482/klagomål/A 10770-2022 FSC-klagomål.docx", "A 10770-2022")</f>
        <v/>
      </c>
      <c r="AB106">
        <f>HYPERLINK("https://klasma.github.io/Logging_0482/klagomålsmail/A 10770-2022 FSC-klagomål mail.docx", "A 10770-2022")</f>
        <v/>
      </c>
      <c r="AC106">
        <f>HYPERLINK("https://klasma.github.io/Logging_0482/tillsyn/A 10770-2022 tillsynsbegäran.docx", "A 10770-2022")</f>
        <v/>
      </c>
      <c r="AD106">
        <f>HYPERLINK("https://klasma.github.io/Logging_0482/tillsynsmail/A 10770-2022 tillsynsbegäran mail.docx", "A 10770-2022")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46263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14273-2025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46263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Vedskivlav</t>
        </is>
      </c>
      <c r="W108">
        <f>HYPERLINK("https://klasma.github.io/Logging_0482/artfynd/A 14273-2025 artfynd.xlsx", "A 14273-2025")</f>
        <v/>
      </c>
      <c r="X108">
        <f>HYPERLINK("https://klasma.github.io/Logging_0482/kartor/A 14273-2025 karta.png", "A 14273-2025")</f>
        <v/>
      </c>
      <c r="Y108">
        <f>HYPERLINK("https://klasma.github.io/Logging_0482/kartor_geotiff/A 14273-2025 georefererad karta.tif", "A 14273-2025")</f>
        <v/>
      </c>
      <c r="AA108">
        <f>HYPERLINK("https://klasma.github.io/Logging_0482/klagomål/A 14273-2025 FSC-klagomål.docx", "A 14273-2025")</f>
        <v/>
      </c>
      <c r="AB108">
        <f>HYPERLINK("https://klasma.github.io/Logging_0482/klagomålsmail/A 14273-2025 FSC-klagomål mail.docx", "A 14273-2025")</f>
        <v/>
      </c>
      <c r="AC108">
        <f>HYPERLINK("https://klasma.github.io/Logging_0482/tillsyn/A 14273-2025 tillsynsbegäran.docx", "A 14273-2025")</f>
        <v/>
      </c>
      <c r="AD108">
        <f>HYPERLINK("https://klasma.github.io/Logging_0482/tillsynsmail/A 14273-2025 tillsynsbegäran mail.docx", "A 14273-2025")</f>
        <v/>
      </c>
    </row>
    <row r="109" ht="15" customHeight="1">
      <c r="A109" t="inlineStr">
        <is>
          <t>A 31972-2024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46263</v>
      </c>
      <c r="F109" t="inlineStr">
        <is>
          <t>SÖDERMANLANDS LÄN</t>
        </is>
      </c>
      <c r="G109" t="inlineStr">
        <is>
          <t>FLEN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Åkerrödtoppa</t>
        </is>
      </c>
      <c r="W109">
        <f>HYPERLINK("https://klasma.github.io/Logging_0482/artfynd/A 31972-2024 artfynd.xlsx", "A 31972-2024")</f>
        <v/>
      </c>
      <c r="X109">
        <f>HYPERLINK("https://klasma.github.io/Logging_0482/kartor/A 31972-2024 karta.png", "A 31972-2024")</f>
        <v/>
      </c>
      <c r="Y109">
        <f>HYPERLINK("https://klasma.github.io/Logging_0482/kartor_geotiff/A 31972-2024 georefererad karta.tif", "A 31972-2024")</f>
        <v/>
      </c>
      <c r="AA109">
        <f>HYPERLINK("https://klasma.github.io/Logging_0482/klagomål/A 31972-2024 FSC-klagomål.docx", "A 31972-2024")</f>
        <v/>
      </c>
      <c r="AB109">
        <f>HYPERLINK("https://klasma.github.io/Logging_0482/klagomålsmail/A 31972-2024 FSC-klagomål mail.docx", "A 31972-2024")</f>
        <v/>
      </c>
      <c r="AC109">
        <f>HYPERLINK("https://klasma.github.io/Logging_0482/tillsyn/A 31972-2024 tillsynsbegäran.docx", "A 31972-2024")</f>
        <v/>
      </c>
      <c r="AD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62535-2021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46263</v>
      </c>
      <c r="F110" t="inlineStr">
        <is>
          <t>SÖDERMANLANDS LÄN</t>
        </is>
      </c>
      <c r="G110" t="inlineStr">
        <is>
          <t>FLEN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62535-2021 artfynd.xlsx", "A 62535-2021")</f>
        <v/>
      </c>
      <c r="X110">
        <f>HYPERLINK("https://klasma.github.io/Logging_0482/kartor/A 62535-2021 karta.png", "A 62535-2021")</f>
        <v/>
      </c>
      <c r="Y110">
        <f>HYPERLINK("https://klasma.github.io/Logging_0482/kartor_geotiff/A 62535-2021 georefererad karta.tif", "A 62535-2021")</f>
        <v/>
      </c>
      <c r="AA110">
        <f>HYPERLINK("https://klasma.github.io/Logging_0482/klagomål/A 62535-2021 FSC-klagomål.docx", "A 62535-2021")</f>
        <v/>
      </c>
      <c r="AB110">
        <f>HYPERLINK("https://klasma.github.io/Logging_0482/klagomålsmail/A 62535-2021 FSC-klagomål mail.docx", "A 62535-2021")</f>
        <v/>
      </c>
      <c r="AC110">
        <f>HYPERLINK("https://klasma.github.io/Logging_0482/tillsyn/A 62535-2021 tillsynsbegäran.docx", "A 62535-2021")</f>
        <v/>
      </c>
      <c r="AD110">
        <f>HYPERLINK("https://klasma.github.io/Logging_0482/tillsynsmail/A 62535-2021 tillsynsbegäran mail.docx", "A 62535-2021")</f>
        <v/>
      </c>
    </row>
    <row r="111" ht="15" customHeight="1">
      <c r="A111" t="inlineStr">
        <is>
          <t>A 50202-2022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46263</v>
      </c>
      <c r="F111" t="inlineStr">
        <is>
          <t>SÖDERMANLANDS LÄN</t>
        </is>
      </c>
      <c r="G111" t="inlineStr">
        <is>
          <t>FLEN</t>
        </is>
      </c>
      <c r="H111" t="inlineStr">
        <is>
          <t>Kyrkan</t>
        </is>
      </c>
      <c r="I111" t="n">
        <v>5.8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Gullklöver</t>
        </is>
      </c>
      <c r="W111">
        <f>HYPERLINK("https://klasma.github.io/Logging_0482/artfynd/A 50202-2022 artfynd.xlsx", "A 50202-2022")</f>
        <v/>
      </c>
      <c r="X111">
        <f>HYPERLINK("https://klasma.github.io/Logging_0482/kartor/A 50202-2022 karta.png", "A 50202-2022")</f>
        <v/>
      </c>
      <c r="Y111">
        <f>HYPERLINK("https://klasma.github.io/Logging_0482/kartor_geotiff/A 50202-2022 georefererad karta.tif", "A 50202-2022")</f>
        <v/>
      </c>
      <c r="AA111">
        <f>HYPERLINK("https://klasma.github.io/Logging_0482/klagomål/A 50202-2022 FSC-klagomål.docx", "A 50202-2022")</f>
        <v/>
      </c>
      <c r="AB111">
        <f>HYPERLINK("https://klasma.github.io/Logging_0482/klagomålsmail/A 50202-2022 FSC-klagomål mail.docx", "A 50202-2022")</f>
        <v/>
      </c>
      <c r="AC111">
        <f>HYPERLINK("https://klasma.github.io/Logging_0482/tillsyn/A 50202-2022 tillsynsbegäran.docx", "A 50202-2022")</f>
        <v/>
      </c>
      <c r="AD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2043-2026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46263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2.1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Scharlakansvaxing</t>
        </is>
      </c>
      <c r="W112">
        <f>HYPERLINK("https://klasma.github.io/Logging_0482/artfynd/A 2043-2026 artfynd.xlsx", "A 2043-2026")</f>
        <v/>
      </c>
      <c r="X112">
        <f>HYPERLINK("https://klasma.github.io/Logging_0482/kartor/A 2043-2026 karta.png", "A 2043-2026")</f>
        <v/>
      </c>
      <c r="Y112">
        <f>HYPERLINK("https://klasma.github.io/Logging_0482/kartor_geotiff/A 2043-2026 georefererad karta.tif", "A 2043-2026")</f>
        <v/>
      </c>
      <c r="AA112">
        <f>HYPERLINK("https://klasma.github.io/Logging_0482/klagomål/A 2043-2026 FSC-klagomål.docx", "A 2043-2026")</f>
        <v/>
      </c>
      <c r="AB112">
        <f>HYPERLINK("https://klasma.github.io/Logging_0482/klagomålsmail/A 2043-2026 FSC-klagomål mail.docx", "A 2043-2026")</f>
        <v/>
      </c>
      <c r="AC112">
        <f>HYPERLINK("https://klasma.github.io/Logging_0482/tillsyn/A 2043-2026 tillsynsbegäran.docx", "A 2043-2026")</f>
        <v/>
      </c>
      <c r="AD112">
        <f>HYPERLINK("https://klasma.github.io/Logging_0482/tillsynsmail/A 2043-2026 tillsynsbegäran mail.docx", "A 2043-2026")</f>
        <v/>
      </c>
    </row>
    <row r="113" ht="15" customHeight="1">
      <c r="A113" t="inlineStr">
        <is>
          <t>A 2036-2026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46263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HYPERLINK("https://klasma.github.io/Logging_0482/artfynd/A 2036-2026 artfynd.xlsx", "A 2036-2026")</f>
        <v/>
      </c>
      <c r="X113">
        <f>HYPERLINK("https://klasma.github.io/Logging_0482/kartor/A 2036-2026 karta.png", "A 2036-2026")</f>
        <v/>
      </c>
      <c r="Y113">
        <f>HYPERLINK("https://klasma.github.io/Logging_0482/kartor_geotiff/A 2036-2026 georefererad karta.tif", "A 2036-2026")</f>
        <v/>
      </c>
      <c r="Z113">
        <f>HYPERLINK("https://klasma.github.io/Logging_0482/knärot/A 2036-2026 karta knärot.png", "A 2036-2026")</f>
        <v/>
      </c>
      <c r="AA113">
        <f>HYPERLINK("https://klasma.github.io/Logging_0482/klagomål/A 2036-2026 FSC-klagomål.docx", "A 2036-2026")</f>
        <v/>
      </c>
      <c r="AB113">
        <f>HYPERLINK("https://klasma.github.io/Logging_0482/klagomålsmail/A 2036-2026 FSC-klagomål mail.docx", "A 2036-2026")</f>
        <v/>
      </c>
      <c r="AC113">
        <f>HYPERLINK("https://klasma.github.io/Logging_0482/tillsyn/A 2036-2026 tillsynsbegäran.docx", "A 2036-2026")</f>
        <v/>
      </c>
      <c r="AD113">
        <f>HYPERLINK("https://klasma.github.io/Logging_0482/tillsynsmail/A 2036-2026 tillsynsbegäran mail.docx", "A 2036-2026")</f>
        <v/>
      </c>
    </row>
    <row r="114" ht="15" customHeight="1">
      <c r="A114" t="inlineStr">
        <is>
          <t>A 52563-2021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46263</v>
      </c>
      <c r="F114" t="inlineStr">
        <is>
          <t>SÖDERMANLANDS LÄN</t>
        </is>
      </c>
      <c r="G114" t="inlineStr">
        <is>
          <t>FLEN</t>
        </is>
      </c>
      <c r="I114" t="n">
        <v>9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Gulsparv</t>
        </is>
      </c>
      <c r="W114">
        <f>HYPERLINK("https://klasma.github.io/Logging_0482/artfynd/A 52563-2021 artfynd.xlsx", "A 52563-2021")</f>
        <v/>
      </c>
      <c r="X114">
        <f>HYPERLINK("https://klasma.github.io/Logging_0482/kartor/A 52563-2021 karta.png", "A 52563-2021")</f>
        <v/>
      </c>
      <c r="Y114">
        <f>HYPERLINK("https://klasma.github.io/Logging_0482/kartor_geotiff/A 52563-2021 georefererad karta.tif", "A 52563-2021")</f>
        <v/>
      </c>
      <c r="AA114">
        <f>HYPERLINK("https://klasma.github.io/Logging_0482/klagomål/A 52563-2021 FSC-klagomål.docx", "A 52563-2021")</f>
        <v/>
      </c>
      <c r="AB114">
        <f>HYPERLINK("https://klasma.github.io/Logging_0482/klagomålsmail/A 52563-2021 FSC-klagomål mail.docx", "A 52563-2021")</f>
        <v/>
      </c>
      <c r="AC114">
        <f>HYPERLINK("https://klasma.github.io/Logging_0482/tillsyn/A 52563-2021 tillsynsbegäran.docx", "A 52563-2021")</f>
        <v/>
      </c>
      <c r="AD114">
        <f>HYPERLINK("https://klasma.github.io/Logging_0482/tillsynsmail/A 52563-2021 tillsynsbegäran mail.docx", "A 52563-2021")</f>
        <v/>
      </c>
      <c r="AE114">
        <f>HYPERLINK("https://klasma.github.io/Logging_0482/fåglar/A 52563-2021 prioriterade fågelarter.docx", "A 52563-2021")</f>
        <v/>
      </c>
    </row>
    <row r="115" ht="15" customHeight="1">
      <c r="A115" t="inlineStr">
        <is>
          <t>A 6714-2026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46263</v>
      </c>
      <c r="F115" t="inlineStr">
        <is>
          <t>SÖDERMANLANDS LÄN</t>
        </is>
      </c>
      <c r="G115" t="inlineStr">
        <is>
          <t>FLEN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6714-2026 artfynd.xlsx", "A 6714-2026")</f>
        <v/>
      </c>
      <c r="X115">
        <f>HYPERLINK("https://klasma.github.io/Logging_0482/kartor/A 6714-2026 karta.png", "A 6714-2026")</f>
        <v/>
      </c>
      <c r="Y115">
        <f>HYPERLINK("https://klasma.github.io/Logging_0482/kartor_geotiff/A 6714-2026 georefererad karta.tif", "A 6714-2026")</f>
        <v/>
      </c>
      <c r="AA115">
        <f>HYPERLINK("https://klasma.github.io/Logging_0482/klagomål/A 6714-2026 FSC-klagomål.docx", "A 6714-2026")</f>
        <v/>
      </c>
      <c r="AB115">
        <f>HYPERLINK("https://klasma.github.io/Logging_0482/klagomålsmail/A 6714-2026 FSC-klagomål mail.docx", "A 6714-2026")</f>
        <v/>
      </c>
      <c r="AC115">
        <f>HYPERLINK("https://klasma.github.io/Logging_0482/tillsyn/A 6714-2026 tillsynsbegäran.docx", "A 6714-2026")</f>
        <v/>
      </c>
      <c r="AD115">
        <f>HYPERLINK("https://klasma.github.io/Logging_0482/tillsynsmail/A 6714-2026 tillsynsbegäran mail.docx", "A 6714-2026")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46263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HYPERLINK("https://klasma.github.io/Logging_0482/artfynd/A 14101-2025 artfynd.xlsx", "A 14101-2025")</f>
        <v/>
      </c>
      <c r="X116">
        <f>HYPERLINK("https://klasma.github.io/Logging_0482/kartor/A 14101-2025 karta.png", "A 14101-2025")</f>
        <v/>
      </c>
      <c r="Y116">
        <f>HYPERLINK("https://klasma.github.io/Logging_0482/kartor_geotiff/A 14101-2025 georefererad karta.tif", "A 14101-2025")</f>
        <v/>
      </c>
      <c r="AA116">
        <f>HYPERLINK("https://klasma.github.io/Logging_0482/klagomål/A 14101-2025 FSC-klagomål.docx", "A 14101-2025")</f>
        <v/>
      </c>
      <c r="AB116">
        <f>HYPERLINK("https://klasma.github.io/Logging_0482/klagomålsmail/A 14101-2025 FSC-klagomål mail.docx", "A 14101-2025")</f>
        <v/>
      </c>
      <c r="AC116">
        <f>HYPERLINK("https://klasma.github.io/Logging_0482/tillsyn/A 14101-2025 tillsynsbegäran.docx", "A 14101-2025")</f>
        <v/>
      </c>
      <c r="AD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46263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60562-2021 artfynd.xlsx", "A 60562-2021")</f>
        <v/>
      </c>
      <c r="X117">
        <f>HYPERLINK("https://klasma.github.io/Logging_0482/kartor/A 60562-2021 karta.png", "A 60562-2021")</f>
        <v/>
      </c>
      <c r="Y117">
        <f>HYPERLINK("https://klasma.github.io/Logging_0482/kartor_geotiff/A 60562-2021 georefererad karta.tif", "A 60562-2021")</f>
        <v/>
      </c>
      <c r="AA117">
        <f>HYPERLINK("https://klasma.github.io/Logging_0482/klagomål/A 60562-2021 FSC-klagomål.docx", "A 60562-2021")</f>
        <v/>
      </c>
      <c r="AB117">
        <f>HYPERLINK("https://klasma.github.io/Logging_0482/klagomålsmail/A 60562-2021 FSC-klagomål mail.docx", "A 60562-2021")</f>
        <v/>
      </c>
      <c r="AC117">
        <f>HYPERLINK("https://klasma.github.io/Logging_0482/tillsyn/A 60562-2021 tillsynsbegäran.docx", "A 60562-2021")</f>
        <v/>
      </c>
      <c r="AD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7525-2024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45348</v>
      </c>
      <c r="E118" s="1" t="n">
        <v>46263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Vanlig backsmörblomma</t>
        </is>
      </c>
      <c r="W118">
        <f>HYPERLINK("https://klasma.github.io/Logging_0482/artfynd/A 7525-2024 artfynd.xlsx", "A 7525-2024")</f>
        <v/>
      </c>
      <c r="X118">
        <f>HYPERLINK("https://klasma.github.io/Logging_0482/kartor/A 7525-2024 karta.png", "A 7525-2024")</f>
        <v/>
      </c>
      <c r="Y118">
        <f>HYPERLINK("https://klasma.github.io/Logging_0482/kartor_geotiff/A 7525-2024 georefererad karta.tif", "A 7525-2024")</f>
        <v/>
      </c>
      <c r="AA118">
        <f>HYPERLINK("https://klasma.github.io/Logging_0482/klagomål/A 7525-2024 FSC-klagomål.docx", "A 7525-2024")</f>
        <v/>
      </c>
      <c r="AB118">
        <f>HYPERLINK("https://klasma.github.io/Logging_0482/klagomålsmail/A 7525-2024 FSC-klagomål mail.docx", "A 7525-2024")</f>
        <v/>
      </c>
      <c r="AC118">
        <f>HYPERLINK("https://klasma.github.io/Logging_0482/tillsyn/A 7525-2024 tillsynsbegäran.docx", "A 7525-2024")</f>
        <v/>
      </c>
      <c r="AD118">
        <f>HYPERLINK("https://klasma.github.io/Logging_0482/tillsynsmail/A 7525-2024 tillsynsbegäran mail.docx", "A 7525-2024")</f>
        <v/>
      </c>
    </row>
    <row r="119" ht="15" customHeight="1">
      <c r="A119" t="inlineStr">
        <is>
          <t>A 13858-2023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46263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Svedjenäva</t>
        </is>
      </c>
      <c r="W119">
        <f>HYPERLINK("https://klasma.github.io/Logging_0482/artfynd/A 13858-2023 artfynd.xlsx", "A 13858-2023")</f>
        <v/>
      </c>
      <c r="X119">
        <f>HYPERLINK("https://klasma.github.io/Logging_0482/kartor/A 13858-2023 karta.png", "A 13858-2023")</f>
        <v/>
      </c>
      <c r="Y119">
        <f>HYPERLINK("https://klasma.github.io/Logging_0482/kartor_geotiff/A 13858-2023 georefererad karta.tif", "A 13858-2023")</f>
        <v/>
      </c>
      <c r="AA119">
        <f>HYPERLINK("https://klasma.github.io/Logging_0482/klagomål/A 13858-2023 FSC-klagomål.docx", "A 13858-2023")</f>
        <v/>
      </c>
      <c r="AB119">
        <f>HYPERLINK("https://klasma.github.io/Logging_0482/klagomålsmail/A 13858-2023 FSC-klagomål mail.docx", "A 13858-2023")</f>
        <v/>
      </c>
      <c r="AC119">
        <f>HYPERLINK("https://klasma.github.io/Logging_0482/tillsyn/A 13858-2023 tillsynsbegäran.docx", "A 13858-2023")</f>
        <v/>
      </c>
      <c r="AD119">
        <f>HYPERLINK("https://klasma.github.io/Logging_0482/tillsynsmail/A 13858-2023 tillsynsbegäran mail.docx", "A 13858-2023")</f>
        <v/>
      </c>
    </row>
    <row r="120" ht="15" customHeight="1">
      <c r="A120" t="inlineStr">
        <is>
          <t>A 9446-2026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46071</v>
      </c>
      <c r="E120" s="1" t="n">
        <v>46263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HYPERLINK("https://klasma.github.io/Logging_0482/artfynd/A 9446-2026 artfynd.xlsx", "A 9446-2026")</f>
        <v/>
      </c>
      <c r="X120">
        <f>HYPERLINK("https://klasma.github.io/Logging_0482/kartor/A 9446-2026 karta.png", "A 9446-2026")</f>
        <v/>
      </c>
      <c r="Y120">
        <f>HYPERLINK("https://klasma.github.io/Logging_0482/kartor_geotiff/A 9446-2026 georefererad karta.tif", "A 9446-2026")</f>
        <v/>
      </c>
      <c r="AA120">
        <f>HYPERLINK("https://klasma.github.io/Logging_0482/klagomål/A 9446-2026 FSC-klagomål.docx", "A 9446-2026")</f>
        <v/>
      </c>
      <c r="AB120">
        <f>HYPERLINK("https://klasma.github.io/Logging_0482/klagomålsmail/A 9446-2026 FSC-klagomål mail.docx", "A 9446-2026")</f>
        <v/>
      </c>
      <c r="AC120">
        <f>HYPERLINK("https://klasma.github.io/Logging_0482/tillsyn/A 9446-2026 tillsynsbegäran.docx", "A 9446-2026")</f>
        <v/>
      </c>
      <c r="AD120">
        <f>HYPERLINK("https://klasma.github.io/Logging_0482/tillsynsmail/A 9446-2026 tillsynsbegäran mail.docx", "A 9446-2026")</f>
        <v/>
      </c>
    </row>
    <row r="121" ht="15" customHeight="1">
      <c r="A121" t="inlineStr">
        <is>
          <t>A 10999-2026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46079</v>
      </c>
      <c r="E121" s="1" t="n">
        <v>46263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3.6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HYPERLINK("https://klasma.github.io/Logging_0482/artfynd/A 10999-2026 artfynd.xlsx", "A 10999-2026")</f>
        <v/>
      </c>
      <c r="X121">
        <f>HYPERLINK("https://klasma.github.io/Logging_0482/kartor/A 10999-2026 karta.png", "A 10999-2026")</f>
        <v/>
      </c>
      <c r="Y121">
        <f>HYPERLINK("https://klasma.github.io/Logging_0482/kartor_geotiff/A 10999-2026 georefererad karta.tif", "A 10999-2026")</f>
        <v/>
      </c>
      <c r="AA121">
        <f>HYPERLINK("https://klasma.github.io/Logging_0482/klagomål/A 10999-2026 FSC-klagomål.docx", "A 10999-2026")</f>
        <v/>
      </c>
      <c r="AB121">
        <f>HYPERLINK("https://klasma.github.io/Logging_0482/klagomålsmail/A 10999-2026 FSC-klagomål mail.docx", "A 10999-2026")</f>
        <v/>
      </c>
      <c r="AC121">
        <f>HYPERLINK("https://klasma.github.io/Logging_0482/tillsyn/A 10999-2026 tillsynsbegäran.docx", "A 10999-2026")</f>
        <v/>
      </c>
      <c r="AD121">
        <f>HYPERLINK("https://klasma.github.io/Logging_0482/tillsynsmail/A 10999-2026 tillsynsbegäran mail.docx", "A 10999-2026")</f>
        <v/>
      </c>
    </row>
    <row r="122" ht="15" customHeight="1">
      <c r="A122" t="inlineStr">
        <is>
          <t>A 45107-2023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45191</v>
      </c>
      <c r="E122" s="1" t="n">
        <v>46263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Brudborste</t>
        </is>
      </c>
      <c r="W122">
        <f>HYPERLINK("https://klasma.github.io/Logging_0482/artfynd/A 45107-2023 artfynd.xlsx", "A 45107-2023")</f>
        <v/>
      </c>
      <c r="X122">
        <f>HYPERLINK("https://klasma.github.io/Logging_0482/kartor/A 45107-2023 karta.png", "A 45107-2023")</f>
        <v/>
      </c>
      <c r="Y122">
        <f>HYPERLINK("https://klasma.github.io/Logging_0482/kartor_geotiff/A 45107-2023 georefererad karta.tif", "A 45107-2023")</f>
        <v/>
      </c>
      <c r="AA122">
        <f>HYPERLINK("https://klasma.github.io/Logging_0482/klagomål/A 45107-2023 FSC-klagomål.docx", "A 45107-2023")</f>
        <v/>
      </c>
      <c r="AB122">
        <f>HYPERLINK("https://klasma.github.io/Logging_0482/klagomålsmail/A 45107-2023 FSC-klagomål mail.docx", "A 45107-2023")</f>
        <v/>
      </c>
      <c r="AC122">
        <f>HYPERLINK("https://klasma.github.io/Logging_0482/tillsyn/A 45107-2023 tillsynsbegäran.docx", "A 45107-2023")</f>
        <v/>
      </c>
      <c r="AD122">
        <f>HYPERLINK("https://klasma.github.io/Logging_0482/tillsynsmail/A 45107-2023 tillsynsbegäran mail.docx", "A 45107-2023")</f>
        <v/>
      </c>
    </row>
    <row r="123" ht="15" customHeight="1">
      <c r="A123" t="inlineStr">
        <is>
          <t>A 1242-2022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46263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Slåtterfibbla</t>
        </is>
      </c>
      <c r="W123">
        <f>HYPERLINK("https://klasma.github.io/Logging_0482/artfynd/A 1242-2022 artfynd.xlsx", "A 1242-2022")</f>
        <v/>
      </c>
      <c r="X123">
        <f>HYPERLINK("https://klasma.github.io/Logging_0482/kartor/A 1242-2022 karta.png", "A 1242-2022")</f>
        <v/>
      </c>
      <c r="Y123">
        <f>HYPERLINK("https://klasma.github.io/Logging_0482/kartor_geotiff/A 1242-2022 georefererad karta.tif", "A 1242-2022")</f>
        <v/>
      </c>
      <c r="AA123">
        <f>HYPERLINK("https://klasma.github.io/Logging_0482/klagomål/A 1242-2022 FSC-klagomål.docx", "A 1242-2022")</f>
        <v/>
      </c>
      <c r="AB123">
        <f>HYPERLINK("https://klasma.github.io/Logging_0482/klagomålsmail/A 1242-2022 FSC-klagomål mail.docx", "A 1242-2022")</f>
        <v/>
      </c>
      <c r="AC123">
        <f>HYPERLINK("https://klasma.github.io/Logging_0482/tillsyn/A 1242-2022 tillsynsbegäran.docx", "A 1242-2022")</f>
        <v/>
      </c>
      <c r="AD123">
        <f>HYPERLINK("https://klasma.github.io/Logging_0482/tillsynsmail/A 1242-2022 tillsynsbegäran mail.docx", "A 1242-2022")</f>
        <v/>
      </c>
    </row>
    <row r="124" ht="15" customHeight="1">
      <c r="A124" t="inlineStr">
        <is>
          <t>A 12371-2022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44637</v>
      </c>
      <c r="E124" s="1" t="n">
        <v>46263</v>
      </c>
      <c r="F124" t="inlineStr">
        <is>
          <t>SÖDERMANLANDS LÄN</t>
        </is>
      </c>
      <c r="G124" t="inlineStr">
        <is>
          <t>FLEN</t>
        </is>
      </c>
      <c r="H124" t="inlineStr">
        <is>
          <t>Kommuner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12371-2022 artfynd.xlsx", "A 12371-2022")</f>
        <v/>
      </c>
      <c r="X124">
        <f>HYPERLINK("https://klasma.github.io/Logging_0482/kartor/A 12371-2022 karta.png", "A 12371-2022")</f>
        <v/>
      </c>
      <c r="Y124">
        <f>HYPERLINK("https://klasma.github.io/Logging_0482/kartor_geotiff/A 12371-2022 georefererad karta.tif", "A 12371-2022")</f>
        <v/>
      </c>
      <c r="AA124">
        <f>HYPERLINK("https://klasma.github.io/Logging_0482/klagomål/A 12371-2022 FSC-klagomål.docx", "A 12371-2022")</f>
        <v/>
      </c>
      <c r="AB124">
        <f>HYPERLINK("https://klasma.github.io/Logging_0482/klagomålsmail/A 12371-2022 FSC-klagomål mail.docx", "A 12371-2022")</f>
        <v/>
      </c>
      <c r="AC124">
        <f>HYPERLINK("https://klasma.github.io/Logging_0482/tillsyn/A 12371-2022 tillsynsbegäran.docx", "A 12371-2022")</f>
        <v/>
      </c>
      <c r="AD124">
        <f>HYPERLINK("https://klasma.github.io/Logging_0482/tillsynsmail/A 12371-2022 tillsynsbegäran mail.docx", "A 12371-2022")</f>
        <v/>
      </c>
    </row>
    <row r="125" ht="15" customHeight="1">
      <c r="A125" t="inlineStr">
        <is>
          <t>A 14113-2025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46263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14113-2025 artfynd.xlsx", "A 14113-2025")</f>
        <v/>
      </c>
      <c r="X125">
        <f>HYPERLINK("https://klasma.github.io/Logging_0482/kartor/A 14113-2025 karta.png", "A 14113-2025")</f>
        <v/>
      </c>
      <c r="Y125">
        <f>HYPERLINK("https://klasma.github.io/Logging_0482/kartor_geotiff/A 14113-2025 georefererad karta.tif", "A 14113-2025")</f>
        <v/>
      </c>
      <c r="AA125">
        <f>HYPERLINK("https://klasma.github.io/Logging_0482/klagomål/A 14113-2025 FSC-klagomål.docx", "A 14113-2025")</f>
        <v/>
      </c>
      <c r="AB125">
        <f>HYPERLINK("https://klasma.github.io/Logging_0482/klagomålsmail/A 14113-2025 FSC-klagomål mail.docx", "A 14113-2025")</f>
        <v/>
      </c>
      <c r="AC125">
        <f>HYPERLINK("https://klasma.github.io/Logging_0482/tillsyn/A 14113-2025 tillsynsbegäran.docx", "A 14113-2025")</f>
        <v/>
      </c>
      <c r="AD125">
        <f>HYPERLINK("https://klasma.github.io/Logging_0482/tillsynsmail/A 14113-2025 tillsynsbegäran mail.docx", "A 14113-2025")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46263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31427-2022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46263</v>
      </c>
      <c r="F127" t="inlineStr">
        <is>
          <t>SÖDERMANLANDS LÄN</t>
        </is>
      </c>
      <c r="G127" t="inlineStr">
        <is>
          <t>FLEN</t>
        </is>
      </c>
      <c r="I127" t="n">
        <v>3.7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HYPERLINK("https://klasma.github.io/Logging_0482/artfynd/A 31427-2022 artfynd.xlsx", "A 31427-2022")</f>
        <v/>
      </c>
      <c r="X127">
        <f>HYPERLINK("https://klasma.github.io/Logging_0482/kartor/A 31427-2022 karta.png", "A 31427-2022")</f>
        <v/>
      </c>
      <c r="Y127">
        <f>HYPERLINK("https://klasma.github.io/Logging_0482/kartor_geotiff/A 31427-2022 georefererad karta.tif", "A 31427-2022")</f>
        <v/>
      </c>
      <c r="AA127">
        <f>HYPERLINK("https://klasma.github.io/Logging_0482/klagomål/A 31427-2022 FSC-klagomål.docx", "A 31427-2022")</f>
        <v/>
      </c>
      <c r="AB127">
        <f>HYPERLINK("https://klasma.github.io/Logging_0482/klagomålsmail/A 31427-2022 FSC-klagomål mail.docx", "A 31427-2022")</f>
        <v/>
      </c>
      <c r="AC127">
        <f>HYPERLINK("https://klasma.github.io/Logging_0482/tillsyn/A 31427-2022 tillsynsbegäran.docx", "A 31427-2022")</f>
        <v/>
      </c>
      <c r="AD127">
        <f>HYPERLINK("https://klasma.github.io/Logging_0482/tillsynsmail/A 31427-2022 tillsynsbegäran mail.docx", "A 31427-2022")</f>
        <v/>
      </c>
    </row>
    <row r="128" ht="15" customHeight="1">
      <c r="A128" t="inlineStr">
        <is>
          <t>A 47756-2022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46263</v>
      </c>
      <c r="F128" t="inlineStr">
        <is>
          <t>SÖDERMANLANDS LÄN</t>
        </is>
      </c>
      <c r="G128" t="inlineStr">
        <is>
          <t>FLEN</t>
        </is>
      </c>
      <c r="I128" t="n">
        <v>2.4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Svinrot</t>
        </is>
      </c>
      <c r="W128">
        <f>HYPERLINK("https://klasma.github.io/Logging_0482/artfynd/A 47756-2022 artfynd.xlsx", "A 47756-2022")</f>
        <v/>
      </c>
      <c r="X128">
        <f>HYPERLINK("https://klasma.github.io/Logging_0482/kartor/A 47756-2022 karta.png", "A 47756-2022")</f>
        <v/>
      </c>
      <c r="Y128">
        <f>HYPERLINK("https://klasma.github.io/Logging_0482/kartor_geotiff/A 47756-2022 georefererad karta.tif", "A 47756-2022")</f>
        <v/>
      </c>
      <c r="AA128">
        <f>HYPERLINK("https://klasma.github.io/Logging_0482/klagomål/A 47756-2022 FSC-klagomål.docx", "A 47756-2022")</f>
        <v/>
      </c>
      <c r="AB128">
        <f>HYPERLINK("https://klasma.github.io/Logging_0482/klagomålsmail/A 47756-2022 FSC-klagomål mail.docx", "A 47756-2022")</f>
        <v/>
      </c>
      <c r="AC128">
        <f>HYPERLINK("https://klasma.github.io/Logging_0482/tillsyn/A 47756-2022 tillsynsbegäran.docx", "A 47756-2022")</f>
        <v/>
      </c>
      <c r="AD128">
        <f>HYPERLINK("https://klasma.github.io/Logging_0482/tillsynsmail/A 47756-2022 tillsynsbegäran mail.docx", "A 47756-2022")</f>
        <v/>
      </c>
    </row>
    <row r="129" ht="15" customHeight="1">
      <c r="A129" t="inlineStr">
        <is>
          <t>A 6982-2024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46263</v>
      </c>
      <c r="F129" t="inlineStr">
        <is>
          <t>SÖDERMANLANDS LÄN</t>
        </is>
      </c>
      <c r="G129" t="inlineStr">
        <is>
          <t>FLEN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Fläcknycklar</t>
        </is>
      </c>
      <c r="W129">
        <f>HYPERLINK("https://klasma.github.io/Logging_0482/artfynd/A 6982-2024 artfynd.xlsx", "A 6982-2024")</f>
        <v/>
      </c>
      <c r="X129">
        <f>HYPERLINK("https://klasma.github.io/Logging_0482/kartor/A 6982-2024 karta.png", "A 6982-2024")</f>
        <v/>
      </c>
      <c r="Y129">
        <f>HYPERLINK("https://klasma.github.io/Logging_0482/kartor_geotiff/A 6982-2024 georefererad karta.tif", "A 6982-2024")</f>
        <v/>
      </c>
      <c r="AA129">
        <f>HYPERLINK("https://klasma.github.io/Logging_0482/klagomål/A 6982-2024 FSC-klagomål.docx", "A 6982-2024")</f>
        <v/>
      </c>
      <c r="AB129">
        <f>HYPERLINK("https://klasma.github.io/Logging_0482/klagomålsmail/A 6982-2024 FSC-klagomål mail.docx", "A 6982-2024")</f>
        <v/>
      </c>
      <c r="AC129">
        <f>HYPERLINK("https://klasma.github.io/Logging_0482/tillsyn/A 6982-2024 tillsynsbegäran.docx", "A 6982-2024")</f>
        <v/>
      </c>
      <c r="AD129">
        <f>HYPERLINK("https://klasma.github.io/Logging_0482/tillsynsmail/A 6982-2024 tillsynsbegäran mail.docx", "A 6982-2024")</f>
        <v/>
      </c>
    </row>
    <row r="130" ht="15" customHeight="1">
      <c r="A130" t="inlineStr">
        <is>
          <t>A 53339-2023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46263</v>
      </c>
      <c r="F130" t="inlineStr">
        <is>
          <t>SÖDERMANLANDS LÄN</t>
        </is>
      </c>
      <c r="G130" t="inlineStr">
        <is>
          <t>FLEN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HYPERLINK("https://klasma.github.io/Logging_0482/artfynd/A 53339-2023 artfynd.xlsx", "A 53339-2023")</f>
        <v/>
      </c>
      <c r="X130">
        <f>HYPERLINK("https://klasma.github.io/Logging_0482/kartor/A 53339-2023 karta.png", "A 53339-2023")</f>
        <v/>
      </c>
      <c r="Y130">
        <f>HYPERLINK("https://klasma.github.io/Logging_0482/kartor_geotiff/A 53339-2023 georefererad karta.tif", "A 53339-2023")</f>
        <v/>
      </c>
      <c r="AA130">
        <f>HYPERLINK("https://klasma.github.io/Logging_0482/klagomål/A 53339-2023 FSC-klagomål.docx", "A 53339-2023")</f>
        <v/>
      </c>
      <c r="AB130">
        <f>HYPERLINK("https://klasma.github.io/Logging_0482/klagomålsmail/A 53339-2023 FSC-klagomål mail.docx", "A 53339-2023")</f>
        <v/>
      </c>
      <c r="AC130">
        <f>HYPERLINK("https://klasma.github.io/Logging_0482/tillsyn/A 53339-2023 tillsynsbegäran.docx", "A 53339-2023")</f>
        <v/>
      </c>
      <c r="AD130">
        <f>HYPERLINK("https://klasma.github.io/Logging_0482/tillsynsmail/A 53339-2023 tillsynsbegäran mail.docx", "A 53339-2023")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46263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12306-2022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46263</v>
      </c>
      <c r="F132" t="inlineStr">
        <is>
          <t>SÖDERMANLANDS LÄN</t>
        </is>
      </c>
      <c r="G132" t="inlineStr">
        <is>
          <t>FLEN</t>
        </is>
      </c>
      <c r="I132" t="n">
        <v>3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Järnsparv</t>
        </is>
      </c>
      <c r="W132">
        <f>HYPERLINK("https://klasma.github.io/Logging_0482/artfynd/A 12306-2022 artfynd.xlsx", "A 12306-2022")</f>
        <v/>
      </c>
      <c r="X132">
        <f>HYPERLINK("https://klasma.github.io/Logging_0482/kartor/A 12306-2022 karta.png", "A 12306-2022")</f>
        <v/>
      </c>
      <c r="Y132">
        <f>HYPERLINK("https://klasma.github.io/Logging_0482/kartor_geotiff/A 12306-2022 georefererad karta.tif", "A 12306-2022")</f>
        <v/>
      </c>
      <c r="AA132">
        <f>HYPERLINK("https://klasma.github.io/Logging_0482/klagomål/A 12306-2022 FSC-klagomål.docx", "A 12306-2022")</f>
        <v/>
      </c>
      <c r="AB132">
        <f>HYPERLINK("https://klasma.github.io/Logging_0482/klagomålsmail/A 12306-2022 FSC-klagomål mail.docx", "A 12306-2022")</f>
        <v/>
      </c>
      <c r="AC132">
        <f>HYPERLINK("https://klasma.github.io/Logging_0482/tillsyn/A 12306-2022 tillsynsbegäran.docx", "A 12306-2022")</f>
        <v/>
      </c>
      <c r="AD132">
        <f>HYPERLINK("https://klasma.github.io/Logging_0482/tillsynsmail/A 12306-2022 tillsynsbegäran mail.docx", "A 12306-2022")</f>
        <v/>
      </c>
      <c r="AE132">
        <f>HYPERLINK("https://klasma.github.io/Logging_0482/fåglar/A 12306-2022 prioriterade fågelarter.docx", "A 12306-2022")</f>
        <v/>
      </c>
    </row>
    <row r="133" ht="15" customHeight="1">
      <c r="A133" t="inlineStr">
        <is>
          <t>A 46987-2024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45586</v>
      </c>
      <c r="E133" s="1" t="n">
        <v>46263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HYPERLINK("https://klasma.github.io/Logging_0482/artfynd/A 46987-2024 artfynd.xlsx", "A 46987-2024")</f>
        <v/>
      </c>
      <c r="X133">
        <f>HYPERLINK("https://klasma.github.io/Logging_0482/kartor/A 46987-2024 karta.png", "A 46987-2024")</f>
        <v/>
      </c>
      <c r="Y133">
        <f>HYPERLINK("https://klasma.github.io/Logging_0482/kartor_geotiff/A 46987-2024 georefererad karta.tif", "A 46987-2024")</f>
        <v/>
      </c>
      <c r="AA133">
        <f>HYPERLINK("https://klasma.github.io/Logging_0482/klagomål/A 46987-2024 FSC-klagomål.docx", "A 46987-2024")</f>
        <v/>
      </c>
      <c r="AB133">
        <f>HYPERLINK("https://klasma.github.io/Logging_0482/klagomålsmail/A 46987-2024 FSC-klagomål mail.docx", "A 46987-2024")</f>
        <v/>
      </c>
      <c r="AC133">
        <f>HYPERLINK("https://klasma.github.io/Logging_0482/tillsyn/A 46987-2024 tillsynsbegäran.docx", "A 46987-2024")</f>
        <v/>
      </c>
      <c r="AD133">
        <f>HYPERLINK("https://klasma.github.io/Logging_0482/tillsynsmail/A 46987-2024 tillsynsbegäran mail.docx", "A 46987-2024")</f>
        <v/>
      </c>
    </row>
    <row r="134" ht="15" customHeight="1">
      <c r="A134" t="inlineStr">
        <is>
          <t>A 66230-2021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46263</v>
      </c>
      <c r="F134" t="inlineStr">
        <is>
          <t>SÖDERMANLANDS LÄN</t>
        </is>
      </c>
      <c r="G134" t="inlineStr">
        <is>
          <t>FLEN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66230-2021 artfynd.xlsx", "A 66230-2021")</f>
        <v/>
      </c>
      <c r="X134">
        <f>HYPERLINK("https://klasma.github.io/Logging_0482/kartor/A 66230-2021 karta.png", "A 66230-2021")</f>
        <v/>
      </c>
      <c r="Y134">
        <f>HYPERLINK("https://klasma.github.io/Logging_0482/kartor_geotiff/A 66230-2021 georefererad karta.tif", "A 66230-2021")</f>
        <v/>
      </c>
      <c r="AA134">
        <f>HYPERLINK("https://klasma.github.io/Logging_0482/klagomål/A 66230-2021 FSC-klagomål.docx", "A 66230-2021")</f>
        <v/>
      </c>
      <c r="AB134">
        <f>HYPERLINK("https://klasma.github.io/Logging_0482/klagomålsmail/A 66230-2021 FSC-klagomål mail.docx", "A 66230-2021")</f>
        <v/>
      </c>
      <c r="AC134">
        <f>HYPERLINK("https://klasma.github.io/Logging_0482/tillsyn/A 66230-2021 tillsynsbegäran.docx", "A 66230-2021")</f>
        <v/>
      </c>
      <c r="AD134">
        <f>HYPERLINK("https://klasma.github.io/Logging_0482/tillsynsmail/A 66230-2021 tillsynsbegäran mail.docx", "A 66230-2021")</f>
        <v/>
      </c>
    </row>
    <row r="135" ht="15" customHeight="1">
      <c r="A135" t="inlineStr">
        <is>
          <t>A 29195-2023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46263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3.9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Plattlummer</t>
        </is>
      </c>
      <c r="W135">
        <f>HYPERLINK("https://klasma.github.io/Logging_0482/artfynd/A 29195-2023 artfynd.xlsx", "A 29195-2023")</f>
        <v/>
      </c>
      <c r="X135">
        <f>HYPERLINK("https://klasma.github.io/Logging_0482/kartor/A 29195-2023 karta.png", "A 29195-2023")</f>
        <v/>
      </c>
      <c r="Y135">
        <f>HYPERLINK("https://klasma.github.io/Logging_0482/kartor_geotiff/A 29195-2023 georefererad karta.tif", "A 29195-2023")</f>
        <v/>
      </c>
      <c r="AA135">
        <f>HYPERLINK("https://klasma.github.io/Logging_0482/klagomål/A 29195-2023 FSC-klagomål.docx", "A 29195-2023")</f>
        <v/>
      </c>
      <c r="AB135">
        <f>HYPERLINK("https://klasma.github.io/Logging_0482/klagomålsmail/A 29195-2023 FSC-klagomål mail.docx", "A 29195-2023")</f>
        <v/>
      </c>
      <c r="AC135">
        <f>HYPERLINK("https://klasma.github.io/Logging_0482/tillsyn/A 29195-2023 tillsynsbegäran.docx", "A 29195-2023")</f>
        <v/>
      </c>
      <c r="AD135">
        <f>HYPERLINK("https://klasma.github.io/Logging_0482/tillsynsmail/A 29195-2023 tillsynsbegäran mail.docx", "A 29195-2023")</f>
        <v/>
      </c>
    </row>
    <row r="136" ht="15" customHeight="1">
      <c r="A136" t="inlineStr">
        <is>
          <t>A 34721-2023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45141</v>
      </c>
      <c r="E136" s="1" t="n">
        <v>46263</v>
      </c>
      <c r="F136" t="inlineStr">
        <is>
          <t>SÖDERMANLANDS LÄN</t>
        </is>
      </c>
      <c r="G136" t="inlineStr">
        <is>
          <t>FLEN</t>
        </is>
      </c>
      <c r="I136" t="n">
        <v>4.1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34721-2023 artfynd.xlsx", "A 34721-2023")</f>
        <v/>
      </c>
      <c r="X136">
        <f>HYPERLINK("https://klasma.github.io/Logging_0482/kartor/A 34721-2023 karta.png", "A 34721-2023")</f>
        <v/>
      </c>
      <c r="Y136">
        <f>HYPERLINK("https://klasma.github.io/Logging_0482/kartor_geotiff/A 34721-2023 georefererad karta.tif", "A 34721-2023")</f>
        <v/>
      </c>
      <c r="AA136">
        <f>HYPERLINK("https://klasma.github.io/Logging_0482/klagomål/A 34721-2023 FSC-klagomål.docx", "A 34721-2023")</f>
        <v/>
      </c>
      <c r="AB136">
        <f>HYPERLINK("https://klasma.github.io/Logging_0482/klagomålsmail/A 34721-2023 FSC-klagomål mail.docx", "A 34721-2023")</f>
        <v/>
      </c>
      <c r="AC136">
        <f>HYPERLINK("https://klasma.github.io/Logging_0482/tillsyn/A 34721-2023 tillsynsbegäran.docx", "A 34721-2023")</f>
        <v/>
      </c>
      <c r="AD136">
        <f>HYPERLINK("https://klasma.github.io/Logging_0482/tillsynsmail/A 34721-2023 tillsynsbegäran mail.docx", "A 34721-2023")</f>
        <v/>
      </c>
    </row>
    <row r="137" ht="15" customHeight="1">
      <c r="A137" t="inlineStr">
        <is>
          <t>A 60591-2022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46263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Grönpyrola</t>
        </is>
      </c>
      <c r="W137">
        <f>HYPERLINK("https://klasma.github.io/Logging_0482/artfynd/A 60591-2022 artfynd.xlsx", "A 60591-2022")</f>
        <v/>
      </c>
      <c r="X137">
        <f>HYPERLINK("https://klasma.github.io/Logging_0482/kartor/A 60591-2022 karta.png", "A 60591-2022")</f>
        <v/>
      </c>
      <c r="Y137">
        <f>HYPERLINK("https://klasma.github.io/Logging_0482/kartor_geotiff/A 60591-2022 georefererad karta.tif", "A 60591-2022")</f>
        <v/>
      </c>
      <c r="AA137">
        <f>HYPERLINK("https://klasma.github.io/Logging_0482/klagomål/A 60591-2022 FSC-klagomål.docx", "A 60591-2022")</f>
        <v/>
      </c>
      <c r="AB137">
        <f>HYPERLINK("https://klasma.github.io/Logging_0482/klagomålsmail/A 60591-2022 FSC-klagomål mail.docx", "A 60591-2022")</f>
        <v/>
      </c>
      <c r="AC137">
        <f>HYPERLINK("https://klasma.github.io/Logging_0482/tillsyn/A 60591-2022 tillsynsbegäran.docx", "A 60591-2022")</f>
        <v/>
      </c>
      <c r="AD137">
        <f>HYPERLINK("https://klasma.github.io/Logging_0482/tillsynsmail/A 60591-2022 tillsynsbegäran mail.docx", "A 60591-2022")</f>
        <v/>
      </c>
    </row>
    <row r="138" ht="15" customHeight="1">
      <c r="A138" t="inlineStr">
        <is>
          <t>A 34823-2023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46263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Mörk dunört</t>
        </is>
      </c>
      <c r="W138">
        <f>HYPERLINK("https://klasma.github.io/Logging_0482/artfynd/A 34823-2023 artfynd.xlsx", "A 34823-2023")</f>
        <v/>
      </c>
      <c r="X138">
        <f>HYPERLINK("https://klasma.github.io/Logging_0482/kartor/A 34823-2023 karta.png", "A 34823-2023")</f>
        <v/>
      </c>
      <c r="Y138">
        <f>HYPERLINK("https://klasma.github.io/Logging_0482/kartor_geotiff/A 34823-2023 georefererad karta.tif", "A 34823-2023")</f>
        <v/>
      </c>
      <c r="AA138">
        <f>HYPERLINK("https://klasma.github.io/Logging_0482/klagomål/A 34823-2023 FSC-klagomål.docx", "A 34823-2023")</f>
        <v/>
      </c>
      <c r="AB138">
        <f>HYPERLINK("https://klasma.github.io/Logging_0482/klagomålsmail/A 34823-2023 FSC-klagomål mail.docx", "A 34823-2023")</f>
        <v/>
      </c>
      <c r="AC138">
        <f>HYPERLINK("https://klasma.github.io/Logging_0482/tillsyn/A 34823-2023 tillsynsbegäran.docx", "A 34823-2023")</f>
        <v/>
      </c>
      <c r="AD138">
        <f>HYPERLINK("https://klasma.github.io/Logging_0482/tillsynsmail/A 34823-2023 tillsynsbegäran mail.docx", "A 34823-2023")</f>
        <v/>
      </c>
    </row>
    <row r="139" ht="15" customHeight="1">
      <c r="A139" t="inlineStr">
        <is>
          <t>A 60529-2024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45643</v>
      </c>
      <c r="E139" s="1" t="n">
        <v>46263</v>
      </c>
      <c r="F139" t="inlineStr">
        <is>
          <t>SÖDERMANLANDS LÄN</t>
        </is>
      </c>
      <c r="G139" t="inlineStr">
        <is>
          <t>FLEN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Skarp dropptaggsvamp</t>
        </is>
      </c>
      <c r="W139">
        <f>HYPERLINK("https://klasma.github.io/Logging_0482/artfynd/A 60529-2024 artfynd.xlsx", "A 60529-2024")</f>
        <v/>
      </c>
      <c r="X139">
        <f>HYPERLINK("https://klasma.github.io/Logging_0482/kartor/A 60529-2024 karta.png", "A 60529-2024")</f>
        <v/>
      </c>
      <c r="Y139">
        <f>HYPERLINK("https://klasma.github.io/Logging_0482/kartor_geotiff/A 60529-2024 georefererad karta.tif", "A 60529-2024")</f>
        <v/>
      </c>
      <c r="AA139">
        <f>HYPERLINK("https://klasma.github.io/Logging_0482/klagomål/A 60529-2024 FSC-klagomål.docx", "A 60529-2024")</f>
        <v/>
      </c>
      <c r="AB139">
        <f>HYPERLINK("https://klasma.github.io/Logging_0482/klagomålsmail/A 60529-2024 FSC-klagomål mail.docx", "A 60529-2024")</f>
        <v/>
      </c>
      <c r="AC139">
        <f>HYPERLINK("https://klasma.github.io/Logging_0482/tillsyn/A 60529-2024 tillsynsbegäran.docx", "A 60529-2024")</f>
        <v/>
      </c>
      <c r="AD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49820-2023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45211</v>
      </c>
      <c r="E140" s="1" t="n">
        <v>46263</v>
      </c>
      <c r="F140" t="inlineStr">
        <is>
          <t>SÖDERMANLANDS LÄN</t>
        </is>
      </c>
      <c r="G140" t="inlineStr">
        <is>
          <t>FLEN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Gullviva</t>
        </is>
      </c>
      <c r="W140">
        <f>HYPERLINK("https://klasma.github.io/Logging_0482/artfynd/A 49820-2023 artfynd.xlsx", "A 49820-2023")</f>
        <v/>
      </c>
      <c r="X140">
        <f>HYPERLINK("https://klasma.github.io/Logging_0482/kartor/A 49820-2023 karta.png", "A 49820-2023")</f>
        <v/>
      </c>
      <c r="Y140">
        <f>HYPERLINK("https://klasma.github.io/Logging_0482/kartor_geotiff/A 49820-2023 georefererad karta.tif", "A 49820-2023")</f>
        <v/>
      </c>
      <c r="AA140">
        <f>HYPERLINK("https://klasma.github.io/Logging_0482/klagomål/A 49820-2023 FSC-klagomål.docx", "A 49820-2023")</f>
        <v/>
      </c>
      <c r="AB140">
        <f>HYPERLINK("https://klasma.github.io/Logging_0482/klagomålsmail/A 49820-2023 FSC-klagomål mail.docx", "A 49820-2023")</f>
        <v/>
      </c>
      <c r="AC140">
        <f>HYPERLINK("https://klasma.github.io/Logging_0482/tillsyn/A 49820-2023 tillsynsbegäran.docx", "A 49820-2023")</f>
        <v/>
      </c>
      <c r="AD140">
        <f>HYPERLINK("https://klasma.github.io/Logging_0482/tillsynsmail/A 49820-2023 tillsynsbegäran mail.docx", "A 49820-2023")</f>
        <v/>
      </c>
    </row>
    <row r="141" ht="15" customHeight="1">
      <c r="A141" t="inlineStr">
        <is>
          <t>A 37283-2024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45540</v>
      </c>
      <c r="E141" s="1" t="n">
        <v>46263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37283-2024 artfynd.xlsx", "A 37283-2024")</f>
        <v/>
      </c>
      <c r="X141">
        <f>HYPERLINK("https://klasma.github.io/Logging_0482/kartor/A 37283-2024 karta.png", "A 37283-2024")</f>
        <v/>
      </c>
      <c r="Y141">
        <f>HYPERLINK("https://klasma.github.io/Logging_0482/kartor_geotiff/A 37283-2024 georefererad karta.tif", "A 37283-2024")</f>
        <v/>
      </c>
      <c r="AA141">
        <f>HYPERLINK("https://klasma.github.io/Logging_0482/klagomål/A 37283-2024 FSC-klagomål.docx", "A 37283-2024")</f>
        <v/>
      </c>
      <c r="AB141">
        <f>HYPERLINK("https://klasma.github.io/Logging_0482/klagomålsmail/A 37283-2024 FSC-klagomål mail.docx", "A 37283-2024")</f>
        <v/>
      </c>
      <c r="AC141">
        <f>HYPERLINK("https://klasma.github.io/Logging_0482/tillsyn/A 37283-2024 tillsynsbegäran.docx", "A 37283-2024")</f>
        <v/>
      </c>
      <c r="AD141">
        <f>HYPERLINK("https://klasma.github.io/Logging_0482/tillsynsmail/A 37283-2024 tillsynsbegäran mail.docx", "A 37283-2024")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46263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43008-2023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46263</v>
      </c>
      <c r="F143" t="inlineStr">
        <is>
          <t>SÖDERMANLANDS LÄN</t>
        </is>
      </c>
      <c r="G143" t="inlineStr">
        <is>
          <t>FLEN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Gullklöver</t>
        </is>
      </c>
      <c r="W143">
        <f>HYPERLINK("https://klasma.github.io/Logging_0482/artfynd/A 43008-2023 artfynd.xlsx", "A 43008-2023")</f>
        <v/>
      </c>
      <c r="X143">
        <f>HYPERLINK("https://klasma.github.io/Logging_0482/kartor/A 43008-2023 karta.png", "A 43008-2023")</f>
        <v/>
      </c>
      <c r="Y143">
        <f>HYPERLINK("https://klasma.github.io/Logging_0482/kartor_geotiff/A 43008-2023 georefererad karta.tif", "A 43008-2023")</f>
        <v/>
      </c>
      <c r="AA143">
        <f>HYPERLINK("https://klasma.github.io/Logging_0482/klagomål/A 43008-2023 FSC-klagomål.docx", "A 43008-2023")</f>
        <v/>
      </c>
      <c r="AB143">
        <f>HYPERLINK("https://klasma.github.io/Logging_0482/klagomålsmail/A 43008-2023 FSC-klagomål mail.docx", "A 43008-2023")</f>
        <v/>
      </c>
      <c r="AC143">
        <f>HYPERLINK("https://klasma.github.io/Logging_0482/tillsyn/A 43008-2023 tillsynsbegäran.docx", "A 43008-2023")</f>
        <v/>
      </c>
      <c r="AD143">
        <f>HYPERLINK("https://klasma.github.io/Logging_0482/tillsynsmail/A 43008-2023 tillsynsbegäran mail.docx", "A 43008-2023")</f>
        <v/>
      </c>
    </row>
    <row r="144" ht="15" customHeight="1">
      <c r="A144" t="inlineStr">
        <is>
          <t>A 21704-2026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46263</v>
      </c>
      <c r="F144" t="inlineStr">
        <is>
          <t>SÖDERMANLANDS LÄN</t>
        </is>
      </c>
      <c r="G144" t="inlineStr">
        <is>
          <t>FLEN</t>
        </is>
      </c>
      <c r="I144" t="n">
        <v>10.2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Kandelabersvamp</t>
        </is>
      </c>
      <c r="W144">
        <f>HYPERLINK("https://klasma.github.io/Logging_0482/artfynd/A 21704-2026 artfynd.xlsx", "A 21704-2026")</f>
        <v/>
      </c>
      <c r="X144">
        <f>HYPERLINK("https://klasma.github.io/Logging_0482/kartor/A 21704-2026 karta.png", "A 21704-2026")</f>
        <v/>
      </c>
      <c r="Y144">
        <f>HYPERLINK("https://klasma.github.io/Logging_0482/kartor_geotiff/A 21704-2026 georefererad karta.tif", "A 21704-2026")</f>
        <v/>
      </c>
      <c r="AA144">
        <f>HYPERLINK("https://klasma.github.io/Logging_0482/klagomål/A 21704-2026 FSC-klagomål.docx", "A 21704-2026")</f>
        <v/>
      </c>
      <c r="AB144">
        <f>HYPERLINK("https://klasma.github.io/Logging_0482/klagomålsmail/A 21704-2026 FSC-klagomål mail.docx", "A 21704-2026")</f>
        <v/>
      </c>
      <c r="AC144">
        <f>HYPERLINK("https://klasma.github.io/Logging_0482/tillsyn/A 21704-2026 tillsynsbegäran.docx", "A 21704-2026")</f>
        <v/>
      </c>
      <c r="AD144">
        <f>HYPERLINK("https://klasma.github.io/Logging_0482/tillsynsmail/A 21704-2026 tillsynsbegäran mail.docx", "A 21704-2026")</f>
        <v/>
      </c>
    </row>
    <row r="145" ht="15" customHeight="1">
      <c r="A145" t="inlineStr">
        <is>
          <t>A 37317-2023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45156</v>
      </c>
      <c r="E145" s="1" t="n">
        <v>46263</v>
      </c>
      <c r="F145" t="inlineStr">
        <is>
          <t>SÖDERMANLANDS LÄN</t>
        </is>
      </c>
      <c r="G145" t="inlineStr">
        <is>
          <t>FLEN</t>
        </is>
      </c>
      <c r="H145" t="inlineStr">
        <is>
          <t>Holmen skog AB</t>
        </is>
      </c>
      <c r="I145" t="n">
        <v>5.1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Svavelriska</t>
        </is>
      </c>
      <c r="W145">
        <f>HYPERLINK("https://klasma.github.io/Logging_0482/artfynd/A 37317-2023 artfynd.xlsx", "A 37317-2023")</f>
        <v/>
      </c>
      <c r="X145">
        <f>HYPERLINK("https://klasma.github.io/Logging_0482/kartor/A 37317-2023 karta.png", "A 37317-2023")</f>
        <v/>
      </c>
      <c r="Y145">
        <f>HYPERLINK("https://klasma.github.io/Logging_0482/kartor_geotiff/A 37317-2023 georefererad karta.tif", "A 37317-2023")</f>
        <v/>
      </c>
      <c r="AA145">
        <f>HYPERLINK("https://klasma.github.io/Logging_0482/klagomål/A 37317-2023 FSC-klagomål.docx", "A 37317-2023")</f>
        <v/>
      </c>
      <c r="AB145">
        <f>HYPERLINK("https://klasma.github.io/Logging_0482/klagomålsmail/A 37317-2023 FSC-klagomål mail.docx", "A 37317-2023")</f>
        <v/>
      </c>
      <c r="AC145">
        <f>HYPERLINK("https://klasma.github.io/Logging_0482/tillsyn/A 37317-2023 tillsynsbegäran.docx", "A 37317-2023")</f>
        <v/>
      </c>
      <c r="AD145">
        <f>HYPERLINK("https://klasma.github.io/Logging_0482/tillsynsmail/A 37317-2023 tillsynsbegäran mail.docx", "A 37317-2023")</f>
        <v/>
      </c>
    </row>
    <row r="146" ht="15" customHeight="1">
      <c r="A146" t="inlineStr">
        <is>
          <t>A 24179-2026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46263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1.8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24179-2026 artfynd.xlsx", "A 24179-2026")</f>
        <v/>
      </c>
      <c r="X146">
        <f>HYPERLINK("https://klasma.github.io/Logging_0482/kartor/A 24179-2026 karta.png", "A 24179-2026")</f>
        <v/>
      </c>
      <c r="Y146">
        <f>HYPERLINK("https://klasma.github.io/Logging_0482/kartor_geotiff/A 24179-2026 georefererad karta.tif", "A 24179-2026")</f>
        <v/>
      </c>
      <c r="AA146">
        <f>HYPERLINK("https://klasma.github.io/Logging_0482/klagomål/A 24179-2026 FSC-klagomål.docx", "A 24179-2026")</f>
        <v/>
      </c>
      <c r="AB146">
        <f>HYPERLINK("https://klasma.github.io/Logging_0482/klagomålsmail/A 24179-2026 FSC-klagomål mail.docx", "A 24179-2026")</f>
        <v/>
      </c>
      <c r="AC146">
        <f>HYPERLINK("https://klasma.github.io/Logging_0482/tillsyn/A 24179-2026 tillsynsbegäran.docx", "A 24179-2026")</f>
        <v/>
      </c>
      <c r="AD146">
        <f>HYPERLINK("https://klasma.github.io/Logging_0482/tillsynsmail/A 24179-2026 tillsynsbegäran mail.docx", "A 24179-2026")</f>
        <v/>
      </c>
    </row>
    <row r="147" ht="15" customHeight="1">
      <c r="A147" t="inlineStr">
        <is>
          <t>A 26310-2026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46263</v>
      </c>
      <c r="F147" t="inlineStr">
        <is>
          <t>SÖDERMANLANDS LÄN</t>
        </is>
      </c>
      <c r="G147" t="inlineStr">
        <is>
          <t>FLEN</t>
        </is>
      </c>
      <c r="I147" t="n">
        <v>1.2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Spillkråka</t>
        </is>
      </c>
      <c r="W147">
        <f>HYPERLINK("https://klasma.github.io/Logging_0482/artfynd/A 26310-2026 artfynd.xlsx", "A 26310-2026")</f>
        <v/>
      </c>
      <c r="X147">
        <f>HYPERLINK("https://klasma.github.io/Logging_0482/kartor/A 26310-2026 karta.png", "A 26310-2026")</f>
        <v/>
      </c>
      <c r="Y147">
        <f>HYPERLINK("https://klasma.github.io/Logging_0482/kartor_geotiff/A 26310-2026 georefererad karta.tif", "A 26310-2026")</f>
        <v/>
      </c>
      <c r="AA147">
        <f>HYPERLINK("https://klasma.github.io/Logging_0482/klagomål/A 26310-2026 FSC-klagomål.docx", "A 26310-2026")</f>
        <v/>
      </c>
      <c r="AB147">
        <f>HYPERLINK("https://klasma.github.io/Logging_0482/klagomålsmail/A 26310-2026 FSC-klagomål mail.docx", "A 26310-2026")</f>
        <v/>
      </c>
      <c r="AC147">
        <f>HYPERLINK("https://klasma.github.io/Logging_0482/tillsyn/A 26310-2026 tillsynsbegäran.docx", "A 26310-2026")</f>
        <v/>
      </c>
      <c r="AD147">
        <f>HYPERLINK("https://klasma.github.io/Logging_0482/tillsynsmail/A 26310-2026 tillsynsbegäran mail.docx", "A 26310-2026")</f>
        <v/>
      </c>
      <c r="AE147">
        <f>HYPERLINK("https://klasma.github.io/Logging_0482/fåglar/A 26310-2026 prioriterade fågelarter.docx", "A 26310-2026")</f>
        <v/>
      </c>
    </row>
    <row r="148" ht="15" customHeight="1">
      <c r="A148" t="inlineStr">
        <is>
          <t>A 26052-2026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46263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3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HYPERLINK("https://klasma.github.io/Logging_0482/artfynd/A 26052-2026 artfynd.xlsx", "A 26052-2026")</f>
        <v/>
      </c>
      <c r="X148">
        <f>HYPERLINK("https://klasma.github.io/Logging_0482/kartor/A 26052-2026 karta.png", "A 26052-2026")</f>
        <v/>
      </c>
      <c r="Y148">
        <f>HYPERLINK("https://klasma.github.io/Logging_0482/kartor_geotiff/A 26052-2026 georefererad karta.tif", "A 26052-2026")</f>
        <v/>
      </c>
      <c r="AA148">
        <f>HYPERLINK("https://klasma.github.io/Logging_0482/klagomål/A 26052-2026 FSC-klagomål.docx", "A 26052-2026")</f>
        <v/>
      </c>
      <c r="AB148">
        <f>HYPERLINK("https://klasma.github.io/Logging_0482/klagomålsmail/A 26052-2026 FSC-klagomål mail.docx", "A 26052-2026")</f>
        <v/>
      </c>
      <c r="AC148">
        <f>HYPERLINK("https://klasma.github.io/Logging_0482/tillsyn/A 26052-2026 tillsynsbegäran.docx", "A 26052-2026")</f>
        <v/>
      </c>
      <c r="AD148">
        <f>HYPERLINK("https://klasma.github.io/Logging_0482/tillsynsmail/A 26052-2026 tillsynsbegäran mail.docx", "A 26052-2026")</f>
        <v/>
      </c>
    </row>
    <row r="149" ht="15" customHeight="1">
      <c r="A149" t="inlineStr">
        <is>
          <t>A 30406-2026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46209</v>
      </c>
      <c r="E149" s="1" t="n">
        <v>46263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HYPERLINK("https://klasma.github.io/Logging_0482/artfynd/A 30406-2026 artfynd.xlsx", "A 30406-2026")</f>
        <v/>
      </c>
      <c r="X149">
        <f>HYPERLINK("https://klasma.github.io/Logging_0482/kartor/A 30406-2026 karta.png", "A 30406-2026")</f>
        <v/>
      </c>
      <c r="Y149">
        <f>HYPERLINK("https://klasma.github.io/Logging_0482/kartor_geotiff/A 30406-2026 georefererad karta.tif", "A 30406-2026")</f>
        <v/>
      </c>
      <c r="AA149">
        <f>HYPERLINK("https://klasma.github.io/Logging_0482/klagomål/A 30406-2026 FSC-klagomål.docx", "A 30406-2026")</f>
        <v/>
      </c>
      <c r="AB149">
        <f>HYPERLINK("https://klasma.github.io/Logging_0482/klagomålsmail/A 30406-2026 FSC-klagomål mail.docx", "A 30406-2026")</f>
        <v/>
      </c>
      <c r="AC149">
        <f>HYPERLINK("https://klasma.github.io/Logging_0482/tillsyn/A 30406-2026 tillsynsbegäran.docx", "A 30406-2026")</f>
        <v/>
      </c>
      <c r="AD149">
        <f>HYPERLINK("https://klasma.github.io/Logging_0482/tillsynsmail/A 30406-2026 tillsynsbegäran mail.docx", "A 30406-2026")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46263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46263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46263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46263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46263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46263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46263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46263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46263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46263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46263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46263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46263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46263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46263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46263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46263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46263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46263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46263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46263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46263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46263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46263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46263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46263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46263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46263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46263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46263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46263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46263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46263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46263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46263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46263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46263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46263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46263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46263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46263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46263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46263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46263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46263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46263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46263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46263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46263</v>
      </c>
      <c r="F198" t="inlineStr">
        <is>
          <t>SÖDERMANLANDS LÄN</t>
        </is>
      </c>
      <c r="G198" t="inlineStr">
        <is>
          <t>FLEN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46263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44566</v>
      </c>
      <c r="E200" s="1" t="n">
        <v>46263</v>
      </c>
      <c r="F200" t="inlineStr">
        <is>
          <t>SÖDERMANLANDS LÄN</t>
        </is>
      </c>
      <c r="G200" t="inlineStr">
        <is>
          <t>FLEN</t>
        </is>
      </c>
      <c r="H200" t="inlineStr">
        <is>
          <t>Kyrkan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46263</v>
      </c>
      <c r="F201" t="inlineStr">
        <is>
          <t>SÖDERMANLANDS LÄN</t>
        </is>
      </c>
      <c r="G201" t="inlineStr">
        <is>
          <t>FLEN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46263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44643</v>
      </c>
      <c r="E203" s="1" t="n">
        <v>46263</v>
      </c>
      <c r="F203" t="inlineStr">
        <is>
          <t>SÖDERMANLANDS LÄN</t>
        </is>
      </c>
      <c r="G203" t="inlineStr">
        <is>
          <t>FLEN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44448</v>
      </c>
      <c r="E204" s="1" t="n">
        <v>46263</v>
      </c>
      <c r="F204" t="inlineStr">
        <is>
          <t>SÖDERMANLANDS LÄN</t>
        </is>
      </c>
      <c r="G204" t="inlineStr">
        <is>
          <t>FLEN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46263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46263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46263</v>
      </c>
      <c r="F207" t="inlineStr">
        <is>
          <t>SÖDERMANLANDS LÄN</t>
        </is>
      </c>
      <c r="G207" t="inlineStr">
        <is>
          <t>FLEN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46263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46263</v>
      </c>
      <c r="F209" t="inlineStr">
        <is>
          <t>SÖDERMANLANDS LÄN</t>
        </is>
      </c>
      <c r="G209" t="inlineStr">
        <is>
          <t>FLEN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45311</v>
      </c>
      <c r="E210" s="1" t="n">
        <v>46263</v>
      </c>
      <c r="F210" t="inlineStr">
        <is>
          <t>SÖDERMANLANDS LÄN</t>
        </is>
      </c>
      <c r="G210" t="inlineStr">
        <is>
          <t>FLEN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46263</v>
      </c>
      <c r="F211" t="inlineStr">
        <is>
          <t>SÖDERMANLANDS LÄN</t>
        </is>
      </c>
      <c r="G211" t="inlineStr">
        <is>
          <t>FLEN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27146-2022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46263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44862</v>
      </c>
      <c r="E213" s="1" t="n">
        <v>46263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45228</v>
      </c>
      <c r="E214" s="1" t="n">
        <v>46263</v>
      </c>
      <c r="F214" t="inlineStr">
        <is>
          <t>SÖDERMANLANDS LÄN</t>
        </is>
      </c>
      <c r="G214" t="inlineStr">
        <is>
          <t>FLEN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46263</v>
      </c>
      <c r="F215" t="inlineStr">
        <is>
          <t>SÖDERMANLANDS LÄN</t>
        </is>
      </c>
      <c r="G215" t="inlineStr">
        <is>
          <t>FLEN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45330</v>
      </c>
      <c r="E216" s="1" t="n">
        <v>46263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46263</v>
      </c>
      <c r="F217" t="inlineStr">
        <is>
          <t>SÖDERMANLANDS LÄN</t>
        </is>
      </c>
      <c r="G217" t="inlineStr">
        <is>
          <t>FLEN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46263</v>
      </c>
      <c r="F218" t="inlineStr">
        <is>
          <t>SÖDERMANLANDS LÄN</t>
        </is>
      </c>
      <c r="G218" t="inlineStr">
        <is>
          <t>FLEN</t>
        </is>
      </c>
      <c r="H218" t="inlineStr">
        <is>
          <t>Holmen skog AB</t>
        </is>
      </c>
      <c r="I218" t="n">
        <v>14.7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14859-2024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46263</v>
      </c>
      <c r="F219" t="inlineStr">
        <is>
          <t>SÖDERMANLANDS LÄN</t>
        </is>
      </c>
      <c r="G219" t="inlineStr">
        <is>
          <t>FLEN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46263</v>
      </c>
      <c r="F220" t="inlineStr">
        <is>
          <t>SÖDERMANLANDS LÄN</t>
        </is>
      </c>
      <c r="G220" t="inlineStr">
        <is>
          <t>FLEN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46263</v>
      </c>
      <c r="F221" t="inlineStr">
        <is>
          <t>SÖDERMANLANDS LÄN</t>
        </is>
      </c>
      <c r="G221" t="inlineStr">
        <is>
          <t>FLEN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46263</v>
      </c>
      <c r="F222" t="inlineStr">
        <is>
          <t>SÖDERMANLANDS LÄN</t>
        </is>
      </c>
      <c r="G222" t="inlineStr">
        <is>
          <t>FLEN</t>
        </is>
      </c>
      <c r="I222" t="n">
        <v>10.4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45252</v>
      </c>
      <c r="E223" s="1" t="n">
        <v>46263</v>
      </c>
      <c r="F223" t="inlineStr">
        <is>
          <t>SÖDERMANLANDS LÄN</t>
        </is>
      </c>
      <c r="G223" t="inlineStr">
        <is>
          <t>FLEN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46263</v>
      </c>
      <c r="F224" t="inlineStr">
        <is>
          <t>SÖDERMANLANDS LÄN</t>
        </is>
      </c>
      <c r="G224" t="inlineStr">
        <is>
          <t>FLEN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46263</v>
      </c>
      <c r="F225" t="inlineStr">
        <is>
          <t>SÖDERMANLANDS LÄN</t>
        </is>
      </c>
      <c r="G225" t="inlineStr">
        <is>
          <t>FLEN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46263</v>
      </c>
      <c r="F226" t="inlineStr">
        <is>
          <t>SÖDERMANLANDS LÄN</t>
        </is>
      </c>
      <c r="G226" t="inlineStr">
        <is>
          <t>FLEN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46263</v>
      </c>
      <c r="F227" t="inlineStr">
        <is>
          <t>SÖDERMANLANDS LÄN</t>
        </is>
      </c>
      <c r="G227" t="inlineStr">
        <is>
          <t>FLEN</t>
        </is>
      </c>
      <c r="I227" t="n">
        <v>8.699999999999999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54736-2022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46263</v>
      </c>
      <c r="F228" t="inlineStr">
        <is>
          <t>SÖDERMANLANDS LÄN</t>
        </is>
      </c>
      <c r="G228" t="inlineStr">
        <is>
          <t>FLEN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45114</v>
      </c>
      <c r="E229" s="1" t="n">
        <v>46263</v>
      </c>
      <c r="F229" t="inlineStr">
        <is>
          <t>SÖDERMANLANDS LÄN</t>
        </is>
      </c>
      <c r="G229" t="inlineStr">
        <is>
          <t>FLEN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46263</v>
      </c>
      <c r="F230" t="inlineStr">
        <is>
          <t>SÖDERMANLANDS LÄN</t>
        </is>
      </c>
      <c r="G230" t="inlineStr">
        <is>
          <t>FLEN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45414</v>
      </c>
      <c r="E231" s="1" t="n">
        <v>46263</v>
      </c>
      <c r="F231" t="inlineStr">
        <is>
          <t>SÖDERMANLANDS LÄN</t>
        </is>
      </c>
      <c r="G231" t="inlineStr">
        <is>
          <t>FLEN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46263</v>
      </c>
      <c r="F232" t="inlineStr">
        <is>
          <t>SÖDERMANLANDS LÄN</t>
        </is>
      </c>
      <c r="G232" t="inlineStr">
        <is>
          <t>FLEN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54282-2025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45964</v>
      </c>
      <c r="E233" s="1" t="n">
        <v>46263</v>
      </c>
      <c r="F233" t="inlineStr">
        <is>
          <t>SÖDERMANLANDS LÄN</t>
        </is>
      </c>
      <c r="G233" t="inlineStr">
        <is>
          <t>FLEN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54283-2025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45964</v>
      </c>
      <c r="E234" s="1" t="n">
        <v>46263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44887</v>
      </c>
      <c r="E235" s="1" t="n">
        <v>46263</v>
      </c>
      <c r="F235" t="inlineStr">
        <is>
          <t>SÖDERMANLANDS LÄN</t>
        </is>
      </c>
      <c r="G235" t="inlineStr">
        <is>
          <t>FLEN</t>
        </is>
      </c>
      <c r="I235" t="n">
        <v>11.3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45790</v>
      </c>
      <c r="E236" s="1" t="n">
        <v>46263</v>
      </c>
      <c r="F236" t="inlineStr">
        <is>
          <t>SÖDERMANLANDS LÄN</t>
        </is>
      </c>
      <c r="G236" t="inlineStr">
        <is>
          <t>FLEN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46263</v>
      </c>
      <c r="F237" t="inlineStr">
        <is>
          <t>SÖDERMANLANDS LÄN</t>
        </is>
      </c>
      <c r="G237" t="inlineStr">
        <is>
          <t>FLEN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46263</v>
      </c>
      <c r="F238" t="inlineStr">
        <is>
          <t>SÖDERMANLANDS LÄN</t>
        </is>
      </c>
      <c r="G238" t="inlineStr">
        <is>
          <t>FLEN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65869-2021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44517</v>
      </c>
      <c r="E239" s="1" t="n">
        <v>46263</v>
      </c>
      <c r="F239" t="inlineStr">
        <is>
          <t>SÖDERMANLANDS LÄN</t>
        </is>
      </c>
      <c r="G239" t="inlineStr">
        <is>
          <t>FLEN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45322</v>
      </c>
      <c r="E240" s="1" t="n">
        <v>46263</v>
      </c>
      <c r="F240" t="inlineStr">
        <is>
          <t>SÖDERMANLANDS LÄN</t>
        </is>
      </c>
      <c r="G240" t="inlineStr">
        <is>
          <t>FLEN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45256</v>
      </c>
      <c r="E241" s="1" t="n">
        <v>46263</v>
      </c>
      <c r="F241" t="inlineStr">
        <is>
          <t>SÖDERMANLANDS LÄN</t>
        </is>
      </c>
      <c r="G241" t="inlineStr">
        <is>
          <t>FLEN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46263</v>
      </c>
      <c r="F242" t="inlineStr">
        <is>
          <t>SÖDERMANLANDS LÄN</t>
        </is>
      </c>
      <c r="G242" t="inlineStr">
        <is>
          <t>FLEN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46263</v>
      </c>
      <c r="F243" t="inlineStr">
        <is>
          <t>SÖDERMANLANDS LÄN</t>
        </is>
      </c>
      <c r="G243" t="inlineStr">
        <is>
          <t>FLEN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46263</v>
      </c>
      <c r="F244" t="inlineStr">
        <is>
          <t>SÖDERMANLANDS LÄN</t>
        </is>
      </c>
      <c r="G244" t="inlineStr">
        <is>
          <t>FLEN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56573-2025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45974</v>
      </c>
      <c r="E245" s="1" t="n">
        <v>46263</v>
      </c>
      <c r="F245" t="inlineStr">
        <is>
          <t>SÖDERMANLANDS LÄN</t>
        </is>
      </c>
      <c r="G245" t="inlineStr">
        <is>
          <t>FLEN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46263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46263</v>
      </c>
      <c r="F247" t="inlineStr">
        <is>
          <t>SÖDERMANLANDS LÄN</t>
        </is>
      </c>
      <c r="G247" t="inlineStr">
        <is>
          <t>FLEN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46263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46263</v>
      </c>
      <c r="F249" t="inlineStr">
        <is>
          <t>SÖDERMANLANDS LÄN</t>
        </is>
      </c>
      <c r="G249" t="inlineStr">
        <is>
          <t>FLEN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46263</v>
      </c>
      <c r="F250" t="inlineStr">
        <is>
          <t>SÖDERMANLANDS LÄN</t>
        </is>
      </c>
      <c r="G250" t="inlineStr">
        <is>
          <t>FLEN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58631-2024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46263</v>
      </c>
      <c r="F251" t="inlineStr">
        <is>
          <t>SÖDERMANLANDS LÄN</t>
        </is>
      </c>
      <c r="G251" t="inlineStr">
        <is>
          <t>FLEN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46263</v>
      </c>
      <c r="F252" t="inlineStr">
        <is>
          <t>SÖDERMANLANDS LÄN</t>
        </is>
      </c>
      <c r="G252" t="inlineStr">
        <is>
          <t>FLEN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66979-2021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44522</v>
      </c>
      <c r="E253" s="1" t="n">
        <v>46263</v>
      </c>
      <c r="F253" t="inlineStr">
        <is>
          <t>SÖDERMANLANDS LÄN</t>
        </is>
      </c>
      <c r="G253" t="inlineStr">
        <is>
          <t>FLEN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46263</v>
      </c>
      <c r="F254" t="inlineStr">
        <is>
          <t>SÖDERMANLANDS LÄN</t>
        </is>
      </c>
      <c r="G254" t="inlineStr">
        <is>
          <t>FLEN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46263</v>
      </c>
      <c r="F255" t="inlineStr">
        <is>
          <t>SÖDERMANLANDS LÄN</t>
        </is>
      </c>
      <c r="G255" t="inlineStr">
        <is>
          <t>FLEN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46263</v>
      </c>
      <c r="F256" t="inlineStr">
        <is>
          <t>SÖDERMANLANDS LÄN</t>
        </is>
      </c>
      <c r="G256" t="inlineStr">
        <is>
          <t>FLEN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46263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46263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46263</v>
      </c>
      <c r="F259" t="inlineStr">
        <is>
          <t>SÖDERMANLANDS LÄN</t>
        </is>
      </c>
      <c r="G259" t="inlineStr">
        <is>
          <t>FLEN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44636</v>
      </c>
      <c r="E260" s="1" t="n">
        <v>46263</v>
      </c>
      <c r="F260" t="inlineStr">
        <is>
          <t>SÖDERMANLANDS LÄN</t>
        </is>
      </c>
      <c r="G260" t="inlineStr">
        <is>
          <t>FLEN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46263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44859</v>
      </c>
      <c r="E262" s="1" t="n">
        <v>46263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46263</v>
      </c>
      <c r="F263" t="inlineStr">
        <is>
          <t>SÖDERMANLANDS LÄN</t>
        </is>
      </c>
      <c r="G263" t="inlineStr">
        <is>
          <t>FLEN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46263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45684</v>
      </c>
      <c r="E265" s="1" t="n">
        <v>46263</v>
      </c>
      <c r="F265" t="inlineStr">
        <is>
          <t>SÖDERMANLANDS LÄN</t>
        </is>
      </c>
      <c r="G265" t="inlineStr">
        <is>
          <t>FLEN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46263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27827-2025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46263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45993</v>
      </c>
      <c r="E268" s="1" t="n">
        <v>46263</v>
      </c>
      <c r="F268" t="inlineStr">
        <is>
          <t>SÖDERMANLANDS LÄN</t>
        </is>
      </c>
      <c r="G268" t="inlineStr">
        <is>
          <t>FLEN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45994</v>
      </c>
      <c r="E269" s="1" t="n">
        <v>46263</v>
      </c>
      <c r="F269" t="inlineStr">
        <is>
          <t>SÖDERMANLANDS LÄN</t>
        </is>
      </c>
      <c r="G269" t="inlineStr">
        <is>
          <t>FLEN</t>
        </is>
      </c>
      <c r="H269" t="inlineStr">
        <is>
          <t>Kyrkan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46263</v>
      </c>
      <c r="F270" t="inlineStr">
        <is>
          <t>SÖDERMANLANDS LÄN</t>
        </is>
      </c>
      <c r="G270" t="inlineStr">
        <is>
          <t>FLEN</t>
        </is>
      </c>
      <c r="H270" t="inlineStr">
        <is>
          <t>Kyrkan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46263</v>
      </c>
      <c r="F271" t="inlineStr">
        <is>
          <t>SÖDERMANLANDS LÄN</t>
        </is>
      </c>
      <c r="G271" t="inlineStr">
        <is>
          <t>FLEN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57353-2022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46263</v>
      </c>
      <c r="F272" t="inlineStr">
        <is>
          <t>SÖDERMANLANDS LÄN</t>
        </is>
      </c>
      <c r="G272" t="inlineStr">
        <is>
          <t>FLEN</t>
        </is>
      </c>
      <c r="H272" t="inlineStr">
        <is>
          <t>Övriga statliga verk och myndigheter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46263</v>
      </c>
      <c r="F273" t="inlineStr">
        <is>
          <t>SÖDERMANLANDS LÄN</t>
        </is>
      </c>
      <c r="G273" t="inlineStr">
        <is>
          <t>FLEN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46263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44616</v>
      </c>
      <c r="E275" s="1" t="n">
        <v>46263</v>
      </c>
      <c r="F275" t="inlineStr">
        <is>
          <t>SÖDERMANLANDS LÄN</t>
        </is>
      </c>
      <c r="G275" t="inlineStr">
        <is>
          <t>FLEN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14755-2023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46263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46263</v>
      </c>
      <c r="F277" t="inlineStr">
        <is>
          <t>SÖDERMANLANDS LÄN</t>
        </is>
      </c>
      <c r="G277" t="inlineStr">
        <is>
          <t>FLEN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44588</v>
      </c>
      <c r="E278" s="1" t="n">
        <v>46263</v>
      </c>
      <c r="F278" t="inlineStr">
        <is>
          <t>SÖDERMANLANDS LÄN</t>
        </is>
      </c>
      <c r="G278" t="inlineStr">
        <is>
          <t>FLEN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46263</v>
      </c>
      <c r="F279" t="inlineStr">
        <is>
          <t>SÖDERMANLANDS LÄN</t>
        </is>
      </c>
      <c r="G279" t="inlineStr">
        <is>
          <t>FLEN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4899-2023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44958</v>
      </c>
      <c r="E280" s="1" t="n">
        <v>46263</v>
      </c>
      <c r="F280" t="inlineStr">
        <is>
          <t>SÖDERMANLANDS LÄN</t>
        </is>
      </c>
      <c r="G280" t="inlineStr">
        <is>
          <t>FLEN</t>
        </is>
      </c>
      <c r="H280" t="inlineStr">
        <is>
          <t>Kyrkan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46263</v>
      </c>
      <c r="F281" t="inlineStr">
        <is>
          <t>SÖDERMANLANDS LÄN</t>
        </is>
      </c>
      <c r="G281" t="inlineStr">
        <is>
          <t>FLEN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46263</v>
      </c>
      <c r="F282" t="inlineStr">
        <is>
          <t>SÖDERMANLANDS LÄN</t>
        </is>
      </c>
      <c r="G282" t="inlineStr">
        <is>
          <t>FLEN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46263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52980-2023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46263</v>
      </c>
      <c r="F284" t="inlineStr">
        <is>
          <t>SÖDERMANLANDS LÄN</t>
        </is>
      </c>
      <c r="G284" t="inlineStr">
        <is>
          <t>FLEN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56991-2023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45244</v>
      </c>
      <c r="E285" s="1" t="n">
        <v>46263</v>
      </c>
      <c r="F285" t="inlineStr">
        <is>
          <t>SÖDERMANLANDS LÄN</t>
        </is>
      </c>
      <c r="G285" t="inlineStr">
        <is>
          <t>FLEN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46263</v>
      </c>
      <c r="F286" t="inlineStr">
        <is>
          <t>SÖDERMANLANDS LÄN</t>
        </is>
      </c>
      <c r="G286" t="inlineStr">
        <is>
          <t>FLEN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46263</v>
      </c>
      <c r="F287" t="inlineStr">
        <is>
          <t>SÖDERMANLANDS LÄN</t>
        </is>
      </c>
      <c r="G287" t="inlineStr">
        <is>
          <t>FLEN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45830</v>
      </c>
      <c r="E288" s="1" t="n">
        <v>46263</v>
      </c>
      <c r="F288" t="inlineStr">
        <is>
          <t>SÖDERMANLANDS LÄN</t>
        </is>
      </c>
      <c r="G288" t="inlineStr">
        <is>
          <t>FLEN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45830</v>
      </c>
      <c r="E289" s="1" t="n">
        <v>46263</v>
      </c>
      <c r="F289" t="inlineStr">
        <is>
          <t>SÖDERMANLANDS LÄN</t>
        </is>
      </c>
      <c r="G289" t="inlineStr">
        <is>
          <t>FLEN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67464-2021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44524</v>
      </c>
      <c r="E290" s="1" t="n">
        <v>46263</v>
      </c>
      <c r="F290" t="inlineStr">
        <is>
          <t>SÖDERMANLANDS LÄN</t>
        </is>
      </c>
      <c r="G290" t="inlineStr">
        <is>
          <t>FLEN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59258-2022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46263</v>
      </c>
      <c r="F291" t="inlineStr">
        <is>
          <t>SÖDERMANLANDS LÄN</t>
        </is>
      </c>
      <c r="G291" t="inlineStr">
        <is>
          <t>FLEN</t>
        </is>
      </c>
      <c r="H291" t="inlineStr">
        <is>
          <t>Övriga statliga verk och myndigheter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47604-2021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44448</v>
      </c>
      <c r="E292" s="1" t="n">
        <v>46263</v>
      </c>
      <c r="F292" t="inlineStr">
        <is>
          <t>SÖDERMANLANDS LÄN</t>
        </is>
      </c>
      <c r="G292" t="inlineStr">
        <is>
          <t>FLEN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46263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44986</v>
      </c>
      <c r="E294" s="1" t="n">
        <v>46263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46263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44778</v>
      </c>
      <c r="E296" s="1" t="n">
        <v>46263</v>
      </c>
      <c r="F296" t="inlineStr">
        <is>
          <t>SÖDERMANLANDS LÄN</t>
        </is>
      </c>
      <c r="G296" t="inlineStr">
        <is>
          <t>FLEN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46263</v>
      </c>
      <c r="F297" t="inlineStr">
        <is>
          <t>SÖDERMANLANDS LÄN</t>
        </is>
      </c>
      <c r="G297" t="inlineStr">
        <is>
          <t>FLEN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45448</v>
      </c>
      <c r="E298" s="1" t="n">
        <v>46263</v>
      </c>
      <c r="F298" t="inlineStr">
        <is>
          <t>SÖDERMANLANDS LÄN</t>
        </is>
      </c>
      <c r="G298" t="inlineStr">
        <is>
          <t>FLEN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46263</v>
      </c>
      <c r="F299" t="inlineStr">
        <is>
          <t>SÖDERMANLANDS LÄN</t>
        </is>
      </c>
      <c r="G299" t="inlineStr">
        <is>
          <t>FLEN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45702</v>
      </c>
      <c r="E300" s="1" t="n">
        <v>46263</v>
      </c>
      <c r="F300" t="inlineStr">
        <is>
          <t>SÖDERMANLANDS LÄN</t>
        </is>
      </c>
      <c r="G300" t="inlineStr">
        <is>
          <t>FLEN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12295-2025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45729</v>
      </c>
      <c r="E301" s="1" t="n">
        <v>46263</v>
      </c>
      <c r="F301" t="inlineStr">
        <is>
          <t>SÖDERMANLANDS LÄN</t>
        </is>
      </c>
      <c r="G301" t="inlineStr">
        <is>
          <t>FLEN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60609-2022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46263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45581</v>
      </c>
      <c r="E303" s="1" t="n">
        <v>46263</v>
      </c>
      <c r="F303" t="inlineStr">
        <is>
          <t>SÖDERMANLANDS LÄN</t>
        </is>
      </c>
      <c r="G303" t="inlineStr">
        <is>
          <t>FLEN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44761</v>
      </c>
      <c r="E304" s="1" t="n">
        <v>46263</v>
      </c>
      <c r="F304" t="inlineStr">
        <is>
          <t>SÖDERMANLANDS LÄN</t>
        </is>
      </c>
      <c r="G304" t="inlineStr">
        <is>
          <t>FLEN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57863-2022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44899</v>
      </c>
      <c r="E305" s="1" t="n">
        <v>46263</v>
      </c>
      <c r="F305" t="inlineStr">
        <is>
          <t>SÖDERMANLANDS LÄN</t>
        </is>
      </c>
      <c r="G305" t="inlineStr">
        <is>
          <t>FLEN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45636</v>
      </c>
      <c r="E306" s="1" t="n">
        <v>46263</v>
      </c>
      <c r="F306" t="inlineStr">
        <is>
          <t>SÖDERMANLANDS LÄN</t>
        </is>
      </c>
      <c r="G306" t="inlineStr">
        <is>
          <t>FLEN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46263</v>
      </c>
      <c r="F307" t="inlineStr">
        <is>
          <t>SÖDERMANLANDS LÄN</t>
        </is>
      </c>
      <c r="G307" t="inlineStr">
        <is>
          <t>FLEN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46263</v>
      </c>
      <c r="F308" t="inlineStr">
        <is>
          <t>SÖDERMANLANDS LÄN</t>
        </is>
      </c>
      <c r="G308" t="inlineStr">
        <is>
          <t>FLEN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44722</v>
      </c>
      <c r="E309" s="1" t="n">
        <v>46263</v>
      </c>
      <c r="F309" t="inlineStr">
        <is>
          <t>SÖDERMANLANDS LÄN</t>
        </is>
      </c>
      <c r="G309" t="inlineStr">
        <is>
          <t>FLEN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46263</v>
      </c>
      <c r="F310" t="inlineStr">
        <is>
          <t>SÖDERMANLANDS LÄN</t>
        </is>
      </c>
      <c r="G310" t="inlineStr">
        <is>
          <t>FLEN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46263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45713</v>
      </c>
      <c r="E312" s="1" t="n">
        <v>46263</v>
      </c>
      <c r="F312" t="inlineStr">
        <is>
          <t>SÖDERMANLANDS LÄN</t>
        </is>
      </c>
      <c r="G312" t="inlineStr">
        <is>
          <t>FLEN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49775-2024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45597</v>
      </c>
      <c r="E313" s="1" t="n">
        <v>46263</v>
      </c>
      <c r="F313" t="inlineStr">
        <is>
          <t>SÖDERMANLANDS LÄN</t>
        </is>
      </c>
      <c r="G313" t="inlineStr">
        <is>
          <t>FLEN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45632</v>
      </c>
      <c r="E314" s="1" t="n">
        <v>46263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46263</v>
      </c>
      <c r="F315" t="inlineStr">
        <is>
          <t>SÖDERMANLANDS LÄN</t>
        </is>
      </c>
      <c r="G315" t="inlineStr">
        <is>
          <t>FLEN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46263</v>
      </c>
      <c r="F316" t="inlineStr">
        <is>
          <t>SÖDERMANLANDS LÄN</t>
        </is>
      </c>
      <c r="G316" t="inlineStr">
        <is>
          <t>FLEN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45030</v>
      </c>
      <c r="E317" s="1" t="n">
        <v>46263</v>
      </c>
      <c r="F317" t="inlineStr">
        <is>
          <t>SÖDERMANLANDS LÄN</t>
        </is>
      </c>
      <c r="G317" t="inlineStr">
        <is>
          <t>FLEN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46263</v>
      </c>
      <c r="F318" t="inlineStr">
        <is>
          <t>SÖDERMANLANDS LÄN</t>
        </is>
      </c>
      <c r="G318" t="inlineStr">
        <is>
          <t>FLEN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45228</v>
      </c>
      <c r="E319" s="1" t="n">
        <v>46263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66867-2021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44522</v>
      </c>
      <c r="E320" s="1" t="n">
        <v>46263</v>
      </c>
      <c r="F320" t="inlineStr">
        <is>
          <t>SÖDERMANLANDS LÄN</t>
        </is>
      </c>
      <c r="G320" t="inlineStr">
        <is>
          <t>FLEN</t>
        </is>
      </c>
      <c r="H320" t="inlineStr">
        <is>
          <t>Kyrkan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49811-2023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46263</v>
      </c>
      <c r="F321" t="inlineStr">
        <is>
          <t>SÖDERMANLANDS LÄN</t>
        </is>
      </c>
      <c r="G321" t="inlineStr">
        <is>
          <t>FLEN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45048</v>
      </c>
      <c r="E322" s="1" t="n">
        <v>46263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46263</v>
      </c>
      <c r="F323" t="inlineStr">
        <is>
          <t>SÖDERMANLANDS LÄN</t>
        </is>
      </c>
      <c r="G323" t="inlineStr">
        <is>
          <t>FLEN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46263</v>
      </c>
      <c r="F324" t="inlineStr">
        <is>
          <t>SÖDERMANLANDS LÄN</t>
        </is>
      </c>
      <c r="G324" t="inlineStr">
        <is>
          <t>FLEN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45345</v>
      </c>
      <c r="E325" s="1" t="n">
        <v>46263</v>
      </c>
      <c r="F325" t="inlineStr">
        <is>
          <t>SÖDERMANLANDS LÄN</t>
        </is>
      </c>
      <c r="G325" t="inlineStr">
        <is>
          <t>FLEN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46263</v>
      </c>
      <c r="F326" t="inlineStr">
        <is>
          <t>SÖDERMANLANDS LÄN</t>
        </is>
      </c>
      <c r="G326" t="inlineStr">
        <is>
          <t>FLEN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44909</v>
      </c>
      <c r="E327" s="1" t="n">
        <v>46263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46263</v>
      </c>
      <c r="F328" t="inlineStr">
        <is>
          <t>SÖDERMANLANDS LÄN</t>
        </is>
      </c>
      <c r="G328" t="inlineStr">
        <is>
          <t>FLEN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44979</v>
      </c>
      <c r="E329" s="1" t="n">
        <v>46263</v>
      </c>
      <c r="F329" t="inlineStr">
        <is>
          <t>SÖDERMANLANDS LÄN</t>
        </is>
      </c>
      <c r="G329" t="inlineStr">
        <is>
          <t>FLEN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21822-2023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45068</v>
      </c>
      <c r="E330" s="1" t="n">
        <v>46263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47187-2022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44848</v>
      </c>
      <c r="E331" s="1" t="n">
        <v>46263</v>
      </c>
      <c r="F331" t="inlineStr">
        <is>
          <t>SÖDERMANLANDS LÄN</t>
        </is>
      </c>
      <c r="G331" t="inlineStr">
        <is>
          <t>FLEN</t>
        </is>
      </c>
      <c r="H331" t="inlineStr">
        <is>
          <t>Övriga statliga verk och myndigheter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46263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54340-2023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46263</v>
      </c>
      <c r="F333" t="inlineStr">
        <is>
          <t>SÖDERMANLANDS LÄN</t>
        </is>
      </c>
      <c r="G333" t="inlineStr">
        <is>
          <t>FLEN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46263</v>
      </c>
      <c r="F334" t="inlineStr">
        <is>
          <t>SÖDERMANLANDS LÄN</t>
        </is>
      </c>
      <c r="G334" t="inlineStr">
        <is>
          <t>FLEN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46263</v>
      </c>
      <c r="F335" t="inlineStr">
        <is>
          <t>SÖDERMANLANDS LÄN</t>
        </is>
      </c>
      <c r="G335" t="inlineStr">
        <is>
          <t>FLEN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44864</v>
      </c>
      <c r="E336" s="1" t="n">
        <v>46263</v>
      </c>
      <c r="F336" t="inlineStr">
        <is>
          <t>SÖDERMANLANDS LÄN</t>
        </is>
      </c>
      <c r="G336" t="inlineStr">
        <is>
          <t>FLEN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50796-2021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44459</v>
      </c>
      <c r="E337" s="1" t="n">
        <v>46263</v>
      </c>
      <c r="F337" t="inlineStr">
        <is>
          <t>SÖDERMANLANDS LÄN</t>
        </is>
      </c>
      <c r="G337" t="inlineStr">
        <is>
          <t>FLEN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50358-2023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45216</v>
      </c>
      <c r="E338" s="1" t="n">
        <v>46263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40404-2024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45555</v>
      </c>
      <c r="E339" s="1" t="n">
        <v>46263</v>
      </c>
      <c r="F339" t="inlineStr">
        <is>
          <t>SÖDERMANLANDS LÄN</t>
        </is>
      </c>
      <c r="G339" t="inlineStr">
        <is>
          <t>FLEN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52692-2021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44466</v>
      </c>
      <c r="E340" s="1" t="n">
        <v>46263</v>
      </c>
      <c r="F340" t="inlineStr">
        <is>
          <t>SÖDERMANLANDS LÄN</t>
        </is>
      </c>
      <c r="G340" t="inlineStr">
        <is>
          <t>FLEN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46263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6720-2026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46056</v>
      </c>
      <c r="E342" s="1" t="n">
        <v>46263</v>
      </c>
      <c r="F342" t="inlineStr">
        <is>
          <t>SÖDERMANLANDS LÄN</t>
        </is>
      </c>
      <c r="G342" t="inlineStr">
        <is>
          <t>FLEN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45260</v>
      </c>
      <c r="E343" s="1" t="n">
        <v>46263</v>
      </c>
      <c r="F343" t="inlineStr">
        <is>
          <t>SÖDERMANLANDS LÄN</t>
        </is>
      </c>
      <c r="G343" t="inlineStr">
        <is>
          <t>FLEN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62763-2023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45271</v>
      </c>
      <c r="E344" s="1" t="n">
        <v>46263</v>
      </c>
      <c r="F344" t="inlineStr">
        <is>
          <t>SÖDERMANLANDS LÄN</t>
        </is>
      </c>
      <c r="G344" t="inlineStr">
        <is>
          <t>FLEN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46044</v>
      </c>
      <c r="E345" s="1" t="n">
        <v>46263</v>
      </c>
      <c r="F345" t="inlineStr">
        <is>
          <t>SÖDERMANLANDS LÄN</t>
        </is>
      </c>
      <c r="G345" t="inlineStr">
        <is>
          <t>FLEN</t>
        </is>
      </c>
      <c r="H345" t="inlineStr">
        <is>
          <t>Övriga statliga verk och myndigheter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28529-2023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46263</v>
      </c>
      <c r="F346" t="inlineStr">
        <is>
          <t>SÖDERMANLANDS LÄN</t>
        </is>
      </c>
      <c r="G346" t="inlineStr">
        <is>
          <t>FLEN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15897-2023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46263</v>
      </c>
      <c r="F347" t="inlineStr">
        <is>
          <t>SÖDERMANLANDS LÄN</t>
        </is>
      </c>
      <c r="G347" t="inlineStr">
        <is>
          <t>FLEN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17125-2023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45034</v>
      </c>
      <c r="E348" s="1" t="n">
        <v>46263</v>
      </c>
      <c r="F348" t="inlineStr">
        <is>
          <t>SÖDERMANLANDS LÄN</t>
        </is>
      </c>
      <c r="G348" t="inlineStr">
        <is>
          <t>FLEN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45104</v>
      </c>
      <c r="E349" s="1" t="n">
        <v>46263</v>
      </c>
      <c r="F349" t="inlineStr">
        <is>
          <t>SÖDERMANLANDS LÄN</t>
        </is>
      </c>
      <c r="G349" t="inlineStr">
        <is>
          <t>FLEN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45081</v>
      </c>
      <c r="E350" s="1" t="n">
        <v>46263</v>
      </c>
      <c r="F350" t="inlineStr">
        <is>
          <t>SÖDERMANLANDS LÄN</t>
        </is>
      </c>
      <c r="G350" t="inlineStr">
        <is>
          <t>FLEN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25474-2023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45081</v>
      </c>
      <c r="E351" s="1" t="n">
        <v>46263</v>
      </c>
      <c r="F351" t="inlineStr">
        <is>
          <t>SÖDERMANLANDS LÄN</t>
        </is>
      </c>
      <c r="G351" t="inlineStr">
        <is>
          <t>FLEN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12936-2023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46263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46263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73923-2021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44553</v>
      </c>
      <c r="E354" s="1" t="n">
        <v>46263</v>
      </c>
      <c r="F354" t="inlineStr">
        <is>
          <t>SÖDERMANLANDS LÄN</t>
        </is>
      </c>
      <c r="G354" t="inlineStr">
        <is>
          <t>FLEN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60034-2022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44909</v>
      </c>
      <c r="E355" s="1" t="n">
        <v>46263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46263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46263</v>
      </c>
      <c r="F357" t="inlineStr">
        <is>
          <t>SÖDERMANLANDS LÄN</t>
        </is>
      </c>
      <c r="G357" t="inlineStr">
        <is>
          <t>FLEN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45163</v>
      </c>
      <c r="E358" s="1" t="n">
        <v>46263</v>
      </c>
      <c r="F358" t="inlineStr">
        <is>
          <t>SÖDERMANLANDS LÄN</t>
        </is>
      </c>
      <c r="G358" t="inlineStr">
        <is>
          <t>FLEN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46263</v>
      </c>
      <c r="F359" t="inlineStr">
        <is>
          <t>SÖDERMANLANDS LÄN</t>
        </is>
      </c>
      <c r="G359" t="inlineStr">
        <is>
          <t>FLEN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44473</v>
      </c>
      <c r="E360" s="1" t="n">
        <v>46263</v>
      </c>
      <c r="F360" t="inlineStr">
        <is>
          <t>SÖDERMANLANDS LÄN</t>
        </is>
      </c>
      <c r="G360" t="inlineStr">
        <is>
          <t>FLEN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46263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44957</v>
      </c>
      <c r="E362" s="1" t="n">
        <v>46263</v>
      </c>
      <c r="F362" t="inlineStr">
        <is>
          <t>SÖDERMANLANDS LÄN</t>
        </is>
      </c>
      <c r="G362" t="inlineStr">
        <is>
          <t>FLEN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44614</v>
      </c>
      <c r="E363" s="1" t="n">
        <v>46263</v>
      </c>
      <c r="F363" t="inlineStr">
        <is>
          <t>SÖDERMANLANDS LÄN</t>
        </is>
      </c>
      <c r="G363" t="inlineStr">
        <is>
          <t>FLEN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46263</v>
      </c>
      <c r="F364" t="inlineStr">
        <is>
          <t>SÖDERMANLANDS LÄN</t>
        </is>
      </c>
      <c r="G364" t="inlineStr">
        <is>
          <t>FLEN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35118-2024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45528</v>
      </c>
      <c r="E365" s="1" t="n">
        <v>46263</v>
      </c>
      <c r="F365" t="inlineStr">
        <is>
          <t>SÖDERMANLANDS LÄN</t>
        </is>
      </c>
      <c r="G365" t="inlineStr">
        <is>
          <t>FLEN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46263</v>
      </c>
      <c r="F366" t="inlineStr">
        <is>
          <t>SÖDERMANLANDS LÄN</t>
        </is>
      </c>
      <c r="G366" t="inlineStr">
        <is>
          <t>FLEN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72314-2021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46263</v>
      </c>
      <c r="F367" t="inlineStr">
        <is>
          <t>SÖDERMANLANDS LÄN</t>
        </is>
      </c>
      <c r="G367" t="inlineStr">
        <is>
          <t>FLEN</t>
        </is>
      </c>
      <c r="I367" t="n">
        <v>13.8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9511-2026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46263</v>
      </c>
      <c r="F368" t="inlineStr">
        <is>
          <t>SÖDERMANLANDS LÄN</t>
        </is>
      </c>
      <c r="G368" t="inlineStr">
        <is>
          <t>FLEN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46263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46263</v>
      </c>
      <c r="F370" t="inlineStr">
        <is>
          <t>SÖDERMANLANDS LÄN</t>
        </is>
      </c>
      <c r="G370" t="inlineStr">
        <is>
          <t>FLEN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46263</v>
      </c>
      <c r="F371" t="inlineStr">
        <is>
          <t>SÖDERMANLANDS LÄN</t>
        </is>
      </c>
      <c r="G371" t="inlineStr">
        <is>
          <t>FLEN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11098-2026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46263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60255-2021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44495</v>
      </c>
      <c r="E373" s="1" t="n">
        <v>46263</v>
      </c>
      <c r="F373" t="inlineStr">
        <is>
          <t>SÖDERMANLANDS LÄN</t>
        </is>
      </c>
      <c r="G373" t="inlineStr">
        <is>
          <t>FLEN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46263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46263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46082</v>
      </c>
      <c r="E376" s="1" t="n">
        <v>46263</v>
      </c>
      <c r="F376" t="inlineStr">
        <is>
          <t>SÖDERMANLANDS LÄN</t>
        </is>
      </c>
      <c r="G376" t="inlineStr">
        <is>
          <t>FLEN</t>
        </is>
      </c>
      <c r="I376" t="n">
        <v>7.7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11148-2026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46263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46263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11180-2026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46080</v>
      </c>
      <c r="E379" s="1" t="n">
        <v>46263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46263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45327</v>
      </c>
      <c r="E381" s="1" t="n">
        <v>46263</v>
      </c>
      <c r="F381" t="inlineStr">
        <is>
          <t>SÖDERMANLANDS LÄN</t>
        </is>
      </c>
      <c r="G381" t="inlineStr">
        <is>
          <t>FLEN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45161</v>
      </c>
      <c r="E382" s="1" t="n">
        <v>46263</v>
      </c>
      <c r="F382" t="inlineStr">
        <is>
          <t>SÖDERMANLANDS LÄN</t>
        </is>
      </c>
      <c r="G382" t="inlineStr">
        <is>
          <t>FLEN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12712-2026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46091</v>
      </c>
      <c r="E383" s="1" t="n">
        <v>46263</v>
      </c>
      <c r="F383" t="inlineStr">
        <is>
          <t>SÖDERMANLANDS LÄN</t>
        </is>
      </c>
      <c r="G383" t="inlineStr">
        <is>
          <t>FLEN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44610</v>
      </c>
      <c r="E384" s="1" t="n">
        <v>46263</v>
      </c>
      <c r="F384" t="inlineStr">
        <is>
          <t>SÖDERMANLANDS LÄN</t>
        </is>
      </c>
      <c r="G384" t="inlineStr">
        <is>
          <t>FLEN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44602</v>
      </c>
      <c r="E385" s="1" t="n">
        <v>46263</v>
      </c>
      <c r="F385" t="inlineStr">
        <is>
          <t>SÖDERMANLANDS LÄN</t>
        </is>
      </c>
      <c r="G385" t="inlineStr">
        <is>
          <t>FLEN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31352-2023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46263</v>
      </c>
      <c r="F386" t="inlineStr">
        <is>
          <t>SÖDERMANLANDS LÄN</t>
        </is>
      </c>
      <c r="G386" t="inlineStr">
        <is>
          <t>FLEN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45328</v>
      </c>
      <c r="E387" s="1" t="n">
        <v>46263</v>
      </c>
      <c r="F387" t="inlineStr">
        <is>
          <t>SÖDERMANLANDS LÄN</t>
        </is>
      </c>
      <c r="G387" t="inlineStr">
        <is>
          <t>FLEN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45555</v>
      </c>
      <c r="E388" s="1" t="n">
        <v>46263</v>
      </c>
      <c r="F388" t="inlineStr">
        <is>
          <t>SÖDERMANLANDS LÄN</t>
        </is>
      </c>
      <c r="G388" t="inlineStr">
        <is>
          <t>FLEN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46263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69588-2021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44531</v>
      </c>
      <c r="E390" s="1" t="n">
        <v>46263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46263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8.300000000000001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46263</v>
      </c>
      <c r="F392" t="inlineStr">
        <is>
          <t>SÖDERMANLANDS LÄN</t>
        </is>
      </c>
      <c r="G392" t="inlineStr">
        <is>
          <t>FLEN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46263</v>
      </c>
      <c r="F393" t="inlineStr">
        <is>
          <t>SÖDERMANLANDS LÄN</t>
        </is>
      </c>
      <c r="G393" t="inlineStr">
        <is>
          <t>FLEN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44634</v>
      </c>
      <c r="E394" s="1" t="n">
        <v>46263</v>
      </c>
      <c r="F394" t="inlineStr">
        <is>
          <t>SÖDERMANLANDS LÄN</t>
        </is>
      </c>
      <c r="G394" t="inlineStr">
        <is>
          <t>FLEN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18000-2026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46125</v>
      </c>
      <c r="E395" s="1" t="n">
        <v>46263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46263</v>
      </c>
      <c r="F396" t="inlineStr">
        <is>
          <t>SÖDERMANLANDS LÄN</t>
        </is>
      </c>
      <c r="G396" t="inlineStr">
        <is>
          <t>FLEN</t>
        </is>
      </c>
      <c r="H396" t="inlineStr">
        <is>
          <t>Övriga statliga verk och myndigheter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46263</v>
      </c>
      <c r="F397" t="inlineStr">
        <is>
          <t>SÖDERMANLANDS LÄN</t>
        </is>
      </c>
      <c r="G397" t="inlineStr">
        <is>
          <t>FLEN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46263</v>
      </c>
      <c r="F398" t="inlineStr">
        <is>
          <t>SÖDERMANLANDS LÄN</t>
        </is>
      </c>
      <c r="G398" t="inlineStr">
        <is>
          <t>FLEN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46126</v>
      </c>
      <c r="E399" s="1" t="n">
        <v>46263</v>
      </c>
      <c r="F399" t="inlineStr">
        <is>
          <t>SÖDERMANLANDS LÄN</t>
        </is>
      </c>
      <c r="G399" t="inlineStr">
        <is>
          <t>FLEN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46263</v>
      </c>
      <c r="F400" t="inlineStr">
        <is>
          <t>SÖDERMANLANDS LÄN</t>
        </is>
      </c>
      <c r="G400" t="inlineStr">
        <is>
          <t>FLEN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46263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46263</v>
      </c>
      <c r="F402" t="inlineStr">
        <is>
          <t>SÖDERMANLANDS LÄN</t>
        </is>
      </c>
      <c r="G402" t="inlineStr">
        <is>
          <t>FLEN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46263</v>
      </c>
      <c r="F403" t="inlineStr">
        <is>
          <t>SÖDERMANLANDS LÄN</t>
        </is>
      </c>
      <c r="G403" t="inlineStr">
        <is>
          <t>FLEN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46263</v>
      </c>
      <c r="F404" t="inlineStr">
        <is>
          <t>SÖDERMANLANDS LÄN</t>
        </is>
      </c>
      <c r="G404" t="inlineStr">
        <is>
          <t>FLEN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44676</v>
      </c>
      <c r="E405" s="1" t="n">
        <v>46263</v>
      </c>
      <c r="F405" t="inlineStr">
        <is>
          <t>SÖDERMANLANDS LÄN</t>
        </is>
      </c>
      <c r="G405" t="inlineStr">
        <is>
          <t>FLEN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46263</v>
      </c>
      <c r="F406" t="inlineStr">
        <is>
          <t>SÖDERMANLANDS LÄN</t>
        </is>
      </c>
      <c r="G406" t="inlineStr">
        <is>
          <t>FLEN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46263</v>
      </c>
      <c r="F407" t="inlineStr">
        <is>
          <t>SÖDERMANLANDS LÄN</t>
        </is>
      </c>
      <c r="G407" t="inlineStr">
        <is>
          <t>FLEN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46263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23716-2024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45454</v>
      </c>
      <c r="E409" s="1" t="n">
        <v>46263</v>
      </c>
      <c r="F409" t="inlineStr">
        <is>
          <t>SÖDERMANLANDS LÄN</t>
        </is>
      </c>
      <c r="G409" t="inlineStr">
        <is>
          <t>FLEN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46134</v>
      </c>
      <c r="E410" s="1" t="n">
        <v>46263</v>
      </c>
      <c r="F410" t="inlineStr">
        <is>
          <t>SÖDERMANLANDS LÄN</t>
        </is>
      </c>
      <c r="G410" t="inlineStr">
        <is>
          <t>FLEN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46263</v>
      </c>
      <c r="F411" t="inlineStr">
        <is>
          <t>SÖDERMANLANDS LÄN</t>
        </is>
      </c>
      <c r="G411" t="inlineStr">
        <is>
          <t>FLEN</t>
        </is>
      </c>
      <c r="H411" t="inlineStr">
        <is>
          <t>Övriga statliga verk och myndigheter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46263</v>
      </c>
      <c r="F412" t="inlineStr">
        <is>
          <t>SÖDERMANLANDS LÄN</t>
        </is>
      </c>
      <c r="G412" t="inlineStr">
        <is>
          <t>FLEN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45789</v>
      </c>
      <c r="E413" s="1" t="n">
        <v>46263</v>
      </c>
      <c r="F413" t="inlineStr">
        <is>
          <t>SÖDERMANLANDS LÄN</t>
        </is>
      </c>
      <c r="G413" t="inlineStr">
        <is>
          <t>FLEN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33024-2022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44785</v>
      </c>
      <c r="E414" s="1" t="n">
        <v>46263</v>
      </c>
      <c r="F414" t="inlineStr">
        <is>
          <t>SÖDERMANLANDS LÄN</t>
        </is>
      </c>
      <c r="G414" t="inlineStr">
        <is>
          <t>FLEN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46263</v>
      </c>
      <c r="F415" t="inlineStr">
        <is>
          <t>SÖDERMANLANDS LÄN</t>
        </is>
      </c>
      <c r="G415" t="inlineStr">
        <is>
          <t>FLEN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46401-2022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44846</v>
      </c>
      <c r="E416" s="1" t="n">
        <v>46263</v>
      </c>
      <c r="F416" t="inlineStr">
        <is>
          <t>SÖDERMANLANDS LÄN</t>
        </is>
      </c>
      <c r="G416" t="inlineStr">
        <is>
          <t>FLEN</t>
        </is>
      </c>
      <c r="H416" t="inlineStr">
        <is>
          <t>Kyrkan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39891-2022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44819</v>
      </c>
      <c r="E417" s="1" t="n">
        <v>46263</v>
      </c>
      <c r="F417" t="inlineStr">
        <is>
          <t>SÖDERMANLANDS LÄN</t>
        </is>
      </c>
      <c r="G417" t="inlineStr">
        <is>
          <t>FLEN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21167-2023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46263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46263</v>
      </c>
      <c r="F419" t="inlineStr">
        <is>
          <t>SÖDERMANLANDS LÄN</t>
        </is>
      </c>
      <c r="G419" t="inlineStr">
        <is>
          <t>FLEN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46263</v>
      </c>
      <c r="F420" t="inlineStr">
        <is>
          <t>SÖDERMANLANDS LÄN</t>
        </is>
      </c>
      <c r="G420" t="inlineStr">
        <is>
          <t>FLEN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44733</v>
      </c>
      <c r="E421" s="1" t="n">
        <v>46263</v>
      </c>
      <c r="F421" t="inlineStr">
        <is>
          <t>SÖDERMANLANDS LÄN</t>
        </is>
      </c>
      <c r="G421" t="inlineStr">
        <is>
          <t>FLEN</t>
        </is>
      </c>
      <c r="I421" t="n">
        <v>8.699999999999999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37256-2022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44807</v>
      </c>
      <c r="E422" s="1" t="n">
        <v>46263</v>
      </c>
      <c r="F422" t="inlineStr">
        <is>
          <t>SÖDERMANLANDS LÄN</t>
        </is>
      </c>
      <c r="G422" t="inlineStr">
        <is>
          <t>FLEN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59599-2022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44907</v>
      </c>
      <c r="E423" s="1" t="n">
        <v>46263</v>
      </c>
      <c r="F423" t="inlineStr">
        <is>
          <t>SÖDERMANLANDS LÄN</t>
        </is>
      </c>
      <c r="G423" t="inlineStr">
        <is>
          <t>FLEN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45315</v>
      </c>
      <c r="E424" s="1" t="n">
        <v>46263</v>
      </c>
      <c r="F424" t="inlineStr">
        <is>
          <t>SÖDERMANLANDS LÄN</t>
        </is>
      </c>
      <c r="G424" t="inlineStr">
        <is>
          <t>FLEN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55445-2022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46263</v>
      </c>
      <c r="F425" t="inlineStr">
        <is>
          <t>SÖDERMANLANDS LÄN</t>
        </is>
      </c>
      <c r="G425" t="inlineStr">
        <is>
          <t>FLEN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45378</v>
      </c>
      <c r="E426" s="1" t="n">
        <v>46263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39053-2023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45163</v>
      </c>
      <c r="E427" s="1" t="n">
        <v>46263</v>
      </c>
      <c r="F427" t="inlineStr">
        <is>
          <t>SÖDERMANLANDS LÄN</t>
        </is>
      </c>
      <c r="G427" t="inlineStr">
        <is>
          <t>FLEN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58377-2023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46263</v>
      </c>
      <c r="F428" t="inlineStr">
        <is>
          <t>SÖDERMANLANDS LÄN</t>
        </is>
      </c>
      <c r="G428" t="inlineStr">
        <is>
          <t>FLEN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45321</v>
      </c>
      <c r="E429" s="1" t="n">
        <v>46263</v>
      </c>
      <c r="F429" t="inlineStr">
        <is>
          <t>SÖDERMANLANDS LÄN</t>
        </is>
      </c>
      <c r="G429" t="inlineStr">
        <is>
          <t>FLEN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44900</v>
      </c>
      <c r="E430" s="1" t="n">
        <v>46263</v>
      </c>
      <c r="F430" t="inlineStr">
        <is>
          <t>SÖDERMANLANDS LÄN</t>
        </is>
      </c>
      <c r="G430" t="inlineStr">
        <is>
          <t>FLEN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45309</v>
      </c>
      <c r="E431" s="1" t="n">
        <v>46263</v>
      </c>
      <c r="F431" t="inlineStr">
        <is>
          <t>SÖDERMANLANDS LÄN</t>
        </is>
      </c>
      <c r="G431" t="inlineStr">
        <is>
          <t>FLEN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46263</v>
      </c>
      <c r="F432" t="inlineStr">
        <is>
          <t>SÖDERMANLANDS LÄN</t>
        </is>
      </c>
      <c r="G432" t="inlineStr">
        <is>
          <t>FLEN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51925-2022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44868</v>
      </c>
      <c r="E433" s="1" t="n">
        <v>46263</v>
      </c>
      <c r="F433" t="inlineStr">
        <is>
          <t>SÖDERMANLANDS LÄN</t>
        </is>
      </c>
      <c r="G433" t="inlineStr">
        <is>
          <t>FLEN</t>
        </is>
      </c>
      <c r="H433" t="inlineStr">
        <is>
          <t>Övriga statliga verk och myndigheter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46263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44624</v>
      </c>
      <c r="E435" s="1" t="n">
        <v>46263</v>
      </c>
      <c r="F435" t="inlineStr">
        <is>
          <t>SÖDERMANLANDS LÄN</t>
        </is>
      </c>
      <c r="G435" t="inlineStr">
        <is>
          <t>FLEN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10828-2022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44624</v>
      </c>
      <c r="E436" s="1" t="n">
        <v>46263</v>
      </c>
      <c r="F436" t="inlineStr">
        <is>
          <t>SÖDERMANLANDS LÄN</t>
        </is>
      </c>
      <c r="G436" t="inlineStr">
        <is>
          <t>FLEN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16908-2024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45411</v>
      </c>
      <c r="E437" s="1" t="n">
        <v>46263</v>
      </c>
      <c r="F437" t="inlineStr">
        <is>
          <t>SÖDERMANLANDS LÄN</t>
        </is>
      </c>
      <c r="G437" t="inlineStr">
        <is>
          <t>FLEN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46263</v>
      </c>
      <c r="F438" t="inlineStr">
        <is>
          <t>SÖDERMANLANDS LÄN</t>
        </is>
      </c>
      <c r="G438" t="inlineStr">
        <is>
          <t>FLEN</t>
        </is>
      </c>
      <c r="H438" t="inlineStr">
        <is>
          <t>Kommuner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57356-2022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44896</v>
      </c>
      <c r="E439" s="1" t="n">
        <v>46263</v>
      </c>
      <c r="F439" t="inlineStr">
        <is>
          <t>SÖDERMANLANDS LÄN</t>
        </is>
      </c>
      <c r="G439" t="inlineStr">
        <is>
          <t>FLEN</t>
        </is>
      </c>
      <c r="H439" t="inlineStr">
        <is>
          <t>Övriga statliga verk och myndigheter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57046-2023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45244</v>
      </c>
      <c r="E440" s="1" t="n">
        <v>46263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39171-2025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45888</v>
      </c>
      <c r="E441" s="1" t="n">
        <v>46263</v>
      </c>
      <c r="F441" t="inlineStr">
        <is>
          <t>SÖDERMANLANDS LÄN</t>
        </is>
      </c>
      <c r="G441" t="inlineStr">
        <is>
          <t>FLEN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46263</v>
      </c>
      <c r="F442" t="inlineStr">
        <is>
          <t>SÖDERMANLANDS LÄN</t>
        </is>
      </c>
      <c r="G442" t="inlineStr">
        <is>
          <t>FLEN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35507-2024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46263</v>
      </c>
      <c r="F443" t="inlineStr">
        <is>
          <t>SÖDERMANLANDS LÄN</t>
        </is>
      </c>
      <c r="G443" t="inlineStr">
        <is>
          <t>FLEN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48826-2022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44859</v>
      </c>
      <c r="E444" s="1" t="n">
        <v>46263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31028-2024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45501</v>
      </c>
      <c r="E445" s="1" t="n">
        <v>46263</v>
      </c>
      <c r="F445" t="inlineStr">
        <is>
          <t>SÖDERMANLANDS LÄN</t>
        </is>
      </c>
      <c r="G445" t="inlineStr">
        <is>
          <t>FLEN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44566</v>
      </c>
      <c r="E446" s="1" t="n">
        <v>46263</v>
      </c>
      <c r="F446" t="inlineStr">
        <is>
          <t>SÖDERMANLANDS LÄN</t>
        </is>
      </c>
      <c r="G446" t="inlineStr">
        <is>
          <t>FLEN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9979-2025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45718</v>
      </c>
      <c r="E447" s="1" t="n">
        <v>46263</v>
      </c>
      <c r="F447" t="inlineStr">
        <is>
          <t>SÖDERMANLANDS LÄN</t>
        </is>
      </c>
      <c r="G447" t="inlineStr">
        <is>
          <t>FLEN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44960</v>
      </c>
      <c r="E448" s="1" t="n">
        <v>46263</v>
      </c>
      <c r="F448" t="inlineStr">
        <is>
          <t>SÖDERMANLANDS LÄN</t>
        </is>
      </c>
      <c r="G448" t="inlineStr">
        <is>
          <t>FLEN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48749-2022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46263</v>
      </c>
      <c r="F449" t="inlineStr">
        <is>
          <t>SÖDERMANLANDS LÄN</t>
        </is>
      </c>
      <c r="G449" t="inlineStr">
        <is>
          <t>FLEN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44855</v>
      </c>
      <c r="E450" s="1" t="n">
        <v>46263</v>
      </c>
      <c r="F450" t="inlineStr">
        <is>
          <t>SÖDERMANLANDS LÄN</t>
        </is>
      </c>
      <c r="G450" t="inlineStr">
        <is>
          <t>FLEN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46263</v>
      </c>
      <c r="F451" t="inlineStr">
        <is>
          <t>SÖDERMANLANDS LÄN</t>
        </is>
      </c>
      <c r="G451" t="inlineStr">
        <is>
          <t>FLEN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48497-2021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44449</v>
      </c>
      <c r="E452" s="1" t="n">
        <v>46263</v>
      </c>
      <c r="F452" t="inlineStr">
        <is>
          <t>SÖDERMANLANDS LÄN</t>
        </is>
      </c>
      <c r="G452" t="inlineStr">
        <is>
          <t>FLEN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22957-2023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46263</v>
      </c>
      <c r="F453" t="inlineStr">
        <is>
          <t>SÖDERMANLANDS LÄN</t>
        </is>
      </c>
      <c r="G453" t="inlineStr">
        <is>
          <t>FLEN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45482</v>
      </c>
      <c r="E454" s="1" t="n">
        <v>46263</v>
      </c>
      <c r="F454" t="inlineStr">
        <is>
          <t>SÖDERMANLANDS LÄN</t>
        </is>
      </c>
      <c r="G454" t="inlineStr">
        <is>
          <t>FLEN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49891-2023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46263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45510</v>
      </c>
      <c r="E456" s="1" t="n">
        <v>46263</v>
      </c>
      <c r="F456" t="inlineStr">
        <is>
          <t>SÖDERMANLANDS LÄN</t>
        </is>
      </c>
      <c r="G456" t="inlineStr">
        <is>
          <t>FLEN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60937-2022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44914</v>
      </c>
      <c r="E457" s="1" t="n">
        <v>46263</v>
      </c>
      <c r="F457" t="inlineStr">
        <is>
          <t>SÖDERMANLANDS LÄN</t>
        </is>
      </c>
      <c r="G457" t="inlineStr">
        <is>
          <t>FLEN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33103-2022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44785</v>
      </c>
      <c r="E458" s="1" t="n">
        <v>46263</v>
      </c>
      <c r="F458" t="inlineStr">
        <is>
          <t>SÖDERMANLANDS LÄN</t>
        </is>
      </c>
      <c r="G458" t="inlineStr">
        <is>
          <t>FLEN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44648</v>
      </c>
      <c r="E459" s="1" t="n">
        <v>46263</v>
      </c>
      <c r="F459" t="inlineStr">
        <is>
          <t>SÖDERMANLANDS LÄN</t>
        </is>
      </c>
      <c r="G459" t="inlineStr">
        <is>
          <t>FLEN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52541-2021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44463</v>
      </c>
      <c r="E460" s="1" t="n">
        <v>46263</v>
      </c>
      <c r="F460" t="inlineStr">
        <is>
          <t>SÖDERMANLANDS LÄN</t>
        </is>
      </c>
      <c r="G460" t="inlineStr">
        <is>
          <t>FLEN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44979</v>
      </c>
      <c r="E461" s="1" t="n">
        <v>46263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45056</v>
      </c>
      <c r="E462" s="1" t="n">
        <v>46263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46263</v>
      </c>
      <c r="F463" t="inlineStr">
        <is>
          <t>SÖDERMANLANDS LÄN</t>
        </is>
      </c>
      <c r="G463" t="inlineStr">
        <is>
          <t>FLEN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46263</v>
      </c>
      <c r="F464" t="inlineStr">
        <is>
          <t>SÖDERMANLANDS LÄN</t>
        </is>
      </c>
      <c r="G464" t="inlineStr">
        <is>
          <t>FLEN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46263</v>
      </c>
      <c r="F465" t="inlineStr">
        <is>
          <t>SÖDERMANLANDS LÄN</t>
        </is>
      </c>
      <c r="G465" t="inlineStr">
        <is>
          <t>FLEN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51872-2022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44872</v>
      </c>
      <c r="E466" s="1" t="n">
        <v>46263</v>
      </c>
      <c r="F466" t="inlineStr">
        <is>
          <t>SÖDERMANLANDS LÄN</t>
        </is>
      </c>
      <c r="G466" t="inlineStr">
        <is>
          <t>FLEN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23216-2025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45791</v>
      </c>
      <c r="E467" s="1" t="n">
        <v>46263</v>
      </c>
      <c r="F467" t="inlineStr">
        <is>
          <t>SÖDERMANLANDS LÄN</t>
        </is>
      </c>
      <c r="G467" t="inlineStr">
        <is>
          <t>FLEN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45239</v>
      </c>
      <c r="E468" s="1" t="n">
        <v>46263</v>
      </c>
      <c r="F468" t="inlineStr">
        <is>
          <t>SÖDERMANLANDS LÄN</t>
        </is>
      </c>
      <c r="G468" t="inlineStr">
        <is>
          <t>FLEN</t>
        </is>
      </c>
      <c r="H468" t="inlineStr">
        <is>
          <t>Övriga statliga verk och myndigheter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45244</v>
      </c>
      <c r="E469" s="1" t="n">
        <v>46263</v>
      </c>
      <c r="F469" t="inlineStr">
        <is>
          <t>SÖDERMANLANDS LÄN</t>
        </is>
      </c>
      <c r="G469" t="inlineStr">
        <is>
          <t>FLEN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20791-2022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44701</v>
      </c>
      <c r="E470" s="1" t="n">
        <v>46263</v>
      </c>
      <c r="F470" t="inlineStr">
        <is>
          <t>SÖDERMANLANDS LÄN</t>
        </is>
      </c>
      <c r="G470" t="inlineStr">
        <is>
          <t>FLEN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62579-2023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45270</v>
      </c>
      <c r="E471" s="1" t="n">
        <v>46263</v>
      </c>
      <c r="F471" t="inlineStr">
        <is>
          <t>SÖDERMANLANDS LÄN</t>
        </is>
      </c>
      <c r="G471" t="inlineStr">
        <is>
          <t>FLEN</t>
        </is>
      </c>
      <c r="I471" t="n">
        <v>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45161</v>
      </c>
      <c r="E472" s="1" t="n">
        <v>46263</v>
      </c>
      <c r="F472" t="inlineStr">
        <is>
          <t>SÖDERMANLANDS LÄN</t>
        </is>
      </c>
      <c r="G472" t="inlineStr">
        <is>
          <t>FLEN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45518</v>
      </c>
      <c r="E473" s="1" t="n">
        <v>46263</v>
      </c>
      <c r="F473" t="inlineStr">
        <is>
          <t>SÖDERMANLANDS LÄN</t>
        </is>
      </c>
      <c r="G473" t="inlineStr">
        <is>
          <t>FLEN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46263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10256-2024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46263</v>
      </c>
      <c r="F475" t="inlineStr">
        <is>
          <t>SÖDERMANLANDS LÄN</t>
        </is>
      </c>
      <c r="G475" t="inlineStr">
        <is>
          <t>FLEN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45299</v>
      </c>
      <c r="E476" s="1" t="n">
        <v>46263</v>
      </c>
      <c r="F476" t="inlineStr">
        <is>
          <t>SÖDERMANLANDS LÄN</t>
        </is>
      </c>
      <c r="G476" t="inlineStr">
        <is>
          <t>FLEN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45299</v>
      </c>
      <c r="E477" s="1" t="n">
        <v>46263</v>
      </c>
      <c r="F477" t="inlineStr">
        <is>
          <t>SÖDERMANLANDS LÄN</t>
        </is>
      </c>
      <c r="G477" t="inlineStr">
        <is>
          <t>FLEN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59891-2025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45993</v>
      </c>
      <c r="E478" s="1" t="n">
        <v>46263</v>
      </c>
      <c r="F478" t="inlineStr">
        <is>
          <t>SÖDERMANLANDS LÄN</t>
        </is>
      </c>
      <c r="G478" t="inlineStr">
        <is>
          <t>FLEN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45022</v>
      </c>
      <c r="E479" s="1" t="n">
        <v>46263</v>
      </c>
      <c r="F479" t="inlineStr">
        <is>
          <t>SÖDERMANLANDS LÄN</t>
        </is>
      </c>
      <c r="G479" t="inlineStr">
        <is>
          <t>FLEN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32407-2023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45110</v>
      </c>
      <c r="E480" s="1" t="n">
        <v>46263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36096-2023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45149</v>
      </c>
      <c r="E481" s="1" t="n">
        <v>46263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45555</v>
      </c>
      <c r="E482" s="1" t="n">
        <v>46263</v>
      </c>
      <c r="F482" t="inlineStr">
        <is>
          <t>SÖDERMANLANDS LÄN</t>
        </is>
      </c>
      <c r="G482" t="inlineStr">
        <is>
          <t>FLEN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5331-2024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45331</v>
      </c>
      <c r="E483" s="1" t="n">
        <v>46263</v>
      </c>
      <c r="F483" t="inlineStr">
        <is>
          <t>SÖDERMANLANDS LÄN</t>
        </is>
      </c>
      <c r="G483" t="inlineStr">
        <is>
          <t>FLEN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46263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44931</v>
      </c>
      <c r="E485" s="1" t="n">
        <v>46263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44580</v>
      </c>
      <c r="E486" s="1" t="n">
        <v>46263</v>
      </c>
      <c r="F486" t="inlineStr">
        <is>
          <t>SÖDERMANLANDS LÄN</t>
        </is>
      </c>
      <c r="G486" t="inlineStr">
        <is>
          <t>FLEN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46263</v>
      </c>
      <c r="F487" t="inlineStr">
        <is>
          <t>SÖDERMANLANDS LÄN</t>
        </is>
      </c>
      <c r="G487" t="inlineStr">
        <is>
          <t>FLEN</t>
        </is>
      </c>
      <c r="H487" t="inlineStr">
        <is>
          <t>Holmen skog AB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22028-2023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45066</v>
      </c>
      <c r="E488" s="1" t="n">
        <v>46263</v>
      </c>
      <c r="F488" t="inlineStr">
        <is>
          <t>SÖDERMANLANDS LÄN</t>
        </is>
      </c>
      <c r="G488" t="inlineStr">
        <is>
          <t>FLEN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59439-2022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44907</v>
      </c>
      <c r="E489" s="1" t="n">
        <v>46263</v>
      </c>
      <c r="F489" t="inlineStr">
        <is>
          <t>SÖDERMANLANDS LÄN</t>
        </is>
      </c>
      <c r="G489" t="inlineStr">
        <is>
          <t>FLEN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45667</v>
      </c>
      <c r="E490" s="1" t="n">
        <v>46263</v>
      </c>
      <c r="F490" t="inlineStr">
        <is>
          <t>SÖDERMANLANDS LÄN</t>
        </is>
      </c>
      <c r="G490" t="inlineStr">
        <is>
          <t>FLEN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45230</v>
      </c>
      <c r="E491" s="1" t="n">
        <v>46263</v>
      </c>
      <c r="F491" t="inlineStr">
        <is>
          <t>SÖDERMANLANDS LÄN</t>
        </is>
      </c>
      <c r="G491" t="inlineStr">
        <is>
          <t>FLEN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46263</v>
      </c>
      <c r="F492" t="inlineStr">
        <is>
          <t>SÖDERMANLANDS LÄN</t>
        </is>
      </c>
      <c r="G492" t="inlineStr">
        <is>
          <t>FLEN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14599-2023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45013</v>
      </c>
      <c r="E493" s="1" t="n">
        <v>46263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42731-2024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45566</v>
      </c>
      <c r="E494" s="1" t="n">
        <v>46263</v>
      </c>
      <c r="F494" t="inlineStr">
        <is>
          <t>SÖDERMANLANDS LÄN</t>
        </is>
      </c>
      <c r="G494" t="inlineStr">
        <is>
          <t>FLEN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46263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13233-2024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45386</v>
      </c>
      <c r="E496" s="1" t="n">
        <v>46263</v>
      </c>
      <c r="F496" t="inlineStr">
        <is>
          <t>SÖDERMANLANDS LÄN</t>
        </is>
      </c>
      <c r="G496" t="inlineStr">
        <is>
          <t>FLEN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20952-2025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45777</v>
      </c>
      <c r="E497" s="1" t="n">
        <v>46263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45224</v>
      </c>
      <c r="E498" s="1" t="n">
        <v>46263</v>
      </c>
      <c r="F498" t="inlineStr">
        <is>
          <t>SÖDERMANLANDS LÄN</t>
        </is>
      </c>
      <c r="G498" t="inlineStr">
        <is>
          <t>FLEN</t>
        </is>
      </c>
      <c r="H498" t="inlineStr">
        <is>
          <t>Kyrkan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46263</v>
      </c>
      <c r="F499" t="inlineStr">
        <is>
          <t>SÖDERMANLANDS LÄN</t>
        </is>
      </c>
      <c r="G499" t="inlineStr">
        <is>
          <t>FLEN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46263</v>
      </c>
      <c r="F500" t="inlineStr">
        <is>
          <t>SÖDERMANLANDS LÄN</t>
        </is>
      </c>
      <c r="G500" t="inlineStr">
        <is>
          <t>FLEN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24151-2026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46263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24155-2026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46263</v>
      </c>
      <c r="F502" t="inlineStr">
        <is>
          <t>SÖDERMANLANDS LÄN</t>
        </is>
      </c>
      <c r="G502" t="inlineStr">
        <is>
          <t>FLEN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46263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46263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46263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24721-2026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46263</v>
      </c>
      <c r="F506" t="inlineStr">
        <is>
          <t>SÖDERMANLANDS LÄN</t>
        </is>
      </c>
      <c r="G506" t="inlineStr">
        <is>
          <t>FLEN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17838-2026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46121</v>
      </c>
      <c r="E507" s="1" t="n">
        <v>46263</v>
      </c>
      <c r="F507" t="inlineStr">
        <is>
          <t>SÖDERMANLANDS LÄN</t>
        </is>
      </c>
      <c r="G507" t="inlineStr">
        <is>
          <t>FLEN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54781-2024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45618</v>
      </c>
      <c r="E508" s="1" t="n">
        <v>46263</v>
      </c>
      <c r="F508" t="inlineStr">
        <is>
          <t>SÖDERMANLANDS LÄN</t>
        </is>
      </c>
      <c r="G508" t="inlineStr">
        <is>
          <t>FLEN</t>
        </is>
      </c>
      <c r="I508" t="n">
        <v>10.3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46170</v>
      </c>
      <c r="E509" s="1" t="n">
        <v>46263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  <c r="Z509">
        <f>HYPERLINK("https://klasma.github.io/Logging_0482/knärot/A 24450-2026 karta knärot.png", "A 24450-2026")</f>
        <v/>
      </c>
      <c r="AA509">
        <f>HYPERLINK("https://klasma.github.io/Logging_0482/klagomål/A 24450-2026 FSC-klagomål.docx", "A 24450-2026")</f>
        <v/>
      </c>
      <c r="AB509">
        <f>HYPERLINK("https://klasma.github.io/Logging_0482/klagomålsmail/A 24450-2026 FSC-klagomål mail.docx", "A 24450-2026")</f>
        <v/>
      </c>
      <c r="AC509">
        <f>HYPERLINK("https://klasma.github.io/Logging_0482/tillsyn/A 24450-2026 tillsynsbegäran.docx", "A 24450-2026")</f>
        <v/>
      </c>
      <c r="AD509">
        <f>HYPERLINK("https://klasma.github.io/Logging_0482/tillsynsmail/A 24450-2026 tillsynsbegäran mail.docx", "A 24450-2026")</f>
        <v/>
      </c>
    </row>
    <row r="510" ht="15" customHeight="1">
      <c r="A510" t="inlineStr">
        <is>
          <t>A 47872-2025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45932</v>
      </c>
      <c r="E510" s="1" t="n">
        <v>46263</v>
      </c>
      <c r="F510" t="inlineStr">
        <is>
          <t>SÖDERMANLANDS LÄN</t>
        </is>
      </c>
      <c r="G510" t="inlineStr">
        <is>
          <t>FLEN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46263</v>
      </c>
      <c r="F511" t="inlineStr">
        <is>
          <t>SÖDERMANLANDS LÄN</t>
        </is>
      </c>
      <c r="G511" t="inlineStr">
        <is>
          <t>FLEN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46263</v>
      </c>
      <c r="F512" t="inlineStr">
        <is>
          <t>SÖDERMANLANDS LÄN</t>
        </is>
      </c>
      <c r="G512" t="inlineStr">
        <is>
          <t>FLEN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46263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46263</v>
      </c>
      <c r="F514" t="inlineStr">
        <is>
          <t>SÖDERMANLANDS LÄN</t>
        </is>
      </c>
      <c r="G514" t="inlineStr">
        <is>
          <t>FLEN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46263</v>
      </c>
      <c r="F515" t="inlineStr">
        <is>
          <t>SÖDERMANLANDS LÄN</t>
        </is>
      </c>
      <c r="G515" t="inlineStr">
        <is>
          <t>FLEN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46181</v>
      </c>
      <c r="E516" s="1" t="n">
        <v>46263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46183</v>
      </c>
      <c r="E517" s="1" t="n">
        <v>46263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46263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31762-2026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46229</v>
      </c>
      <c r="E519" s="1" t="n">
        <v>46263</v>
      </c>
      <c r="F519" t="inlineStr">
        <is>
          <t>SÖDERMANLANDS LÄN</t>
        </is>
      </c>
      <c r="G519" t="inlineStr">
        <is>
          <t>FLEN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46263</v>
      </c>
      <c r="F520" t="inlineStr">
        <is>
          <t>SÖDERMANLANDS LÄN</t>
        </is>
      </c>
      <c r="G520" t="inlineStr">
        <is>
          <t>FLEN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46263</v>
      </c>
      <c r="F521" t="inlineStr">
        <is>
          <t>SÖDERMANLANDS LÄN</t>
        </is>
      </c>
      <c r="G521" t="inlineStr">
        <is>
          <t>FLEN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46263</v>
      </c>
      <c r="F522" t="inlineStr">
        <is>
          <t>SÖDERMANLANDS LÄN</t>
        </is>
      </c>
      <c r="G522" t="inlineStr">
        <is>
          <t>FLEN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27317-2026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46188</v>
      </c>
      <c r="E523" s="1" t="n">
        <v>46263</v>
      </c>
      <c r="F523" t="inlineStr">
        <is>
          <t>SÖDERMANLANDS LÄN</t>
        </is>
      </c>
      <c r="G523" t="inlineStr">
        <is>
          <t>FLEN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27328-2026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46263</v>
      </c>
      <c r="F524" t="inlineStr">
        <is>
          <t>SÖDERMANLANDS LÄN</t>
        </is>
      </c>
      <c r="G524" t="inlineStr">
        <is>
          <t>FLEN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28316-2026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46263</v>
      </c>
      <c r="F525" t="inlineStr">
        <is>
          <t>SÖDERMANLANDS LÄN</t>
        </is>
      </c>
      <c r="G525" t="inlineStr">
        <is>
          <t>FLEN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32693-2026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46240</v>
      </c>
      <c r="E526" s="1" t="n">
        <v>46263</v>
      </c>
      <c r="F526" t="inlineStr">
        <is>
          <t>SÖDERMANLANDS LÄN</t>
        </is>
      </c>
      <c r="G526" t="inlineStr">
        <is>
          <t>FLEN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33000-2026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46263</v>
      </c>
      <c r="F527" t="inlineStr">
        <is>
          <t>SÖDERMANLANDS LÄN</t>
        </is>
      </c>
      <c r="G527" t="inlineStr">
        <is>
          <t>FLEN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46263</v>
      </c>
      <c r="F528" t="inlineStr">
        <is>
          <t>SÖDERMANLANDS LÄN</t>
        </is>
      </c>
      <c r="G528" t="inlineStr">
        <is>
          <t>FLEN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46263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33936-2026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46250</v>
      </c>
      <c r="E530" s="1" t="n">
        <v>46263</v>
      </c>
      <c r="F530" t="inlineStr">
        <is>
          <t>SÖDERMANLANDS LÄN</t>
        </is>
      </c>
      <c r="G530" t="inlineStr">
        <is>
          <t>FLEN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46249</v>
      </c>
      <c r="E531" s="1" t="n">
        <v>46263</v>
      </c>
      <c r="F531" t="inlineStr">
        <is>
          <t>SÖDERMANLANDS LÄN</t>
        </is>
      </c>
      <c r="G531" t="inlineStr">
        <is>
          <t>FLEN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46263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46263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46263</v>
      </c>
      <c r="F534" t="inlineStr">
        <is>
          <t>SÖDERMANLANDS LÄN</t>
        </is>
      </c>
      <c r="G534" t="inlineStr">
        <is>
          <t>FLEN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46263</v>
      </c>
      <c r="F535" t="inlineStr">
        <is>
          <t>SÖDERMANLANDS LÄN</t>
        </is>
      </c>
      <c r="G535" t="inlineStr">
        <is>
          <t>FLEN</t>
        </is>
      </c>
      <c r="H535" t="inlineStr">
        <is>
          <t>Holmen skog AB</t>
        </is>
      </c>
      <c r="I535" t="n">
        <v>8.5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46263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46263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46263</v>
      </c>
      <c r="F538" t="inlineStr">
        <is>
          <t>SÖDERMANLANDS LÄN</t>
        </is>
      </c>
      <c r="G538" t="inlineStr">
        <is>
          <t>FLEN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46263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46263</v>
      </c>
      <c r="F540" t="inlineStr">
        <is>
          <t>SÖDERMANLANDS LÄN</t>
        </is>
      </c>
      <c r="G540" t="inlineStr">
        <is>
          <t>FLEN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34097-2026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46263</v>
      </c>
      <c r="F541" t="inlineStr">
        <is>
          <t>SÖDERMANLANDS LÄN</t>
        </is>
      </c>
      <c r="G541" t="inlineStr">
        <is>
          <t>FLEN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46263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46263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458-2023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44964</v>
      </c>
      <c r="E544" s="1" t="n">
        <v>46263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292-2025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45686</v>
      </c>
      <c r="E545" s="1" t="n">
        <v>46263</v>
      </c>
      <c r="F545" t="inlineStr">
        <is>
          <t>SÖDERMANLANDS LÄN</t>
        </is>
      </c>
      <c r="G545" t="inlineStr">
        <is>
          <t>FLEN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3723-2022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44742</v>
      </c>
      <c r="E546" s="1" t="n">
        <v>46263</v>
      </c>
      <c r="F546" t="inlineStr">
        <is>
          <t>SÖDERMANLANDS LÄN</t>
        </is>
      </c>
      <c r="G546" t="inlineStr">
        <is>
          <t>FLEN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46263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46263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46263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2026-08-29T01:51:08Z</dcterms:created>
  <dcterms:modified xmlns:dcterms="http://purl.org/dc/terms/" xmlns:xsi="http://www.w3.org/2001/XMLSchema-instance" xsi:type="dcterms:W3CDTF">2026-08-29T01:51:08Z</dcterms:modified>
</cp:coreProperties>
</file>