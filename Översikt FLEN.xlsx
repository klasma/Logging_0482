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46237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46237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46237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46237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46237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46237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46237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46237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46237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46237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46237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46237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46237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46237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46237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46237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46237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46237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46237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46237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46237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46237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46237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48790-2021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46237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1.8</v>
      </c>
      <c r="J25" t="n">
        <v>0</v>
      </c>
      <c r="K25" t="n">
        <v>1</v>
      </c>
      <c r="L25" t="n">
        <v>3</v>
      </c>
      <c r="M25" t="n">
        <v>0</v>
      </c>
      <c r="N25" t="n">
        <v>1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7</v>
      </c>
      <c r="U25" t="n">
        <v>6</v>
      </c>
      <c r="V25" s="2" t="inlineStr">
        <is>
          <t>Ask
Skogsklocka
Vippärt
Ängsskära
Underviol</t>
        </is>
      </c>
      <c r="W25">
        <f>HYPERLINK("https://klasma.github.io/Logging_0482/artfynd/A 48790-2021 artfynd.xlsx", "A 48790-2021")</f>
        <v/>
      </c>
      <c r="X25">
        <f>HYPERLINK("https://klasma.github.io/Logging_0482/kartor/A 48790-2021 karta.png", "A 48790-2021")</f>
        <v/>
      </c>
      <c r="Y25">
        <f>HYPERLINK("https://klasma.github.io/Logging_0482/kartor_geotiff/A 48790-2021 georefererad karta.tif", "A 48790-2021")</f>
        <v/>
      </c>
      <c r="AA25">
        <f>HYPERLINK("https://klasma.github.io/Logging_0482/klagomål/A 48790-2021 FSC-klagomål.docx", "A 48790-2021")</f>
        <v/>
      </c>
      <c r="AB25">
        <f>HYPERLINK("https://klasma.github.io/Logging_0482/klagomålsmail/A 48790-2021 FSC-klagomål mail.docx", "A 48790-2021")</f>
        <v/>
      </c>
      <c r="AC25">
        <f>HYPERLINK("https://klasma.github.io/Logging_0482/tillsyn/A 48790-2021 tillsynsbegäran.docx", "A 48790-2021")</f>
        <v/>
      </c>
      <c r="AD25">
        <f>HYPERLINK("https://klasma.github.io/Logging_0482/tillsynsmail/A 48790-2021 tillsynsbegäran mail.docx", "A 48790-2021")</f>
        <v/>
      </c>
    </row>
    <row r="26" ht="15" customHeight="1">
      <c r="A26" t="inlineStr">
        <is>
          <t>A 70039-2021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46237</v>
      </c>
      <c r="F26" t="inlineStr">
        <is>
          <t>SÖDERMANLANDS LÄN</t>
        </is>
      </c>
      <c r="G26" t="inlineStr">
        <is>
          <t>FLEN</t>
        </is>
      </c>
      <c r="I26" t="n">
        <v>6.7</v>
      </c>
      <c r="J26" t="n">
        <v>1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3</v>
      </c>
      <c r="V26" s="2" t="inlineStr">
        <is>
          <t>Gullklöver
Slåtterfibbla
Svedjenäva
Svinrot
Blåsippa</t>
        </is>
      </c>
      <c r="W26">
        <f>HYPERLINK("https://klasma.github.io/Logging_0482/artfynd/A 70039-2021 artfynd.xlsx", "A 70039-2021")</f>
        <v/>
      </c>
      <c r="X26">
        <f>HYPERLINK("https://klasma.github.io/Logging_0482/kartor/A 70039-2021 karta.png", "A 70039-2021")</f>
        <v/>
      </c>
      <c r="Y26">
        <f>HYPERLINK("https://klasma.github.io/Logging_0482/kartor_geotiff/A 70039-2021 georefererad karta.tif", "A 70039-2021")</f>
        <v/>
      </c>
      <c r="AA26">
        <f>HYPERLINK("https://klasma.github.io/Logging_0482/klagomål/A 70039-2021 FSC-klagomål.docx", "A 70039-2021")</f>
        <v/>
      </c>
      <c r="AB26">
        <f>HYPERLINK("https://klasma.github.io/Logging_0482/klagomålsmail/A 70039-2021 FSC-klagomål mail.docx", "A 70039-2021")</f>
        <v/>
      </c>
      <c r="AC26">
        <f>HYPERLINK("https://klasma.github.io/Logging_0482/tillsyn/A 70039-2021 tillsynsbegäran.docx", "A 70039-2021")</f>
        <v/>
      </c>
      <c r="AD26">
        <f>HYPERLINK("https://klasma.github.io/Logging_0482/tillsynsmail/A 70039-2021 tillsynsbegäran mail.docx", "A 70039-2021")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46237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46237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44814</v>
      </c>
      <c r="E29" s="1" t="n">
        <v>46237</v>
      </c>
      <c r="F29" t="inlineStr">
        <is>
          <t>SÖDERMANLANDS LÄN</t>
        </is>
      </c>
      <c r="G29" t="inlineStr">
        <is>
          <t>FLEN</t>
        </is>
      </c>
      <c r="I29" t="n">
        <v>1.8</v>
      </c>
      <c r="J29" t="n">
        <v>2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1</v>
      </c>
      <c r="V29" s="2" t="inlineStr">
        <is>
          <t>Ask
Gulvit blekspik
Gulsparv
Tallticka
Skogsödla</t>
        </is>
      </c>
      <c r="W29">
        <f>HYPERLINK("https://klasma.github.io/Logging_0482/artfynd/A 38832-2022 artfynd.xlsx", "A 38832-2022")</f>
        <v/>
      </c>
      <c r="X29">
        <f>HYPERLINK("https://klasma.github.io/Logging_0482/kartor/A 38832-2022 karta.png", "A 38832-2022")</f>
        <v/>
      </c>
      <c r="Y29">
        <f>HYPERLINK("https://klasma.github.io/Logging_0482/kartor_geotiff/A 38832-2022 georefererad karta.tif", "A 38832-2022")</f>
        <v/>
      </c>
      <c r="AA29">
        <f>HYPERLINK("https://klasma.github.io/Logging_0482/klagomål/A 38832-2022 FSC-klagomål.docx", "A 38832-2022")</f>
        <v/>
      </c>
      <c r="AB29">
        <f>HYPERLINK("https://klasma.github.io/Logging_0482/klagomålsmail/A 38832-2022 FSC-klagomål mail.docx", "A 38832-2022")</f>
        <v/>
      </c>
      <c r="AC29">
        <f>HYPERLINK("https://klasma.github.io/Logging_0482/tillsyn/A 38832-2022 tillsynsbegäran.docx", "A 38832-2022")</f>
        <v/>
      </c>
      <c r="AD29">
        <f>HYPERLINK("https://klasma.github.io/Logging_0482/tillsynsmail/A 38832-2022 tillsynsbegäran mail.docx", "A 38832-2022")</f>
        <v/>
      </c>
      <c r="AE29">
        <f>HYPERLINK("https://klasma.github.io/Logging_0482/fåglar/A 38832-2022 prioriterade fågelarter.docx", "A 38832-2022")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46237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46237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46237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46237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32901-2025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46237</v>
      </c>
      <c r="F34" t="inlineStr">
        <is>
          <t>SÖDERMANLANDS LÄN</t>
        </is>
      </c>
      <c r="G34" t="inlineStr">
        <is>
          <t>FLEN</t>
        </is>
      </c>
      <c r="I34" t="n">
        <v>2.6</v>
      </c>
      <c r="J34" t="n">
        <v>1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9</v>
      </c>
      <c r="U34" t="n">
        <v>5</v>
      </c>
      <c r="V34" s="2" t="inlineStr">
        <is>
          <t>Motaggsvamp
Ullticka
Blomkålssvamp
Flagellkvastmossa
Spillkråka</t>
        </is>
      </c>
      <c r="W34">
        <f>HYPERLINK("https://klasma.github.io/Logging_0482/artfynd/A 32901-2025 artfynd.xlsx", "A 32901-2025")</f>
        <v/>
      </c>
      <c r="X34">
        <f>HYPERLINK("https://klasma.github.io/Logging_0482/kartor/A 32901-2025 karta.png", "A 32901-2025")</f>
        <v/>
      </c>
      <c r="Y34">
        <f>HYPERLINK("https://klasma.github.io/Logging_0482/kartor_geotiff/A 32901-2025 georefererad karta.tif", "A 32901-2025")</f>
        <v/>
      </c>
      <c r="AA34">
        <f>HYPERLINK("https://klasma.github.io/Logging_0482/klagomål/A 32901-2025 FSC-klagomål.docx", "A 32901-2025")</f>
        <v/>
      </c>
      <c r="AB34">
        <f>HYPERLINK("https://klasma.github.io/Logging_0482/klagomålsmail/A 32901-2025 FSC-klagomål mail.docx", "A 32901-2025")</f>
        <v/>
      </c>
      <c r="AC34">
        <f>HYPERLINK("https://klasma.github.io/Logging_0482/tillsyn/A 32901-2025 tillsynsbegäran.docx", "A 32901-2025")</f>
        <v/>
      </c>
      <c r="AD34">
        <f>HYPERLINK("https://klasma.github.io/Logging_0482/tillsynsmail/A 32901-2025 tillsynsbegäran mail.docx", "A 32901-2025")</f>
        <v/>
      </c>
      <c r="AE34">
        <f>HYPERLINK("https://klasma.github.io/Logging_0482/fåglar/A 32901-2025 prioriterade fågelarter.docx", "A 32901-2025")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46237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46237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46237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46237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46237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46237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46237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46237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46237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46237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46237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50343-2024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46237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3.6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Svartöra
Tallticka
Blåsippa
Vildkaprifol</t>
        </is>
      </c>
      <c r="W46">
        <f>HYPERLINK("https://klasma.github.io/Logging_0482/artfynd/A 50343-2024 artfynd.xlsx", "A 50343-2024")</f>
        <v/>
      </c>
      <c r="X46">
        <f>HYPERLINK("https://klasma.github.io/Logging_0482/kartor/A 50343-2024 karta.png", "A 50343-2024")</f>
        <v/>
      </c>
      <c r="Y46">
        <f>HYPERLINK("https://klasma.github.io/Logging_0482/kartor_geotiff/A 50343-2024 georefererad karta.tif", "A 50343-2024")</f>
        <v/>
      </c>
      <c r="AA46">
        <f>HYPERLINK("https://klasma.github.io/Logging_0482/klagomål/A 50343-2024 FSC-klagomål.docx", "A 50343-2024")</f>
        <v/>
      </c>
      <c r="AB46">
        <f>HYPERLINK("https://klasma.github.io/Logging_0482/klagomålsmail/A 50343-2024 FSC-klagomål mail.docx", "A 50343-2024")</f>
        <v/>
      </c>
      <c r="AC46">
        <f>HYPERLINK("https://klasma.github.io/Logging_0482/tillsyn/A 50343-2024 tillsynsbegäran.docx", "A 50343-2024")</f>
        <v/>
      </c>
      <c r="AD46">
        <f>HYPERLINK("https://klasma.github.io/Logging_0482/tillsynsmail/A 50343-2024 tillsynsbegäran mail.docx", "A 50343-2024")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46237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46237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Gullklöver
Sädesärla
Svart trolldruva</t>
        </is>
      </c>
      <c r="W48">
        <f>HYPERLINK("https://klasma.github.io/Logging_0482/artfynd/A 33853-2022 artfynd.xlsx", "A 33853-2022")</f>
        <v/>
      </c>
      <c r="X48">
        <f>HYPERLINK("https://klasma.github.io/Logging_0482/kartor/A 33853-2022 karta.png", "A 33853-2022")</f>
        <v/>
      </c>
      <c r="Y48">
        <f>HYPERLINK("https://klasma.github.io/Logging_0482/kartor_geotiff/A 33853-2022 georefererad karta.tif", "A 33853-2022")</f>
        <v/>
      </c>
      <c r="AA48">
        <f>HYPERLINK("https://klasma.github.io/Logging_0482/klagomål/A 33853-2022 FSC-klagomål.docx", "A 33853-2022")</f>
        <v/>
      </c>
      <c r="AB48">
        <f>HYPERLINK("https://klasma.github.io/Logging_0482/klagomålsmail/A 33853-2022 FSC-klagomål mail.docx", "A 33853-2022")</f>
        <v/>
      </c>
      <c r="AC48">
        <f>HYPERLINK("https://klasma.github.io/Logging_0482/tillsyn/A 33853-2022 tillsynsbegäran.docx", "A 33853-2022")</f>
        <v/>
      </c>
      <c r="AD48">
        <f>HYPERLINK("https://klasma.github.io/Logging_0482/tillsynsmail/A 33853-2022 tillsynsbegäran mail.docx", "A 33853-2022")</f>
        <v/>
      </c>
      <c r="AE48">
        <f>HYPERLINK("https://klasma.github.io/Logging_0482/fåglar/A 33853-2022 prioriterade fågelarter.docx", "A 33853-2022")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46237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46237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46237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34985-2023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46237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2.8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Knärot
Grönpyrola
Revlummer</t>
        </is>
      </c>
      <c r="W52">
        <f>HYPERLINK("https://klasma.github.io/Logging_0482/artfynd/A 34985-2023 artfynd.xlsx", "A 34985-2023")</f>
        <v/>
      </c>
      <c r="X52">
        <f>HYPERLINK("https://klasma.github.io/Logging_0482/kartor/A 34985-2023 karta.png", "A 34985-2023")</f>
        <v/>
      </c>
      <c r="Y52">
        <f>HYPERLINK("https://klasma.github.io/Logging_0482/kartor_geotiff/A 34985-2023 georefererad karta.tif", "A 34985-2023")</f>
        <v/>
      </c>
      <c r="Z52">
        <f>HYPERLINK("https://klasma.github.io/Logging_0482/knärot/A 34985-2023 karta knärot.png", "A 34985-2023")</f>
        <v/>
      </c>
      <c r="AA52">
        <f>HYPERLINK("https://klasma.github.io/Logging_0482/klagomål/A 34985-2023 FSC-klagomål.docx", "A 34985-2023")</f>
        <v/>
      </c>
      <c r="AB52">
        <f>HYPERLINK("https://klasma.github.io/Logging_0482/klagomålsmail/A 34985-2023 FSC-klagomål mail.docx", "A 34985-2023")</f>
        <v/>
      </c>
      <c r="AC52">
        <f>HYPERLINK("https://klasma.github.io/Logging_0482/tillsyn/A 34985-2023 tillsynsbegäran.docx", "A 34985-2023")</f>
        <v/>
      </c>
      <c r="AD52">
        <f>HYPERLINK("https://klasma.github.io/Logging_0482/tillsynsmail/A 34985-2023 tillsynsbegäran mail.docx", "A 34985-2023")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46237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46237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46237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46237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9512-2026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46237</v>
      </c>
      <c r="F57" t="inlineStr">
        <is>
          <t>SÖDERMANLANDS LÄN</t>
        </is>
      </c>
      <c r="G57" t="inlineStr">
        <is>
          <t>FLEN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Gullpudra
Bäckbräsma
Hultbräken</t>
        </is>
      </c>
      <c r="W57">
        <f>HYPERLINK("https://klasma.github.io/Logging_0482/artfynd/A 9512-2026 artfynd.xlsx", "A 9512-2026")</f>
        <v/>
      </c>
      <c r="X57">
        <f>HYPERLINK("https://klasma.github.io/Logging_0482/kartor/A 9512-2026 karta.png", "A 9512-2026")</f>
        <v/>
      </c>
      <c r="Y57">
        <f>HYPERLINK("https://klasma.github.io/Logging_0482/kartor_geotiff/A 9512-2026 georefererad karta.tif", "A 9512-2026")</f>
        <v/>
      </c>
      <c r="AA57">
        <f>HYPERLINK("https://klasma.github.io/Logging_0482/klagomål/A 9512-2026 FSC-klagomål.docx", "A 9512-2026")</f>
        <v/>
      </c>
      <c r="AB57">
        <f>HYPERLINK("https://klasma.github.io/Logging_0482/klagomålsmail/A 9512-2026 FSC-klagomål mail.docx", "A 9512-2026")</f>
        <v/>
      </c>
      <c r="AC57">
        <f>HYPERLINK("https://klasma.github.io/Logging_0482/tillsyn/A 9512-2026 tillsynsbegäran.docx", "A 9512-2026")</f>
        <v/>
      </c>
      <c r="AD57">
        <f>HYPERLINK("https://klasma.github.io/Logging_0482/tillsynsmail/A 9512-2026 tillsynsbegäran mail.docx", "A 9512-2026")</f>
        <v/>
      </c>
    </row>
    <row r="58" ht="15" customHeight="1">
      <c r="A58" t="inlineStr">
        <is>
          <t>A 9530-2026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46237</v>
      </c>
      <c r="F58" t="inlineStr">
        <is>
          <t>SÖDERMANLANDS LÄN</t>
        </is>
      </c>
      <c r="G58" t="inlineStr">
        <is>
          <t>FLEN</t>
        </is>
      </c>
      <c r="I58" t="n">
        <v>7.4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Blåmossa
Flagellkvastmossa
Tjäder</t>
        </is>
      </c>
      <c r="W58">
        <f>HYPERLINK("https://klasma.github.io/Logging_0482/artfynd/A 9530-2026 artfynd.xlsx", "A 9530-2026")</f>
        <v/>
      </c>
      <c r="X58">
        <f>HYPERLINK("https://klasma.github.io/Logging_0482/kartor/A 9530-2026 karta.png", "A 9530-2026")</f>
        <v/>
      </c>
      <c r="Y58">
        <f>HYPERLINK("https://klasma.github.io/Logging_0482/kartor_geotiff/A 9530-2026 georefererad karta.tif", "A 9530-2026")</f>
        <v/>
      </c>
      <c r="AA58">
        <f>HYPERLINK("https://klasma.github.io/Logging_0482/klagomål/A 9530-2026 FSC-klagomål.docx", "A 9530-2026")</f>
        <v/>
      </c>
      <c r="AB58">
        <f>HYPERLINK("https://klasma.github.io/Logging_0482/klagomålsmail/A 9530-2026 FSC-klagomål mail.docx", "A 9530-2026")</f>
        <v/>
      </c>
      <c r="AC58">
        <f>HYPERLINK("https://klasma.github.io/Logging_0482/tillsyn/A 9530-2026 tillsynsbegäran.docx", "A 9530-2026")</f>
        <v/>
      </c>
      <c r="AD58">
        <f>HYPERLINK("https://klasma.github.io/Logging_0482/tillsynsmail/A 9530-2026 tillsynsbegäran mail.docx", "A 9530-2026")</f>
        <v/>
      </c>
      <c r="AE58">
        <f>HYPERLINK("https://klasma.github.io/Logging_0482/fåglar/A 9530-2026 prioriterade fågelarter.docx", "A 9530-2026")</f>
        <v/>
      </c>
    </row>
    <row r="59" ht="15" customHeight="1">
      <c r="A59" t="inlineStr">
        <is>
          <t>A 9539-2026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46237</v>
      </c>
      <c r="F59" t="inlineStr">
        <is>
          <t>SÖDERMANLANDS LÄN</t>
        </is>
      </c>
      <c r="G59" t="inlineStr">
        <is>
          <t>FLEN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Ask
Slåtterfibbla
Blåsippa</t>
        </is>
      </c>
      <c r="W59">
        <f>HYPERLINK("https://klasma.github.io/Logging_0482/artfynd/A 9539-2026 artfynd.xlsx", "A 9539-2026")</f>
        <v/>
      </c>
      <c r="X59">
        <f>HYPERLINK("https://klasma.github.io/Logging_0482/kartor/A 9539-2026 karta.png", "A 9539-2026")</f>
        <v/>
      </c>
      <c r="Y59">
        <f>HYPERLINK("https://klasma.github.io/Logging_0482/kartor_geotiff/A 9539-2026 georefererad karta.tif", "A 9539-2026")</f>
        <v/>
      </c>
      <c r="AA59">
        <f>HYPERLINK("https://klasma.github.io/Logging_0482/klagomål/A 9539-2026 FSC-klagomål.docx", "A 9539-2026")</f>
        <v/>
      </c>
      <c r="AB59">
        <f>HYPERLINK("https://klasma.github.io/Logging_0482/klagomålsmail/A 9539-2026 FSC-klagomål mail.docx", "A 9539-2026")</f>
        <v/>
      </c>
      <c r="AC59">
        <f>HYPERLINK("https://klasma.github.io/Logging_0482/tillsyn/A 9539-2026 tillsynsbegäran.docx", "A 9539-2026")</f>
        <v/>
      </c>
      <c r="AD59">
        <f>HYPERLINK("https://klasma.github.io/Logging_0482/tillsynsmail/A 9539-2026 tillsynsbegäran mail.docx", "A 9539-2026")</f>
        <v/>
      </c>
    </row>
    <row r="60" ht="15" customHeight="1">
      <c r="A60" t="inlineStr">
        <is>
          <t>A 31238-2022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46237</v>
      </c>
      <c r="F60" t="inlineStr">
        <is>
          <t>SÖDERMANLANDS LÄN</t>
        </is>
      </c>
      <c r="G60" t="inlineStr">
        <is>
          <t>FLEN</t>
        </is>
      </c>
      <c r="I60" t="n">
        <v>7.5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Svedjenäva
Svinrot
Skogsbräsma</t>
        </is>
      </c>
      <c r="W60">
        <f>HYPERLINK("https://klasma.github.io/Logging_0482/artfynd/A 31238-2022 artfynd.xlsx", "A 31238-2022")</f>
        <v/>
      </c>
      <c r="X60">
        <f>HYPERLINK("https://klasma.github.io/Logging_0482/kartor/A 31238-2022 karta.png", "A 31238-2022")</f>
        <v/>
      </c>
      <c r="Y60">
        <f>HYPERLINK("https://klasma.github.io/Logging_0482/kartor_geotiff/A 31238-2022 georefererad karta.tif", "A 31238-2022")</f>
        <v/>
      </c>
      <c r="AA60">
        <f>HYPERLINK("https://klasma.github.io/Logging_0482/klagomål/A 31238-2022 FSC-klagomål.docx", "A 31238-2022")</f>
        <v/>
      </c>
      <c r="AB60">
        <f>HYPERLINK("https://klasma.github.io/Logging_0482/klagomålsmail/A 31238-2022 FSC-klagomål mail.docx", "A 31238-2022")</f>
        <v/>
      </c>
      <c r="AC60">
        <f>HYPERLINK("https://klasma.github.io/Logging_0482/tillsyn/A 31238-2022 tillsynsbegäran.docx", "A 31238-2022")</f>
        <v/>
      </c>
      <c r="AD60">
        <f>HYPERLINK("https://klasma.github.io/Logging_0482/tillsynsmail/A 31238-2022 tillsynsbegäran mail.docx", "A 31238-2022")</f>
        <v/>
      </c>
    </row>
    <row r="61" ht="15" customHeight="1">
      <c r="A61" t="inlineStr">
        <is>
          <t>A 17512-2026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46237</v>
      </c>
      <c r="F61" t="inlineStr">
        <is>
          <t>SÖDERMANLANDS LÄN</t>
        </is>
      </c>
      <c r="G61" t="inlineStr">
        <is>
          <t>FLEN</t>
        </is>
      </c>
      <c r="I61" t="n">
        <v>1.7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Tallticka
Majbräken
Sälg</t>
        </is>
      </c>
      <c r="W61">
        <f>HYPERLINK("https://klasma.github.io/Logging_0482/artfynd/A 17512-2026 artfynd.xlsx", "A 17512-2026")</f>
        <v/>
      </c>
      <c r="X61">
        <f>HYPERLINK("https://klasma.github.io/Logging_0482/kartor/A 17512-2026 karta.png", "A 17512-2026")</f>
        <v/>
      </c>
      <c r="Y61">
        <f>HYPERLINK("https://klasma.github.io/Logging_0482/kartor_geotiff/A 17512-2026 georefererad karta.tif", "A 17512-2026")</f>
        <v/>
      </c>
      <c r="AA61">
        <f>HYPERLINK("https://klasma.github.io/Logging_0482/klagomål/A 17512-2026 FSC-klagomål.docx", "A 17512-2026")</f>
        <v/>
      </c>
      <c r="AB61">
        <f>HYPERLINK("https://klasma.github.io/Logging_0482/klagomålsmail/A 17512-2026 FSC-klagomål mail.docx", "A 17512-2026")</f>
        <v/>
      </c>
      <c r="AC61">
        <f>HYPERLINK("https://klasma.github.io/Logging_0482/tillsyn/A 17512-2026 tillsynsbegäran.docx", "A 17512-2026")</f>
        <v/>
      </c>
      <c r="AD61">
        <f>HYPERLINK("https://klasma.github.io/Logging_0482/tillsynsmail/A 17512-2026 tillsynsbegäran mail.docx", "A 17512-2026")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46237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46237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46237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46237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46237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46237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46237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10825-2022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46237</v>
      </c>
      <c r="F69" t="inlineStr">
        <is>
          <t>SÖDERMANLANDS LÄN</t>
        </is>
      </c>
      <c r="G69" t="inlineStr">
        <is>
          <t>FLEN</t>
        </is>
      </c>
      <c r="I69" t="n">
        <v>4.7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Svinrot
Vanlig backsmörblomma</t>
        </is>
      </c>
      <c r="W69">
        <f>HYPERLINK("https://klasma.github.io/Logging_0482/artfynd/A 10825-2022 artfynd.xlsx", "A 10825-2022")</f>
        <v/>
      </c>
      <c r="X69">
        <f>HYPERLINK("https://klasma.github.io/Logging_0482/kartor/A 10825-2022 karta.png", "A 10825-2022")</f>
        <v/>
      </c>
      <c r="Y69">
        <f>HYPERLINK("https://klasma.github.io/Logging_0482/kartor_geotiff/A 10825-2022 georefererad karta.tif", "A 10825-2022")</f>
        <v/>
      </c>
      <c r="AA69">
        <f>HYPERLINK("https://klasma.github.io/Logging_0482/klagomål/A 10825-2022 FSC-klagomål.docx", "A 10825-2022")</f>
        <v/>
      </c>
      <c r="AB69">
        <f>HYPERLINK("https://klasma.github.io/Logging_0482/klagomålsmail/A 10825-2022 FSC-klagomål mail.docx", "A 10825-2022")</f>
        <v/>
      </c>
      <c r="AC69">
        <f>HYPERLINK("https://klasma.github.io/Logging_0482/tillsyn/A 10825-2022 tillsynsbegäran.docx", "A 10825-2022")</f>
        <v/>
      </c>
      <c r="AD69">
        <f>HYPERLINK("https://klasma.github.io/Logging_0482/tillsynsmail/A 10825-2022 tillsynsbegäran mail.docx", "A 10825-2022")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46237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5852-2022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46237</v>
      </c>
      <c r="F71" t="inlineStr">
        <is>
          <t>SÖDERMANLANDS LÄN</t>
        </is>
      </c>
      <c r="G71" t="inlineStr">
        <is>
          <t>FLEN</t>
        </is>
      </c>
      <c r="I71" t="n">
        <v>2.6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Kamjordstjärna
Gullviva</t>
        </is>
      </c>
      <c r="W71">
        <f>HYPERLINK("https://klasma.github.io/Logging_0482/artfynd/A 5852-2022 artfynd.xlsx", "A 5852-2022")</f>
        <v/>
      </c>
      <c r="X71">
        <f>HYPERLINK("https://klasma.github.io/Logging_0482/kartor/A 5852-2022 karta.png", "A 5852-2022")</f>
        <v/>
      </c>
      <c r="Y71">
        <f>HYPERLINK("https://klasma.github.io/Logging_0482/kartor_geotiff/A 5852-2022 georefererad karta.tif", "A 5852-2022")</f>
        <v/>
      </c>
      <c r="AA71">
        <f>HYPERLINK("https://klasma.github.io/Logging_0482/klagomål/A 5852-2022 FSC-klagomål.docx", "A 5852-2022")</f>
        <v/>
      </c>
      <c r="AB71">
        <f>HYPERLINK("https://klasma.github.io/Logging_0482/klagomålsmail/A 5852-2022 FSC-klagomål mail.docx", "A 5852-2022")</f>
        <v/>
      </c>
      <c r="AC71">
        <f>HYPERLINK("https://klasma.github.io/Logging_0482/tillsyn/A 5852-2022 tillsynsbegäran.docx", "A 5852-2022")</f>
        <v/>
      </c>
      <c r="AD71">
        <f>HYPERLINK("https://klasma.github.io/Logging_0482/tillsynsmail/A 5852-2022 tillsynsbegäran mail.docx", "A 5852-2022")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46237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46237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49816-2023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46237</v>
      </c>
      <c r="F74" t="inlineStr">
        <is>
          <t>SÖDERMANLANDS LÄN</t>
        </is>
      </c>
      <c r="G74" t="inlineStr">
        <is>
          <t>FLEN</t>
        </is>
      </c>
      <c r="I74" t="n">
        <v>4.6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Reliktbock
Tallticka</t>
        </is>
      </c>
      <c r="W74">
        <f>HYPERLINK("https://klasma.github.io/Logging_0482/artfynd/A 49816-2023 artfynd.xlsx", "A 49816-2023")</f>
        <v/>
      </c>
      <c r="X74">
        <f>HYPERLINK("https://klasma.github.io/Logging_0482/kartor/A 49816-2023 karta.png", "A 49816-2023")</f>
        <v/>
      </c>
      <c r="Y74">
        <f>HYPERLINK("https://klasma.github.io/Logging_0482/kartor_geotiff/A 49816-2023 georefererad karta.tif", "A 49816-2023")</f>
        <v/>
      </c>
      <c r="AA74">
        <f>HYPERLINK("https://klasma.github.io/Logging_0482/klagomål/A 49816-2023 FSC-klagomål.docx", "A 49816-2023")</f>
        <v/>
      </c>
      <c r="AB74">
        <f>HYPERLINK("https://klasma.github.io/Logging_0482/klagomålsmail/A 49816-2023 FSC-klagomål mail.docx", "A 49816-2023")</f>
        <v/>
      </c>
      <c r="AC74">
        <f>HYPERLINK("https://klasma.github.io/Logging_0482/tillsyn/A 49816-2023 tillsynsbegäran.docx", "A 49816-2023")</f>
        <v/>
      </c>
      <c r="AD74">
        <f>HYPERLINK("https://klasma.github.io/Logging_0482/tillsynsmail/A 49816-2023 tillsynsbegäran mail.docx", "A 49816-2023")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46237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49255-2021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46237</v>
      </c>
      <c r="F76" t="inlineStr">
        <is>
          <t>SÖDERMANLANDS LÄN</t>
        </is>
      </c>
      <c r="G76" t="inlineStr">
        <is>
          <t>FLEN</t>
        </is>
      </c>
      <c r="I76" t="n">
        <v>15.6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Backstarr
Revlummer</t>
        </is>
      </c>
      <c r="W76">
        <f>HYPERLINK("https://klasma.github.io/Logging_0482/artfynd/A 49255-2021 artfynd.xlsx", "A 49255-2021")</f>
        <v/>
      </c>
      <c r="X76">
        <f>HYPERLINK("https://klasma.github.io/Logging_0482/kartor/A 49255-2021 karta.png", "A 49255-2021")</f>
        <v/>
      </c>
      <c r="Y76">
        <f>HYPERLINK("https://klasma.github.io/Logging_0482/kartor_geotiff/A 49255-2021 georefererad karta.tif", "A 49255-2021")</f>
        <v/>
      </c>
      <c r="AA76">
        <f>HYPERLINK("https://klasma.github.io/Logging_0482/klagomål/A 49255-2021 FSC-klagomål.docx", "A 49255-2021")</f>
        <v/>
      </c>
      <c r="AB76">
        <f>HYPERLINK("https://klasma.github.io/Logging_0482/klagomålsmail/A 49255-2021 FSC-klagomål mail.docx", "A 49255-2021")</f>
        <v/>
      </c>
      <c r="AC76">
        <f>HYPERLINK("https://klasma.github.io/Logging_0482/tillsyn/A 49255-2021 tillsynsbegäran.docx", "A 49255-2021")</f>
        <v/>
      </c>
      <c r="AD76">
        <f>HYPERLINK("https://klasma.github.io/Logging_0482/tillsynsmail/A 49255-2021 tillsynsbegäran mail.docx", "A 49255-2021")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46237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46237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35278-2022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46237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2</v>
      </c>
      <c r="V79" s="2" t="inlineStr">
        <is>
          <t>Igelkott
Grönvit nattviol</t>
        </is>
      </c>
      <c r="W79">
        <f>HYPERLINK("https://klasma.github.io/Logging_0482/artfynd/A 35278-2022 artfynd.xlsx", "A 35278-2022")</f>
        <v/>
      </c>
      <c r="X79">
        <f>HYPERLINK("https://klasma.github.io/Logging_0482/kartor/A 35278-2022 karta.png", "A 35278-2022")</f>
        <v/>
      </c>
      <c r="Y79">
        <f>HYPERLINK("https://klasma.github.io/Logging_0482/kartor_geotiff/A 35278-2022 georefererad karta.tif", "A 35278-2022")</f>
        <v/>
      </c>
      <c r="AA79">
        <f>HYPERLINK("https://klasma.github.io/Logging_0482/klagomål/A 35278-2022 FSC-klagomål.docx", "A 35278-2022")</f>
        <v/>
      </c>
      <c r="AB79">
        <f>HYPERLINK("https://klasma.github.io/Logging_0482/klagomålsmail/A 35278-2022 FSC-klagomål mail.docx", "A 35278-2022")</f>
        <v/>
      </c>
      <c r="AC79">
        <f>HYPERLINK("https://klasma.github.io/Logging_0482/tillsyn/A 35278-2022 tillsynsbegäran.docx", "A 35278-2022")</f>
        <v/>
      </c>
      <c r="AD79">
        <f>HYPERLINK("https://klasma.github.io/Logging_0482/tillsynsmail/A 35278-2022 tillsynsbegäran mail.docx", "A 35278-2022")</f>
        <v/>
      </c>
    </row>
    <row r="80" ht="15" customHeight="1">
      <c r="A80" t="inlineStr">
        <is>
          <t>A 32744-2025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45838</v>
      </c>
      <c r="E80" s="1" t="n">
        <v>46237</v>
      </c>
      <c r="F80" t="inlineStr">
        <is>
          <t>SÖDERMANLANDS LÄN</t>
        </is>
      </c>
      <c r="G80" t="inlineStr">
        <is>
          <t>FLEN</t>
        </is>
      </c>
      <c r="I80" t="n">
        <v>1.8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Ekticka
Klasefibbla</t>
        </is>
      </c>
      <c r="W80">
        <f>HYPERLINK("https://klasma.github.io/Logging_0482/artfynd/A 32744-2025 artfynd.xlsx", "A 32744-2025")</f>
        <v/>
      </c>
      <c r="X80">
        <f>HYPERLINK("https://klasma.github.io/Logging_0482/kartor/A 32744-2025 karta.png", "A 32744-2025")</f>
        <v/>
      </c>
      <c r="Y80">
        <f>HYPERLINK("https://klasma.github.io/Logging_0482/kartor_geotiff/A 32744-2025 georefererad karta.tif", "A 32744-2025")</f>
        <v/>
      </c>
      <c r="AA80">
        <f>HYPERLINK("https://klasma.github.io/Logging_0482/klagomål/A 32744-2025 FSC-klagomål.docx", "A 32744-2025")</f>
        <v/>
      </c>
      <c r="AB80">
        <f>HYPERLINK("https://klasma.github.io/Logging_0482/klagomålsmail/A 32744-2025 FSC-klagomål mail.docx", "A 32744-2025")</f>
        <v/>
      </c>
      <c r="AC80">
        <f>HYPERLINK("https://klasma.github.io/Logging_0482/tillsyn/A 32744-2025 tillsynsbegäran.docx", "A 32744-2025")</f>
        <v/>
      </c>
      <c r="AD80">
        <f>HYPERLINK("https://klasma.github.io/Logging_0482/tillsynsmail/A 32744-2025 tillsynsbegäran mail.docx", "A 32744-2025")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46237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46237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46237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46237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11103-2023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46237</v>
      </c>
      <c r="F85" t="inlineStr">
        <is>
          <t>SÖDERMANLANDS LÄN</t>
        </is>
      </c>
      <c r="G85" t="inlineStr">
        <is>
          <t>FLEN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Ask
Blåmossa</t>
        </is>
      </c>
      <c r="W85">
        <f>HYPERLINK("https://klasma.github.io/Logging_0482/artfynd/A 11103-2023 artfynd.xlsx", "A 11103-2023")</f>
        <v/>
      </c>
      <c r="X85">
        <f>HYPERLINK("https://klasma.github.io/Logging_0482/kartor/A 11103-2023 karta.png", "A 11103-2023")</f>
        <v/>
      </c>
      <c r="Y85">
        <f>HYPERLINK("https://klasma.github.io/Logging_0482/kartor_geotiff/A 11103-2023 georefererad karta.tif", "A 11103-2023")</f>
        <v/>
      </c>
      <c r="AA85">
        <f>HYPERLINK("https://klasma.github.io/Logging_0482/klagomål/A 11103-2023 FSC-klagomål.docx", "A 11103-2023")</f>
        <v/>
      </c>
      <c r="AB85">
        <f>HYPERLINK("https://klasma.github.io/Logging_0482/klagomålsmail/A 11103-2023 FSC-klagomål mail.docx", "A 11103-2023")</f>
        <v/>
      </c>
      <c r="AC85">
        <f>HYPERLINK("https://klasma.github.io/Logging_0482/tillsyn/A 11103-2023 tillsynsbegäran.docx", "A 11103-2023")</f>
        <v/>
      </c>
      <c r="AD85">
        <f>HYPERLINK("https://klasma.github.io/Logging_0482/tillsynsmail/A 11103-2023 tillsynsbegäran mail.docx", "A 11103-2023")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46237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22101-2023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46237</v>
      </c>
      <c r="F87" t="inlineStr">
        <is>
          <t>SÖDERMANLANDS LÄN</t>
        </is>
      </c>
      <c r="G87" t="inlineStr">
        <is>
          <t>FLEN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Bombmurkla
Blåsippa</t>
        </is>
      </c>
      <c r="W87">
        <f>HYPERLINK("https://klasma.github.io/Logging_0482/artfynd/A 22101-2023 artfynd.xlsx", "A 22101-2023")</f>
        <v/>
      </c>
      <c r="X87">
        <f>HYPERLINK("https://klasma.github.io/Logging_0482/kartor/A 22101-2023 karta.png", "A 22101-2023")</f>
        <v/>
      </c>
      <c r="Y87">
        <f>HYPERLINK("https://klasma.github.io/Logging_0482/kartor_geotiff/A 22101-2023 georefererad karta.tif", "A 22101-2023")</f>
        <v/>
      </c>
      <c r="AA87">
        <f>HYPERLINK("https://klasma.github.io/Logging_0482/klagomål/A 22101-2023 FSC-klagomål.docx", "A 22101-2023")</f>
        <v/>
      </c>
      <c r="AB87">
        <f>HYPERLINK("https://klasma.github.io/Logging_0482/klagomålsmail/A 22101-2023 FSC-klagomål mail.docx", "A 22101-2023")</f>
        <v/>
      </c>
      <c r="AC87">
        <f>HYPERLINK("https://klasma.github.io/Logging_0482/tillsyn/A 22101-2023 tillsynsbegäran.docx", "A 22101-2023")</f>
        <v/>
      </c>
      <c r="AD87">
        <f>HYPERLINK("https://klasma.github.io/Logging_0482/tillsynsmail/A 22101-2023 tillsynsbegäran mail.docx", "A 22101-2023")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46237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4330-2026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46237</v>
      </c>
      <c r="F89" t="inlineStr">
        <is>
          <t>SÖDERMANLANDS LÄN</t>
        </is>
      </c>
      <c r="G89" t="inlineStr">
        <is>
          <t>FLEN</t>
        </is>
      </c>
      <c r="H89" t="inlineStr">
        <is>
          <t>Övriga statliga verk och myndigheter</t>
        </is>
      </c>
      <c r="I89" t="n">
        <v>4.9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Backstarr
Blåsippa</t>
        </is>
      </c>
      <c r="W89">
        <f>HYPERLINK("https://klasma.github.io/Logging_0482/artfynd/A 4330-2026 artfynd.xlsx", "A 4330-2026")</f>
        <v/>
      </c>
      <c r="X89">
        <f>HYPERLINK("https://klasma.github.io/Logging_0482/kartor/A 4330-2026 karta.png", "A 4330-2026")</f>
        <v/>
      </c>
      <c r="Y89">
        <f>HYPERLINK("https://klasma.github.io/Logging_0482/kartor_geotiff/A 4330-2026 georefererad karta.tif", "A 4330-2026")</f>
        <v/>
      </c>
      <c r="AA89">
        <f>HYPERLINK("https://klasma.github.io/Logging_0482/klagomål/A 4330-2026 FSC-klagomål.docx", "A 4330-2026")</f>
        <v/>
      </c>
      <c r="AB89">
        <f>HYPERLINK("https://klasma.github.io/Logging_0482/klagomålsmail/A 4330-2026 FSC-klagomål mail.docx", "A 4330-2026")</f>
        <v/>
      </c>
      <c r="AC89">
        <f>HYPERLINK("https://klasma.github.io/Logging_0482/tillsyn/A 4330-2026 tillsynsbegäran.docx", "A 4330-2026")</f>
        <v/>
      </c>
      <c r="AD89">
        <f>HYPERLINK("https://klasma.github.io/Logging_0482/tillsynsmail/A 4330-2026 tillsynsbegäran mail.docx", "A 4330-2026")</f>
        <v/>
      </c>
    </row>
    <row r="90" ht="15" customHeight="1">
      <c r="A90" t="inlineStr">
        <is>
          <t>A 39240-2023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46237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4.6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Motaggsvamp
Blodticka</t>
        </is>
      </c>
      <c r="W90">
        <f>HYPERLINK("https://klasma.github.io/Logging_0482/artfynd/A 39240-2023 artfynd.xlsx", "A 39240-2023")</f>
        <v/>
      </c>
      <c r="X90">
        <f>HYPERLINK("https://klasma.github.io/Logging_0482/kartor/A 39240-2023 karta.png", "A 39240-2023")</f>
        <v/>
      </c>
      <c r="Y90">
        <f>HYPERLINK("https://klasma.github.io/Logging_0482/kartor_geotiff/A 39240-2023 georefererad karta.tif", "A 39240-2023")</f>
        <v/>
      </c>
      <c r="AA90">
        <f>HYPERLINK("https://klasma.github.io/Logging_0482/klagomål/A 39240-2023 FSC-klagomål.docx", "A 39240-2023")</f>
        <v/>
      </c>
      <c r="AB90">
        <f>HYPERLINK("https://klasma.github.io/Logging_0482/klagomålsmail/A 39240-2023 FSC-klagomål mail.docx", "A 39240-2023")</f>
        <v/>
      </c>
      <c r="AC90">
        <f>HYPERLINK("https://klasma.github.io/Logging_0482/tillsyn/A 39240-2023 tillsynsbegäran.docx", "A 39240-2023")</f>
        <v/>
      </c>
      <c r="AD90">
        <f>HYPERLINK("https://klasma.github.io/Logging_0482/tillsynsmail/A 39240-2023 tillsynsbegäran mail.docx", "A 39240-2023")</f>
        <v/>
      </c>
    </row>
    <row r="91" ht="15" customHeight="1">
      <c r="A91" t="inlineStr">
        <is>
          <t>A 8887-2026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46068</v>
      </c>
      <c r="E91" s="1" t="n">
        <v>46237</v>
      </c>
      <c r="F91" t="inlineStr">
        <is>
          <t>SÖDERMANLANDS LÄN</t>
        </is>
      </c>
      <c r="G91" t="inlineStr">
        <is>
          <t>FLEN</t>
        </is>
      </c>
      <c r="I91" t="n">
        <v>2.1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Större vattensalamander
Mindre vattensalamander</t>
        </is>
      </c>
      <c r="W91">
        <f>HYPERLINK("https://klasma.github.io/Logging_0482/artfynd/A 8887-2026 artfynd.xlsx", "A 8887-2026")</f>
        <v/>
      </c>
      <c r="X91">
        <f>HYPERLINK("https://klasma.github.io/Logging_0482/kartor/A 8887-2026 karta.png", "A 8887-2026")</f>
        <v/>
      </c>
      <c r="Y91">
        <f>HYPERLINK("https://klasma.github.io/Logging_0482/kartor_geotiff/A 8887-2026 georefererad karta.tif", "A 8887-2026")</f>
        <v/>
      </c>
      <c r="AA91">
        <f>HYPERLINK("https://klasma.github.io/Logging_0482/klagomål/A 8887-2026 FSC-klagomål.docx", "A 8887-2026")</f>
        <v/>
      </c>
      <c r="AB91">
        <f>HYPERLINK("https://klasma.github.io/Logging_0482/klagomålsmail/A 8887-2026 FSC-klagomål mail.docx", "A 8887-2026")</f>
        <v/>
      </c>
      <c r="AC91">
        <f>HYPERLINK("https://klasma.github.io/Logging_0482/tillsyn/A 8887-2026 tillsynsbegäran.docx", "A 8887-2026")</f>
        <v/>
      </c>
      <c r="AD91">
        <f>HYPERLINK("https://klasma.github.io/Logging_0482/tillsynsmail/A 8887-2026 tillsynsbegäran mail.docx", "A 8887-2026")</f>
        <v/>
      </c>
    </row>
    <row r="92" ht="15" customHeight="1">
      <c r="A92" t="inlineStr">
        <is>
          <t>A 59607-2022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44907</v>
      </c>
      <c r="E92" s="1" t="n">
        <v>46237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Jungfrulin
Svinrot</t>
        </is>
      </c>
      <c r="W92">
        <f>HYPERLINK("https://klasma.github.io/Logging_0482/artfynd/A 59607-2022 artfynd.xlsx", "A 59607-2022")</f>
        <v/>
      </c>
      <c r="X92">
        <f>HYPERLINK("https://klasma.github.io/Logging_0482/kartor/A 59607-2022 karta.png", "A 59607-2022")</f>
        <v/>
      </c>
      <c r="Y92">
        <f>HYPERLINK("https://klasma.github.io/Logging_0482/kartor_geotiff/A 59607-2022 georefererad karta.tif", "A 59607-2022")</f>
        <v/>
      </c>
      <c r="AA92">
        <f>HYPERLINK("https://klasma.github.io/Logging_0482/klagomål/A 59607-2022 FSC-klagomål.docx", "A 59607-2022")</f>
        <v/>
      </c>
      <c r="AB92">
        <f>HYPERLINK("https://klasma.github.io/Logging_0482/klagomålsmail/A 59607-2022 FSC-klagomål mail.docx", "A 59607-2022")</f>
        <v/>
      </c>
      <c r="AC92">
        <f>HYPERLINK("https://klasma.github.io/Logging_0482/tillsyn/A 59607-2022 tillsynsbegäran.docx", "A 59607-2022")</f>
        <v/>
      </c>
      <c r="AD92">
        <f>HYPERLINK("https://klasma.github.io/Logging_0482/tillsynsmail/A 59607-2022 tillsynsbegäran mail.docx", "A 59607-2022")</f>
        <v/>
      </c>
    </row>
    <row r="93" ht="15" customHeight="1">
      <c r="A93" t="inlineStr">
        <is>
          <t>A 24464-2025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46237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Vedskivlav</t>
        </is>
      </c>
      <c r="W93">
        <f>HYPERLINK("https://klasma.github.io/Logging_0482/artfynd/A 24464-2025 artfynd.xlsx", "A 24464-2025")</f>
        <v/>
      </c>
      <c r="X93">
        <f>HYPERLINK("https://klasma.github.io/Logging_0482/kartor/A 24464-2025 karta.png", "A 24464-2025")</f>
        <v/>
      </c>
      <c r="Y93">
        <f>HYPERLINK("https://klasma.github.io/Logging_0482/kartor_geotiff/A 24464-2025 georefererad karta.tif", "A 24464-2025")</f>
        <v/>
      </c>
      <c r="AA93">
        <f>HYPERLINK("https://klasma.github.io/Logging_0482/klagomål/A 24464-2025 FSC-klagomål.docx", "A 24464-2025")</f>
        <v/>
      </c>
      <c r="AB93">
        <f>HYPERLINK("https://klasma.github.io/Logging_0482/klagomålsmail/A 24464-2025 FSC-klagomål mail.docx", "A 24464-2025")</f>
        <v/>
      </c>
      <c r="AC93">
        <f>HYPERLINK("https://klasma.github.io/Logging_0482/tillsyn/A 24464-2025 tillsynsbegäran.docx", "A 24464-2025")</f>
        <v/>
      </c>
      <c r="AD93">
        <f>HYPERLINK("https://klasma.github.io/Logging_0482/tillsynsmail/A 24464-2025 tillsynsbegäran mail.docx", "A 24464-2025")</f>
        <v/>
      </c>
    </row>
    <row r="94" ht="15" customHeight="1">
      <c r="A94" t="inlineStr">
        <is>
          <t>A 19994-2022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44697</v>
      </c>
      <c r="E94" s="1" t="n">
        <v>46237</v>
      </c>
      <c r="F94" t="inlineStr">
        <is>
          <t>SÖDERMANLANDS LÄN</t>
        </is>
      </c>
      <c r="G94" t="inlineStr">
        <is>
          <t>FLEN</t>
        </is>
      </c>
      <c r="H94" t="inlineStr">
        <is>
          <t>Kyrkan</t>
        </is>
      </c>
      <c r="I94" t="n">
        <v>3.2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Mandelriska</t>
        </is>
      </c>
      <c r="W94">
        <f>HYPERLINK("https://klasma.github.io/Logging_0482/artfynd/A 19994-2022 artfynd.xlsx", "A 19994-2022")</f>
        <v/>
      </c>
      <c r="X94">
        <f>HYPERLINK("https://klasma.github.io/Logging_0482/kartor/A 19994-2022 karta.png", "A 19994-2022")</f>
        <v/>
      </c>
      <c r="Y94">
        <f>HYPERLINK("https://klasma.github.io/Logging_0482/kartor_geotiff/A 19994-2022 georefererad karta.tif", "A 19994-2022")</f>
        <v/>
      </c>
      <c r="AA94">
        <f>HYPERLINK("https://klasma.github.io/Logging_0482/klagomål/A 19994-2022 FSC-klagomål.docx", "A 19994-2022")</f>
        <v/>
      </c>
      <c r="AB94">
        <f>HYPERLINK("https://klasma.github.io/Logging_0482/klagomålsmail/A 19994-2022 FSC-klagomål mail.docx", "A 19994-2022")</f>
        <v/>
      </c>
      <c r="AC94">
        <f>HYPERLINK("https://klasma.github.io/Logging_0482/tillsyn/A 19994-2022 tillsynsbegäran.docx", "A 19994-2022")</f>
        <v/>
      </c>
      <c r="AD94">
        <f>HYPERLINK("https://klasma.github.io/Logging_0482/tillsynsmail/A 19994-2022 tillsynsbegäran mail.docx", "A 19994-2022")</f>
        <v/>
      </c>
    </row>
    <row r="95" ht="15" customHeight="1">
      <c r="A95" t="inlineStr">
        <is>
          <t>A 28153-2022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46237</v>
      </c>
      <c r="F95" t="inlineStr">
        <is>
          <t>SÖDERMANLANDS LÄN</t>
        </is>
      </c>
      <c r="G95" t="inlineStr">
        <is>
          <t>FLEN</t>
        </is>
      </c>
      <c r="I95" t="n">
        <v>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28153-2022 artfynd.xlsx", "A 28153-2022")</f>
        <v/>
      </c>
      <c r="X95">
        <f>HYPERLINK("https://klasma.github.io/Logging_0482/kartor/A 28153-2022 karta.png", "A 28153-2022")</f>
        <v/>
      </c>
      <c r="Y95">
        <f>HYPERLINK("https://klasma.github.io/Logging_0482/kartor_geotiff/A 28153-2022 georefererad karta.tif", "A 28153-2022")</f>
        <v/>
      </c>
      <c r="AA95">
        <f>HYPERLINK("https://klasma.github.io/Logging_0482/klagomål/A 28153-2022 FSC-klagomål.docx", "A 28153-2022")</f>
        <v/>
      </c>
      <c r="AB95">
        <f>HYPERLINK("https://klasma.github.io/Logging_0482/klagomålsmail/A 28153-2022 FSC-klagomål mail.docx", "A 28153-2022")</f>
        <v/>
      </c>
      <c r="AC95">
        <f>HYPERLINK("https://klasma.github.io/Logging_0482/tillsyn/A 28153-2022 tillsynsbegäran.docx", "A 28153-2022")</f>
        <v/>
      </c>
      <c r="AD95">
        <f>HYPERLINK("https://klasma.github.io/Logging_0482/tillsynsmail/A 28153-2022 tillsynsbegäran mail.docx", "A 28153-2022")</f>
        <v/>
      </c>
    </row>
    <row r="96" ht="15" customHeight="1">
      <c r="A96" t="inlineStr">
        <is>
          <t>A 62355-2021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46237</v>
      </c>
      <c r="F96" t="inlineStr">
        <is>
          <t>SÖDERMANLANDS LÄN</t>
        </is>
      </c>
      <c r="G96" t="inlineStr">
        <is>
          <t>FLEN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Svinrot</t>
        </is>
      </c>
      <c r="W96">
        <f>HYPERLINK("https://klasma.github.io/Logging_0482/artfynd/A 62355-2021 artfynd.xlsx", "A 62355-2021")</f>
        <v/>
      </c>
      <c r="X96">
        <f>HYPERLINK("https://klasma.github.io/Logging_0482/kartor/A 62355-2021 karta.png", "A 62355-2021")</f>
        <v/>
      </c>
      <c r="Y96">
        <f>HYPERLINK("https://klasma.github.io/Logging_0482/kartor_geotiff/A 62355-2021 georefererad karta.tif", "A 62355-2021")</f>
        <v/>
      </c>
      <c r="AA96">
        <f>HYPERLINK("https://klasma.github.io/Logging_0482/klagomål/A 62355-2021 FSC-klagomål.docx", "A 62355-2021")</f>
        <v/>
      </c>
      <c r="AB96">
        <f>HYPERLINK("https://klasma.github.io/Logging_0482/klagomålsmail/A 62355-2021 FSC-klagomål mail.docx", "A 62355-2021")</f>
        <v/>
      </c>
      <c r="AC96">
        <f>HYPERLINK("https://klasma.github.io/Logging_0482/tillsyn/A 62355-2021 tillsynsbegäran.docx", "A 62355-2021")</f>
        <v/>
      </c>
      <c r="AD96">
        <f>HYPERLINK("https://klasma.github.io/Logging_0482/tillsynsmail/A 62355-2021 tillsynsbegäran mail.docx", "A 62355-2021")</f>
        <v/>
      </c>
    </row>
    <row r="97" ht="15" customHeight="1">
      <c r="A97" t="inlineStr">
        <is>
          <t>A 7883-2022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46237</v>
      </c>
      <c r="F97" t="inlineStr">
        <is>
          <t>SÖDERMANLANDS LÄN</t>
        </is>
      </c>
      <c r="G97" t="inlineStr">
        <is>
          <t>FLEN</t>
        </is>
      </c>
      <c r="H97" t="inlineStr">
        <is>
          <t>Övriga statliga verk och myndigheter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Plattlummer</t>
        </is>
      </c>
      <c r="W97">
        <f>HYPERLINK("https://klasma.github.io/Logging_0482/artfynd/A 7883-2022 artfynd.xlsx", "A 7883-2022")</f>
        <v/>
      </c>
      <c r="X97">
        <f>HYPERLINK("https://klasma.github.io/Logging_0482/kartor/A 7883-2022 karta.png", "A 7883-2022")</f>
        <v/>
      </c>
      <c r="Y97">
        <f>HYPERLINK("https://klasma.github.io/Logging_0482/kartor_geotiff/A 7883-2022 georefererad karta.tif", "A 7883-2022")</f>
        <v/>
      </c>
      <c r="AA97">
        <f>HYPERLINK("https://klasma.github.io/Logging_0482/klagomål/A 7883-2022 FSC-klagomål.docx", "A 7883-2022")</f>
        <v/>
      </c>
      <c r="AB97">
        <f>HYPERLINK("https://klasma.github.io/Logging_0482/klagomålsmail/A 7883-2022 FSC-klagomål mail.docx", "A 7883-2022")</f>
        <v/>
      </c>
      <c r="AC97">
        <f>HYPERLINK("https://klasma.github.io/Logging_0482/tillsyn/A 7883-2022 tillsynsbegäran.docx", "A 7883-2022")</f>
        <v/>
      </c>
      <c r="AD97">
        <f>HYPERLINK("https://klasma.github.io/Logging_0482/tillsynsmail/A 7883-2022 tillsynsbegäran mail.docx", "A 7883-2022")</f>
        <v/>
      </c>
    </row>
    <row r="98" ht="15" customHeight="1">
      <c r="A98" t="inlineStr">
        <is>
          <t>A 4259-2023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46237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HYPERLINK("https://klasma.github.io/Logging_0482/artfynd/A 4259-2023 artfynd.xlsx", "A 4259-2023")</f>
        <v/>
      </c>
      <c r="X98">
        <f>HYPERLINK("https://klasma.github.io/Logging_0482/kartor/A 4259-2023 karta.png", "A 4259-2023")</f>
        <v/>
      </c>
      <c r="Y98">
        <f>HYPERLINK("https://klasma.github.io/Logging_0482/kartor_geotiff/A 4259-2023 georefererad karta.tif", "A 4259-2023")</f>
        <v/>
      </c>
      <c r="AA98">
        <f>HYPERLINK("https://klasma.github.io/Logging_0482/klagomål/A 4259-2023 FSC-klagomål.docx", "A 4259-2023")</f>
        <v/>
      </c>
      <c r="AB98">
        <f>HYPERLINK("https://klasma.github.io/Logging_0482/klagomålsmail/A 4259-2023 FSC-klagomål mail.docx", "A 4259-2023")</f>
        <v/>
      </c>
      <c r="AC98">
        <f>HYPERLINK("https://klasma.github.io/Logging_0482/tillsyn/A 4259-2023 tillsynsbegäran.docx", "A 4259-2023")</f>
        <v/>
      </c>
      <c r="AD98">
        <f>HYPERLINK("https://klasma.github.io/Logging_0482/tillsynsmail/A 4259-2023 tillsynsbegäran mail.docx", "A 4259-2023")</f>
        <v/>
      </c>
    </row>
    <row r="99" ht="15" customHeight="1">
      <c r="A99" t="inlineStr">
        <is>
          <t>A 44563-2022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44838</v>
      </c>
      <c r="E99" s="1" t="n">
        <v>46237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HYPERLINK("https://klasma.github.io/Logging_0482/artfynd/A 44563-2022 artfynd.xlsx", "A 44563-2022")</f>
        <v/>
      </c>
      <c r="X99">
        <f>HYPERLINK("https://klasma.github.io/Logging_0482/kartor/A 44563-2022 karta.png", "A 44563-2022")</f>
        <v/>
      </c>
      <c r="Y99">
        <f>HYPERLINK("https://klasma.github.io/Logging_0482/kartor_geotiff/A 44563-2022 georefererad karta.tif", "A 44563-2022")</f>
        <v/>
      </c>
      <c r="AA99">
        <f>HYPERLINK("https://klasma.github.io/Logging_0482/klagomål/A 44563-2022 FSC-klagomål.docx", "A 44563-2022")</f>
        <v/>
      </c>
      <c r="AB99">
        <f>HYPERLINK("https://klasma.github.io/Logging_0482/klagomålsmail/A 44563-2022 FSC-klagomål mail.docx", "A 44563-2022")</f>
        <v/>
      </c>
      <c r="AC99">
        <f>HYPERLINK("https://klasma.github.io/Logging_0482/tillsyn/A 44563-2022 tillsynsbegäran.docx", "A 44563-2022")</f>
        <v/>
      </c>
      <c r="AD99">
        <f>HYPERLINK("https://klasma.github.io/Logging_0482/tillsynsmail/A 44563-2022 tillsynsbegäran mail.docx", "A 44563-2022")</f>
        <v/>
      </c>
    </row>
    <row r="100" ht="15" customHeight="1">
      <c r="A100" t="inlineStr">
        <is>
          <t>A 26245-2022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46237</v>
      </c>
      <c r="F100" t="inlineStr">
        <is>
          <t>SÖDERMANLANDS LÄN</t>
        </is>
      </c>
      <c r="G100" t="inlineStr">
        <is>
          <t>FLEN</t>
        </is>
      </c>
      <c r="I100" t="n">
        <v>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trämyra</t>
        </is>
      </c>
      <c r="W100">
        <f>HYPERLINK("https://klasma.github.io/Logging_0482/artfynd/A 26245-2022 artfynd.xlsx", "A 26245-2022")</f>
        <v/>
      </c>
      <c r="X100">
        <f>HYPERLINK("https://klasma.github.io/Logging_0482/kartor/A 26245-2022 karta.png", "A 26245-2022")</f>
        <v/>
      </c>
      <c r="Y100">
        <f>HYPERLINK("https://klasma.github.io/Logging_0482/kartor_geotiff/A 26245-2022 georefererad karta.tif", "A 26245-2022")</f>
        <v/>
      </c>
      <c r="AA100">
        <f>HYPERLINK("https://klasma.github.io/Logging_0482/klagomål/A 26245-2022 FSC-klagomål.docx", "A 26245-2022")</f>
        <v/>
      </c>
      <c r="AB100">
        <f>HYPERLINK("https://klasma.github.io/Logging_0482/klagomålsmail/A 26245-2022 FSC-klagomål mail.docx", "A 26245-2022")</f>
        <v/>
      </c>
      <c r="AC100">
        <f>HYPERLINK("https://klasma.github.io/Logging_0482/tillsyn/A 26245-2022 tillsynsbegäran.docx", "A 26245-2022")</f>
        <v/>
      </c>
      <c r="AD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46237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12306-2022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46237</v>
      </c>
      <c r="F102" t="inlineStr">
        <is>
          <t>SÖDERMANLANDS LÄN</t>
        </is>
      </c>
      <c r="G102" t="inlineStr">
        <is>
          <t>FLEN</t>
        </is>
      </c>
      <c r="I102" t="n">
        <v>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Järnsparv</t>
        </is>
      </c>
      <c r="W102">
        <f>HYPERLINK("https://klasma.github.io/Logging_0482/artfynd/A 12306-2022 artfynd.xlsx", "A 12306-2022")</f>
        <v/>
      </c>
      <c r="X102">
        <f>HYPERLINK("https://klasma.github.io/Logging_0482/kartor/A 12306-2022 karta.png", "A 12306-2022")</f>
        <v/>
      </c>
      <c r="Y102">
        <f>HYPERLINK("https://klasma.github.io/Logging_0482/kartor_geotiff/A 12306-2022 georefererad karta.tif", "A 12306-2022")</f>
        <v/>
      </c>
      <c r="AA102">
        <f>HYPERLINK("https://klasma.github.io/Logging_0482/klagomål/A 12306-2022 FSC-klagomål.docx", "A 12306-2022")</f>
        <v/>
      </c>
      <c r="AB102">
        <f>HYPERLINK("https://klasma.github.io/Logging_0482/klagomålsmail/A 12306-2022 FSC-klagomål mail.docx", "A 12306-2022")</f>
        <v/>
      </c>
      <c r="AC102">
        <f>HYPERLINK("https://klasma.github.io/Logging_0482/tillsyn/A 12306-2022 tillsynsbegäran.docx", "A 12306-2022")</f>
        <v/>
      </c>
      <c r="AD102">
        <f>HYPERLINK("https://klasma.github.io/Logging_0482/tillsynsmail/A 12306-2022 tillsynsbegäran mail.docx", "A 12306-2022")</f>
        <v/>
      </c>
      <c r="AE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46237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46237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46237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46987-2024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46237</v>
      </c>
      <c r="F106" t="inlineStr">
        <is>
          <t>SÖDERMANLANDS LÄN</t>
        </is>
      </c>
      <c r="G106" t="inlineStr">
        <is>
          <t>FLEN</t>
        </is>
      </c>
      <c r="I106" t="n">
        <v>1.2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Svinrot</t>
        </is>
      </c>
      <c r="W106">
        <f>HYPERLINK("https://klasma.github.io/Logging_0482/artfynd/A 46987-2024 artfynd.xlsx", "A 46987-2024")</f>
        <v/>
      </c>
      <c r="X106">
        <f>HYPERLINK("https://klasma.github.io/Logging_0482/kartor/A 46987-2024 karta.png", "A 46987-2024")</f>
        <v/>
      </c>
      <c r="Y106">
        <f>HYPERLINK("https://klasma.github.io/Logging_0482/kartor_geotiff/A 46987-2024 georefererad karta.tif", "A 46987-2024")</f>
        <v/>
      </c>
      <c r="AA106">
        <f>HYPERLINK("https://klasma.github.io/Logging_0482/klagomål/A 46987-2024 FSC-klagomål.docx", "A 46987-2024")</f>
        <v/>
      </c>
      <c r="AB106">
        <f>HYPERLINK("https://klasma.github.io/Logging_0482/klagomålsmail/A 46987-2024 FSC-klagomål mail.docx", "A 46987-2024")</f>
        <v/>
      </c>
      <c r="AC106">
        <f>HYPERLINK("https://klasma.github.io/Logging_0482/tillsyn/A 46987-2024 tillsynsbegäran.docx", "A 46987-2024")</f>
        <v/>
      </c>
      <c r="AD106">
        <f>HYPERLINK("https://klasma.github.io/Logging_0482/tillsynsmail/A 46987-2024 tillsynsbegäran mail.docx", "A 46987-2024")</f>
        <v/>
      </c>
    </row>
    <row r="107" ht="15" customHeight="1">
      <c r="A107" t="inlineStr">
        <is>
          <t>A 45120-2021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46237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HYPERLINK("https://klasma.github.io/Logging_0482/artfynd/A 45120-2021 artfynd.xlsx", "A 45120-2021")</f>
        <v/>
      </c>
      <c r="X107">
        <f>HYPERLINK("https://klasma.github.io/Logging_0482/kartor/A 45120-2021 karta.png", "A 45120-2021")</f>
        <v/>
      </c>
      <c r="Y107">
        <f>HYPERLINK("https://klasma.github.io/Logging_0482/kartor_geotiff/A 45120-2021 georefererad karta.tif", "A 45120-2021")</f>
        <v/>
      </c>
      <c r="AA107">
        <f>HYPERLINK("https://klasma.github.io/Logging_0482/klagomål/A 45120-2021 FSC-klagomål.docx", "A 45120-2021")</f>
        <v/>
      </c>
      <c r="AB107">
        <f>HYPERLINK("https://klasma.github.io/Logging_0482/klagomålsmail/A 45120-2021 FSC-klagomål mail.docx", "A 45120-2021")</f>
        <v/>
      </c>
      <c r="AC107">
        <f>HYPERLINK("https://klasma.github.io/Logging_0482/tillsyn/A 45120-2021 tillsynsbegäran.docx", "A 45120-2021")</f>
        <v/>
      </c>
      <c r="AD107">
        <f>HYPERLINK("https://klasma.github.io/Logging_0482/tillsynsmail/A 45120-2021 tillsynsbegäran mail.docx", "A 45120-2021")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46237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14273-2025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46237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Vedskivlav</t>
        </is>
      </c>
      <c r="W109">
        <f>HYPERLINK("https://klasma.github.io/Logging_0482/artfynd/A 14273-2025 artfynd.xlsx", "A 14273-2025")</f>
        <v/>
      </c>
      <c r="X109">
        <f>HYPERLINK("https://klasma.github.io/Logging_0482/kartor/A 14273-2025 karta.png", "A 14273-2025")</f>
        <v/>
      </c>
      <c r="Y109">
        <f>HYPERLINK("https://klasma.github.io/Logging_0482/kartor_geotiff/A 14273-2025 georefererad karta.tif", "A 14273-2025")</f>
        <v/>
      </c>
      <c r="AA109">
        <f>HYPERLINK("https://klasma.github.io/Logging_0482/klagomål/A 14273-2025 FSC-klagomål.docx", "A 14273-2025")</f>
        <v/>
      </c>
      <c r="AB109">
        <f>HYPERLINK("https://klasma.github.io/Logging_0482/klagomålsmail/A 14273-2025 FSC-klagomål mail.docx", "A 14273-2025")</f>
        <v/>
      </c>
      <c r="AC109">
        <f>HYPERLINK("https://klasma.github.io/Logging_0482/tillsyn/A 14273-2025 tillsynsbegäran.docx", "A 14273-2025")</f>
        <v/>
      </c>
      <c r="AD109">
        <f>HYPERLINK("https://klasma.github.io/Logging_0482/tillsynsmail/A 14273-2025 tillsynsbegäran mail.docx", "A 14273-2025")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46237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66230-2021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46237</v>
      </c>
      <c r="F111" t="inlineStr">
        <is>
          <t>SÖDERMANLANDS LÄN</t>
        </is>
      </c>
      <c r="G111" t="inlineStr">
        <is>
          <t>FLEN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66230-2021 artfynd.xlsx", "A 66230-2021")</f>
        <v/>
      </c>
      <c r="X111">
        <f>HYPERLINK("https://klasma.github.io/Logging_0482/kartor/A 66230-2021 karta.png", "A 66230-2021")</f>
        <v/>
      </c>
      <c r="Y111">
        <f>HYPERLINK("https://klasma.github.io/Logging_0482/kartor_geotiff/A 66230-2021 georefererad karta.tif", "A 66230-2021")</f>
        <v/>
      </c>
      <c r="AA111">
        <f>HYPERLINK("https://klasma.github.io/Logging_0482/klagomål/A 66230-2021 FSC-klagomål.docx", "A 66230-2021")</f>
        <v/>
      </c>
      <c r="AB111">
        <f>HYPERLINK("https://klasma.github.io/Logging_0482/klagomålsmail/A 66230-2021 FSC-klagomål mail.docx", "A 66230-2021")</f>
        <v/>
      </c>
      <c r="AC111">
        <f>HYPERLINK("https://klasma.github.io/Logging_0482/tillsyn/A 66230-2021 tillsynsbegäran.docx", "A 66230-2021")</f>
        <v/>
      </c>
      <c r="AD111">
        <f>HYPERLINK("https://klasma.github.io/Logging_0482/tillsynsmail/A 66230-2021 tillsynsbegäran mail.docx", "A 66230-2021")</f>
        <v/>
      </c>
    </row>
    <row r="112" ht="15" customHeight="1">
      <c r="A112" t="inlineStr">
        <is>
          <t>A 29195-2023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46237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3.9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Plattlummer</t>
        </is>
      </c>
      <c r="W112">
        <f>HYPERLINK("https://klasma.github.io/Logging_0482/artfynd/A 29195-2023 artfynd.xlsx", "A 29195-2023")</f>
        <v/>
      </c>
      <c r="X112">
        <f>HYPERLINK("https://klasma.github.io/Logging_0482/kartor/A 29195-2023 karta.png", "A 29195-2023")</f>
        <v/>
      </c>
      <c r="Y112">
        <f>HYPERLINK("https://klasma.github.io/Logging_0482/kartor_geotiff/A 29195-2023 georefererad karta.tif", "A 29195-2023")</f>
        <v/>
      </c>
      <c r="AA112">
        <f>HYPERLINK("https://klasma.github.io/Logging_0482/klagomål/A 29195-2023 FSC-klagomål.docx", "A 29195-2023")</f>
        <v/>
      </c>
      <c r="AB112">
        <f>HYPERLINK("https://klasma.github.io/Logging_0482/klagomålsmail/A 29195-2023 FSC-klagomål mail.docx", "A 29195-2023")</f>
        <v/>
      </c>
      <c r="AC112">
        <f>HYPERLINK("https://klasma.github.io/Logging_0482/tillsyn/A 29195-2023 tillsynsbegäran.docx", "A 29195-2023")</f>
        <v/>
      </c>
      <c r="AD112">
        <f>HYPERLINK("https://klasma.github.io/Logging_0482/tillsynsmail/A 29195-2023 tillsynsbegäran mail.docx", "A 29195-2023")</f>
        <v/>
      </c>
    </row>
    <row r="113" ht="15" customHeight="1">
      <c r="A113" t="inlineStr">
        <is>
          <t>A 21704-2026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46237</v>
      </c>
      <c r="F113" t="inlineStr">
        <is>
          <t>SÖDERMANLANDS LÄN</t>
        </is>
      </c>
      <c r="G113" t="inlineStr">
        <is>
          <t>FLEN</t>
        </is>
      </c>
      <c r="I113" t="n">
        <v>10.2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Kandelabersvamp</t>
        </is>
      </c>
      <c r="W113">
        <f>HYPERLINK("https://klasma.github.io/Logging_0482/artfynd/A 21704-2026 artfynd.xlsx", "A 21704-2026")</f>
        <v/>
      </c>
      <c r="X113">
        <f>HYPERLINK("https://klasma.github.io/Logging_0482/kartor/A 21704-2026 karta.png", "A 21704-2026")</f>
        <v/>
      </c>
      <c r="Y113">
        <f>HYPERLINK("https://klasma.github.io/Logging_0482/kartor_geotiff/A 21704-2026 georefererad karta.tif", "A 21704-2026")</f>
        <v/>
      </c>
      <c r="AA113">
        <f>HYPERLINK("https://klasma.github.io/Logging_0482/klagomål/A 21704-2026 FSC-klagomål.docx", "A 21704-2026")</f>
        <v/>
      </c>
      <c r="AB113">
        <f>HYPERLINK("https://klasma.github.io/Logging_0482/klagomålsmail/A 21704-2026 FSC-klagomål mail.docx", "A 21704-2026")</f>
        <v/>
      </c>
      <c r="AC113">
        <f>HYPERLINK("https://klasma.github.io/Logging_0482/tillsyn/A 21704-2026 tillsynsbegäran.docx", "A 21704-2026")</f>
        <v/>
      </c>
      <c r="AD113">
        <f>HYPERLINK("https://klasma.github.io/Logging_0482/tillsynsmail/A 21704-2026 tillsynsbegäran mail.docx", "A 21704-2026")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46237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34721-2023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46237</v>
      </c>
      <c r="F115" t="inlineStr">
        <is>
          <t>SÖDERMANLANDS LÄN</t>
        </is>
      </c>
      <c r="G115" t="inlineStr">
        <is>
          <t>FLEN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34721-2023 artfynd.xlsx", "A 34721-2023")</f>
        <v/>
      </c>
      <c r="X115">
        <f>HYPERLINK("https://klasma.github.io/Logging_0482/kartor/A 34721-2023 karta.png", "A 34721-2023")</f>
        <v/>
      </c>
      <c r="Y115">
        <f>HYPERLINK("https://klasma.github.io/Logging_0482/kartor_geotiff/A 34721-2023 georefererad karta.tif", "A 34721-2023")</f>
        <v/>
      </c>
      <c r="AA115">
        <f>HYPERLINK("https://klasma.github.io/Logging_0482/klagomål/A 34721-2023 FSC-klagomål.docx", "A 34721-2023")</f>
        <v/>
      </c>
      <c r="AB115">
        <f>HYPERLINK("https://klasma.github.io/Logging_0482/klagomålsmail/A 34721-2023 FSC-klagomål mail.docx", "A 34721-2023")</f>
        <v/>
      </c>
      <c r="AC115">
        <f>HYPERLINK("https://klasma.github.io/Logging_0482/tillsyn/A 34721-2023 tillsynsbegäran.docx", "A 34721-2023")</f>
        <v/>
      </c>
      <c r="AD115">
        <f>HYPERLINK("https://klasma.github.io/Logging_0482/tillsynsmail/A 34721-2023 tillsynsbegäran mail.docx", "A 34721-2023")</f>
        <v/>
      </c>
    </row>
    <row r="116" ht="15" customHeight="1">
      <c r="A116" t="inlineStr">
        <is>
          <t>A 54302-2025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46237</v>
      </c>
      <c r="F116" t="inlineStr">
        <is>
          <t>SÖDERMANLANDS LÄN</t>
        </is>
      </c>
      <c r="G116" t="inlineStr">
        <is>
          <t>FLEN</t>
        </is>
      </c>
      <c r="I116" t="n">
        <v>12.6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Dofttaggsvamp</t>
        </is>
      </c>
      <c r="W116">
        <f>HYPERLINK("https://klasma.github.io/Logging_0482/artfynd/A 54302-2025 artfynd.xlsx", "A 54302-2025")</f>
        <v/>
      </c>
      <c r="X116">
        <f>HYPERLINK("https://klasma.github.io/Logging_0482/kartor/A 54302-2025 karta.png", "A 54302-2025")</f>
        <v/>
      </c>
      <c r="Y116">
        <f>HYPERLINK("https://klasma.github.io/Logging_0482/kartor_geotiff/A 54302-2025 georefererad karta.tif", "A 54302-2025")</f>
        <v/>
      </c>
      <c r="AA116">
        <f>HYPERLINK("https://klasma.github.io/Logging_0482/klagomål/A 54302-2025 FSC-klagomål.docx", "A 54302-2025")</f>
        <v/>
      </c>
      <c r="AB116">
        <f>HYPERLINK("https://klasma.github.io/Logging_0482/klagomålsmail/A 54302-2025 FSC-klagomål mail.docx", "A 54302-2025")</f>
        <v/>
      </c>
      <c r="AC116">
        <f>HYPERLINK("https://klasma.github.io/Logging_0482/tillsyn/A 54302-2025 tillsynsbegäran.docx", "A 54302-2025")</f>
        <v/>
      </c>
      <c r="AD116">
        <f>HYPERLINK("https://klasma.github.io/Logging_0482/tillsynsmail/A 54302-2025 tillsynsbegäran mail.docx", "A 54302-2025")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46237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62535-2021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46237</v>
      </c>
      <c r="F118" t="inlineStr">
        <is>
          <t>SÖDERMANLANDS LÄN</t>
        </is>
      </c>
      <c r="G118" t="inlineStr">
        <is>
          <t>FLEN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62535-2021 artfynd.xlsx", "A 62535-2021")</f>
        <v/>
      </c>
      <c r="X118">
        <f>HYPERLINK("https://klasma.github.io/Logging_0482/kartor/A 62535-2021 karta.png", "A 62535-2021")</f>
        <v/>
      </c>
      <c r="Y118">
        <f>HYPERLINK("https://klasma.github.io/Logging_0482/kartor_geotiff/A 62535-2021 georefererad karta.tif", "A 62535-2021")</f>
        <v/>
      </c>
      <c r="AA118">
        <f>HYPERLINK("https://klasma.github.io/Logging_0482/klagomål/A 62535-2021 FSC-klagomål.docx", "A 62535-2021")</f>
        <v/>
      </c>
      <c r="AB118">
        <f>HYPERLINK("https://klasma.github.io/Logging_0482/klagomålsmail/A 62535-2021 FSC-klagomål mail.docx", "A 62535-2021")</f>
        <v/>
      </c>
      <c r="AC118">
        <f>HYPERLINK("https://klasma.github.io/Logging_0482/tillsyn/A 62535-2021 tillsynsbegäran.docx", "A 62535-2021")</f>
        <v/>
      </c>
      <c r="AD118">
        <f>HYPERLINK("https://klasma.github.io/Logging_0482/tillsynsmail/A 62535-2021 tillsynsbegäran mail.docx", "A 62535-2021")</f>
        <v/>
      </c>
    </row>
    <row r="119" ht="15" customHeight="1">
      <c r="A119" t="inlineStr">
        <is>
          <t>A 50202-2022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46237</v>
      </c>
      <c r="F119" t="inlineStr">
        <is>
          <t>SÖDERMANLANDS LÄN</t>
        </is>
      </c>
      <c r="G119" t="inlineStr">
        <is>
          <t>FLEN</t>
        </is>
      </c>
      <c r="H119" t="inlineStr">
        <is>
          <t>Kyrkan</t>
        </is>
      </c>
      <c r="I119" t="n">
        <v>5.8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50202-2022 artfynd.xlsx", "A 50202-2022")</f>
        <v/>
      </c>
      <c r="X119">
        <f>HYPERLINK("https://klasma.github.io/Logging_0482/kartor/A 50202-2022 karta.png", "A 50202-2022")</f>
        <v/>
      </c>
      <c r="Y119">
        <f>HYPERLINK("https://klasma.github.io/Logging_0482/kartor_geotiff/A 50202-2022 georefererad karta.tif", "A 50202-2022")</f>
        <v/>
      </c>
      <c r="AA119">
        <f>HYPERLINK("https://klasma.github.io/Logging_0482/klagomål/A 50202-2022 FSC-klagomål.docx", "A 50202-2022")</f>
        <v/>
      </c>
      <c r="AB119">
        <f>HYPERLINK("https://klasma.github.io/Logging_0482/klagomålsmail/A 50202-2022 FSC-klagomål mail.docx", "A 50202-2022")</f>
        <v/>
      </c>
      <c r="AC119">
        <f>HYPERLINK("https://klasma.github.io/Logging_0482/tillsyn/A 50202-2022 tillsynsbegäran.docx", "A 50202-2022")</f>
        <v/>
      </c>
      <c r="AD119">
        <f>HYPERLINK("https://klasma.github.io/Logging_0482/tillsynsmail/A 50202-2022 tillsynsbegäran mail.docx", "A 50202-2022")</f>
        <v/>
      </c>
    </row>
    <row r="120" ht="15" customHeight="1">
      <c r="A120" t="inlineStr">
        <is>
          <t>A 52563-2021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46237</v>
      </c>
      <c r="F120" t="inlineStr">
        <is>
          <t>SÖDERMANLANDS LÄN</t>
        </is>
      </c>
      <c r="G120" t="inlineStr">
        <is>
          <t>FLEN</t>
        </is>
      </c>
      <c r="I120" t="n">
        <v>9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Gulsparv</t>
        </is>
      </c>
      <c r="W120">
        <f>HYPERLINK("https://klasma.github.io/Logging_0482/artfynd/A 52563-2021 artfynd.xlsx", "A 52563-2021")</f>
        <v/>
      </c>
      <c r="X120">
        <f>HYPERLINK("https://klasma.github.io/Logging_0482/kartor/A 52563-2021 karta.png", "A 52563-2021")</f>
        <v/>
      </c>
      <c r="Y120">
        <f>HYPERLINK("https://klasma.github.io/Logging_0482/kartor_geotiff/A 52563-2021 georefererad karta.tif", "A 52563-2021")</f>
        <v/>
      </c>
      <c r="AA120">
        <f>HYPERLINK("https://klasma.github.io/Logging_0482/klagomål/A 52563-2021 FSC-klagomål.docx", "A 52563-2021")</f>
        <v/>
      </c>
      <c r="AB120">
        <f>HYPERLINK("https://klasma.github.io/Logging_0482/klagomålsmail/A 52563-2021 FSC-klagomål mail.docx", "A 52563-2021")</f>
        <v/>
      </c>
      <c r="AC120">
        <f>HYPERLINK("https://klasma.github.io/Logging_0482/tillsyn/A 52563-2021 tillsynsbegäran.docx", "A 52563-2021")</f>
        <v/>
      </c>
      <c r="AD120">
        <f>HYPERLINK("https://klasma.github.io/Logging_0482/tillsynsmail/A 52563-2021 tillsynsbegäran mail.docx", "A 52563-2021")</f>
        <v/>
      </c>
      <c r="AE120">
        <f>HYPERLINK("https://klasma.github.io/Logging_0482/fåglar/A 52563-2021 prioriterade fågelarter.docx", "A 52563-2021")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46237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30406-2026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46237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HYPERLINK("https://klasma.github.io/Logging_0482/artfynd/A 30406-2026 artfynd.xlsx", "A 30406-2026")</f>
        <v/>
      </c>
      <c r="X122">
        <f>HYPERLINK("https://klasma.github.io/Logging_0482/kartor/A 30406-2026 karta.png", "A 30406-2026")</f>
        <v/>
      </c>
      <c r="Y122">
        <f>HYPERLINK("https://klasma.github.io/Logging_0482/kartor_geotiff/A 30406-2026 georefererad karta.tif", "A 30406-2026")</f>
        <v/>
      </c>
      <c r="AA122">
        <f>HYPERLINK("https://klasma.github.io/Logging_0482/klagomål/A 30406-2026 FSC-klagomål.docx", "A 30406-2026")</f>
        <v/>
      </c>
      <c r="AB122">
        <f>HYPERLINK("https://klasma.github.io/Logging_0482/klagomålsmail/A 30406-2026 FSC-klagomål mail.docx", "A 30406-2026")</f>
        <v/>
      </c>
      <c r="AC122">
        <f>HYPERLINK("https://klasma.github.io/Logging_0482/tillsyn/A 30406-2026 tillsynsbegäran.docx", "A 30406-2026")</f>
        <v/>
      </c>
      <c r="AD122">
        <f>HYPERLINK("https://klasma.github.io/Logging_0482/tillsynsmail/A 30406-2026 tillsynsbegäran mail.docx", "A 30406-2026")</f>
        <v/>
      </c>
    </row>
    <row r="123" ht="15" customHeight="1">
      <c r="A123" t="inlineStr">
        <is>
          <t>A 24179-2026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46168</v>
      </c>
      <c r="E123" s="1" t="n">
        <v>46237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24179-2026 artfynd.xlsx", "A 24179-2026")</f>
        <v/>
      </c>
      <c r="X123">
        <f>HYPERLINK("https://klasma.github.io/Logging_0482/kartor/A 24179-2026 karta.png", "A 24179-2026")</f>
        <v/>
      </c>
      <c r="Y123">
        <f>HYPERLINK("https://klasma.github.io/Logging_0482/kartor_geotiff/A 24179-2026 georefererad karta.tif", "A 24179-2026")</f>
        <v/>
      </c>
      <c r="AA123">
        <f>HYPERLINK("https://klasma.github.io/Logging_0482/klagomål/A 24179-2026 FSC-klagomål.docx", "A 24179-2026")</f>
        <v/>
      </c>
      <c r="AB123">
        <f>HYPERLINK("https://klasma.github.io/Logging_0482/klagomålsmail/A 24179-2026 FSC-klagomål mail.docx", "A 24179-2026")</f>
        <v/>
      </c>
      <c r="AC123">
        <f>HYPERLINK("https://klasma.github.io/Logging_0482/tillsyn/A 24179-2026 tillsynsbegäran.docx", "A 24179-2026")</f>
        <v/>
      </c>
      <c r="AD123">
        <f>HYPERLINK("https://klasma.github.io/Logging_0482/tillsynsmail/A 24179-2026 tillsynsbegäran mail.docx", "A 24179-2026")</f>
        <v/>
      </c>
    </row>
    <row r="124" ht="15" customHeight="1">
      <c r="A124" t="inlineStr">
        <is>
          <t>A 14101-2025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46237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HYPERLINK("https://klasma.github.io/Logging_0482/artfynd/A 14101-2025 artfynd.xlsx", "A 14101-2025")</f>
        <v/>
      </c>
      <c r="X124">
        <f>HYPERLINK("https://klasma.github.io/Logging_0482/kartor/A 14101-2025 karta.png", "A 14101-2025")</f>
        <v/>
      </c>
      <c r="Y124">
        <f>HYPERLINK("https://klasma.github.io/Logging_0482/kartor_geotiff/A 14101-2025 georefererad karta.tif", "A 14101-2025")</f>
        <v/>
      </c>
      <c r="AA124">
        <f>HYPERLINK("https://klasma.github.io/Logging_0482/klagomål/A 14101-2025 FSC-klagomål.docx", "A 14101-2025")</f>
        <v/>
      </c>
      <c r="AB124">
        <f>HYPERLINK("https://klasma.github.io/Logging_0482/klagomålsmail/A 14101-2025 FSC-klagomål mail.docx", "A 14101-2025")</f>
        <v/>
      </c>
      <c r="AC124">
        <f>HYPERLINK("https://klasma.github.io/Logging_0482/tillsyn/A 14101-2025 tillsynsbegäran.docx", "A 14101-2025")</f>
        <v/>
      </c>
      <c r="AD124">
        <f>HYPERLINK("https://klasma.github.io/Logging_0482/tillsynsmail/A 14101-2025 tillsynsbegäran mail.docx", "A 14101-2025")</f>
        <v/>
      </c>
    </row>
    <row r="125" ht="15" customHeight="1">
      <c r="A125" t="inlineStr">
        <is>
          <t>A 34823-2023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46237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Mörk dunört</t>
        </is>
      </c>
      <c r="W125">
        <f>HYPERLINK("https://klasma.github.io/Logging_0482/artfynd/A 34823-2023 artfynd.xlsx", "A 34823-2023")</f>
        <v/>
      </c>
      <c r="X125">
        <f>HYPERLINK("https://klasma.github.io/Logging_0482/kartor/A 34823-2023 karta.png", "A 34823-2023")</f>
        <v/>
      </c>
      <c r="Y125">
        <f>HYPERLINK("https://klasma.github.io/Logging_0482/kartor_geotiff/A 34823-2023 georefererad karta.tif", "A 34823-2023")</f>
        <v/>
      </c>
      <c r="AA125">
        <f>HYPERLINK("https://klasma.github.io/Logging_0482/klagomål/A 34823-2023 FSC-klagomål.docx", "A 34823-2023")</f>
        <v/>
      </c>
      <c r="AB125">
        <f>HYPERLINK("https://klasma.github.io/Logging_0482/klagomålsmail/A 34823-2023 FSC-klagomål mail.docx", "A 34823-2023")</f>
        <v/>
      </c>
      <c r="AC125">
        <f>HYPERLINK("https://klasma.github.io/Logging_0482/tillsyn/A 34823-2023 tillsynsbegäran.docx", "A 34823-2023")</f>
        <v/>
      </c>
      <c r="AD125">
        <f>HYPERLINK("https://klasma.github.io/Logging_0482/tillsynsmail/A 34823-2023 tillsynsbegäran mail.docx", "A 34823-2023")</f>
        <v/>
      </c>
    </row>
    <row r="126" ht="15" customHeight="1">
      <c r="A126" t="inlineStr">
        <is>
          <t>A 60529-2024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46237</v>
      </c>
      <c r="F126" t="inlineStr">
        <is>
          <t>SÖDERMANLANDS LÄN</t>
        </is>
      </c>
      <c r="G126" t="inlineStr">
        <is>
          <t>FLEN</t>
        </is>
      </c>
      <c r="I126" t="n">
        <v>2.5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Skarp dropptaggsvamp</t>
        </is>
      </c>
      <c r="W126">
        <f>HYPERLINK("https://klasma.github.io/Logging_0482/artfynd/A 60529-2024 artfynd.xlsx", "A 60529-2024")</f>
        <v/>
      </c>
      <c r="X126">
        <f>HYPERLINK("https://klasma.github.io/Logging_0482/kartor/A 60529-2024 karta.png", "A 60529-2024")</f>
        <v/>
      </c>
      <c r="Y126">
        <f>HYPERLINK("https://klasma.github.io/Logging_0482/kartor_geotiff/A 60529-2024 georefererad karta.tif", "A 60529-2024")</f>
        <v/>
      </c>
      <c r="AA126">
        <f>HYPERLINK("https://klasma.github.io/Logging_0482/klagomål/A 60529-2024 FSC-klagomål.docx", "A 60529-2024")</f>
        <v/>
      </c>
      <c r="AB126">
        <f>HYPERLINK("https://klasma.github.io/Logging_0482/klagomålsmail/A 60529-2024 FSC-klagomål mail.docx", "A 60529-2024")</f>
        <v/>
      </c>
      <c r="AC126">
        <f>HYPERLINK("https://klasma.github.io/Logging_0482/tillsyn/A 60529-2024 tillsynsbegäran.docx", "A 60529-2024")</f>
        <v/>
      </c>
      <c r="AD126">
        <f>HYPERLINK("https://klasma.github.io/Logging_0482/tillsynsmail/A 60529-2024 tillsynsbegäran mail.docx", "A 60529-2024")</f>
        <v/>
      </c>
    </row>
    <row r="127" ht="15" customHeight="1">
      <c r="A127" t="inlineStr">
        <is>
          <t>A 60562-2021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46237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Gullklöver</t>
        </is>
      </c>
      <c r="W127">
        <f>HYPERLINK("https://klasma.github.io/Logging_0482/artfynd/A 60562-2021 artfynd.xlsx", "A 60562-2021")</f>
        <v/>
      </c>
      <c r="X127">
        <f>HYPERLINK("https://klasma.github.io/Logging_0482/kartor/A 60562-2021 karta.png", "A 60562-2021")</f>
        <v/>
      </c>
      <c r="Y127">
        <f>HYPERLINK("https://klasma.github.io/Logging_0482/kartor_geotiff/A 60562-2021 georefererad karta.tif", "A 60562-2021")</f>
        <v/>
      </c>
      <c r="AA127">
        <f>HYPERLINK("https://klasma.github.io/Logging_0482/klagomål/A 60562-2021 FSC-klagomål.docx", "A 60562-2021")</f>
        <v/>
      </c>
      <c r="AB127">
        <f>HYPERLINK("https://klasma.github.io/Logging_0482/klagomålsmail/A 60562-2021 FSC-klagomål mail.docx", "A 60562-2021")</f>
        <v/>
      </c>
      <c r="AC127">
        <f>HYPERLINK("https://klasma.github.io/Logging_0482/tillsyn/A 60562-2021 tillsynsbegäran.docx", "A 60562-2021")</f>
        <v/>
      </c>
      <c r="AD127">
        <f>HYPERLINK("https://klasma.github.io/Logging_0482/tillsynsmail/A 60562-2021 tillsynsbegäran mail.docx", "A 60562-2021")</f>
        <v/>
      </c>
    </row>
    <row r="128" ht="15" customHeight="1">
      <c r="A128" t="inlineStr">
        <is>
          <t>A 2043-2026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46237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2.1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Scharlakansvaxing</t>
        </is>
      </c>
      <c r="W128">
        <f>HYPERLINK("https://klasma.github.io/Logging_0482/artfynd/A 2043-2026 artfynd.xlsx", "A 2043-2026")</f>
        <v/>
      </c>
      <c r="X128">
        <f>HYPERLINK("https://klasma.github.io/Logging_0482/kartor/A 2043-2026 karta.png", "A 2043-2026")</f>
        <v/>
      </c>
      <c r="Y128">
        <f>HYPERLINK("https://klasma.github.io/Logging_0482/kartor_geotiff/A 2043-2026 georefererad karta.tif", "A 2043-2026")</f>
        <v/>
      </c>
      <c r="AA128">
        <f>HYPERLINK("https://klasma.github.io/Logging_0482/klagomål/A 2043-2026 FSC-klagomål.docx", "A 2043-2026")</f>
        <v/>
      </c>
      <c r="AB128">
        <f>HYPERLINK("https://klasma.github.io/Logging_0482/klagomålsmail/A 2043-2026 FSC-klagomål mail.docx", "A 2043-2026")</f>
        <v/>
      </c>
      <c r="AC128">
        <f>HYPERLINK("https://klasma.github.io/Logging_0482/tillsyn/A 2043-2026 tillsynsbegäran.docx", "A 2043-2026")</f>
        <v/>
      </c>
      <c r="AD128">
        <f>HYPERLINK("https://klasma.github.io/Logging_0482/tillsynsmail/A 2043-2026 tillsynsbegäran mail.docx", "A 2043-2026")</f>
        <v/>
      </c>
    </row>
    <row r="129" ht="15" customHeight="1">
      <c r="A129" t="inlineStr">
        <is>
          <t>A 2036-2026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46237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Knärot</t>
        </is>
      </c>
      <c r="W129">
        <f>HYPERLINK("https://klasma.github.io/Logging_0482/artfynd/A 2036-2026 artfynd.xlsx", "A 2036-2026")</f>
        <v/>
      </c>
      <c r="X129">
        <f>HYPERLINK("https://klasma.github.io/Logging_0482/kartor/A 2036-2026 karta.png", "A 2036-2026")</f>
        <v/>
      </c>
      <c r="Y129">
        <f>HYPERLINK("https://klasma.github.io/Logging_0482/kartor_geotiff/A 2036-2026 georefererad karta.tif", "A 2036-2026")</f>
        <v/>
      </c>
      <c r="Z129">
        <f>HYPERLINK("https://klasma.github.io/Logging_0482/knärot/A 2036-2026 karta knärot.png", "A 2036-2026")</f>
        <v/>
      </c>
      <c r="AA129">
        <f>HYPERLINK("https://klasma.github.io/Logging_0482/klagomål/A 2036-2026 FSC-klagomål.docx", "A 2036-2026")</f>
        <v/>
      </c>
      <c r="AB129">
        <f>HYPERLINK("https://klasma.github.io/Logging_0482/klagomålsmail/A 2036-2026 FSC-klagomål mail.docx", "A 2036-2026")</f>
        <v/>
      </c>
      <c r="AC129">
        <f>HYPERLINK("https://klasma.github.io/Logging_0482/tillsyn/A 2036-2026 tillsynsbegäran.docx", "A 2036-2026")</f>
        <v/>
      </c>
      <c r="AD129">
        <f>HYPERLINK("https://klasma.github.io/Logging_0482/tillsynsmail/A 2036-2026 tillsynsbegäran mail.docx", "A 2036-2026")</f>
        <v/>
      </c>
    </row>
    <row r="130" ht="15" customHeight="1">
      <c r="A130" t="inlineStr">
        <is>
          <t>A 7525-2024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45348</v>
      </c>
      <c r="E130" s="1" t="n">
        <v>46237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backsmörblomma</t>
        </is>
      </c>
      <c r="W130">
        <f>HYPERLINK("https://klasma.github.io/Logging_0482/artfynd/A 7525-2024 artfynd.xlsx", "A 7525-2024")</f>
        <v/>
      </c>
      <c r="X130">
        <f>HYPERLINK("https://klasma.github.io/Logging_0482/kartor/A 7525-2024 karta.png", "A 7525-2024")</f>
        <v/>
      </c>
      <c r="Y130">
        <f>HYPERLINK("https://klasma.github.io/Logging_0482/kartor_geotiff/A 7525-2024 georefererad karta.tif", "A 7525-2024")</f>
        <v/>
      </c>
      <c r="AA130">
        <f>HYPERLINK("https://klasma.github.io/Logging_0482/klagomål/A 7525-2024 FSC-klagomål.docx", "A 7525-2024")</f>
        <v/>
      </c>
      <c r="AB130">
        <f>HYPERLINK("https://klasma.github.io/Logging_0482/klagomålsmail/A 7525-2024 FSC-klagomål mail.docx", "A 7525-2024")</f>
        <v/>
      </c>
      <c r="AC130">
        <f>HYPERLINK("https://klasma.github.io/Logging_0482/tillsyn/A 7525-2024 tillsynsbegäran.docx", "A 7525-2024")</f>
        <v/>
      </c>
      <c r="AD130">
        <f>HYPERLINK("https://klasma.github.io/Logging_0482/tillsynsmail/A 7525-2024 tillsynsbegäran mail.docx", "A 7525-2024")</f>
        <v/>
      </c>
    </row>
    <row r="131" ht="15" customHeight="1">
      <c r="A131" t="inlineStr">
        <is>
          <t>A 49820-2023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46237</v>
      </c>
      <c r="F131" t="inlineStr">
        <is>
          <t>SÖDERMANLANDS LÄN</t>
        </is>
      </c>
      <c r="G131" t="inlineStr">
        <is>
          <t>FLEN</t>
        </is>
      </c>
      <c r="I131" t="n">
        <v>3.2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Gullviva</t>
        </is>
      </c>
      <c r="W131">
        <f>HYPERLINK("https://klasma.github.io/Logging_0482/artfynd/A 49820-2023 artfynd.xlsx", "A 49820-2023")</f>
        <v/>
      </c>
      <c r="X131">
        <f>HYPERLINK("https://klasma.github.io/Logging_0482/kartor/A 49820-2023 karta.png", "A 49820-2023")</f>
        <v/>
      </c>
      <c r="Y131">
        <f>HYPERLINK("https://klasma.github.io/Logging_0482/kartor_geotiff/A 49820-2023 georefererad karta.tif", "A 49820-2023")</f>
        <v/>
      </c>
      <c r="AA131">
        <f>HYPERLINK("https://klasma.github.io/Logging_0482/klagomål/A 49820-2023 FSC-klagomål.docx", "A 49820-2023")</f>
        <v/>
      </c>
      <c r="AB131">
        <f>HYPERLINK("https://klasma.github.io/Logging_0482/klagomålsmail/A 49820-2023 FSC-klagomål mail.docx", "A 49820-2023")</f>
        <v/>
      </c>
      <c r="AC131">
        <f>HYPERLINK("https://klasma.github.io/Logging_0482/tillsyn/A 49820-2023 tillsynsbegäran.docx", "A 49820-2023")</f>
        <v/>
      </c>
      <c r="AD131">
        <f>HYPERLINK("https://klasma.github.io/Logging_0482/tillsynsmail/A 49820-2023 tillsynsbegäran mail.docx", "A 49820-2023")</f>
        <v/>
      </c>
    </row>
    <row r="132" ht="15" customHeight="1">
      <c r="A132" t="inlineStr">
        <is>
          <t>A 13858-2023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45007</v>
      </c>
      <c r="E132" s="1" t="n">
        <v>46237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Svedjenäva</t>
        </is>
      </c>
      <c r="W132">
        <f>HYPERLINK("https://klasma.github.io/Logging_0482/artfynd/A 13858-2023 artfynd.xlsx", "A 13858-2023")</f>
        <v/>
      </c>
      <c r="X132">
        <f>HYPERLINK("https://klasma.github.io/Logging_0482/kartor/A 13858-2023 karta.png", "A 13858-2023")</f>
        <v/>
      </c>
      <c r="Y132">
        <f>HYPERLINK("https://klasma.github.io/Logging_0482/kartor_geotiff/A 13858-2023 georefererad karta.tif", "A 13858-2023")</f>
        <v/>
      </c>
      <c r="AA132">
        <f>HYPERLINK("https://klasma.github.io/Logging_0482/klagomål/A 13858-2023 FSC-klagomål.docx", "A 13858-2023")</f>
        <v/>
      </c>
      <c r="AB132">
        <f>HYPERLINK("https://klasma.github.io/Logging_0482/klagomålsmail/A 13858-2023 FSC-klagomål mail.docx", "A 13858-2023")</f>
        <v/>
      </c>
      <c r="AC132">
        <f>HYPERLINK("https://klasma.github.io/Logging_0482/tillsyn/A 13858-2023 tillsynsbegäran.docx", "A 13858-2023")</f>
        <v/>
      </c>
      <c r="AD132">
        <f>HYPERLINK("https://klasma.github.io/Logging_0482/tillsynsmail/A 13858-2023 tillsynsbegäran mail.docx", "A 13858-2023")</f>
        <v/>
      </c>
    </row>
    <row r="133" ht="15" customHeight="1">
      <c r="A133" t="inlineStr">
        <is>
          <t>A 26310-2026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46237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HYPERLINK("https://klasma.github.io/Logging_0482/artfynd/A 26310-2026 artfynd.xlsx", "A 26310-2026")</f>
        <v/>
      </c>
      <c r="X133">
        <f>HYPERLINK("https://klasma.github.io/Logging_0482/kartor/A 26310-2026 karta.png", "A 26310-2026")</f>
        <v/>
      </c>
      <c r="Y133">
        <f>HYPERLINK("https://klasma.github.io/Logging_0482/kartor_geotiff/A 26310-2026 georefererad karta.tif", "A 26310-2026")</f>
        <v/>
      </c>
      <c r="AA133">
        <f>HYPERLINK("https://klasma.github.io/Logging_0482/klagomål/A 26310-2026 FSC-klagomål.docx", "A 26310-2026")</f>
        <v/>
      </c>
      <c r="AB133">
        <f>HYPERLINK("https://klasma.github.io/Logging_0482/klagomålsmail/A 26310-2026 FSC-klagomål mail.docx", "A 26310-2026")</f>
        <v/>
      </c>
      <c r="AC133">
        <f>HYPERLINK("https://klasma.github.io/Logging_0482/tillsyn/A 26310-2026 tillsynsbegäran.docx", "A 26310-2026")</f>
        <v/>
      </c>
      <c r="AD133">
        <f>HYPERLINK("https://klasma.github.io/Logging_0482/tillsynsmail/A 26310-2026 tillsynsbegäran mail.docx", "A 26310-2026")</f>
        <v/>
      </c>
      <c r="AE133">
        <f>HYPERLINK("https://klasma.github.io/Logging_0482/fåglar/A 26310-2026 prioriterade fågelarter.docx", "A 26310-2026")</f>
        <v/>
      </c>
    </row>
    <row r="134" ht="15" customHeight="1">
      <c r="A134" t="inlineStr">
        <is>
          <t>A 26052-2026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46237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HYPERLINK("https://klasma.github.io/Logging_0482/artfynd/A 26052-2026 artfynd.xlsx", "A 26052-2026")</f>
        <v/>
      </c>
      <c r="X134">
        <f>HYPERLINK("https://klasma.github.io/Logging_0482/kartor/A 26052-2026 karta.png", "A 26052-2026")</f>
        <v/>
      </c>
      <c r="Y134">
        <f>HYPERLINK("https://klasma.github.io/Logging_0482/kartor_geotiff/A 26052-2026 georefererad karta.tif", "A 26052-2026")</f>
        <v/>
      </c>
      <c r="AA134">
        <f>HYPERLINK("https://klasma.github.io/Logging_0482/klagomål/A 26052-2026 FSC-klagomål.docx", "A 26052-2026")</f>
        <v/>
      </c>
      <c r="AB134">
        <f>HYPERLINK("https://klasma.github.io/Logging_0482/klagomålsmail/A 26052-2026 FSC-klagomål mail.docx", "A 26052-2026")</f>
        <v/>
      </c>
      <c r="AC134">
        <f>HYPERLINK("https://klasma.github.io/Logging_0482/tillsyn/A 26052-2026 tillsynsbegäran.docx", "A 26052-2026")</f>
        <v/>
      </c>
      <c r="AD134">
        <f>HYPERLINK("https://klasma.github.io/Logging_0482/tillsynsmail/A 26052-2026 tillsynsbegäran mail.docx", "A 26052-2026")</f>
        <v/>
      </c>
    </row>
    <row r="135" ht="15" customHeight="1">
      <c r="A135" t="inlineStr">
        <is>
          <t>A 37283-2024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46237</v>
      </c>
      <c r="F135" t="inlineStr">
        <is>
          <t>SÖDERMANLANDS LÄN</t>
        </is>
      </c>
      <c r="G135" t="inlineStr">
        <is>
          <t>FLEN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37283-2024 artfynd.xlsx", "A 37283-2024")</f>
        <v/>
      </c>
      <c r="X135">
        <f>HYPERLINK("https://klasma.github.io/Logging_0482/kartor/A 37283-2024 karta.png", "A 37283-2024")</f>
        <v/>
      </c>
      <c r="Y135">
        <f>HYPERLINK("https://klasma.github.io/Logging_0482/kartor_geotiff/A 37283-2024 georefererad karta.tif", "A 37283-2024")</f>
        <v/>
      </c>
      <c r="AA135">
        <f>HYPERLINK("https://klasma.github.io/Logging_0482/klagomål/A 37283-2024 FSC-klagomål.docx", "A 37283-2024")</f>
        <v/>
      </c>
      <c r="AB135">
        <f>HYPERLINK("https://klasma.github.io/Logging_0482/klagomålsmail/A 37283-2024 FSC-klagomål mail.docx", "A 37283-2024")</f>
        <v/>
      </c>
      <c r="AC135">
        <f>HYPERLINK("https://klasma.github.io/Logging_0482/tillsyn/A 37283-2024 tillsynsbegäran.docx", "A 37283-2024")</f>
        <v/>
      </c>
      <c r="AD135">
        <f>HYPERLINK("https://klasma.github.io/Logging_0482/tillsynsmail/A 37283-2024 tillsynsbegäran mail.docx", "A 37283-2024")</f>
        <v/>
      </c>
    </row>
    <row r="136" ht="15" customHeight="1">
      <c r="A136" t="inlineStr">
        <is>
          <t>A 6714-2026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46237</v>
      </c>
      <c r="F136" t="inlineStr">
        <is>
          <t>SÖDERMANLANDS LÄN</t>
        </is>
      </c>
      <c r="G136" t="inlineStr">
        <is>
          <t>FLEN</t>
        </is>
      </c>
      <c r="I136" t="n">
        <v>4.6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6714-2026 artfynd.xlsx", "A 6714-2026")</f>
        <v/>
      </c>
      <c r="X136">
        <f>HYPERLINK("https://klasma.github.io/Logging_0482/kartor/A 6714-2026 karta.png", "A 6714-2026")</f>
        <v/>
      </c>
      <c r="Y136">
        <f>HYPERLINK("https://klasma.github.io/Logging_0482/kartor_geotiff/A 6714-2026 georefererad karta.tif", "A 6714-2026")</f>
        <v/>
      </c>
      <c r="AA136">
        <f>HYPERLINK("https://klasma.github.io/Logging_0482/klagomål/A 6714-2026 FSC-klagomål.docx", "A 6714-2026")</f>
        <v/>
      </c>
      <c r="AB136">
        <f>HYPERLINK("https://klasma.github.io/Logging_0482/klagomålsmail/A 6714-2026 FSC-klagomål mail.docx", "A 6714-2026")</f>
        <v/>
      </c>
      <c r="AC136">
        <f>HYPERLINK("https://klasma.github.io/Logging_0482/tillsyn/A 6714-2026 tillsynsbegäran.docx", "A 6714-2026")</f>
        <v/>
      </c>
      <c r="AD136">
        <f>HYPERLINK("https://klasma.github.io/Logging_0482/tillsynsmail/A 6714-2026 tillsynsbegäran mail.docx", "A 6714-2026")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46237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9446-2026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46237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0.8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HYPERLINK("https://klasma.github.io/Logging_0482/artfynd/A 9446-2026 artfynd.xlsx", "A 9446-2026")</f>
        <v/>
      </c>
      <c r="X138">
        <f>HYPERLINK("https://klasma.github.io/Logging_0482/kartor/A 9446-2026 karta.png", "A 9446-2026")</f>
        <v/>
      </c>
      <c r="Y138">
        <f>HYPERLINK("https://klasma.github.io/Logging_0482/kartor_geotiff/A 9446-2026 georefererad karta.tif", "A 9446-2026")</f>
        <v/>
      </c>
      <c r="AA138">
        <f>HYPERLINK("https://klasma.github.io/Logging_0482/klagomål/A 9446-2026 FSC-klagomål.docx", "A 9446-2026")</f>
        <v/>
      </c>
      <c r="AB138">
        <f>HYPERLINK("https://klasma.github.io/Logging_0482/klagomålsmail/A 9446-2026 FSC-klagomål mail.docx", "A 9446-2026")</f>
        <v/>
      </c>
      <c r="AC138">
        <f>HYPERLINK("https://klasma.github.io/Logging_0482/tillsyn/A 9446-2026 tillsynsbegäran.docx", "A 9446-2026")</f>
        <v/>
      </c>
      <c r="AD138">
        <f>HYPERLINK("https://klasma.github.io/Logging_0482/tillsynsmail/A 9446-2026 tillsynsbegäran mail.docx", "A 9446-2026")</f>
        <v/>
      </c>
    </row>
    <row r="139" ht="15" customHeight="1">
      <c r="A139" t="inlineStr">
        <is>
          <t>A 43008-2023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46237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Gullklöver</t>
        </is>
      </c>
      <c r="W139">
        <f>HYPERLINK("https://klasma.github.io/Logging_0482/artfynd/A 43008-2023 artfynd.xlsx", "A 43008-2023")</f>
        <v/>
      </c>
      <c r="X139">
        <f>HYPERLINK("https://klasma.github.io/Logging_0482/kartor/A 43008-2023 karta.png", "A 43008-2023")</f>
        <v/>
      </c>
      <c r="Y139">
        <f>HYPERLINK("https://klasma.github.io/Logging_0482/kartor_geotiff/A 43008-2023 georefererad karta.tif", "A 43008-2023")</f>
        <v/>
      </c>
      <c r="AA139">
        <f>HYPERLINK("https://klasma.github.io/Logging_0482/klagomål/A 43008-2023 FSC-klagomål.docx", "A 43008-2023")</f>
        <v/>
      </c>
      <c r="AB139">
        <f>HYPERLINK("https://klasma.github.io/Logging_0482/klagomålsmail/A 43008-2023 FSC-klagomål mail.docx", "A 43008-2023")</f>
        <v/>
      </c>
      <c r="AC139">
        <f>HYPERLINK("https://klasma.github.io/Logging_0482/tillsyn/A 43008-2023 tillsynsbegäran.docx", "A 43008-2023")</f>
        <v/>
      </c>
      <c r="AD139">
        <f>HYPERLINK("https://klasma.github.io/Logging_0482/tillsynsmail/A 43008-2023 tillsynsbegäran mail.docx", "A 43008-2023")</f>
        <v/>
      </c>
    </row>
    <row r="140" ht="15" customHeight="1">
      <c r="A140" t="inlineStr">
        <is>
          <t>A 45107-2023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46237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Brudborste</t>
        </is>
      </c>
      <c r="W140">
        <f>HYPERLINK("https://klasma.github.io/Logging_0482/artfynd/A 45107-2023 artfynd.xlsx", "A 45107-2023")</f>
        <v/>
      </c>
      <c r="X140">
        <f>HYPERLINK("https://klasma.github.io/Logging_0482/kartor/A 45107-2023 karta.png", "A 45107-2023")</f>
        <v/>
      </c>
      <c r="Y140">
        <f>HYPERLINK("https://klasma.github.io/Logging_0482/kartor_geotiff/A 45107-2023 georefererad karta.tif", "A 45107-2023")</f>
        <v/>
      </c>
      <c r="AA140">
        <f>HYPERLINK("https://klasma.github.io/Logging_0482/klagomål/A 45107-2023 FSC-klagomål.docx", "A 45107-2023")</f>
        <v/>
      </c>
      <c r="AB140">
        <f>HYPERLINK("https://klasma.github.io/Logging_0482/klagomålsmail/A 45107-2023 FSC-klagomål mail.docx", "A 45107-2023")</f>
        <v/>
      </c>
      <c r="AC140">
        <f>HYPERLINK("https://klasma.github.io/Logging_0482/tillsyn/A 45107-2023 tillsynsbegäran.docx", "A 45107-2023")</f>
        <v/>
      </c>
      <c r="AD140">
        <f>HYPERLINK("https://klasma.github.io/Logging_0482/tillsynsmail/A 45107-2023 tillsynsbegäran mail.docx", "A 45107-2023")</f>
        <v/>
      </c>
    </row>
    <row r="141" ht="15" customHeight="1">
      <c r="A141" t="inlineStr">
        <is>
          <t>A 10999-2026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46237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HYPERLINK("https://klasma.github.io/Logging_0482/artfynd/A 10999-2026 artfynd.xlsx", "A 10999-2026")</f>
        <v/>
      </c>
      <c r="X141">
        <f>HYPERLINK("https://klasma.github.io/Logging_0482/kartor/A 10999-2026 karta.png", "A 10999-2026")</f>
        <v/>
      </c>
      <c r="Y141">
        <f>HYPERLINK("https://klasma.github.io/Logging_0482/kartor_geotiff/A 10999-2026 georefererad karta.tif", "A 10999-2026")</f>
        <v/>
      </c>
      <c r="AA141">
        <f>HYPERLINK("https://klasma.github.io/Logging_0482/klagomål/A 10999-2026 FSC-klagomål.docx", "A 10999-2026")</f>
        <v/>
      </c>
      <c r="AB141">
        <f>HYPERLINK("https://klasma.github.io/Logging_0482/klagomålsmail/A 10999-2026 FSC-klagomål mail.docx", "A 10999-2026")</f>
        <v/>
      </c>
      <c r="AC141">
        <f>HYPERLINK("https://klasma.github.io/Logging_0482/tillsyn/A 10999-2026 tillsynsbegäran.docx", "A 10999-2026")</f>
        <v/>
      </c>
      <c r="AD141">
        <f>HYPERLINK("https://klasma.github.io/Logging_0482/tillsynsmail/A 10999-2026 tillsynsbegäran mail.docx", "A 10999-2026")</f>
        <v/>
      </c>
    </row>
    <row r="142" ht="15" customHeight="1">
      <c r="A142" t="inlineStr">
        <is>
          <t>A 1242-2022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44572</v>
      </c>
      <c r="E142" s="1" t="n">
        <v>46237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9.300000000000001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Slåtterfibbla</t>
        </is>
      </c>
      <c r="W142">
        <f>HYPERLINK("https://klasma.github.io/Logging_0482/artfynd/A 1242-2022 artfynd.xlsx", "A 1242-2022")</f>
        <v/>
      </c>
      <c r="X142">
        <f>HYPERLINK("https://klasma.github.io/Logging_0482/kartor/A 1242-2022 karta.png", "A 1242-2022")</f>
        <v/>
      </c>
      <c r="Y142">
        <f>HYPERLINK("https://klasma.github.io/Logging_0482/kartor_geotiff/A 1242-2022 georefererad karta.tif", "A 1242-2022")</f>
        <v/>
      </c>
      <c r="AA142">
        <f>HYPERLINK("https://klasma.github.io/Logging_0482/klagomål/A 1242-2022 FSC-klagomål.docx", "A 1242-2022")</f>
        <v/>
      </c>
      <c r="AB142">
        <f>HYPERLINK("https://klasma.github.io/Logging_0482/klagomålsmail/A 1242-2022 FSC-klagomål mail.docx", "A 1242-2022")</f>
        <v/>
      </c>
      <c r="AC142">
        <f>HYPERLINK("https://klasma.github.io/Logging_0482/tillsyn/A 1242-2022 tillsynsbegäran.docx", "A 1242-2022")</f>
        <v/>
      </c>
      <c r="AD142">
        <f>HYPERLINK("https://klasma.github.io/Logging_0482/tillsynsmail/A 1242-2022 tillsynsbegäran mail.docx", "A 1242-2022")</f>
        <v/>
      </c>
    </row>
    <row r="143" ht="15" customHeight="1">
      <c r="A143" t="inlineStr">
        <is>
          <t>A 37317-2023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46237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5.1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Svavelriska</t>
        </is>
      </c>
      <c r="W143">
        <f>HYPERLINK("https://klasma.github.io/Logging_0482/artfynd/A 37317-2023 artfynd.xlsx", "A 37317-2023")</f>
        <v/>
      </c>
      <c r="X143">
        <f>HYPERLINK("https://klasma.github.io/Logging_0482/kartor/A 37317-2023 karta.png", "A 37317-2023")</f>
        <v/>
      </c>
      <c r="Y143">
        <f>HYPERLINK("https://klasma.github.io/Logging_0482/kartor_geotiff/A 37317-2023 georefererad karta.tif", "A 37317-2023")</f>
        <v/>
      </c>
      <c r="AA143">
        <f>HYPERLINK("https://klasma.github.io/Logging_0482/klagomål/A 37317-2023 FSC-klagomål.docx", "A 37317-2023")</f>
        <v/>
      </c>
      <c r="AB143">
        <f>HYPERLINK("https://klasma.github.io/Logging_0482/klagomålsmail/A 37317-2023 FSC-klagomål mail.docx", "A 37317-2023")</f>
        <v/>
      </c>
      <c r="AC143">
        <f>HYPERLINK("https://klasma.github.io/Logging_0482/tillsyn/A 37317-2023 tillsynsbegäran.docx", "A 37317-2023")</f>
        <v/>
      </c>
      <c r="AD143">
        <f>HYPERLINK("https://klasma.github.io/Logging_0482/tillsynsmail/A 37317-2023 tillsynsbegäran mail.docx", "A 37317-2023")</f>
        <v/>
      </c>
    </row>
    <row r="144" ht="15" customHeight="1">
      <c r="A144" t="inlineStr">
        <is>
          <t>A 12371-2022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44637</v>
      </c>
      <c r="E144" s="1" t="n">
        <v>46237</v>
      </c>
      <c r="F144" t="inlineStr">
        <is>
          <t>SÖDERMANLANDS LÄN</t>
        </is>
      </c>
      <c r="G144" t="inlineStr">
        <is>
          <t>FLEN</t>
        </is>
      </c>
      <c r="H144" t="inlineStr">
        <is>
          <t>Kommuner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12371-2022 artfynd.xlsx", "A 12371-2022")</f>
        <v/>
      </c>
      <c r="X144">
        <f>HYPERLINK("https://klasma.github.io/Logging_0482/kartor/A 12371-2022 karta.png", "A 12371-2022")</f>
        <v/>
      </c>
      <c r="Y144">
        <f>HYPERLINK("https://klasma.github.io/Logging_0482/kartor_geotiff/A 12371-2022 georefererad karta.tif", "A 12371-2022")</f>
        <v/>
      </c>
      <c r="AA144">
        <f>HYPERLINK("https://klasma.github.io/Logging_0482/klagomål/A 12371-2022 FSC-klagomål.docx", "A 12371-2022")</f>
        <v/>
      </c>
      <c r="AB144">
        <f>HYPERLINK("https://klasma.github.io/Logging_0482/klagomålsmail/A 12371-2022 FSC-klagomål mail.docx", "A 12371-2022")</f>
        <v/>
      </c>
      <c r="AC144">
        <f>HYPERLINK("https://klasma.github.io/Logging_0482/tillsyn/A 12371-2022 tillsynsbegäran.docx", "A 12371-2022")</f>
        <v/>
      </c>
      <c r="AD144">
        <f>HYPERLINK("https://klasma.github.io/Logging_0482/tillsynsmail/A 12371-2022 tillsynsbegäran mail.docx", "A 12371-2022")</f>
        <v/>
      </c>
    </row>
    <row r="145" ht="15" customHeight="1">
      <c r="A145" t="inlineStr">
        <is>
          <t>A 14113-2025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46237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3.6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14113-2025 artfynd.xlsx", "A 14113-2025")</f>
        <v/>
      </c>
      <c r="X145">
        <f>HYPERLINK("https://klasma.github.io/Logging_0482/kartor/A 14113-2025 karta.png", "A 14113-2025")</f>
        <v/>
      </c>
      <c r="Y145">
        <f>HYPERLINK("https://klasma.github.io/Logging_0482/kartor_geotiff/A 14113-2025 georefererad karta.tif", "A 14113-2025")</f>
        <v/>
      </c>
      <c r="AA145">
        <f>HYPERLINK("https://klasma.github.io/Logging_0482/klagomål/A 14113-2025 FSC-klagomål.docx", "A 14113-2025")</f>
        <v/>
      </c>
      <c r="AB145">
        <f>HYPERLINK("https://klasma.github.io/Logging_0482/klagomålsmail/A 14113-2025 FSC-klagomål mail.docx", "A 14113-2025")</f>
        <v/>
      </c>
      <c r="AC145">
        <f>HYPERLINK("https://klasma.github.io/Logging_0482/tillsyn/A 14113-2025 tillsynsbegäran.docx", "A 14113-2025")</f>
        <v/>
      </c>
      <c r="AD145">
        <f>HYPERLINK("https://klasma.github.io/Logging_0482/tillsynsmail/A 14113-2025 tillsynsbegäran mail.docx", "A 14113-2025")</f>
        <v/>
      </c>
    </row>
    <row r="146" ht="15" customHeight="1">
      <c r="A146" t="inlineStr">
        <is>
          <t>A 39036-2023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46237</v>
      </c>
      <c r="F146" t="inlineStr">
        <is>
          <t>SÖDERMANLANDS LÄN</t>
        </is>
      </c>
      <c r="G146" t="inlineStr">
        <is>
          <t>FLEN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Igelkott</t>
        </is>
      </c>
      <c r="W146">
        <f>HYPERLINK("https://klasma.github.io/Logging_0482/artfynd/A 39036-2023 artfynd.xlsx", "A 39036-2023")</f>
        <v/>
      </c>
      <c r="X146">
        <f>HYPERLINK("https://klasma.github.io/Logging_0482/kartor/A 39036-2023 karta.png", "A 39036-2023")</f>
        <v/>
      </c>
      <c r="Y146">
        <f>HYPERLINK("https://klasma.github.io/Logging_0482/kartor_geotiff/A 39036-2023 georefererad karta.tif", "A 39036-2023")</f>
        <v/>
      </c>
      <c r="AA146">
        <f>HYPERLINK("https://klasma.github.io/Logging_0482/klagomål/A 39036-2023 FSC-klagomål.docx", "A 39036-2023")</f>
        <v/>
      </c>
      <c r="AB146">
        <f>HYPERLINK("https://klasma.github.io/Logging_0482/klagomålsmail/A 39036-2023 FSC-klagomål mail.docx", "A 39036-2023")</f>
        <v/>
      </c>
      <c r="AC146">
        <f>HYPERLINK("https://klasma.github.io/Logging_0482/tillsyn/A 39036-2023 tillsynsbegäran.docx", "A 39036-2023")</f>
        <v/>
      </c>
      <c r="AD146">
        <f>HYPERLINK("https://klasma.github.io/Logging_0482/tillsynsmail/A 39036-2023 tillsynsbegäran mail.docx", "A 39036-2023")</f>
        <v/>
      </c>
    </row>
    <row r="147" ht="15" customHeight="1">
      <c r="A147" t="inlineStr">
        <is>
          <t>A 31427-2022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44774</v>
      </c>
      <c r="E147" s="1" t="n">
        <v>46237</v>
      </c>
      <c r="F147" t="inlineStr">
        <is>
          <t>SÖDERMANLANDS LÄN</t>
        </is>
      </c>
      <c r="G147" t="inlineStr">
        <is>
          <t>FLEN</t>
        </is>
      </c>
      <c r="I147" t="n">
        <v>3.7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Älg</t>
        </is>
      </c>
      <c r="W147">
        <f>HYPERLINK("https://klasma.github.io/Logging_0482/artfynd/A 31427-2022 artfynd.xlsx", "A 31427-2022")</f>
        <v/>
      </c>
      <c r="X147">
        <f>HYPERLINK("https://klasma.github.io/Logging_0482/kartor/A 31427-2022 karta.png", "A 31427-2022")</f>
        <v/>
      </c>
      <c r="Y147">
        <f>HYPERLINK("https://klasma.github.io/Logging_0482/kartor_geotiff/A 31427-2022 georefererad karta.tif", "A 31427-2022")</f>
        <v/>
      </c>
      <c r="AA147">
        <f>HYPERLINK("https://klasma.github.io/Logging_0482/klagomål/A 31427-2022 FSC-klagomål.docx", "A 31427-2022")</f>
        <v/>
      </c>
      <c r="AB147">
        <f>HYPERLINK("https://klasma.github.io/Logging_0482/klagomålsmail/A 31427-2022 FSC-klagomål mail.docx", "A 31427-2022")</f>
        <v/>
      </c>
      <c r="AC147">
        <f>HYPERLINK("https://klasma.github.io/Logging_0482/tillsyn/A 31427-2022 tillsynsbegäran.docx", "A 31427-2022")</f>
        <v/>
      </c>
      <c r="AD147">
        <f>HYPERLINK("https://klasma.github.io/Logging_0482/tillsynsmail/A 31427-2022 tillsynsbegäran mail.docx", "A 31427-2022")</f>
        <v/>
      </c>
    </row>
    <row r="148" ht="15" customHeight="1">
      <c r="A148" t="inlineStr">
        <is>
          <t>A 47756-2022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44854</v>
      </c>
      <c r="E148" s="1" t="n">
        <v>46237</v>
      </c>
      <c r="F148" t="inlineStr">
        <is>
          <t>SÖDERMANLANDS LÄN</t>
        </is>
      </c>
      <c r="G148" t="inlineStr">
        <is>
          <t>FLEN</t>
        </is>
      </c>
      <c r="I148" t="n">
        <v>2.4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Svinrot</t>
        </is>
      </c>
      <c r="W148">
        <f>HYPERLINK("https://klasma.github.io/Logging_0482/artfynd/A 47756-2022 artfynd.xlsx", "A 47756-2022")</f>
        <v/>
      </c>
      <c r="X148">
        <f>HYPERLINK("https://klasma.github.io/Logging_0482/kartor/A 47756-2022 karta.png", "A 47756-2022")</f>
        <v/>
      </c>
      <c r="Y148">
        <f>HYPERLINK("https://klasma.github.io/Logging_0482/kartor_geotiff/A 47756-2022 georefererad karta.tif", "A 47756-2022")</f>
        <v/>
      </c>
      <c r="AA148">
        <f>HYPERLINK("https://klasma.github.io/Logging_0482/klagomål/A 47756-2022 FSC-klagomål.docx", "A 47756-2022")</f>
        <v/>
      </c>
      <c r="AB148">
        <f>HYPERLINK("https://klasma.github.io/Logging_0482/klagomålsmail/A 47756-2022 FSC-klagomål mail.docx", "A 47756-2022")</f>
        <v/>
      </c>
      <c r="AC148">
        <f>HYPERLINK("https://klasma.github.io/Logging_0482/tillsyn/A 47756-2022 tillsynsbegäran.docx", "A 47756-2022")</f>
        <v/>
      </c>
      <c r="AD148">
        <f>HYPERLINK("https://klasma.github.io/Logging_0482/tillsynsmail/A 47756-2022 tillsynsbegäran mail.docx", "A 47756-2022")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46237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56308-2024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46237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56308-2024 artfynd.xlsx", "A 56308-2024")</f>
        <v/>
      </c>
      <c r="X150">
        <f>HYPERLINK("https://klasma.github.io/Logging_0482/kartor/A 56308-2024 karta.png", "A 56308-2024")</f>
        <v/>
      </c>
      <c r="Y150">
        <f>HYPERLINK("https://klasma.github.io/Logging_0482/kartor_geotiff/A 56308-2024 georefererad karta.tif", "A 56308-2024")</f>
        <v/>
      </c>
      <c r="AA150">
        <f>HYPERLINK("https://klasma.github.io/Logging_0482/klagomål/A 56308-2024 FSC-klagomål.docx", "A 56308-2024")</f>
        <v/>
      </c>
      <c r="AB150">
        <f>HYPERLINK("https://klasma.github.io/Logging_0482/klagomålsmail/A 56308-2024 FSC-klagomål mail.docx", "A 56308-2024")</f>
        <v/>
      </c>
      <c r="AC150">
        <f>HYPERLINK("https://klasma.github.io/Logging_0482/tillsyn/A 56308-2024 tillsynsbegäran.docx", "A 56308-2024")</f>
        <v/>
      </c>
      <c r="AD150">
        <f>HYPERLINK("https://klasma.github.io/Logging_0482/tillsynsmail/A 56308-2024 tillsynsbegäran mail.docx", "A 56308-2024")</f>
        <v/>
      </c>
    </row>
    <row r="151" ht="15" customHeight="1">
      <c r="A151" t="inlineStr">
        <is>
          <t>A 6982-2024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46237</v>
      </c>
      <c r="F151" t="inlineStr">
        <is>
          <t>SÖDERMANLANDS LÄN</t>
        </is>
      </c>
      <c r="G151" t="inlineStr">
        <is>
          <t>FLEN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Fläcknycklar</t>
        </is>
      </c>
      <c r="W151">
        <f>HYPERLINK("https://klasma.github.io/Logging_0482/artfynd/A 6982-2024 artfynd.xlsx", "A 6982-2024")</f>
        <v/>
      </c>
      <c r="X151">
        <f>HYPERLINK("https://klasma.github.io/Logging_0482/kartor/A 6982-2024 karta.png", "A 6982-2024")</f>
        <v/>
      </c>
      <c r="Y151">
        <f>HYPERLINK("https://klasma.github.io/Logging_0482/kartor_geotiff/A 6982-2024 georefererad karta.tif", "A 6982-2024")</f>
        <v/>
      </c>
      <c r="AA151">
        <f>HYPERLINK("https://klasma.github.io/Logging_0482/klagomål/A 6982-2024 FSC-klagomål.docx", "A 6982-2024")</f>
        <v/>
      </c>
      <c r="AB151">
        <f>HYPERLINK("https://klasma.github.io/Logging_0482/klagomålsmail/A 6982-2024 FSC-klagomål mail.docx", "A 6982-2024")</f>
        <v/>
      </c>
      <c r="AC151">
        <f>HYPERLINK("https://klasma.github.io/Logging_0482/tillsyn/A 6982-2024 tillsynsbegäran.docx", "A 6982-2024")</f>
        <v/>
      </c>
      <c r="AD151">
        <f>HYPERLINK("https://klasma.github.io/Logging_0482/tillsynsmail/A 6982-2024 tillsynsbegäran mail.docx", "A 6982-2024")</f>
        <v/>
      </c>
    </row>
    <row r="152" ht="15" customHeight="1">
      <c r="A152" t="inlineStr">
        <is>
          <t>A 53339-2023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46237</v>
      </c>
      <c r="F152" t="inlineStr">
        <is>
          <t>SÖDERMANLANDS LÄN</t>
        </is>
      </c>
      <c r="G152" t="inlineStr">
        <is>
          <t>FLEN</t>
        </is>
      </c>
      <c r="I152" t="n">
        <v>1.1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Blåsippa</t>
        </is>
      </c>
      <c r="W152">
        <f>HYPERLINK("https://klasma.github.io/Logging_0482/artfynd/A 53339-2023 artfynd.xlsx", "A 53339-2023")</f>
        <v/>
      </c>
      <c r="X152">
        <f>HYPERLINK("https://klasma.github.io/Logging_0482/kartor/A 53339-2023 karta.png", "A 53339-2023")</f>
        <v/>
      </c>
      <c r="Y152">
        <f>HYPERLINK("https://klasma.github.io/Logging_0482/kartor_geotiff/A 53339-2023 georefererad karta.tif", "A 53339-2023")</f>
        <v/>
      </c>
      <c r="AA152">
        <f>HYPERLINK("https://klasma.github.io/Logging_0482/klagomål/A 53339-2023 FSC-klagomål.docx", "A 53339-2023")</f>
        <v/>
      </c>
      <c r="AB152">
        <f>HYPERLINK("https://klasma.github.io/Logging_0482/klagomålsmail/A 53339-2023 FSC-klagomål mail.docx", "A 53339-2023")</f>
        <v/>
      </c>
      <c r="AC152">
        <f>HYPERLINK("https://klasma.github.io/Logging_0482/tillsyn/A 53339-2023 tillsynsbegäran.docx", "A 53339-2023")</f>
        <v/>
      </c>
      <c r="AD152">
        <f>HYPERLINK("https://klasma.github.io/Logging_0482/tillsynsmail/A 53339-2023 tillsynsbegäran mail.docx", "A 53339-2023")</f>
        <v/>
      </c>
    </row>
    <row r="153" ht="15" customHeight="1">
      <c r="A153" t="inlineStr">
        <is>
          <t>A 62223-2021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46237</v>
      </c>
      <c r="F153" t="inlineStr">
        <is>
          <t>SÖDERMANLANDS LÄN</t>
        </is>
      </c>
      <c r="G153" t="inlineStr">
        <is>
          <t>FLEN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39513-2021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44414</v>
      </c>
      <c r="E154" s="1" t="n">
        <v>46237</v>
      </c>
      <c r="F154" t="inlineStr">
        <is>
          <t>SÖDERMANLANDS LÄN</t>
        </is>
      </c>
      <c r="G154" t="inlineStr">
        <is>
          <t>FLEN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46237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46237</v>
      </c>
      <c r="F156" t="inlineStr">
        <is>
          <t>SÖDERMANLANDS LÄN</t>
        </is>
      </c>
      <c r="G156" t="inlineStr">
        <is>
          <t>FLEN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44458</v>
      </c>
      <c r="E157" s="1" t="n">
        <v>46237</v>
      </c>
      <c r="F157" t="inlineStr">
        <is>
          <t>SÖDERMANLANDS LÄN</t>
        </is>
      </c>
      <c r="G157" t="inlineStr">
        <is>
          <t>FLEN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46237</v>
      </c>
      <c r="F158" t="inlineStr">
        <is>
          <t>SÖDERMANLANDS LÄN</t>
        </is>
      </c>
      <c r="G158" t="inlineStr">
        <is>
          <t>FLEN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44411</v>
      </c>
      <c r="E159" s="1" t="n">
        <v>46237</v>
      </c>
      <c r="F159" t="inlineStr">
        <is>
          <t>SÖDERMANLANDS LÄN</t>
        </is>
      </c>
      <c r="G159" t="inlineStr">
        <is>
          <t>FLEN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46237</v>
      </c>
      <c r="F160" t="inlineStr">
        <is>
          <t>SÖDERMANLANDS LÄN</t>
        </is>
      </c>
      <c r="G160" t="inlineStr">
        <is>
          <t>FLEN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70215-2021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44535</v>
      </c>
      <c r="E161" s="1" t="n">
        <v>46237</v>
      </c>
      <c r="F161" t="inlineStr">
        <is>
          <t>SÖDERMANLANDS LÄN</t>
        </is>
      </c>
      <c r="G161" t="inlineStr">
        <is>
          <t>FLEN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46237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46237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46237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46237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46237</v>
      </c>
      <c r="F166" t="inlineStr">
        <is>
          <t>SÖDERMANLANDS LÄN</t>
        </is>
      </c>
      <c r="G166" t="inlineStr">
        <is>
          <t>FLEN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46237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46237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44752</v>
      </c>
      <c r="E169" s="1" t="n">
        <v>46237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46237</v>
      </c>
      <c r="F170" t="inlineStr">
        <is>
          <t>SÖDERMANLANDS LÄN</t>
        </is>
      </c>
      <c r="G170" t="inlineStr">
        <is>
          <t>FLEN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46237</v>
      </c>
      <c r="F171" t="inlineStr">
        <is>
          <t>SÖDERMANLANDS LÄN</t>
        </is>
      </c>
      <c r="G171" t="inlineStr">
        <is>
          <t>FLEN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46237</v>
      </c>
      <c r="F172" t="inlineStr">
        <is>
          <t>SÖDERMANLANDS LÄN</t>
        </is>
      </c>
      <c r="G172" t="inlineStr">
        <is>
          <t>FLEN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44745</v>
      </c>
      <c r="E173" s="1" t="n">
        <v>46237</v>
      </c>
      <c r="F173" t="inlineStr">
        <is>
          <t>SÖDERMANLANDS LÄN</t>
        </is>
      </c>
      <c r="G173" t="inlineStr">
        <is>
          <t>FLEN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46237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46237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46237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46237</v>
      </c>
      <c r="F177" t="inlineStr">
        <is>
          <t>SÖDERMANLANDS LÄN</t>
        </is>
      </c>
      <c r="G177" t="inlineStr">
        <is>
          <t>FLEN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44807</v>
      </c>
      <c r="E178" s="1" t="n">
        <v>46237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46237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46237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41658-2021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44425</v>
      </c>
      <c r="E181" s="1" t="n">
        <v>46237</v>
      </c>
      <c r="F181" t="inlineStr">
        <is>
          <t>SÖDERMANLANDS LÄN</t>
        </is>
      </c>
      <c r="G181" t="inlineStr">
        <is>
          <t>FLEN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46237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46237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46237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48166-2021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44449</v>
      </c>
      <c r="E185" s="1" t="n">
        <v>46237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46237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46237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46237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46237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46237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46237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46237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46237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44643</v>
      </c>
      <c r="E194" s="1" t="n">
        <v>46237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46237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46237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46237</v>
      </c>
      <c r="F197" t="inlineStr">
        <is>
          <t>SÖDERMANLANDS LÄN</t>
        </is>
      </c>
      <c r="G197" t="inlineStr">
        <is>
          <t>FLEN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46237</v>
      </c>
      <c r="F198" t="inlineStr">
        <is>
          <t>SÖDERMANLANDS LÄN</t>
        </is>
      </c>
      <c r="G198" t="inlineStr">
        <is>
          <t>FLEN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46237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46237</v>
      </c>
      <c r="F200" t="inlineStr">
        <is>
          <t>SÖDERMANLANDS LÄN</t>
        </is>
      </c>
      <c r="G200" t="inlineStr">
        <is>
          <t>FLEN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44854</v>
      </c>
      <c r="E201" s="1" t="n">
        <v>46237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46237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44450</v>
      </c>
      <c r="E203" s="1" t="n">
        <v>46237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46237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46237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44433</v>
      </c>
      <c r="E206" s="1" t="n">
        <v>46237</v>
      </c>
      <c r="F206" t="inlineStr">
        <is>
          <t>SÖDERMANLANDS LÄN</t>
        </is>
      </c>
      <c r="G206" t="inlineStr">
        <is>
          <t>FLEN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46237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46237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45256</v>
      </c>
      <c r="E209" s="1" t="n">
        <v>46237</v>
      </c>
      <c r="F209" t="inlineStr">
        <is>
          <t>SÖDERMANLANDS LÄN</t>
        </is>
      </c>
      <c r="G209" t="inlineStr">
        <is>
          <t>FLEN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44566</v>
      </c>
      <c r="E210" s="1" t="n">
        <v>46237</v>
      </c>
      <c r="F210" t="inlineStr">
        <is>
          <t>SÖDERMANLANDS LÄN</t>
        </is>
      </c>
      <c r="G210" t="inlineStr">
        <is>
          <t>FLEN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46237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46237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45306</v>
      </c>
      <c r="E213" s="1" t="n">
        <v>46237</v>
      </c>
      <c r="F213" t="inlineStr">
        <is>
          <t>SÖDERMANLANDS LÄN</t>
        </is>
      </c>
      <c r="G213" t="inlineStr">
        <is>
          <t>FLEN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46237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46237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46237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44425</v>
      </c>
      <c r="E217" s="1" t="n">
        <v>46237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46237</v>
      </c>
      <c r="F218" t="inlineStr">
        <is>
          <t>SÖDERMANLANDS LÄN</t>
        </is>
      </c>
      <c r="G218" t="inlineStr">
        <is>
          <t>FLEN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44448</v>
      </c>
      <c r="E219" s="1" t="n">
        <v>46237</v>
      </c>
      <c r="F219" t="inlineStr">
        <is>
          <t>SÖDERMANLANDS LÄN</t>
        </is>
      </c>
      <c r="G219" t="inlineStr">
        <is>
          <t>FLEN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46237</v>
      </c>
      <c r="F220" t="inlineStr">
        <is>
          <t>SÖDERMANLANDS LÄN</t>
        </is>
      </c>
      <c r="G220" t="inlineStr">
        <is>
          <t>FLEN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46237</v>
      </c>
      <c r="F221" t="inlineStr">
        <is>
          <t>SÖDERMANLANDS LÄN</t>
        </is>
      </c>
      <c r="G221" t="inlineStr">
        <is>
          <t>FLEN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45468-2021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44440</v>
      </c>
      <c r="E222" s="1" t="n">
        <v>46237</v>
      </c>
      <c r="F222" t="inlineStr">
        <is>
          <t>SÖDERMANLANDS LÄN</t>
        </is>
      </c>
      <c r="G222" t="inlineStr">
        <is>
          <t>FLEN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44705</v>
      </c>
      <c r="E223" s="1" t="n">
        <v>46237</v>
      </c>
      <c r="F223" t="inlineStr">
        <is>
          <t>SÖDERMANLANDS LÄN</t>
        </is>
      </c>
      <c r="G223" t="inlineStr">
        <is>
          <t>FLEN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46237</v>
      </c>
      <c r="F224" t="inlineStr">
        <is>
          <t>SÖDERMANLANDS LÄN</t>
        </is>
      </c>
      <c r="G224" t="inlineStr">
        <is>
          <t>FLEN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39673-2022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46237</v>
      </c>
      <c r="F225" t="inlineStr">
        <is>
          <t>SÖDERMANLANDS LÄN</t>
        </is>
      </c>
      <c r="G225" t="inlineStr">
        <is>
          <t>FLEN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46237</v>
      </c>
      <c r="F226" t="inlineStr">
        <is>
          <t>SÖDERMANLANDS LÄN</t>
        </is>
      </c>
      <c r="G226" t="inlineStr">
        <is>
          <t>FLEN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46237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46237</v>
      </c>
      <c r="F228" t="inlineStr">
        <is>
          <t>SÖDERMANLANDS LÄN</t>
        </is>
      </c>
      <c r="G228" t="inlineStr">
        <is>
          <t>FLEN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46237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46237</v>
      </c>
      <c r="F230" t="inlineStr">
        <is>
          <t>SÖDERMANLANDS LÄN</t>
        </is>
      </c>
      <c r="G230" t="inlineStr">
        <is>
          <t>FLEN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45311</v>
      </c>
      <c r="E231" s="1" t="n">
        <v>46237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46237</v>
      </c>
      <c r="F232" t="inlineStr">
        <is>
          <t>SÖDERMANLANDS LÄN</t>
        </is>
      </c>
      <c r="G232" t="inlineStr">
        <is>
          <t>FLEN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46237</v>
      </c>
      <c r="F233" t="inlineStr">
        <is>
          <t>SÖDERMANLANDS LÄN</t>
        </is>
      </c>
      <c r="G233" t="inlineStr">
        <is>
          <t>FLEN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45176</v>
      </c>
      <c r="E234" s="1" t="n">
        <v>46237</v>
      </c>
      <c r="F234" t="inlineStr">
        <is>
          <t>SÖDERMANLANDS LÄN</t>
        </is>
      </c>
      <c r="G234" t="inlineStr">
        <is>
          <t>FLEN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27146-2022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44741</v>
      </c>
      <c r="E235" s="1" t="n">
        <v>46237</v>
      </c>
      <c r="F235" t="inlineStr">
        <is>
          <t>SÖDERMANLANDS LÄN</t>
        </is>
      </c>
      <c r="G235" t="inlineStr">
        <is>
          <t>FLEN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45228</v>
      </c>
      <c r="E236" s="1" t="n">
        <v>46237</v>
      </c>
      <c r="F236" t="inlineStr">
        <is>
          <t>SÖDERMANLANDS LÄN</t>
        </is>
      </c>
      <c r="G236" t="inlineStr">
        <is>
          <t>FLEN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66979-2021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44522</v>
      </c>
      <c r="E237" s="1" t="n">
        <v>46237</v>
      </c>
      <c r="F237" t="inlineStr">
        <is>
          <t>SÖDERMANLANDS LÄN</t>
        </is>
      </c>
      <c r="G237" t="inlineStr">
        <is>
          <t>FLEN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44862</v>
      </c>
      <c r="E238" s="1" t="n">
        <v>46237</v>
      </c>
      <c r="F238" t="inlineStr">
        <is>
          <t>SÖDERMANLANDS LÄN</t>
        </is>
      </c>
      <c r="G238" t="inlineStr">
        <is>
          <t>FLEN</t>
        </is>
      </c>
      <c r="H238" t="inlineStr">
        <is>
          <t>Kyrkan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46237</v>
      </c>
      <c r="F239" t="inlineStr">
        <is>
          <t>SÖDERMANLANDS LÄN</t>
        </is>
      </c>
      <c r="G239" t="inlineStr">
        <is>
          <t>FLEN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46237</v>
      </c>
      <c r="F240" t="inlineStr">
        <is>
          <t>SÖDERMANLANDS LÄN</t>
        </is>
      </c>
      <c r="G240" t="inlineStr">
        <is>
          <t>FLEN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46237</v>
      </c>
      <c r="F241" t="inlineStr">
        <is>
          <t>SÖDERMANLANDS LÄN</t>
        </is>
      </c>
      <c r="G241" t="inlineStr">
        <is>
          <t>FLEN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46237</v>
      </c>
      <c r="F242" t="inlineStr">
        <is>
          <t>SÖDERMANLANDS LÄN</t>
        </is>
      </c>
      <c r="G242" t="inlineStr">
        <is>
          <t>FLEN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46237</v>
      </c>
      <c r="F243" t="inlineStr">
        <is>
          <t>SÖDERMANLANDS LÄN</t>
        </is>
      </c>
      <c r="G243" t="inlineStr">
        <is>
          <t>FLEN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46237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46237</v>
      </c>
      <c r="F245" t="inlineStr">
        <is>
          <t>SÖDERMANLANDS LÄN</t>
        </is>
      </c>
      <c r="G245" t="inlineStr">
        <is>
          <t>FLEN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46237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46237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44449</v>
      </c>
      <c r="E248" s="1" t="n">
        <v>46237</v>
      </c>
      <c r="F248" t="inlineStr">
        <is>
          <t>SÖDERMANLANDS LÄN</t>
        </is>
      </c>
      <c r="G248" t="inlineStr">
        <is>
          <t>FLEN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46237</v>
      </c>
      <c r="F249" t="inlineStr">
        <is>
          <t>SÖDERMANLANDS LÄN</t>
        </is>
      </c>
      <c r="G249" t="inlineStr">
        <is>
          <t>FLEN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46237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46237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46237</v>
      </c>
      <c r="F252" t="inlineStr">
        <is>
          <t>SÖDERMANLANDS LÄN</t>
        </is>
      </c>
      <c r="G252" t="inlineStr">
        <is>
          <t>FLEN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44796</v>
      </c>
      <c r="E253" s="1" t="n">
        <v>46237</v>
      </c>
      <c r="F253" t="inlineStr">
        <is>
          <t>SÖDERMANLANDS LÄN</t>
        </is>
      </c>
      <c r="G253" t="inlineStr">
        <is>
          <t>FLEN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46237</v>
      </c>
      <c r="F254" t="inlineStr">
        <is>
          <t>SÖDERMANLANDS LÄN</t>
        </is>
      </c>
      <c r="G254" t="inlineStr">
        <is>
          <t>FLEN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44431</v>
      </c>
      <c r="E255" s="1" t="n">
        <v>46237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46237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45072</v>
      </c>
      <c r="E257" s="1" t="n">
        <v>46237</v>
      </c>
      <c r="F257" t="inlineStr">
        <is>
          <t>SÖDERMANLANDS LÄN</t>
        </is>
      </c>
      <c r="G257" t="inlineStr">
        <is>
          <t>FLEN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46237</v>
      </c>
      <c r="F258" t="inlineStr">
        <is>
          <t>SÖDERMANLANDS LÄN</t>
        </is>
      </c>
      <c r="G258" t="inlineStr">
        <is>
          <t>FLEN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46237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46237</v>
      </c>
      <c r="F260" t="inlineStr">
        <is>
          <t>SÖDERMANLANDS LÄN</t>
        </is>
      </c>
      <c r="G260" t="inlineStr">
        <is>
          <t>FLEN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44616</v>
      </c>
      <c r="E261" s="1" t="n">
        <v>46237</v>
      </c>
      <c r="F261" t="inlineStr">
        <is>
          <t>SÖDERMANLANDS LÄN</t>
        </is>
      </c>
      <c r="G261" t="inlineStr">
        <is>
          <t>FLEN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45014</v>
      </c>
      <c r="E262" s="1" t="n">
        <v>46237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44432</v>
      </c>
      <c r="E263" s="1" t="n">
        <v>46237</v>
      </c>
      <c r="F263" t="inlineStr">
        <is>
          <t>SÖDERMANLANDS LÄN</t>
        </is>
      </c>
      <c r="G263" t="inlineStr">
        <is>
          <t>FLEN</t>
        </is>
      </c>
      <c r="I263" t="n">
        <v>14.4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46237</v>
      </c>
      <c r="F264" t="inlineStr">
        <is>
          <t>SÖDERMANLANDS LÄN</t>
        </is>
      </c>
      <c r="G264" t="inlineStr">
        <is>
          <t>FLEN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46237</v>
      </c>
      <c r="F265" t="inlineStr">
        <is>
          <t>SÖDERMANLANDS LÄN</t>
        </is>
      </c>
      <c r="G265" t="inlineStr">
        <is>
          <t>FLEN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44958</v>
      </c>
      <c r="E266" s="1" t="n">
        <v>46237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65869-2021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44517</v>
      </c>
      <c r="E267" s="1" t="n">
        <v>46237</v>
      </c>
      <c r="F267" t="inlineStr">
        <is>
          <t>SÖDERMANLANDS LÄN</t>
        </is>
      </c>
      <c r="G267" t="inlineStr">
        <is>
          <t>FLEN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45322</v>
      </c>
      <c r="E268" s="1" t="n">
        <v>46237</v>
      </c>
      <c r="F268" t="inlineStr">
        <is>
          <t>SÖDERMANLANDS LÄN</t>
        </is>
      </c>
      <c r="G268" t="inlineStr">
        <is>
          <t>FLEN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46237</v>
      </c>
      <c r="F269" t="inlineStr">
        <is>
          <t>SÖDERMANLANDS LÄN</t>
        </is>
      </c>
      <c r="G269" t="inlineStr">
        <is>
          <t>FLEN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46237</v>
      </c>
      <c r="F270" t="inlineStr">
        <is>
          <t>SÖDERMANLANDS LÄN</t>
        </is>
      </c>
      <c r="G270" t="inlineStr">
        <is>
          <t>FLEN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46237</v>
      </c>
      <c r="F271" t="inlineStr">
        <is>
          <t>SÖDERMANLANDS LÄN</t>
        </is>
      </c>
      <c r="G271" t="inlineStr">
        <is>
          <t>FLEN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29148-2024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45482</v>
      </c>
      <c r="E272" s="1" t="n">
        <v>46237</v>
      </c>
      <c r="F272" t="inlineStr">
        <is>
          <t>SÖDERMANLANDS LÄN</t>
        </is>
      </c>
      <c r="G272" t="inlineStr">
        <is>
          <t>FLEN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46237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45869</v>
      </c>
      <c r="E274" s="1" t="n">
        <v>46237</v>
      </c>
      <c r="F274" t="inlineStr">
        <is>
          <t>SÖDERMANLANDS LÄN</t>
        </is>
      </c>
      <c r="G274" t="inlineStr">
        <is>
          <t>FLEN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46237</v>
      </c>
      <c r="F275" t="inlineStr">
        <is>
          <t>SÖDERMANLANDS LÄN</t>
        </is>
      </c>
      <c r="G275" t="inlineStr">
        <is>
          <t>FLEN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46237</v>
      </c>
      <c r="F276" t="inlineStr">
        <is>
          <t>SÖDERMANLANDS LÄN</t>
        </is>
      </c>
      <c r="G276" t="inlineStr">
        <is>
          <t>FLEN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67464-2021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46237</v>
      </c>
      <c r="F277" t="inlineStr">
        <is>
          <t>SÖDERMANLANDS LÄN</t>
        </is>
      </c>
      <c r="G277" t="inlineStr">
        <is>
          <t>FLEN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45213</v>
      </c>
      <c r="E278" s="1" t="n">
        <v>46237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45718</v>
      </c>
      <c r="E279" s="1" t="n">
        <v>46237</v>
      </c>
      <c r="F279" t="inlineStr">
        <is>
          <t>SÖDERMANLANDS LÄN</t>
        </is>
      </c>
      <c r="G279" t="inlineStr">
        <is>
          <t>FLEN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59258-2022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46237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44448</v>
      </c>
      <c r="E281" s="1" t="n">
        <v>46237</v>
      </c>
      <c r="F281" t="inlineStr">
        <is>
          <t>SÖDERMANLANDS LÄN</t>
        </is>
      </c>
      <c r="G281" t="inlineStr">
        <is>
          <t>FLEN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46237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44986</v>
      </c>
      <c r="E283" s="1" t="n">
        <v>46237</v>
      </c>
      <c r="F283" t="inlineStr">
        <is>
          <t>SÖDERMANLANDS LÄN</t>
        </is>
      </c>
      <c r="G283" t="inlineStr">
        <is>
          <t>FLEN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46237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32023-2022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44778</v>
      </c>
      <c r="E285" s="1" t="n">
        <v>46237</v>
      </c>
      <c r="F285" t="inlineStr">
        <is>
          <t>SÖDERMANLANDS LÄN</t>
        </is>
      </c>
      <c r="G285" t="inlineStr">
        <is>
          <t>FLEN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46237</v>
      </c>
      <c r="F286" t="inlineStr">
        <is>
          <t>SÖDERMANLANDS LÄN</t>
        </is>
      </c>
      <c r="G286" t="inlineStr">
        <is>
          <t>FLEN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46237</v>
      </c>
      <c r="F287" t="inlineStr">
        <is>
          <t>SÖDERMANLANDS LÄN</t>
        </is>
      </c>
      <c r="G287" t="inlineStr">
        <is>
          <t>FLEN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46237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46237</v>
      </c>
      <c r="F289" t="inlineStr">
        <is>
          <t>SÖDERMANLANDS LÄN</t>
        </is>
      </c>
      <c r="G289" t="inlineStr">
        <is>
          <t>FLEN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46237</v>
      </c>
      <c r="F290" t="inlineStr">
        <is>
          <t>SÖDERMANLANDS LÄN</t>
        </is>
      </c>
      <c r="G290" t="inlineStr">
        <is>
          <t>FLEN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46237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46237</v>
      </c>
      <c r="F292" t="inlineStr">
        <is>
          <t>SÖDERMANLANDS LÄN</t>
        </is>
      </c>
      <c r="G292" t="inlineStr">
        <is>
          <t>FLEN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46237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46237</v>
      </c>
      <c r="F294" t="inlineStr">
        <is>
          <t>SÖDERMANLANDS LÄN</t>
        </is>
      </c>
      <c r="G294" t="inlineStr">
        <is>
          <t>FLEN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46237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45581</v>
      </c>
      <c r="E296" s="1" t="n">
        <v>46237</v>
      </c>
      <c r="F296" t="inlineStr">
        <is>
          <t>SÖDERMANLANDS LÄN</t>
        </is>
      </c>
      <c r="G296" t="inlineStr">
        <is>
          <t>FLEN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44761</v>
      </c>
      <c r="E297" s="1" t="n">
        <v>46237</v>
      </c>
      <c r="F297" t="inlineStr">
        <is>
          <t>SÖDERMANLANDS LÄN</t>
        </is>
      </c>
      <c r="G297" t="inlineStr">
        <is>
          <t>FLEN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46237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46237</v>
      </c>
      <c r="F299" t="inlineStr">
        <is>
          <t>SÖDERMANLANDS LÄN</t>
        </is>
      </c>
      <c r="G299" t="inlineStr">
        <is>
          <t>FLEN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46237</v>
      </c>
      <c r="F300" t="inlineStr">
        <is>
          <t>SÖDERMANLANDS LÄN</t>
        </is>
      </c>
      <c r="G300" t="inlineStr">
        <is>
          <t>FLEN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46237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46237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46237</v>
      </c>
      <c r="F303" t="inlineStr">
        <is>
          <t>SÖDERMANLANDS LÄN</t>
        </is>
      </c>
      <c r="G303" t="inlineStr">
        <is>
          <t>FLEN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46237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46237</v>
      </c>
      <c r="F305" t="inlineStr">
        <is>
          <t>SÖDERMANLANDS LÄN</t>
        </is>
      </c>
      <c r="G305" t="inlineStr">
        <is>
          <t>FLEN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44785</v>
      </c>
      <c r="E306" s="1" t="n">
        <v>46237</v>
      </c>
      <c r="F306" t="inlineStr">
        <is>
          <t>SÖDERMANLANDS LÄN</t>
        </is>
      </c>
      <c r="G306" t="inlineStr">
        <is>
          <t>FLEN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44648</v>
      </c>
      <c r="E307" s="1" t="n">
        <v>46237</v>
      </c>
      <c r="F307" t="inlineStr">
        <is>
          <t>SÖDERMANLANDS LÄN</t>
        </is>
      </c>
      <c r="G307" t="inlineStr">
        <is>
          <t>FLEN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44463</v>
      </c>
      <c r="E308" s="1" t="n">
        <v>46237</v>
      </c>
      <c r="F308" t="inlineStr">
        <is>
          <t>SÖDERMANLANDS LÄN</t>
        </is>
      </c>
      <c r="G308" t="inlineStr">
        <is>
          <t>FLEN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44979</v>
      </c>
      <c r="E309" s="1" t="n">
        <v>46237</v>
      </c>
      <c r="F309" t="inlineStr">
        <is>
          <t>SÖDERMANLANDS LÄN</t>
        </is>
      </c>
      <c r="G309" t="inlineStr">
        <is>
          <t>FLEN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40961-2021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44421</v>
      </c>
      <c r="E310" s="1" t="n">
        <v>46237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45056</v>
      </c>
      <c r="E311" s="1" t="n">
        <v>46237</v>
      </c>
      <c r="F311" t="inlineStr">
        <is>
          <t>SÖDERMANLANDS LÄN</t>
        </is>
      </c>
      <c r="G311" t="inlineStr">
        <is>
          <t>FLEN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45012</v>
      </c>
      <c r="E312" s="1" t="n">
        <v>46237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46237</v>
      </c>
      <c r="F313" t="inlineStr">
        <is>
          <t>SÖDERMANLANDS LÄN</t>
        </is>
      </c>
      <c r="G313" t="inlineStr">
        <is>
          <t>FLEN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46237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44739</v>
      </c>
      <c r="E315" s="1" t="n">
        <v>46237</v>
      </c>
      <c r="F315" t="inlineStr">
        <is>
          <t>SÖDERMANLANDS LÄN</t>
        </is>
      </c>
      <c r="G315" t="inlineStr">
        <is>
          <t>FLEN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46237</v>
      </c>
      <c r="F316" t="inlineStr">
        <is>
          <t>SÖDERMANLANDS LÄN</t>
        </is>
      </c>
      <c r="G316" t="inlineStr">
        <is>
          <t>FLEN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46237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45597</v>
      </c>
      <c r="E318" s="1" t="n">
        <v>46237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45632</v>
      </c>
      <c r="E319" s="1" t="n">
        <v>46237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44769</v>
      </c>
      <c r="E320" s="1" t="n">
        <v>46237</v>
      </c>
      <c r="F320" t="inlineStr">
        <is>
          <t>SÖDERMANLANDS LÄN</t>
        </is>
      </c>
      <c r="G320" t="inlineStr">
        <is>
          <t>FLEN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46237</v>
      </c>
      <c r="F321" t="inlineStr">
        <is>
          <t>SÖDERMANLANDS LÄN</t>
        </is>
      </c>
      <c r="G321" t="inlineStr">
        <is>
          <t>FLEN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46237</v>
      </c>
      <c r="F322" t="inlineStr">
        <is>
          <t>SÖDERMANLANDS LÄN</t>
        </is>
      </c>
      <c r="G322" t="inlineStr">
        <is>
          <t>FLEN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46237</v>
      </c>
      <c r="F323" t="inlineStr">
        <is>
          <t>SÖDERMANLANDS LÄN</t>
        </is>
      </c>
      <c r="G323" t="inlineStr">
        <is>
          <t>FLEN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54282-2025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45964</v>
      </c>
      <c r="E324" s="1" t="n">
        <v>46237</v>
      </c>
      <c r="F324" t="inlineStr">
        <is>
          <t>SÖDERMANLANDS LÄN</t>
        </is>
      </c>
      <c r="G324" t="inlineStr">
        <is>
          <t>FLEN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54283-2025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45964</v>
      </c>
      <c r="E325" s="1" t="n">
        <v>46237</v>
      </c>
      <c r="F325" t="inlineStr">
        <is>
          <t>SÖDERMANLANDS LÄN</t>
        </is>
      </c>
      <c r="G325" t="inlineStr">
        <is>
          <t>FLEN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45030</v>
      </c>
      <c r="E326" s="1" t="n">
        <v>46237</v>
      </c>
      <c r="F326" t="inlineStr">
        <is>
          <t>SÖDERMANLANDS LÄN</t>
        </is>
      </c>
      <c r="G326" t="inlineStr">
        <is>
          <t>FLEN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46237</v>
      </c>
      <c r="F327" t="inlineStr">
        <is>
          <t>SÖDERMANLANDS LÄN</t>
        </is>
      </c>
      <c r="G327" t="inlineStr">
        <is>
          <t>FLEN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46237</v>
      </c>
      <c r="F328" t="inlineStr">
        <is>
          <t>SÖDERMANLANDS LÄN</t>
        </is>
      </c>
      <c r="G328" t="inlineStr">
        <is>
          <t>FLEN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46237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52353-2023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45224</v>
      </c>
      <c r="E330" s="1" t="n">
        <v>46237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8.199999999999999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56573-2025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45974</v>
      </c>
      <c r="E331" s="1" t="n">
        <v>46237</v>
      </c>
      <c r="F331" t="inlineStr">
        <is>
          <t>SÖDERMANLANDS LÄN</t>
        </is>
      </c>
      <c r="G331" t="inlineStr">
        <is>
          <t>FLEN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44425</v>
      </c>
      <c r="E332" s="1" t="n">
        <v>46237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66867-2021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44522</v>
      </c>
      <c r="E333" s="1" t="n">
        <v>46237</v>
      </c>
      <c r="F333" t="inlineStr">
        <is>
          <t>SÖDERMANLANDS LÄN</t>
        </is>
      </c>
      <c r="G333" t="inlineStr">
        <is>
          <t>FLEN</t>
        </is>
      </c>
      <c r="H333" t="inlineStr">
        <is>
          <t>Kyrkan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46237</v>
      </c>
      <c r="F334" t="inlineStr">
        <is>
          <t>SÖDERMANLANDS LÄN</t>
        </is>
      </c>
      <c r="G334" t="inlineStr">
        <is>
          <t>FLEN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45048</v>
      </c>
      <c r="E335" s="1" t="n">
        <v>46237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46237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45007</v>
      </c>
      <c r="E337" s="1" t="n">
        <v>46237</v>
      </c>
      <c r="F337" t="inlineStr">
        <is>
          <t>SÖDERMANLANDS LÄN</t>
        </is>
      </c>
      <c r="G337" t="inlineStr">
        <is>
          <t>FLEN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45345</v>
      </c>
      <c r="E338" s="1" t="n">
        <v>46237</v>
      </c>
      <c r="F338" t="inlineStr">
        <is>
          <t>SÖDERMANLANDS LÄN</t>
        </is>
      </c>
      <c r="G338" t="inlineStr">
        <is>
          <t>FLEN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46237</v>
      </c>
      <c r="F339" t="inlineStr">
        <is>
          <t>SÖDERMANLANDS LÄN</t>
        </is>
      </c>
      <c r="G339" t="inlineStr">
        <is>
          <t>FLEN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44909</v>
      </c>
      <c r="E340" s="1" t="n">
        <v>46237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46237</v>
      </c>
      <c r="F341" t="inlineStr">
        <is>
          <t>SÖDERMANLANDS LÄN</t>
        </is>
      </c>
      <c r="G341" t="inlineStr">
        <is>
          <t>FLEN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46237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46237</v>
      </c>
      <c r="F343" t="inlineStr">
        <is>
          <t>SÖDERMANLANDS LÄN</t>
        </is>
      </c>
      <c r="G343" t="inlineStr">
        <is>
          <t>FLEN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46237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46237</v>
      </c>
      <c r="F345" t="inlineStr">
        <is>
          <t>SÖDERMANLANDS LÄN</t>
        </is>
      </c>
      <c r="G345" t="inlineStr">
        <is>
          <t>FLEN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51872-2022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46237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44848</v>
      </c>
      <c r="E347" s="1" t="n">
        <v>46237</v>
      </c>
      <c r="F347" t="inlineStr">
        <is>
          <t>SÖDERMANLANDS LÄN</t>
        </is>
      </c>
      <c r="G347" t="inlineStr">
        <is>
          <t>FLEN</t>
        </is>
      </c>
      <c r="H347" t="inlineStr">
        <is>
          <t>Övriga statliga verk och myndigheter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46237</v>
      </c>
      <c r="F348" t="inlineStr">
        <is>
          <t>SÖDERMANLANDS LÄN</t>
        </is>
      </c>
      <c r="G348" t="inlineStr">
        <is>
          <t>FLEN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59910-2025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46237</v>
      </c>
      <c r="F349" t="inlineStr">
        <is>
          <t>SÖDERMANLANDS LÄN</t>
        </is>
      </c>
      <c r="G349" t="inlineStr">
        <is>
          <t>FLEN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46237</v>
      </c>
      <c r="F350" t="inlineStr">
        <is>
          <t>SÖDERMANLANDS LÄN</t>
        </is>
      </c>
      <c r="G350" t="inlineStr">
        <is>
          <t>FLEN</t>
        </is>
      </c>
      <c r="H350" t="inlineStr">
        <is>
          <t>Kyrkan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46237</v>
      </c>
      <c r="F351" t="inlineStr">
        <is>
          <t>SÖDERMANLANDS LÄN</t>
        </is>
      </c>
      <c r="G351" t="inlineStr">
        <is>
          <t>FLEN</t>
        </is>
      </c>
      <c r="H351" t="inlineStr">
        <is>
          <t>Kyrkan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46237</v>
      </c>
      <c r="F352" t="inlineStr">
        <is>
          <t>SÖDERMANLANDS LÄN</t>
        </is>
      </c>
      <c r="G352" t="inlineStr">
        <is>
          <t>FLEN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46237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46237</v>
      </c>
      <c r="F354" t="inlineStr">
        <is>
          <t>SÖDERMANLANDS LÄN</t>
        </is>
      </c>
      <c r="G354" t="inlineStr">
        <is>
          <t>FLEN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60382-2025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46237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46237</v>
      </c>
      <c r="F356" t="inlineStr">
        <is>
          <t>SÖDERMANLANDS LÄN</t>
        </is>
      </c>
      <c r="G356" t="inlineStr">
        <is>
          <t>FLEN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46237</v>
      </c>
      <c r="F357" t="inlineStr">
        <is>
          <t>SÖDERMANLANDS LÄN</t>
        </is>
      </c>
      <c r="G357" t="inlineStr">
        <is>
          <t>FLEN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46237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44864</v>
      </c>
      <c r="E359" s="1" t="n">
        <v>46237</v>
      </c>
      <c r="F359" t="inlineStr">
        <is>
          <t>SÖDERMANLANDS LÄN</t>
        </is>
      </c>
      <c r="G359" t="inlineStr">
        <is>
          <t>FLEN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46237</v>
      </c>
      <c r="F360" t="inlineStr">
        <is>
          <t>SÖDERMANLANDS LÄN</t>
        </is>
      </c>
      <c r="G360" t="inlineStr">
        <is>
          <t>FLEN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46237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46237</v>
      </c>
      <c r="F362" t="inlineStr">
        <is>
          <t>SÖDERMANLANDS LÄN</t>
        </is>
      </c>
      <c r="G362" t="inlineStr">
        <is>
          <t>FLEN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46237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46237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46237</v>
      </c>
      <c r="F365" t="inlineStr">
        <is>
          <t>SÖDERMANLANDS LÄN</t>
        </is>
      </c>
      <c r="G365" t="inlineStr">
        <is>
          <t>FLEN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52692-2021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44466</v>
      </c>
      <c r="E366" s="1" t="n">
        <v>46237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46237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46237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46237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46237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46237</v>
      </c>
      <c r="F371" t="inlineStr">
        <is>
          <t>SÖDERMANLANDS LÄN</t>
        </is>
      </c>
      <c r="G371" t="inlineStr">
        <is>
          <t>FLEN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46237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46237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46237</v>
      </c>
      <c r="F374" t="inlineStr">
        <is>
          <t>SÖDERMANLANDS LÄN</t>
        </is>
      </c>
      <c r="G374" t="inlineStr">
        <is>
          <t>FLEN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46237</v>
      </c>
      <c r="F375" t="inlineStr">
        <is>
          <t>SÖDERMANLANDS LÄN</t>
        </is>
      </c>
      <c r="G375" t="inlineStr">
        <is>
          <t>FLEN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45034</v>
      </c>
      <c r="E376" s="1" t="n">
        <v>46237</v>
      </c>
      <c r="F376" t="inlineStr">
        <is>
          <t>SÖDERMANLANDS LÄN</t>
        </is>
      </c>
      <c r="G376" t="inlineStr">
        <is>
          <t>FLEN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46237</v>
      </c>
      <c r="F377" t="inlineStr">
        <is>
          <t>SÖDERMANLANDS LÄN</t>
        </is>
      </c>
      <c r="G377" t="inlineStr">
        <is>
          <t>FLEN</t>
        </is>
      </c>
      <c r="H377" t="inlineStr">
        <is>
          <t>Övriga statliga verk och myndigheter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46237</v>
      </c>
      <c r="F378" t="inlineStr">
        <is>
          <t>SÖDERMANLANDS LÄN</t>
        </is>
      </c>
      <c r="G378" t="inlineStr">
        <is>
          <t>FLEN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46237</v>
      </c>
      <c r="F379" t="inlineStr">
        <is>
          <t>SÖDERMANLANDS LÄN</t>
        </is>
      </c>
      <c r="G379" t="inlineStr">
        <is>
          <t>FLEN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44701</v>
      </c>
      <c r="E380" s="1" t="n">
        <v>46237</v>
      </c>
      <c r="F380" t="inlineStr">
        <is>
          <t>SÖDERMANLANDS LÄN</t>
        </is>
      </c>
      <c r="G380" t="inlineStr">
        <is>
          <t>FLEN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54781-2024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45618</v>
      </c>
      <c r="E381" s="1" t="n">
        <v>46237</v>
      </c>
      <c r="F381" t="inlineStr">
        <is>
          <t>SÖDERMANLANDS LÄN</t>
        </is>
      </c>
      <c r="G381" t="inlineStr">
        <is>
          <t>FLEN</t>
        </is>
      </c>
      <c r="I381" t="n">
        <v>10.3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46237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HYPERLINK("https://klasma.github.io/Logging_0482/knärot/A 24450-2026 karta knärot.png", "A 24450-2026")</f>
        <v/>
      </c>
      <c r="AA382">
        <f>HYPERLINK("https://klasma.github.io/Logging_0482/klagomål/A 24450-2026 FSC-klagomål.docx", "A 24450-2026")</f>
        <v/>
      </c>
      <c r="AB382">
        <f>HYPERLINK("https://klasma.github.io/Logging_0482/klagomålsmail/A 24450-2026 FSC-klagomål mail.docx", "A 24450-2026")</f>
        <v/>
      </c>
      <c r="AC382">
        <f>HYPERLINK("https://klasma.github.io/Logging_0482/tillsyn/A 24450-2026 tillsynsbegäran.docx", "A 24450-2026")</f>
        <v/>
      </c>
      <c r="AD382">
        <f>HYPERLINK("https://klasma.github.io/Logging_0482/tillsynsmail/A 24450-2026 tillsynsbegäran mail.docx", "A 24450-2026")</f>
        <v/>
      </c>
    </row>
    <row r="383" ht="15" customHeight="1">
      <c r="A383" t="inlineStr">
        <is>
          <t>A 62579-2023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45270</v>
      </c>
      <c r="E383" s="1" t="n">
        <v>46237</v>
      </c>
      <c r="F383" t="inlineStr">
        <is>
          <t>SÖDERMANLANDS LÄN</t>
        </is>
      </c>
      <c r="G383" t="inlineStr">
        <is>
          <t>FLEN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46237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45518</v>
      </c>
      <c r="E385" s="1" t="n">
        <v>46237</v>
      </c>
      <c r="F385" t="inlineStr">
        <is>
          <t>SÖDERMANLANDS LÄN</t>
        </is>
      </c>
      <c r="G385" t="inlineStr">
        <is>
          <t>FLEN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46237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45081</v>
      </c>
      <c r="E387" s="1" t="n">
        <v>46237</v>
      </c>
      <c r="F387" t="inlineStr">
        <is>
          <t>SÖDERMANLANDS LÄN</t>
        </is>
      </c>
      <c r="G387" t="inlineStr">
        <is>
          <t>FLEN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45081</v>
      </c>
      <c r="E388" s="1" t="n">
        <v>46237</v>
      </c>
      <c r="F388" t="inlineStr">
        <is>
          <t>SÖDERMANLANDS LÄN</t>
        </is>
      </c>
      <c r="G388" t="inlineStr">
        <is>
          <t>FLEN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47872-2025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45932</v>
      </c>
      <c r="E389" s="1" t="n">
        <v>46237</v>
      </c>
      <c r="F389" t="inlineStr">
        <is>
          <t>SÖDERMANLANDS LÄN</t>
        </is>
      </c>
      <c r="G389" t="inlineStr">
        <is>
          <t>FLEN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45001</v>
      </c>
      <c r="E390" s="1" t="n">
        <v>46237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45365</v>
      </c>
      <c r="E391" s="1" t="n">
        <v>46237</v>
      </c>
      <c r="F391" t="inlineStr">
        <is>
          <t>SÖDERMANLANDS LÄN</t>
        </is>
      </c>
      <c r="G391" t="inlineStr">
        <is>
          <t>FLEN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46237</v>
      </c>
      <c r="F392" t="inlineStr">
        <is>
          <t>SÖDERMANLANDS LÄN</t>
        </is>
      </c>
      <c r="G392" t="inlineStr">
        <is>
          <t>FLEN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45299</v>
      </c>
      <c r="E393" s="1" t="n">
        <v>46237</v>
      </c>
      <c r="F393" t="inlineStr">
        <is>
          <t>SÖDERMANLANDS LÄN</t>
        </is>
      </c>
      <c r="G393" t="inlineStr">
        <is>
          <t>FLEN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45022</v>
      </c>
      <c r="E394" s="1" t="n">
        <v>46237</v>
      </c>
      <c r="F394" t="inlineStr">
        <is>
          <t>SÖDERMANLANDS LÄN</t>
        </is>
      </c>
      <c r="G394" t="inlineStr">
        <is>
          <t>FLEN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46237</v>
      </c>
      <c r="F395" t="inlineStr">
        <is>
          <t>SÖDERMANLANDS LÄN</t>
        </is>
      </c>
      <c r="G395" t="inlineStr">
        <is>
          <t>FLEN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46237</v>
      </c>
      <c r="F396" t="inlineStr">
        <is>
          <t>SÖDERMANLANDS LÄN</t>
        </is>
      </c>
      <c r="G396" t="inlineStr">
        <is>
          <t>FLEN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46237</v>
      </c>
      <c r="F397" t="inlineStr">
        <is>
          <t>SÖDERMANLANDS LÄN</t>
        </is>
      </c>
      <c r="G397" t="inlineStr">
        <is>
          <t>FLEN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73923-2021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44553</v>
      </c>
      <c r="E398" s="1" t="n">
        <v>46237</v>
      </c>
      <c r="F398" t="inlineStr">
        <is>
          <t>SÖDERMANLANDS LÄN</t>
        </is>
      </c>
      <c r="G398" t="inlineStr">
        <is>
          <t>FLEN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44909</v>
      </c>
      <c r="E399" s="1" t="n">
        <v>46237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46237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46237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46237</v>
      </c>
      <c r="F402" t="inlineStr">
        <is>
          <t>SÖDERMANLANDS LÄN</t>
        </is>
      </c>
      <c r="G402" t="inlineStr">
        <is>
          <t>FLEN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46237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36096-2023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45149</v>
      </c>
      <c r="E404" s="1" t="n">
        <v>46237</v>
      </c>
      <c r="F404" t="inlineStr">
        <is>
          <t>SÖDERMANLANDS LÄN</t>
        </is>
      </c>
      <c r="G404" t="inlineStr">
        <is>
          <t>FLEN</t>
        </is>
      </c>
      <c r="H404" t="inlineStr">
        <is>
          <t>Kyrkan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40408-2024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45555</v>
      </c>
      <c r="E405" s="1" t="n">
        <v>46237</v>
      </c>
      <c r="F405" t="inlineStr">
        <is>
          <t>SÖDERMANLANDS LÄN</t>
        </is>
      </c>
      <c r="G405" t="inlineStr">
        <is>
          <t>FLEN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45163</v>
      </c>
      <c r="E406" s="1" t="n">
        <v>46237</v>
      </c>
      <c r="F406" t="inlineStr">
        <is>
          <t>SÖDERMANLANDS LÄN</t>
        </is>
      </c>
      <c r="G406" t="inlineStr">
        <is>
          <t>FLEN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46237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46237</v>
      </c>
      <c r="F408" t="inlineStr">
        <is>
          <t>SÖDERMANLANDS LÄN</t>
        </is>
      </c>
      <c r="G408" t="inlineStr">
        <is>
          <t>FLEN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46237</v>
      </c>
      <c r="F409" t="inlineStr">
        <is>
          <t>SÖDERMANLANDS LÄN</t>
        </is>
      </c>
      <c r="G409" t="inlineStr">
        <is>
          <t>FLEN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45331</v>
      </c>
      <c r="E410" s="1" t="n">
        <v>46237</v>
      </c>
      <c r="F410" t="inlineStr">
        <is>
          <t>SÖDERMANLANDS LÄN</t>
        </is>
      </c>
      <c r="G410" t="inlineStr">
        <is>
          <t>FLEN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54666-2021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46237</v>
      </c>
      <c r="F411" t="inlineStr">
        <is>
          <t>SÖDERMANLANDS LÄN</t>
        </is>
      </c>
      <c r="G411" t="inlineStr">
        <is>
          <t>FLEN</t>
        </is>
      </c>
      <c r="I411" t="n">
        <v>10.1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46237</v>
      </c>
      <c r="F412" t="inlineStr">
        <is>
          <t>SÖDERMANLANDS LÄN</t>
        </is>
      </c>
      <c r="G412" t="inlineStr">
        <is>
          <t>FLEN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44991</v>
      </c>
      <c r="E413" s="1" t="n">
        <v>46237</v>
      </c>
      <c r="F413" t="inlineStr">
        <is>
          <t>SÖDERMANLANDS LÄN</t>
        </is>
      </c>
      <c r="G413" t="inlineStr">
        <is>
          <t>FLEN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46237</v>
      </c>
      <c r="F414" t="inlineStr">
        <is>
          <t>SÖDERMANLANDS LÄN</t>
        </is>
      </c>
      <c r="G414" t="inlineStr">
        <is>
          <t>FLEN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44614</v>
      </c>
      <c r="E415" s="1" t="n">
        <v>46237</v>
      </c>
      <c r="F415" t="inlineStr">
        <is>
          <t>SÖDERMANLANDS LÄN</t>
        </is>
      </c>
      <c r="G415" t="inlineStr">
        <is>
          <t>FLEN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46237</v>
      </c>
      <c r="F416" t="inlineStr">
        <is>
          <t>SÖDERMANLANDS LÄN</t>
        </is>
      </c>
      <c r="G416" t="inlineStr">
        <is>
          <t>FLEN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45528</v>
      </c>
      <c r="E417" s="1" t="n">
        <v>46237</v>
      </c>
      <c r="F417" t="inlineStr">
        <is>
          <t>SÖDERMANLANDS LÄN</t>
        </is>
      </c>
      <c r="G417" t="inlineStr">
        <is>
          <t>FLEN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72314-2021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44544</v>
      </c>
      <c r="E418" s="1" t="n">
        <v>46237</v>
      </c>
      <c r="F418" t="inlineStr">
        <is>
          <t>SÖDERMANLANDS LÄN</t>
        </is>
      </c>
      <c r="G418" t="inlineStr">
        <is>
          <t>FLEN</t>
        </is>
      </c>
      <c r="I418" t="n">
        <v>13.8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46237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46237</v>
      </c>
      <c r="F420" t="inlineStr">
        <is>
          <t>SÖDERMANLANDS LÄN</t>
        </is>
      </c>
      <c r="G420" t="inlineStr">
        <is>
          <t>FLEN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46237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26444-2026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46237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45175</v>
      </c>
      <c r="E423" s="1" t="n">
        <v>46237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46237</v>
      </c>
      <c r="F424" t="inlineStr">
        <is>
          <t>SÖDERMANLANDS LÄN</t>
        </is>
      </c>
      <c r="G424" t="inlineStr">
        <is>
          <t>FLEN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46237</v>
      </c>
      <c r="F425" t="inlineStr">
        <is>
          <t>SÖDERMANLANDS LÄN</t>
        </is>
      </c>
      <c r="G425" t="inlineStr">
        <is>
          <t>FLEN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60255-2021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44495</v>
      </c>
      <c r="E426" s="1" t="n">
        <v>46237</v>
      </c>
      <c r="F426" t="inlineStr">
        <is>
          <t>SÖDERMANLANDS LÄN</t>
        </is>
      </c>
      <c r="G426" t="inlineStr">
        <is>
          <t>FLEN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46237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45327</v>
      </c>
      <c r="E428" s="1" t="n">
        <v>46237</v>
      </c>
      <c r="F428" t="inlineStr">
        <is>
          <t>SÖDERMANLANDS LÄN</t>
        </is>
      </c>
      <c r="G428" t="inlineStr">
        <is>
          <t>FLEN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46237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46229</v>
      </c>
      <c r="E430" s="1" t="n">
        <v>46237</v>
      </c>
      <c r="F430" t="inlineStr">
        <is>
          <t>SÖDERMANLANDS LÄN</t>
        </is>
      </c>
      <c r="G430" t="inlineStr">
        <is>
          <t>FLEN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46237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46237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46237</v>
      </c>
      <c r="F433" t="inlineStr">
        <is>
          <t>SÖDERMANLANDS LÄN</t>
        </is>
      </c>
      <c r="G433" t="inlineStr">
        <is>
          <t>FLEN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46237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44931</v>
      </c>
      <c r="E435" s="1" t="n">
        <v>46237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44580</v>
      </c>
      <c r="E436" s="1" t="n">
        <v>46237</v>
      </c>
      <c r="F436" t="inlineStr">
        <is>
          <t>SÖDERMANLANDS LÄN</t>
        </is>
      </c>
      <c r="G436" t="inlineStr">
        <is>
          <t>FLEN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46237</v>
      </c>
      <c r="F437" t="inlineStr">
        <is>
          <t>SÖDERMANLANDS LÄN</t>
        </is>
      </c>
      <c r="G437" t="inlineStr">
        <is>
          <t>FLEN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46237</v>
      </c>
      <c r="F438" t="inlineStr">
        <is>
          <t>SÖDERMANLANDS LÄN</t>
        </is>
      </c>
      <c r="G438" t="inlineStr">
        <is>
          <t>FLEN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46237</v>
      </c>
      <c r="F439" t="inlineStr">
        <is>
          <t>SÖDERMANLANDS LÄN</t>
        </is>
      </c>
      <c r="G439" t="inlineStr">
        <is>
          <t>FLEN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46237</v>
      </c>
      <c r="F440" t="inlineStr">
        <is>
          <t>SÖDERMANLANDS LÄN</t>
        </is>
      </c>
      <c r="G440" t="inlineStr">
        <is>
          <t>FLEN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46237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44610</v>
      </c>
      <c r="E442" s="1" t="n">
        <v>46237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50646-2023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45217</v>
      </c>
      <c r="E443" s="1" t="n">
        <v>46237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44602</v>
      </c>
      <c r="E444" s="1" t="n">
        <v>46237</v>
      </c>
      <c r="F444" t="inlineStr">
        <is>
          <t>SÖDERMANLANDS LÄN</t>
        </is>
      </c>
      <c r="G444" t="inlineStr">
        <is>
          <t>FLEN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46077</v>
      </c>
      <c r="E445" s="1" t="n">
        <v>46237</v>
      </c>
      <c r="F445" t="inlineStr">
        <is>
          <t>SÖDERMANLANDS LÄN</t>
        </is>
      </c>
      <c r="G445" t="inlineStr">
        <is>
          <t>FLEN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46237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46237</v>
      </c>
      <c r="F447" t="inlineStr">
        <is>
          <t>SÖDERMANLANDS LÄN</t>
        </is>
      </c>
      <c r="G447" t="inlineStr">
        <is>
          <t>FLEN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45328</v>
      </c>
      <c r="E448" s="1" t="n">
        <v>46237</v>
      </c>
      <c r="F448" t="inlineStr">
        <is>
          <t>SÖDERMANLANDS LÄN</t>
        </is>
      </c>
      <c r="G448" t="inlineStr">
        <is>
          <t>FLEN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46237</v>
      </c>
      <c r="F449" t="inlineStr">
        <is>
          <t>SÖDERMANLANDS LÄN</t>
        </is>
      </c>
      <c r="G449" t="inlineStr">
        <is>
          <t>FLEN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46237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46237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46082</v>
      </c>
      <c r="E452" s="1" t="n">
        <v>46237</v>
      </c>
      <c r="F452" t="inlineStr">
        <is>
          <t>SÖDERMANLANDS LÄN</t>
        </is>
      </c>
      <c r="G452" t="inlineStr">
        <is>
          <t>FLEN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22028-2023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45066</v>
      </c>
      <c r="E453" s="1" t="n">
        <v>46237</v>
      </c>
      <c r="F453" t="inlineStr">
        <is>
          <t>SÖDERMANLANDS LÄN</t>
        </is>
      </c>
      <c r="G453" t="inlineStr">
        <is>
          <t>FLEN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46237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46237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45166</v>
      </c>
      <c r="E456" s="1" t="n">
        <v>46237</v>
      </c>
      <c r="F456" t="inlineStr">
        <is>
          <t>SÖDERMANLANDS LÄN</t>
        </is>
      </c>
      <c r="G456" t="inlineStr">
        <is>
          <t>FLEN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46080</v>
      </c>
      <c r="E457" s="1" t="n">
        <v>46237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46083</v>
      </c>
      <c r="E458" s="1" t="n">
        <v>46237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59439-2022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44907</v>
      </c>
      <c r="E459" s="1" t="n">
        <v>46237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46237</v>
      </c>
      <c r="F460" t="inlineStr">
        <is>
          <t>SÖDERMANLANDS LÄN</t>
        </is>
      </c>
      <c r="G460" t="inlineStr">
        <is>
          <t>FLEN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69588-2021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44531</v>
      </c>
      <c r="E461" s="1" t="n">
        <v>46237</v>
      </c>
      <c r="F461" t="inlineStr">
        <is>
          <t>SÖDERMANLANDS LÄN</t>
        </is>
      </c>
      <c r="G461" t="inlineStr">
        <is>
          <t>FLEN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45667</v>
      </c>
      <c r="E462" s="1" t="n">
        <v>46237</v>
      </c>
      <c r="F462" t="inlineStr">
        <is>
          <t>SÖDERMANLANDS LÄN</t>
        </is>
      </c>
      <c r="G462" t="inlineStr">
        <is>
          <t>FLEN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53507-2023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46237</v>
      </c>
      <c r="F463" t="inlineStr">
        <is>
          <t>SÖDERMANLANDS LÄN</t>
        </is>
      </c>
      <c r="G463" t="inlineStr">
        <is>
          <t>FLEN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53518-2023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45230</v>
      </c>
      <c r="E464" s="1" t="n">
        <v>46237</v>
      </c>
      <c r="F464" t="inlineStr">
        <is>
          <t>SÖDERMANLANDS LÄN</t>
        </is>
      </c>
      <c r="G464" t="inlineStr">
        <is>
          <t>FLEN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14599-2023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45013</v>
      </c>
      <c r="E465" s="1" t="n">
        <v>46237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11747-2022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46237</v>
      </c>
      <c r="F466" t="inlineStr">
        <is>
          <t>SÖDERMANLANDS LÄN</t>
        </is>
      </c>
      <c r="G466" t="inlineStr">
        <is>
          <t>FLEN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46237</v>
      </c>
      <c r="F467" t="inlineStr">
        <is>
          <t>SÖDERMANLANDS LÄN</t>
        </is>
      </c>
      <c r="G467" t="inlineStr">
        <is>
          <t>FLEN</t>
        </is>
      </c>
      <c r="H467" t="inlineStr">
        <is>
          <t>Övriga statliga verk och myndigheter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48858-2023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45209</v>
      </c>
      <c r="E468" s="1" t="n">
        <v>46237</v>
      </c>
      <c r="F468" t="inlineStr">
        <is>
          <t>SÖDERMANLANDS LÄN</t>
        </is>
      </c>
      <c r="G468" t="inlineStr">
        <is>
          <t>FLEN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8903-2022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46237</v>
      </c>
      <c r="F469" t="inlineStr">
        <is>
          <t>SÖDERMANLANDS LÄN</t>
        </is>
      </c>
      <c r="G469" t="inlineStr">
        <is>
          <t>FLEN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44676</v>
      </c>
      <c r="E470" s="1" t="n">
        <v>46237</v>
      </c>
      <c r="F470" t="inlineStr">
        <is>
          <t>SÖDERMANLANDS LÄN</t>
        </is>
      </c>
      <c r="G470" t="inlineStr">
        <is>
          <t>FLEN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45454</v>
      </c>
      <c r="E471" s="1" t="n">
        <v>46237</v>
      </c>
      <c r="F471" t="inlineStr">
        <is>
          <t>SÖDERMANLANDS LÄN</t>
        </is>
      </c>
      <c r="G471" t="inlineStr">
        <is>
          <t>FLEN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42731-2024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45566</v>
      </c>
      <c r="E472" s="1" t="n">
        <v>46237</v>
      </c>
      <c r="F472" t="inlineStr">
        <is>
          <t>SÖDERMANLANDS LÄN</t>
        </is>
      </c>
      <c r="G472" t="inlineStr">
        <is>
          <t>FLEN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46237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14106-2025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45740</v>
      </c>
      <c r="E474" s="1" t="n">
        <v>46237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46237</v>
      </c>
      <c r="F475" t="inlineStr">
        <is>
          <t>SÖDERMANLANDS LÄN</t>
        </is>
      </c>
      <c r="G475" t="inlineStr">
        <is>
          <t>FLEN</t>
        </is>
      </c>
      <c r="H475" t="inlineStr">
        <is>
          <t>Övriga statliga verk och myndigheter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13233-2024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45386</v>
      </c>
      <c r="E476" s="1" t="n">
        <v>46237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46237</v>
      </c>
      <c r="F477" t="inlineStr">
        <is>
          <t>SÖDERMANLANDS LÄN</t>
        </is>
      </c>
      <c r="G477" t="inlineStr">
        <is>
          <t>FLEN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46237</v>
      </c>
      <c r="F478" t="inlineStr">
        <is>
          <t>SÖDERMANLANDS LÄN</t>
        </is>
      </c>
      <c r="G478" t="inlineStr">
        <is>
          <t>FLEN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33024-2022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44785</v>
      </c>
      <c r="E479" s="1" t="n">
        <v>46237</v>
      </c>
      <c r="F479" t="inlineStr">
        <is>
          <t>SÖDERMANLANDS LÄN</t>
        </is>
      </c>
      <c r="G479" t="inlineStr">
        <is>
          <t>FLEN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46237</v>
      </c>
      <c r="F480" t="inlineStr">
        <is>
          <t>SÖDERMANLANDS LÄN</t>
        </is>
      </c>
      <c r="G480" t="inlineStr">
        <is>
          <t>FLEN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46237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45777</v>
      </c>
      <c r="E482" s="1" t="n">
        <v>46237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39891-2022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44819</v>
      </c>
      <c r="E483" s="1" t="n">
        <v>46237</v>
      </c>
      <c r="F483" t="inlineStr">
        <is>
          <t>SÖDERMANLANDS LÄN</t>
        </is>
      </c>
      <c r="G483" t="inlineStr">
        <is>
          <t>FLEN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46237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46237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45169</v>
      </c>
      <c r="E486" s="1" t="n">
        <v>46237</v>
      </c>
      <c r="F486" t="inlineStr">
        <is>
          <t>SÖDERMANLANDS LÄN</t>
        </is>
      </c>
      <c r="G486" t="inlineStr">
        <is>
          <t>FLEN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46237</v>
      </c>
      <c r="F487" t="inlineStr">
        <is>
          <t>SÖDERMANLANDS LÄN</t>
        </is>
      </c>
      <c r="G487" t="inlineStr">
        <is>
          <t>FLEN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25823-2022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44733</v>
      </c>
      <c r="E488" s="1" t="n">
        <v>46237</v>
      </c>
      <c r="F488" t="inlineStr">
        <is>
          <t>SÖDERMANLANDS LÄN</t>
        </is>
      </c>
      <c r="G488" t="inlineStr">
        <is>
          <t>FLEN</t>
        </is>
      </c>
      <c r="I488" t="n">
        <v>8.699999999999999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46237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46237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46237</v>
      </c>
      <c r="F491" t="inlineStr">
        <is>
          <t>SÖDERMANLANDS LÄN</t>
        </is>
      </c>
      <c r="G491" t="inlineStr">
        <is>
          <t>FLEN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46129</v>
      </c>
      <c r="E492" s="1" t="n">
        <v>46237</v>
      </c>
      <c r="F492" t="inlineStr">
        <is>
          <t>SÖDERMANLANDS LÄN</t>
        </is>
      </c>
      <c r="G492" t="inlineStr">
        <is>
          <t>FLEN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46237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7960-2024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45350</v>
      </c>
      <c r="E494" s="1" t="n">
        <v>46237</v>
      </c>
      <c r="F494" t="inlineStr">
        <is>
          <t>SÖDERMANLANDS LÄN</t>
        </is>
      </c>
      <c r="G494" t="inlineStr">
        <is>
          <t>FLEN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46237</v>
      </c>
      <c r="F495" t="inlineStr">
        <is>
          <t>SÖDERMANLANDS LÄN</t>
        </is>
      </c>
      <c r="G495" t="inlineStr">
        <is>
          <t>FLEN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46237</v>
      </c>
      <c r="F496" t="inlineStr">
        <is>
          <t>SÖDERMANLANDS LÄN</t>
        </is>
      </c>
      <c r="G496" t="inlineStr">
        <is>
          <t>FLEN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45008</v>
      </c>
      <c r="E497" s="1" t="n">
        <v>46237</v>
      </c>
      <c r="F497" t="inlineStr">
        <is>
          <t>SÖDERMANLANDS LÄN</t>
        </is>
      </c>
      <c r="G497" t="inlineStr">
        <is>
          <t>FLEN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46237</v>
      </c>
      <c r="F498" t="inlineStr">
        <is>
          <t>SÖDERMANLANDS LÄN</t>
        </is>
      </c>
      <c r="G498" t="inlineStr">
        <is>
          <t>FLEN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46237</v>
      </c>
      <c r="F499" t="inlineStr">
        <is>
          <t>SÖDERMANLANDS LÄN</t>
        </is>
      </c>
      <c r="G499" t="inlineStr">
        <is>
          <t>FLEN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44852</v>
      </c>
      <c r="E500" s="1" t="n">
        <v>46237</v>
      </c>
      <c r="F500" t="inlineStr">
        <is>
          <t>SÖDERMANLANDS LÄN</t>
        </is>
      </c>
      <c r="G500" t="inlineStr">
        <is>
          <t>FLEN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46237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46237</v>
      </c>
      <c r="F502" t="inlineStr">
        <is>
          <t>SÖDERMANLANDS LÄN</t>
        </is>
      </c>
      <c r="G502" t="inlineStr">
        <is>
          <t>FLEN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44883</v>
      </c>
      <c r="E503" s="1" t="n">
        <v>46237</v>
      </c>
      <c r="F503" t="inlineStr">
        <is>
          <t>SÖDERMANLANDS LÄN</t>
        </is>
      </c>
      <c r="G503" t="inlineStr">
        <is>
          <t>FLEN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45315</v>
      </c>
      <c r="E504" s="1" t="n">
        <v>46237</v>
      </c>
      <c r="F504" t="inlineStr">
        <is>
          <t>SÖDERMANLANDS LÄN</t>
        </is>
      </c>
      <c r="G504" t="inlineStr">
        <is>
          <t>FLEN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55445-2022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44887</v>
      </c>
      <c r="E505" s="1" t="n">
        <v>46237</v>
      </c>
      <c r="F505" t="inlineStr">
        <is>
          <t>SÖDERMANLANDS LÄN</t>
        </is>
      </c>
      <c r="G505" t="inlineStr">
        <is>
          <t>FLEN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45378</v>
      </c>
      <c r="E506" s="1" t="n">
        <v>46237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46237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46237</v>
      </c>
      <c r="F508" t="inlineStr">
        <is>
          <t>SÖDERMANLANDS LÄN</t>
        </is>
      </c>
      <c r="G508" t="inlineStr">
        <is>
          <t>FLEN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46237</v>
      </c>
      <c r="F509" t="inlineStr">
        <is>
          <t>SÖDERMANLANDS LÄN</t>
        </is>
      </c>
      <c r="G509" t="inlineStr">
        <is>
          <t>FLEN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46237</v>
      </c>
      <c r="F510" t="inlineStr">
        <is>
          <t>SÖDERMANLANDS LÄN</t>
        </is>
      </c>
      <c r="G510" t="inlineStr">
        <is>
          <t>FLEN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45321</v>
      </c>
      <c r="E511" s="1" t="n">
        <v>46237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46237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46237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45790</v>
      </c>
      <c r="E514" s="1" t="n">
        <v>46237</v>
      </c>
      <c r="F514" t="inlineStr">
        <is>
          <t>SÖDERMANLANDS LÄN</t>
        </is>
      </c>
      <c r="G514" t="inlineStr">
        <is>
          <t>FLEN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41709-2021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44425</v>
      </c>
      <c r="E515" s="1" t="n">
        <v>46237</v>
      </c>
      <c r="F515" t="inlineStr">
        <is>
          <t>SÖDERMANLANDS LÄN</t>
        </is>
      </c>
      <c r="G515" t="inlineStr">
        <is>
          <t>FLEN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46237</v>
      </c>
      <c r="F516" t="inlineStr">
        <is>
          <t>SÖDERMANLANDS LÄN</t>
        </is>
      </c>
      <c r="G516" t="inlineStr">
        <is>
          <t>FLEN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40439-2025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45895</v>
      </c>
      <c r="E517" s="1" t="n">
        <v>46237</v>
      </c>
      <c r="F517" t="inlineStr">
        <is>
          <t>SÖDERMANLANDS LÄN</t>
        </is>
      </c>
      <c r="G517" t="inlineStr">
        <is>
          <t>FLEN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44958</v>
      </c>
      <c r="E518" s="1" t="n">
        <v>46237</v>
      </c>
      <c r="F518" t="inlineStr">
        <is>
          <t>SÖDERMANLANDS LÄN</t>
        </is>
      </c>
      <c r="G518" t="inlineStr">
        <is>
          <t>FLEN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44868</v>
      </c>
      <c r="E519" s="1" t="n">
        <v>46237</v>
      </c>
      <c r="F519" t="inlineStr">
        <is>
          <t>SÖDERMANLANDS LÄN</t>
        </is>
      </c>
      <c r="G519" t="inlineStr">
        <is>
          <t>FLEN</t>
        </is>
      </c>
      <c r="H519" t="inlineStr">
        <is>
          <t>Övriga statliga verk och myndigheter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45790</v>
      </c>
      <c r="E520" s="1" t="n">
        <v>46237</v>
      </c>
      <c r="F520" t="inlineStr">
        <is>
          <t>SÖDERMANLANDS LÄN</t>
        </is>
      </c>
      <c r="G520" t="inlineStr">
        <is>
          <t>FLEN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44807</v>
      </c>
      <c r="E521" s="1" t="n">
        <v>46237</v>
      </c>
      <c r="F521" t="inlineStr">
        <is>
          <t>SÖDERMANLANDS LÄN</t>
        </is>
      </c>
      <c r="G521" t="inlineStr">
        <is>
          <t>FLEN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22998-2025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45790</v>
      </c>
      <c r="E522" s="1" t="n">
        <v>46237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44624</v>
      </c>
      <c r="E523" s="1" t="n">
        <v>46237</v>
      </c>
      <c r="F523" t="inlineStr">
        <is>
          <t>SÖDERMANLANDS LÄN</t>
        </is>
      </c>
      <c r="G523" t="inlineStr">
        <is>
          <t>FLEN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10828-2022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44624</v>
      </c>
      <c r="E524" s="1" t="n">
        <v>46237</v>
      </c>
      <c r="F524" t="inlineStr">
        <is>
          <t>SÖDERMANLANDS LÄN</t>
        </is>
      </c>
      <c r="G524" t="inlineStr">
        <is>
          <t>FLEN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16908-2024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45411</v>
      </c>
      <c r="E525" s="1" t="n">
        <v>46237</v>
      </c>
      <c r="F525" t="inlineStr">
        <is>
          <t>SÖDERMANLANDS LÄN</t>
        </is>
      </c>
      <c r="G525" t="inlineStr">
        <is>
          <t>FLEN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46237</v>
      </c>
      <c r="F526" t="inlineStr">
        <is>
          <t>SÖDERMANLANDS LÄN</t>
        </is>
      </c>
      <c r="G526" t="inlineStr">
        <is>
          <t>FLEN</t>
        </is>
      </c>
      <c r="H526" t="inlineStr">
        <is>
          <t>Kommuner</t>
        </is>
      </c>
      <c r="I526" t="n">
        <v>11.2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57356-2022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44896</v>
      </c>
      <c r="E527" s="1" t="n">
        <v>46237</v>
      </c>
      <c r="F527" t="inlineStr">
        <is>
          <t>SÖDERMANLANDS LÄN</t>
        </is>
      </c>
      <c r="G527" t="inlineStr">
        <is>
          <t>FLEN</t>
        </is>
      </c>
      <c r="H527" t="inlineStr">
        <is>
          <t>Övriga statliga verk och myndigheter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46237</v>
      </c>
      <c r="F528" t="inlineStr">
        <is>
          <t>SÖDERMANLANDS LÄN</t>
        </is>
      </c>
      <c r="G528" t="inlineStr">
        <is>
          <t>FLEN</t>
        </is>
      </c>
      <c r="H528" t="inlineStr">
        <is>
          <t>Övriga statliga verk och myndigheter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46237</v>
      </c>
      <c r="F529" t="inlineStr">
        <is>
          <t>SÖDERMANLANDS LÄN</t>
        </is>
      </c>
      <c r="G529" t="inlineStr">
        <is>
          <t>FLEN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46237</v>
      </c>
      <c r="F530" t="inlineStr">
        <is>
          <t>SÖDERMANLANDS LÄN</t>
        </is>
      </c>
      <c r="G530" t="inlineStr">
        <is>
          <t>FLEN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46237</v>
      </c>
      <c r="F531" t="inlineStr">
        <is>
          <t>SÖDERMANLANDS LÄN</t>
        </is>
      </c>
      <c r="G531" t="inlineStr">
        <is>
          <t>FLEN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48826-2022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44859</v>
      </c>
      <c r="E532" s="1" t="n">
        <v>46237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45501</v>
      </c>
      <c r="E533" s="1" t="n">
        <v>46237</v>
      </c>
      <c r="F533" t="inlineStr">
        <is>
          <t>SÖDERMANLANDS LÄN</t>
        </is>
      </c>
      <c r="G533" t="inlineStr">
        <is>
          <t>FLEN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46237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46237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46237</v>
      </c>
      <c r="F536" t="inlineStr">
        <is>
          <t>SÖDERMANLANDS LÄN</t>
        </is>
      </c>
      <c r="G536" t="inlineStr">
        <is>
          <t>FLEN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46237</v>
      </c>
      <c r="F537" t="inlineStr">
        <is>
          <t>SÖDERMANLANDS LÄN</t>
        </is>
      </c>
      <c r="G537" t="inlineStr">
        <is>
          <t>FLEN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46237</v>
      </c>
      <c r="F538" t="inlineStr">
        <is>
          <t>SÖDERMANLANDS LÄN</t>
        </is>
      </c>
      <c r="G538" t="inlineStr">
        <is>
          <t>FLEN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46237</v>
      </c>
      <c r="F539" t="inlineStr">
        <is>
          <t>SÖDERMANLANDS LÄN</t>
        </is>
      </c>
      <c r="G539" t="inlineStr">
        <is>
          <t>FLEN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45684</v>
      </c>
      <c r="E540" s="1" t="n">
        <v>46237</v>
      </c>
      <c r="F540" t="inlineStr">
        <is>
          <t>SÖDERMANLANDS LÄN</t>
        </is>
      </c>
      <c r="G540" t="inlineStr">
        <is>
          <t>FLEN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46237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45830</v>
      </c>
      <c r="E542" s="1" t="n">
        <v>46237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45830</v>
      </c>
      <c r="E543" s="1" t="n">
        <v>46237</v>
      </c>
      <c r="F543" t="inlineStr">
        <is>
          <t>SÖDERMANLANDS LÄN</t>
        </is>
      </c>
      <c r="G543" t="inlineStr">
        <is>
          <t>FLEN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46237</v>
      </c>
      <c r="F544" t="inlineStr">
        <is>
          <t>SÖDERMANLANDS LÄN</t>
        </is>
      </c>
      <c r="G544" t="inlineStr">
        <is>
          <t>FLEN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45729</v>
      </c>
      <c r="E545" s="1" t="n">
        <v>46237</v>
      </c>
      <c r="F545" t="inlineStr">
        <is>
          <t>SÖDERMANLANDS LÄN</t>
        </is>
      </c>
      <c r="G545" t="inlineStr">
        <is>
          <t>FLEN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57863-2022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44899</v>
      </c>
      <c r="E546" s="1" t="n">
        <v>46237</v>
      </c>
      <c r="F546" t="inlineStr">
        <is>
          <t>SÖDERMANLANDS LÄN</t>
        </is>
      </c>
      <c r="G546" t="inlineStr">
        <is>
          <t>FLEN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46237</v>
      </c>
      <c r="F547" t="inlineStr">
        <is>
          <t>SÖDERMANLANDS LÄN</t>
        </is>
      </c>
      <c r="G547" t="inlineStr">
        <is>
          <t>FLEN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46237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46237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46237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46237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46237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1976-2024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45446</v>
      </c>
      <c r="E553" s="1" t="n">
        <v>46237</v>
      </c>
      <c r="F553" t="inlineStr">
        <is>
          <t>SÖDERMANLANDS LÄN</t>
        </is>
      </c>
      <c r="G553" t="inlineStr">
        <is>
          <t>FLEN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1287-2024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45403</v>
      </c>
      <c r="E554" s="1" t="n">
        <v>46237</v>
      </c>
      <c r="F554" t="inlineStr">
        <is>
          <t>SÖDERMANLANDS LÄN</t>
        </is>
      </c>
      <c r="G554" t="inlineStr">
        <is>
          <t>FLEN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>
      <c r="A555" t="inlineStr">
        <is>
          <t>S 1528-2026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46164</v>
      </c>
      <c r="E555" s="1" t="n">
        <v>46237</v>
      </c>
      <c r="F555" t="inlineStr">
        <is>
          <t>SÖDERMANLANDS LÄN</t>
        </is>
      </c>
      <c r="G555" t="inlineStr">
        <is>
          <t>FLEN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2026-08-03T01:58:41Z</dcterms:created>
  <dcterms:modified xmlns:dcterms="http://purl.org/dc/terms/" xmlns:xsi="http://www.w3.org/2001/XMLSchema-instance" xsi:type="dcterms:W3CDTF">2026-08-03T01:58:41Z</dcterms:modified>
</cp:coreProperties>
</file>