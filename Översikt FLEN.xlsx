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46261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46261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46261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46261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46261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46261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46261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46261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46261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46261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46261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46261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46261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46261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46261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46261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46261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46261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46261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46261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46261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46261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46261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46261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46261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46261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46261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46261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46261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46261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46261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46261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46261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46261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46261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50739-2025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46261</v>
      </c>
      <c r="F52" t="inlineStr">
        <is>
          <t>SÖDERMANLANDS LÄN</t>
        </is>
      </c>
      <c r="G52" t="inlineStr">
        <is>
          <t>FLEN</t>
        </is>
      </c>
      <c r="H52" t="inlineStr">
        <is>
          <t>Holmen skog AB</t>
        </is>
      </c>
      <c r="I52" t="n">
        <v>4.4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Skogsalm
Skogsbräsma
Svart trolldruva</t>
        </is>
      </c>
      <c r="W52">
        <f>HYPERLINK("https://klasma.github.io/Logging_0482/artfynd/A 50739-2025 artfynd.xlsx", "A 50739-2025")</f>
        <v/>
      </c>
      <c r="X52">
        <f>HYPERLINK("https://klasma.github.io/Logging_0482/kartor/A 50739-2025 karta.png", "A 50739-2025")</f>
        <v/>
      </c>
      <c r="Y52">
        <f>HYPERLINK("https://klasma.github.io/Logging_0482/kartor_geotiff/A 50739-2025 georefererad karta.tif", "A 50739-2025")</f>
        <v/>
      </c>
      <c r="AA52">
        <f>HYPERLINK("https://klasma.github.io/Logging_0482/klagomål/A 50739-2025 FSC-klagomål.docx", "A 50739-2025")</f>
        <v/>
      </c>
      <c r="AB52">
        <f>HYPERLINK("https://klasma.github.io/Logging_0482/klagomålsmail/A 50739-2025 FSC-klagomål mail.docx", "A 50739-2025")</f>
        <v/>
      </c>
      <c r="AC52">
        <f>HYPERLINK("https://klasma.github.io/Logging_0482/tillsyn/A 50739-2025 tillsynsbegäran.docx", "A 50739-2025")</f>
        <v/>
      </c>
      <c r="AD52">
        <f>HYPERLINK("https://klasma.github.io/Logging_0482/tillsynsmail/A 50739-2025 tillsynsbegäran mail.docx", "A 50739-2025")</f>
        <v/>
      </c>
    </row>
    <row r="53" ht="15" customHeight="1">
      <c r="A53" t="inlineStr">
        <is>
          <t>A 17512-2026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46261</v>
      </c>
      <c r="F53" t="inlineStr">
        <is>
          <t>SÖDERMANLANDS LÄN</t>
        </is>
      </c>
      <c r="G53" t="inlineStr">
        <is>
          <t>FLEN</t>
        </is>
      </c>
      <c r="I53" t="n">
        <v>1.7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Majbräken
Sälg</t>
        </is>
      </c>
      <c r="W53">
        <f>HYPERLINK("https://klasma.github.io/Logging_0482/artfynd/A 17512-2026 artfynd.xlsx", "A 17512-2026")</f>
        <v/>
      </c>
      <c r="X53">
        <f>HYPERLINK("https://klasma.github.io/Logging_0482/kartor/A 17512-2026 karta.png", "A 17512-2026")</f>
        <v/>
      </c>
      <c r="Y53">
        <f>HYPERLINK("https://klasma.github.io/Logging_0482/kartor_geotiff/A 17512-2026 georefererad karta.tif", "A 17512-2026")</f>
        <v/>
      </c>
      <c r="AA53">
        <f>HYPERLINK("https://klasma.github.io/Logging_0482/klagomål/A 17512-2026 FSC-klagomål.docx", "A 17512-2026")</f>
        <v/>
      </c>
      <c r="AB53">
        <f>HYPERLINK("https://klasma.github.io/Logging_0482/klagomålsmail/A 17512-2026 FSC-klagomål mail.docx", "A 17512-2026")</f>
        <v/>
      </c>
      <c r="AC53">
        <f>HYPERLINK("https://klasma.github.io/Logging_0482/tillsyn/A 17512-2026 tillsynsbegäran.docx", "A 17512-2026")</f>
        <v/>
      </c>
      <c r="AD53">
        <f>HYPERLINK("https://klasma.github.io/Logging_0482/tillsynsmail/A 17512-2026 tillsynsbegäran mail.docx", "A 17512-2026")</f>
        <v/>
      </c>
    </row>
    <row r="54" ht="15" customHeight="1">
      <c r="A54" t="inlineStr">
        <is>
          <t>A 63185-2023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45272</v>
      </c>
      <c r="E54" s="1" t="n">
        <v>46261</v>
      </c>
      <c r="F54" t="inlineStr">
        <is>
          <t>SÖDERMANLANDS LÄN</t>
        </is>
      </c>
      <c r="G54" t="inlineStr">
        <is>
          <t>FLEN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Gullklöver
Majbräken
Sälg</t>
        </is>
      </c>
      <c r="W54">
        <f>HYPERLINK("https://klasma.github.io/Logging_0482/artfynd/A 63185-2023 artfynd.xlsx", "A 63185-2023")</f>
        <v/>
      </c>
      <c r="X54">
        <f>HYPERLINK("https://klasma.github.io/Logging_0482/kartor/A 63185-2023 karta.png", "A 63185-2023")</f>
        <v/>
      </c>
      <c r="Y54">
        <f>HYPERLINK("https://klasma.github.io/Logging_0482/kartor_geotiff/A 63185-2023 georefererad karta.tif", "A 63185-2023")</f>
        <v/>
      </c>
      <c r="AA54">
        <f>HYPERLINK("https://klasma.github.io/Logging_0482/klagomål/A 63185-2023 FSC-klagomål.docx", "A 63185-2023")</f>
        <v/>
      </c>
      <c r="AB54">
        <f>HYPERLINK("https://klasma.github.io/Logging_0482/klagomålsmail/A 63185-2023 FSC-klagomål mail.docx", "A 63185-2023")</f>
        <v/>
      </c>
      <c r="AC54">
        <f>HYPERLINK("https://klasma.github.io/Logging_0482/tillsyn/A 63185-2023 tillsynsbegäran.docx", "A 63185-2023")</f>
        <v/>
      </c>
      <c r="AD54">
        <f>HYPERLINK("https://klasma.github.io/Logging_0482/tillsynsmail/A 63185-2023 tillsynsbegäran mail.docx", "A 63185-2023")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46261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46261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Tallkötticka
Grönpyrola
Kamjordstjärna</t>
        </is>
      </c>
      <c r="W56">
        <f>HYPERLINK("https://klasma.github.io/Logging_0482/artfynd/A 1149-2025 artfynd.xlsx", "A 1149-2025")</f>
        <v/>
      </c>
      <c r="X56">
        <f>HYPERLINK("https://klasma.github.io/Logging_0482/kartor/A 1149-2025 karta.png", "A 1149-2025")</f>
        <v/>
      </c>
      <c r="Y56">
        <f>HYPERLINK("https://klasma.github.io/Logging_0482/kartor_geotiff/A 1149-2025 georefererad karta.tif", "A 1149-2025")</f>
        <v/>
      </c>
      <c r="AA56">
        <f>HYPERLINK("https://klasma.github.io/Logging_0482/klagomål/A 1149-2025 FSC-klagomål.docx", "A 1149-2025")</f>
        <v/>
      </c>
      <c r="AB56">
        <f>HYPERLINK("https://klasma.github.io/Logging_0482/klagomålsmail/A 1149-2025 FSC-klagomål mail.docx", "A 1149-2025")</f>
        <v/>
      </c>
      <c r="AC56">
        <f>HYPERLINK("https://klasma.github.io/Logging_0482/tillsyn/A 1149-2025 tillsynsbegäran.docx", "A 1149-2025")</f>
        <v/>
      </c>
      <c r="AD56">
        <f>HYPERLINK("https://klasma.github.io/Logging_0482/tillsynsmail/A 1149-2025 tillsynsbegäran mail.docx", "A 1149-2025")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46261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2203-2022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44578</v>
      </c>
      <c r="E58" s="1" t="n">
        <v>46261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2.9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Knärot
Grönpyrola
Revlummer</t>
        </is>
      </c>
      <c r="W58">
        <f>HYPERLINK("https://klasma.github.io/Logging_0482/artfynd/A 2203-2022 artfynd.xlsx", "A 2203-2022")</f>
        <v/>
      </c>
      <c r="X58">
        <f>HYPERLINK("https://klasma.github.io/Logging_0482/kartor/A 2203-2022 karta.png", "A 2203-2022")</f>
        <v/>
      </c>
      <c r="Y58">
        <f>HYPERLINK("https://klasma.github.io/Logging_0482/kartor_geotiff/A 2203-2022 georefererad karta.tif", "A 2203-2022")</f>
        <v/>
      </c>
      <c r="Z58">
        <f>HYPERLINK("https://klasma.github.io/Logging_0482/knärot/A 2203-2022 karta knärot.png", "A 2203-2022")</f>
        <v/>
      </c>
      <c r="AA58">
        <f>HYPERLINK("https://klasma.github.io/Logging_0482/klagomål/A 2203-2022 FSC-klagomål.docx", "A 2203-2022")</f>
        <v/>
      </c>
      <c r="AB58">
        <f>HYPERLINK("https://klasma.github.io/Logging_0482/klagomålsmail/A 2203-2022 FSC-klagomål mail.docx", "A 2203-2022")</f>
        <v/>
      </c>
      <c r="AC58">
        <f>HYPERLINK("https://klasma.github.io/Logging_0482/tillsyn/A 2203-2022 tillsynsbegäran.docx", "A 2203-2022")</f>
        <v/>
      </c>
      <c r="AD58">
        <f>HYPERLINK("https://klasma.github.io/Logging_0482/tillsynsmail/A 2203-2022 tillsynsbegäran mail.docx", "A 2203-2022")</f>
        <v/>
      </c>
    </row>
    <row r="59" ht="15" customHeight="1">
      <c r="A59" t="inlineStr">
        <is>
          <t>A 31238-2022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44771</v>
      </c>
      <c r="E59" s="1" t="n">
        <v>46261</v>
      </c>
      <c r="F59" t="inlineStr">
        <is>
          <t>SÖDERMANLANDS LÄN</t>
        </is>
      </c>
      <c r="G59" t="inlineStr">
        <is>
          <t>FLEN</t>
        </is>
      </c>
      <c r="I59" t="n">
        <v>7.5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Svedjenäva
Svinrot
Skogsbräsma</t>
        </is>
      </c>
      <c r="W59">
        <f>HYPERLINK("https://klasma.github.io/Logging_0482/artfynd/A 31238-2022 artfynd.xlsx", "A 31238-2022")</f>
        <v/>
      </c>
      <c r="X59">
        <f>HYPERLINK("https://klasma.github.io/Logging_0482/kartor/A 31238-2022 karta.png", "A 31238-2022")</f>
        <v/>
      </c>
      <c r="Y59">
        <f>HYPERLINK("https://klasma.github.io/Logging_0482/kartor_geotiff/A 31238-2022 georefererad karta.tif", "A 31238-2022")</f>
        <v/>
      </c>
      <c r="AA59">
        <f>HYPERLINK("https://klasma.github.io/Logging_0482/klagomål/A 31238-2022 FSC-klagomål.docx", "A 31238-2022")</f>
        <v/>
      </c>
      <c r="AB59">
        <f>HYPERLINK("https://klasma.github.io/Logging_0482/klagomålsmail/A 31238-2022 FSC-klagomål mail.docx", "A 31238-2022")</f>
        <v/>
      </c>
      <c r="AC59">
        <f>HYPERLINK("https://klasma.github.io/Logging_0482/tillsyn/A 31238-2022 tillsynsbegäran.docx", "A 31238-2022")</f>
        <v/>
      </c>
      <c r="AD59">
        <f>HYPERLINK("https://klasma.github.io/Logging_0482/tillsynsmail/A 31238-2022 tillsynsbegäran mail.docx", "A 31238-2022")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46261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46261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46261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46261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46261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46261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46261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46261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46261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46261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46261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24464-2025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46261</v>
      </c>
      <c r="F71" t="inlineStr">
        <is>
          <t>SÖDERMANLANDS LÄN</t>
        </is>
      </c>
      <c r="G71" t="inlineStr">
        <is>
          <t>FLEN</t>
        </is>
      </c>
      <c r="H71" t="inlineStr">
        <is>
          <t>Holmen skog AB</t>
        </is>
      </c>
      <c r="I71" t="n">
        <v>1.1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Motaggsvamp
Vedskivlav</t>
        </is>
      </c>
      <c r="W71">
        <f>HYPERLINK("https://klasma.github.io/Logging_0482/artfynd/A 24464-2025 artfynd.xlsx", "A 24464-2025")</f>
        <v/>
      </c>
      <c r="X71">
        <f>HYPERLINK("https://klasma.github.io/Logging_0482/kartor/A 24464-2025 karta.png", "A 24464-2025")</f>
        <v/>
      </c>
      <c r="Y71">
        <f>HYPERLINK("https://klasma.github.io/Logging_0482/kartor_geotiff/A 24464-2025 georefererad karta.tif", "A 24464-2025")</f>
        <v/>
      </c>
      <c r="AA71">
        <f>HYPERLINK("https://klasma.github.io/Logging_0482/klagomål/A 24464-2025 FSC-klagomål.docx", "A 24464-2025")</f>
        <v/>
      </c>
      <c r="AB71">
        <f>HYPERLINK("https://klasma.github.io/Logging_0482/klagomålsmail/A 24464-2025 FSC-klagomål mail.docx", "A 24464-2025")</f>
        <v/>
      </c>
      <c r="AC71">
        <f>HYPERLINK("https://klasma.github.io/Logging_0482/tillsyn/A 24464-2025 tillsynsbegäran.docx", "A 24464-2025")</f>
        <v/>
      </c>
      <c r="AD71">
        <f>HYPERLINK("https://klasma.github.io/Logging_0482/tillsynsmail/A 24464-2025 tillsynsbegäran mail.docx", "A 24464-2025")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46261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8887-2026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46068</v>
      </c>
      <c r="E73" s="1" t="n">
        <v>46261</v>
      </c>
      <c r="F73" t="inlineStr">
        <is>
          <t>SÖDERMANLANDS LÄN</t>
        </is>
      </c>
      <c r="G73" t="inlineStr">
        <is>
          <t>FLEN</t>
        </is>
      </c>
      <c r="I73" t="n">
        <v>2.1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Större vattensalamander
Mindre vattensalamander</t>
        </is>
      </c>
      <c r="W73">
        <f>HYPERLINK("https://klasma.github.io/Logging_0482/artfynd/A 8887-2026 artfynd.xlsx", "A 8887-2026")</f>
        <v/>
      </c>
      <c r="X73">
        <f>HYPERLINK("https://klasma.github.io/Logging_0482/kartor/A 8887-2026 karta.png", "A 8887-2026")</f>
        <v/>
      </c>
      <c r="Y73">
        <f>HYPERLINK("https://klasma.github.io/Logging_0482/kartor_geotiff/A 8887-2026 georefererad karta.tif", "A 8887-2026")</f>
        <v/>
      </c>
      <c r="AA73">
        <f>HYPERLINK("https://klasma.github.io/Logging_0482/klagomål/A 8887-2026 FSC-klagomål.docx", "A 8887-2026")</f>
        <v/>
      </c>
      <c r="AB73">
        <f>HYPERLINK("https://klasma.github.io/Logging_0482/klagomålsmail/A 8887-2026 FSC-klagomål mail.docx", "A 8887-2026")</f>
        <v/>
      </c>
      <c r="AC73">
        <f>HYPERLINK("https://klasma.github.io/Logging_0482/tillsyn/A 8887-2026 tillsynsbegäran.docx", "A 8887-2026")</f>
        <v/>
      </c>
      <c r="AD73">
        <f>HYPERLINK("https://klasma.github.io/Logging_0482/tillsynsmail/A 8887-2026 tillsynsbegäran mail.docx", "A 8887-2026")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46261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49816-2023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46261</v>
      </c>
      <c r="F75" t="inlineStr">
        <is>
          <t>SÖDERMANLANDS LÄN</t>
        </is>
      </c>
      <c r="G75" t="inlineStr">
        <is>
          <t>FLEN</t>
        </is>
      </c>
      <c r="I75" t="n">
        <v>4.6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Reliktbock
Tallticka</t>
        </is>
      </c>
      <c r="W75">
        <f>HYPERLINK("https://klasma.github.io/Logging_0482/artfynd/A 49816-2023 artfynd.xlsx", "A 49816-2023")</f>
        <v/>
      </c>
      <c r="X75">
        <f>HYPERLINK("https://klasma.github.io/Logging_0482/kartor/A 49816-2023 karta.png", "A 49816-2023")</f>
        <v/>
      </c>
      <c r="Y75">
        <f>HYPERLINK("https://klasma.github.io/Logging_0482/kartor_geotiff/A 49816-2023 georefererad karta.tif", "A 49816-2023")</f>
        <v/>
      </c>
      <c r="AA75">
        <f>HYPERLINK("https://klasma.github.io/Logging_0482/klagomål/A 49816-2023 FSC-klagomål.docx", "A 49816-2023")</f>
        <v/>
      </c>
      <c r="AB75">
        <f>HYPERLINK("https://klasma.github.io/Logging_0482/klagomålsmail/A 49816-2023 FSC-klagomål mail.docx", "A 49816-2023")</f>
        <v/>
      </c>
      <c r="AC75">
        <f>HYPERLINK("https://klasma.github.io/Logging_0482/tillsyn/A 49816-2023 tillsynsbegäran.docx", "A 49816-2023")</f>
        <v/>
      </c>
      <c r="AD75">
        <f>HYPERLINK("https://klasma.github.io/Logging_0482/tillsynsmail/A 49816-2023 tillsynsbegäran mail.docx", "A 49816-2023")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46261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46261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46261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15557-2026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46261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t="n">
        <v>0</v>
      </c>
      <c r="V79" s="2" t="inlineStr">
        <is>
          <t>Gullklöver
Svinrot</t>
        </is>
      </c>
      <c r="W79">
        <f>HYPERLINK("https://klasma.github.io/Logging_0482/artfynd/A 15557-2026 artfynd.xlsx", "A 15557-2026")</f>
        <v/>
      </c>
      <c r="X79">
        <f>HYPERLINK("https://klasma.github.io/Logging_0482/kartor/A 15557-2026 karta.png", "A 15557-2026")</f>
        <v/>
      </c>
      <c r="Y79">
        <f>HYPERLINK("https://klasma.github.io/Logging_0482/kartor_geotiff/A 15557-2026 georefererad karta.tif", "A 15557-2026")</f>
        <v/>
      </c>
      <c r="AA79">
        <f>HYPERLINK("https://klasma.github.io/Logging_0482/klagomål/A 15557-2026 FSC-klagomål.docx", "A 15557-2026")</f>
        <v/>
      </c>
      <c r="AB79">
        <f>HYPERLINK("https://klasma.github.io/Logging_0482/klagomålsmail/A 15557-2026 FSC-klagomål mail.docx", "A 15557-2026")</f>
        <v/>
      </c>
      <c r="AC79">
        <f>HYPERLINK("https://klasma.github.io/Logging_0482/tillsyn/A 15557-2026 tillsynsbegäran.docx", "A 15557-2026")</f>
        <v/>
      </c>
      <c r="AD79">
        <f>HYPERLINK("https://klasma.github.io/Logging_0482/tillsynsmail/A 15557-2026 tillsynsbegäran mail.docx", "A 15557-2026")</f>
        <v/>
      </c>
    </row>
    <row r="80" ht="15" customHeight="1">
      <c r="A80" t="inlineStr">
        <is>
          <t>A 35278-2022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46261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Igelkott
Grönvit nattviol</t>
        </is>
      </c>
      <c r="W80">
        <f>HYPERLINK("https://klasma.github.io/Logging_0482/artfynd/A 35278-2022 artfynd.xlsx", "A 35278-2022")</f>
        <v/>
      </c>
      <c r="X80">
        <f>HYPERLINK("https://klasma.github.io/Logging_0482/kartor/A 35278-2022 karta.png", "A 35278-2022")</f>
        <v/>
      </c>
      <c r="Y80">
        <f>HYPERLINK("https://klasma.github.io/Logging_0482/kartor_geotiff/A 35278-2022 georefererad karta.tif", "A 35278-2022")</f>
        <v/>
      </c>
      <c r="AA80">
        <f>HYPERLINK("https://klasma.github.io/Logging_0482/klagomål/A 35278-2022 FSC-klagomål.docx", "A 35278-2022")</f>
        <v/>
      </c>
      <c r="AB80">
        <f>HYPERLINK("https://klasma.github.io/Logging_0482/klagomålsmail/A 35278-2022 FSC-klagomål mail.docx", "A 35278-2022")</f>
        <v/>
      </c>
      <c r="AC80">
        <f>HYPERLINK("https://klasma.github.io/Logging_0482/tillsyn/A 35278-2022 tillsynsbegäran.docx", "A 35278-2022")</f>
        <v/>
      </c>
      <c r="AD80">
        <f>HYPERLINK("https://klasma.github.io/Logging_0482/tillsynsmail/A 35278-2022 tillsynsbegäran mail.docx", "A 35278-2022")</f>
        <v/>
      </c>
    </row>
    <row r="81" ht="15" customHeight="1">
      <c r="A81" t="inlineStr">
        <is>
          <t>A 55092-2021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46261</v>
      </c>
      <c r="F81" t="inlineStr">
        <is>
          <t>SÖDERMANLANDS LÄN</t>
        </is>
      </c>
      <c r="G81" t="inlineStr">
        <is>
          <t>FLEN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Sälg
Huggorm</t>
        </is>
      </c>
      <c r="W81">
        <f>HYPERLINK("https://klasma.github.io/Logging_0482/artfynd/A 55092-2021 artfynd.xlsx", "A 55092-2021")</f>
        <v/>
      </c>
      <c r="X81">
        <f>HYPERLINK("https://klasma.github.io/Logging_0482/kartor/A 55092-2021 karta.png", "A 55092-2021")</f>
        <v/>
      </c>
      <c r="Y81">
        <f>HYPERLINK("https://klasma.github.io/Logging_0482/kartor_geotiff/A 55092-2021 georefererad karta.tif", "A 55092-2021")</f>
        <v/>
      </c>
      <c r="AA81">
        <f>HYPERLINK("https://klasma.github.io/Logging_0482/klagomål/A 55092-2021 FSC-klagomål.docx", "A 55092-2021")</f>
        <v/>
      </c>
      <c r="AB81">
        <f>HYPERLINK("https://klasma.github.io/Logging_0482/klagomålsmail/A 55092-2021 FSC-klagomål mail.docx", "A 55092-2021")</f>
        <v/>
      </c>
      <c r="AC81">
        <f>HYPERLINK("https://klasma.github.io/Logging_0482/tillsyn/A 55092-2021 tillsynsbegäran.docx", "A 55092-2021")</f>
        <v/>
      </c>
      <c r="AD81">
        <f>HYPERLINK("https://klasma.github.io/Logging_0482/tillsynsmail/A 55092-2021 tillsynsbegäran mail.docx", "A 55092-2021")</f>
        <v/>
      </c>
    </row>
    <row r="82" ht="15" customHeight="1">
      <c r="A82" t="inlineStr">
        <is>
          <t>A 47194-2022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46261</v>
      </c>
      <c r="F82" t="inlineStr">
        <is>
          <t>SÖDERMANLANDS LÄN</t>
        </is>
      </c>
      <c r="G82" t="inlineStr">
        <is>
          <t>FLEN</t>
        </is>
      </c>
      <c r="H82" t="inlineStr">
        <is>
          <t>Övriga statliga verk och myndigheter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Gullklöver
Svinrot</t>
        </is>
      </c>
      <c r="W82">
        <f>HYPERLINK("https://klasma.github.io/Logging_0482/artfynd/A 47194-2022 artfynd.xlsx", "A 47194-2022")</f>
        <v/>
      </c>
      <c r="X82">
        <f>HYPERLINK("https://klasma.github.io/Logging_0482/kartor/A 47194-2022 karta.png", "A 47194-2022")</f>
        <v/>
      </c>
      <c r="Y82">
        <f>HYPERLINK("https://klasma.github.io/Logging_0482/kartor_geotiff/A 47194-2022 georefererad karta.tif", "A 47194-2022")</f>
        <v/>
      </c>
      <c r="AA82">
        <f>HYPERLINK("https://klasma.github.io/Logging_0482/klagomål/A 47194-2022 FSC-klagomål.docx", "A 47194-2022")</f>
        <v/>
      </c>
      <c r="AB82">
        <f>HYPERLINK("https://klasma.github.io/Logging_0482/klagomålsmail/A 47194-2022 FSC-klagomål mail.docx", "A 47194-2022")</f>
        <v/>
      </c>
      <c r="AC82">
        <f>HYPERLINK("https://klasma.github.io/Logging_0482/tillsyn/A 47194-2022 tillsynsbegäran.docx", "A 47194-2022")</f>
        <v/>
      </c>
      <c r="AD82">
        <f>HYPERLINK("https://klasma.github.io/Logging_0482/tillsynsmail/A 47194-2022 tillsynsbegäran mail.docx", "A 47194-2022")</f>
        <v/>
      </c>
    </row>
    <row r="83" ht="15" customHeight="1">
      <c r="A83" t="inlineStr">
        <is>
          <t>A 7506-2023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44971</v>
      </c>
      <c r="E83" s="1" t="n">
        <v>46261</v>
      </c>
      <c r="F83" t="inlineStr">
        <is>
          <t>SÖDERMANLANDS LÄN</t>
        </is>
      </c>
      <c r="G83" t="inlineStr">
        <is>
          <t>FLEN</t>
        </is>
      </c>
      <c r="I83" t="n">
        <v>3.3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Slåtterfibbla
Svinrot</t>
        </is>
      </c>
      <c r="W83">
        <f>HYPERLINK("https://klasma.github.io/Logging_0482/artfynd/A 7506-2023 artfynd.xlsx", "A 7506-2023")</f>
        <v/>
      </c>
      <c r="X83">
        <f>HYPERLINK("https://klasma.github.io/Logging_0482/kartor/A 7506-2023 karta.png", "A 7506-2023")</f>
        <v/>
      </c>
      <c r="Y83">
        <f>HYPERLINK("https://klasma.github.io/Logging_0482/kartor_geotiff/A 7506-2023 georefererad karta.tif", "A 7506-2023")</f>
        <v/>
      </c>
      <c r="AA83">
        <f>HYPERLINK("https://klasma.github.io/Logging_0482/klagomål/A 7506-2023 FSC-klagomål.docx", "A 7506-2023")</f>
        <v/>
      </c>
      <c r="AB83">
        <f>HYPERLINK("https://klasma.github.io/Logging_0482/klagomålsmail/A 7506-2023 FSC-klagomål mail.docx", "A 7506-2023")</f>
        <v/>
      </c>
      <c r="AC83">
        <f>HYPERLINK("https://klasma.github.io/Logging_0482/tillsyn/A 7506-2023 tillsynsbegäran.docx", "A 7506-2023")</f>
        <v/>
      </c>
      <c r="AD83">
        <f>HYPERLINK("https://klasma.github.io/Logging_0482/tillsynsmail/A 7506-2023 tillsynsbegäran mail.docx", "A 7506-2023")</f>
        <v/>
      </c>
    </row>
    <row r="84" ht="15" customHeight="1">
      <c r="A84" t="inlineStr">
        <is>
          <t>A 22101-2023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45068</v>
      </c>
      <c r="E84" s="1" t="n">
        <v>46261</v>
      </c>
      <c r="F84" t="inlineStr">
        <is>
          <t>SÖDERMANLANDS LÄN</t>
        </is>
      </c>
      <c r="G84" t="inlineStr">
        <is>
          <t>FLEN</t>
        </is>
      </c>
      <c r="I84" t="n">
        <v>2.7</v>
      </c>
      <c r="J84" t="n">
        <v>2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Bombmurkla
Blåsippa</t>
        </is>
      </c>
      <c r="W84">
        <f>HYPERLINK("https://klasma.github.io/Logging_0482/artfynd/A 22101-2023 artfynd.xlsx", "A 22101-2023")</f>
        <v/>
      </c>
      <c r="X84">
        <f>HYPERLINK("https://klasma.github.io/Logging_0482/kartor/A 22101-2023 karta.png", "A 22101-2023")</f>
        <v/>
      </c>
      <c r="Y84">
        <f>HYPERLINK("https://klasma.github.io/Logging_0482/kartor_geotiff/A 22101-2023 georefererad karta.tif", "A 22101-2023")</f>
        <v/>
      </c>
      <c r="AA84">
        <f>HYPERLINK("https://klasma.github.io/Logging_0482/klagomål/A 22101-2023 FSC-klagomål.docx", "A 22101-2023")</f>
        <v/>
      </c>
      <c r="AB84">
        <f>HYPERLINK("https://klasma.github.io/Logging_0482/klagomålsmail/A 22101-2023 FSC-klagomål mail.docx", "A 22101-2023")</f>
        <v/>
      </c>
      <c r="AC84">
        <f>HYPERLINK("https://klasma.github.io/Logging_0482/tillsyn/A 22101-2023 tillsynsbegäran.docx", "A 22101-2023")</f>
        <v/>
      </c>
      <c r="AD84">
        <f>HYPERLINK("https://klasma.github.io/Logging_0482/tillsynsmail/A 22101-2023 tillsynsbegäran mail.docx", "A 22101-2023")</f>
        <v/>
      </c>
    </row>
    <row r="85" ht="15" customHeight="1">
      <c r="A85" t="inlineStr">
        <is>
          <t>A 34849-2026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46261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5</v>
      </c>
      <c r="U85" t="n">
        <v>0</v>
      </c>
      <c r="V85" s="2" t="inlineStr">
        <is>
          <t>Motaggsvamp
Vedskivlav</t>
        </is>
      </c>
      <c r="W85">
        <f>HYPERLINK("https://klasma.github.io/Logging_0482/artfynd/A 34849-2026 artfynd.xlsx", "A 34849-2026")</f>
        <v/>
      </c>
      <c r="X85">
        <f>HYPERLINK("https://klasma.github.io/Logging_0482/kartor/A 34849-2026 karta.png", "A 34849-2026")</f>
        <v/>
      </c>
      <c r="Y85">
        <f>HYPERLINK("https://klasma.github.io/Logging_0482/kartor_geotiff/A 34849-2026 georefererad karta.tif", "A 34849-2026")</f>
        <v/>
      </c>
      <c r="AA85">
        <f>HYPERLINK("https://klasma.github.io/Logging_0482/klagomål/A 34849-2026 FSC-klagomål.docx", "A 34849-2026")</f>
        <v/>
      </c>
      <c r="AB85">
        <f>HYPERLINK("https://klasma.github.io/Logging_0482/klagomålsmail/A 34849-2026 FSC-klagomål mail.docx", "A 34849-2026")</f>
        <v/>
      </c>
      <c r="AC85">
        <f>HYPERLINK("https://klasma.github.io/Logging_0482/tillsyn/A 34849-2026 tillsynsbegäran.docx", "A 34849-2026")</f>
        <v/>
      </c>
      <c r="AD85">
        <f>HYPERLINK("https://klasma.github.io/Logging_0482/tillsynsmail/A 34849-2026 tillsynsbegäran mail.docx", "A 34849-2026")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46261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59607-2022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46261</v>
      </c>
      <c r="F87" t="inlineStr">
        <is>
          <t>SÖDERMANLANDS LÄN</t>
        </is>
      </c>
      <c r="G87" t="inlineStr">
        <is>
          <t>FLEN</t>
        </is>
      </c>
      <c r="I87" t="n">
        <v>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Jungfrulin
Svinrot</t>
        </is>
      </c>
      <c r="W87">
        <f>HYPERLINK("https://klasma.github.io/Logging_0482/artfynd/A 59607-2022 artfynd.xlsx", "A 59607-2022")</f>
        <v/>
      </c>
      <c r="X87">
        <f>HYPERLINK("https://klasma.github.io/Logging_0482/kartor/A 59607-2022 karta.png", "A 59607-2022")</f>
        <v/>
      </c>
      <c r="Y87">
        <f>HYPERLINK("https://klasma.github.io/Logging_0482/kartor_geotiff/A 59607-2022 georefererad karta.tif", "A 59607-2022")</f>
        <v/>
      </c>
      <c r="AA87">
        <f>HYPERLINK("https://klasma.github.io/Logging_0482/klagomål/A 59607-2022 FSC-klagomål.docx", "A 59607-2022")</f>
        <v/>
      </c>
      <c r="AB87">
        <f>HYPERLINK("https://klasma.github.io/Logging_0482/klagomålsmail/A 59607-2022 FSC-klagomål mail.docx", "A 59607-2022")</f>
        <v/>
      </c>
      <c r="AC87">
        <f>HYPERLINK("https://klasma.github.io/Logging_0482/tillsyn/A 59607-2022 tillsynsbegäran.docx", "A 59607-2022")</f>
        <v/>
      </c>
      <c r="AD87">
        <f>HYPERLINK("https://klasma.github.io/Logging_0482/tillsynsmail/A 59607-2022 tillsynsbegäran mail.docx", "A 59607-2022")</f>
        <v/>
      </c>
    </row>
    <row r="88" ht="15" customHeight="1">
      <c r="A88" t="inlineStr">
        <is>
          <t>A 10825-2022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46261</v>
      </c>
      <c r="F88" t="inlineStr">
        <is>
          <t>SÖDERMANLANDS LÄN</t>
        </is>
      </c>
      <c r="G88" t="inlineStr">
        <is>
          <t>FLEN</t>
        </is>
      </c>
      <c r="I88" t="n">
        <v>4.7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Svinrot
Vanlig backsmörblomma</t>
        </is>
      </c>
      <c r="W88">
        <f>HYPERLINK("https://klasma.github.io/Logging_0482/artfynd/A 10825-2022 artfynd.xlsx", "A 10825-2022")</f>
        <v/>
      </c>
      <c r="X88">
        <f>HYPERLINK("https://klasma.github.io/Logging_0482/kartor/A 10825-2022 karta.png", "A 10825-2022")</f>
        <v/>
      </c>
      <c r="Y88">
        <f>HYPERLINK("https://klasma.github.io/Logging_0482/kartor_geotiff/A 10825-2022 georefererad karta.tif", "A 10825-2022")</f>
        <v/>
      </c>
      <c r="AA88">
        <f>HYPERLINK("https://klasma.github.io/Logging_0482/klagomål/A 10825-2022 FSC-klagomål.docx", "A 10825-2022")</f>
        <v/>
      </c>
      <c r="AB88">
        <f>HYPERLINK("https://klasma.github.io/Logging_0482/klagomålsmail/A 10825-2022 FSC-klagomål mail.docx", "A 10825-2022")</f>
        <v/>
      </c>
      <c r="AC88">
        <f>HYPERLINK("https://klasma.github.io/Logging_0482/tillsyn/A 10825-2022 tillsynsbegäran.docx", "A 10825-2022")</f>
        <v/>
      </c>
      <c r="AD88">
        <f>HYPERLINK("https://klasma.github.io/Logging_0482/tillsynsmail/A 10825-2022 tillsynsbegäran mail.docx", "A 10825-2022")</f>
        <v/>
      </c>
    </row>
    <row r="89" ht="15" customHeight="1">
      <c r="A89" t="inlineStr">
        <is>
          <t>A 5852-2022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46261</v>
      </c>
      <c r="F89" t="inlineStr">
        <is>
          <t>SÖDERMANLANDS LÄN</t>
        </is>
      </c>
      <c r="G89" t="inlineStr">
        <is>
          <t>FLEN</t>
        </is>
      </c>
      <c r="I89" t="n">
        <v>2.6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Kamjordstjärna
Gullviva</t>
        </is>
      </c>
      <c r="W89">
        <f>HYPERLINK("https://klasma.github.io/Logging_0482/artfynd/A 5852-2022 artfynd.xlsx", "A 5852-2022")</f>
        <v/>
      </c>
      <c r="X89">
        <f>HYPERLINK("https://klasma.github.io/Logging_0482/kartor/A 5852-2022 karta.png", "A 5852-2022")</f>
        <v/>
      </c>
      <c r="Y89">
        <f>HYPERLINK("https://klasma.github.io/Logging_0482/kartor_geotiff/A 5852-2022 georefererad karta.tif", "A 5852-2022")</f>
        <v/>
      </c>
      <c r="AA89">
        <f>HYPERLINK("https://klasma.github.io/Logging_0482/klagomål/A 5852-2022 FSC-klagomål.docx", "A 5852-2022")</f>
        <v/>
      </c>
      <c r="AB89">
        <f>HYPERLINK("https://klasma.github.io/Logging_0482/klagomålsmail/A 5852-2022 FSC-klagomål mail.docx", "A 5852-2022")</f>
        <v/>
      </c>
      <c r="AC89">
        <f>HYPERLINK("https://klasma.github.io/Logging_0482/tillsyn/A 5852-2022 tillsynsbegäran.docx", "A 5852-2022")</f>
        <v/>
      </c>
      <c r="AD89">
        <f>HYPERLINK("https://klasma.github.io/Logging_0482/tillsynsmail/A 5852-2022 tillsynsbegäran mail.docx", "A 5852-2022")</f>
        <v/>
      </c>
    </row>
    <row r="90" ht="15" customHeight="1">
      <c r="A90" t="inlineStr">
        <is>
          <t>A 49255-2021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46261</v>
      </c>
      <c r="F90" t="inlineStr">
        <is>
          <t>SÖDERMANLANDS LÄN</t>
        </is>
      </c>
      <c r="G90" t="inlineStr">
        <is>
          <t>FLEN</t>
        </is>
      </c>
      <c r="I90" t="n">
        <v>15.6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Backstarr
Revlummer</t>
        </is>
      </c>
      <c r="W90">
        <f>HYPERLINK("https://klasma.github.io/Logging_0482/artfynd/A 49255-2021 artfynd.xlsx", "A 49255-2021")</f>
        <v/>
      </c>
      <c r="X90">
        <f>HYPERLINK("https://klasma.github.io/Logging_0482/kartor/A 49255-2021 karta.png", "A 49255-2021")</f>
        <v/>
      </c>
      <c r="Y90">
        <f>HYPERLINK("https://klasma.github.io/Logging_0482/kartor_geotiff/A 49255-2021 georefererad karta.tif", "A 49255-2021")</f>
        <v/>
      </c>
      <c r="AA90">
        <f>HYPERLINK("https://klasma.github.io/Logging_0482/klagomål/A 49255-2021 FSC-klagomål.docx", "A 49255-2021")</f>
        <v/>
      </c>
      <c r="AB90">
        <f>HYPERLINK("https://klasma.github.io/Logging_0482/klagomålsmail/A 49255-2021 FSC-klagomål mail.docx", "A 49255-2021")</f>
        <v/>
      </c>
      <c r="AC90">
        <f>HYPERLINK("https://klasma.github.io/Logging_0482/tillsyn/A 49255-2021 tillsynsbegäran.docx", "A 49255-2021")</f>
        <v/>
      </c>
      <c r="AD90">
        <f>HYPERLINK("https://klasma.github.io/Logging_0482/tillsynsmail/A 49255-2021 tillsynsbegäran mail.docx", "A 49255-2021")</f>
        <v/>
      </c>
    </row>
    <row r="91" ht="15" customHeight="1">
      <c r="A91" t="inlineStr">
        <is>
          <t>A 33107-2022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46261</v>
      </c>
      <c r="F91" t="inlineStr">
        <is>
          <t>SÖDERMANLANDS LÄN</t>
        </is>
      </c>
      <c r="G91" t="inlineStr">
        <is>
          <t>FLEN</t>
        </is>
      </c>
      <c r="I91" t="n">
        <v>5.9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Fjällig taggsvamp s.str.
Gullklöver</t>
        </is>
      </c>
      <c r="W91">
        <f>HYPERLINK("https://klasma.github.io/Logging_0482/artfynd/A 33107-2022 artfynd.xlsx", "A 33107-2022")</f>
        <v/>
      </c>
      <c r="X91">
        <f>HYPERLINK("https://klasma.github.io/Logging_0482/kartor/A 33107-2022 karta.png", "A 33107-2022")</f>
        <v/>
      </c>
      <c r="Y91">
        <f>HYPERLINK("https://klasma.github.io/Logging_0482/kartor_geotiff/A 33107-2022 georefererad karta.tif", "A 33107-2022")</f>
        <v/>
      </c>
      <c r="AA91">
        <f>HYPERLINK("https://klasma.github.io/Logging_0482/klagomål/A 33107-2022 FSC-klagomål.docx", "A 33107-2022")</f>
        <v/>
      </c>
      <c r="AB91">
        <f>HYPERLINK("https://klasma.github.io/Logging_0482/klagomålsmail/A 33107-2022 FSC-klagomål mail.docx", "A 33107-2022")</f>
        <v/>
      </c>
      <c r="AC91">
        <f>HYPERLINK("https://klasma.github.io/Logging_0482/tillsyn/A 33107-2022 tillsynsbegäran.docx", "A 33107-2022")</f>
        <v/>
      </c>
      <c r="AD91">
        <f>HYPERLINK("https://klasma.github.io/Logging_0482/tillsynsmail/A 33107-2022 tillsynsbegäran mail.docx", "A 33107-2022")</f>
        <v/>
      </c>
    </row>
    <row r="92" ht="15" customHeight="1">
      <c r="A92" t="inlineStr">
        <is>
          <t>A 11103-2023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46261</v>
      </c>
      <c r="F92" t="inlineStr">
        <is>
          <t>SÖDERMANLANDS LÄN</t>
        </is>
      </c>
      <c r="G92" t="inlineStr">
        <is>
          <t>FLEN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Blåmossa</t>
        </is>
      </c>
      <c r="W92">
        <f>HYPERLINK("https://klasma.github.io/Logging_0482/artfynd/A 11103-2023 artfynd.xlsx", "A 11103-2023")</f>
        <v/>
      </c>
      <c r="X92">
        <f>HYPERLINK("https://klasma.github.io/Logging_0482/kartor/A 11103-2023 karta.png", "A 11103-2023")</f>
        <v/>
      </c>
      <c r="Y92">
        <f>HYPERLINK("https://klasma.github.io/Logging_0482/kartor_geotiff/A 11103-2023 georefererad karta.tif", "A 11103-2023")</f>
        <v/>
      </c>
      <c r="AA92">
        <f>HYPERLINK("https://klasma.github.io/Logging_0482/klagomål/A 11103-2023 FSC-klagomål.docx", "A 11103-2023")</f>
        <v/>
      </c>
      <c r="AB92">
        <f>HYPERLINK("https://klasma.github.io/Logging_0482/klagomålsmail/A 11103-2023 FSC-klagomål mail.docx", "A 11103-2023")</f>
        <v/>
      </c>
      <c r="AC92">
        <f>HYPERLINK("https://klasma.github.io/Logging_0482/tillsyn/A 11103-2023 tillsynsbegäran.docx", "A 11103-2023")</f>
        <v/>
      </c>
      <c r="AD92">
        <f>HYPERLINK("https://klasma.github.io/Logging_0482/tillsynsmail/A 11103-2023 tillsynsbegäran mail.docx", "A 11103-2023")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46261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46261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46261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46261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46261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46261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45120-2021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46261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45120-2021 artfynd.xlsx", "A 45120-2021")</f>
        <v/>
      </c>
      <c r="X99">
        <f>HYPERLINK("https://klasma.github.io/Logging_0482/kartor/A 45120-2021 karta.png", "A 45120-2021")</f>
        <v/>
      </c>
      <c r="Y99">
        <f>HYPERLINK("https://klasma.github.io/Logging_0482/kartor_geotiff/A 45120-2021 georefererad karta.tif", "A 45120-2021")</f>
        <v/>
      </c>
      <c r="AA99">
        <f>HYPERLINK("https://klasma.github.io/Logging_0482/klagomål/A 45120-2021 FSC-klagomål.docx", "A 45120-2021")</f>
        <v/>
      </c>
      <c r="AB99">
        <f>HYPERLINK("https://klasma.github.io/Logging_0482/klagomålsmail/A 45120-2021 FSC-klagomål mail.docx", "A 45120-2021")</f>
        <v/>
      </c>
      <c r="AC99">
        <f>HYPERLINK("https://klasma.github.io/Logging_0482/tillsyn/A 45120-2021 tillsynsbegäran.docx", "A 45120-2021")</f>
        <v/>
      </c>
      <c r="AD99">
        <f>HYPERLINK("https://klasma.github.io/Logging_0482/tillsynsmail/A 45120-2021 tillsynsbegäran mail.docx", "A 45120-2021")</f>
        <v/>
      </c>
    </row>
    <row r="100" ht="15" customHeight="1">
      <c r="A100" t="inlineStr">
        <is>
          <t>A 2043-2026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46261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Scharlakansvaxing</t>
        </is>
      </c>
      <c r="W100">
        <f>HYPERLINK("https://klasma.github.io/Logging_0482/artfynd/A 2043-2026 artfynd.xlsx", "A 2043-2026")</f>
        <v/>
      </c>
      <c r="X100">
        <f>HYPERLINK("https://klasma.github.io/Logging_0482/kartor/A 2043-2026 karta.png", "A 2043-2026")</f>
        <v/>
      </c>
      <c r="Y100">
        <f>HYPERLINK("https://klasma.github.io/Logging_0482/kartor_geotiff/A 2043-2026 georefererad karta.tif", "A 2043-2026")</f>
        <v/>
      </c>
      <c r="AA100">
        <f>HYPERLINK("https://klasma.github.io/Logging_0482/klagomål/A 2043-2026 FSC-klagomål.docx", "A 2043-2026")</f>
        <v/>
      </c>
      <c r="AB100">
        <f>HYPERLINK("https://klasma.github.io/Logging_0482/klagomålsmail/A 2043-2026 FSC-klagomål mail.docx", "A 2043-2026")</f>
        <v/>
      </c>
      <c r="AC100">
        <f>HYPERLINK("https://klasma.github.io/Logging_0482/tillsyn/A 2043-2026 tillsynsbegäran.docx", "A 2043-2026")</f>
        <v/>
      </c>
      <c r="AD100">
        <f>HYPERLINK("https://klasma.github.io/Logging_0482/tillsynsmail/A 2043-2026 tillsynsbegäran mail.docx", "A 2043-2026")</f>
        <v/>
      </c>
    </row>
    <row r="101" ht="15" customHeight="1">
      <c r="A101" t="inlineStr">
        <is>
          <t>A 2036-2026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46261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HYPERLINK("https://klasma.github.io/Logging_0482/artfynd/A 2036-2026 artfynd.xlsx", "A 2036-2026")</f>
        <v/>
      </c>
      <c r="X101">
        <f>HYPERLINK("https://klasma.github.io/Logging_0482/kartor/A 2036-2026 karta.png", "A 2036-2026")</f>
        <v/>
      </c>
      <c r="Y101">
        <f>HYPERLINK("https://klasma.github.io/Logging_0482/kartor_geotiff/A 2036-2026 georefererad karta.tif", "A 2036-2026")</f>
        <v/>
      </c>
      <c r="Z101">
        <f>HYPERLINK("https://klasma.github.io/Logging_0482/knärot/A 2036-2026 karta knärot.png", "A 2036-2026")</f>
        <v/>
      </c>
      <c r="AA101">
        <f>HYPERLINK("https://klasma.github.io/Logging_0482/klagomål/A 2036-2026 FSC-klagomål.docx", "A 2036-2026")</f>
        <v/>
      </c>
      <c r="AB101">
        <f>HYPERLINK("https://klasma.github.io/Logging_0482/klagomålsmail/A 2036-2026 FSC-klagomål mail.docx", "A 2036-2026")</f>
        <v/>
      </c>
      <c r="AC101">
        <f>HYPERLINK("https://klasma.github.io/Logging_0482/tillsyn/A 2036-2026 tillsynsbegäran.docx", "A 2036-2026")</f>
        <v/>
      </c>
      <c r="AD101">
        <f>HYPERLINK("https://klasma.github.io/Logging_0482/tillsynsmail/A 2036-2026 tillsynsbegäran mail.docx", "A 2036-2026")</f>
        <v/>
      </c>
    </row>
    <row r="102" ht="15" customHeight="1">
      <c r="A102" t="inlineStr">
        <is>
          <t>A 38829-2025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46261</v>
      </c>
      <c r="F102" t="inlineStr">
        <is>
          <t>SÖDERMANLANDS LÄN</t>
        </is>
      </c>
      <c r="G102" t="inlineStr">
        <is>
          <t>FLEN</t>
        </is>
      </c>
      <c r="I102" t="n">
        <v>4.2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38829-2025 artfynd.xlsx", "A 38829-2025")</f>
        <v/>
      </c>
      <c r="X102">
        <f>HYPERLINK("https://klasma.github.io/Logging_0482/kartor/A 38829-2025 karta.png", "A 38829-2025")</f>
        <v/>
      </c>
      <c r="Y102">
        <f>HYPERLINK("https://klasma.github.io/Logging_0482/kartor_geotiff/A 38829-2025 georefererad karta.tif", "A 38829-2025")</f>
        <v/>
      </c>
      <c r="AA102">
        <f>HYPERLINK("https://klasma.github.io/Logging_0482/klagomål/A 38829-2025 FSC-klagomål.docx", "A 38829-2025")</f>
        <v/>
      </c>
      <c r="AB102">
        <f>HYPERLINK("https://klasma.github.io/Logging_0482/klagomålsmail/A 38829-2025 FSC-klagomål mail.docx", "A 38829-2025")</f>
        <v/>
      </c>
      <c r="AC102">
        <f>HYPERLINK("https://klasma.github.io/Logging_0482/tillsyn/A 38829-2025 tillsynsbegäran.docx", "A 38829-2025")</f>
        <v/>
      </c>
      <c r="AD102">
        <f>HYPERLINK("https://klasma.github.io/Logging_0482/tillsynsmail/A 38829-2025 tillsynsbegäran mail.docx", "A 38829-2025")</f>
        <v/>
      </c>
    </row>
    <row r="103" ht="15" customHeight="1">
      <c r="A103" t="inlineStr">
        <is>
          <t>A 6714-2026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46056</v>
      </c>
      <c r="E103" s="1" t="n">
        <v>46261</v>
      </c>
      <c r="F103" t="inlineStr">
        <is>
          <t>SÖDERMANLANDS LÄN</t>
        </is>
      </c>
      <c r="G103" t="inlineStr">
        <is>
          <t>FLEN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6714-2026 artfynd.xlsx", "A 6714-2026")</f>
        <v/>
      </c>
      <c r="X103">
        <f>HYPERLINK("https://klasma.github.io/Logging_0482/kartor/A 6714-2026 karta.png", "A 6714-2026")</f>
        <v/>
      </c>
      <c r="Y103">
        <f>HYPERLINK("https://klasma.github.io/Logging_0482/kartor_geotiff/A 6714-2026 georefererad karta.tif", "A 6714-2026")</f>
        <v/>
      </c>
      <c r="AA103">
        <f>HYPERLINK("https://klasma.github.io/Logging_0482/klagomål/A 6714-2026 FSC-klagomål.docx", "A 6714-2026")</f>
        <v/>
      </c>
      <c r="AB103">
        <f>HYPERLINK("https://klasma.github.io/Logging_0482/klagomålsmail/A 6714-2026 FSC-klagomål mail.docx", "A 6714-2026")</f>
        <v/>
      </c>
      <c r="AC103">
        <f>HYPERLINK("https://klasma.github.io/Logging_0482/tillsyn/A 6714-2026 tillsynsbegäran.docx", "A 6714-2026")</f>
        <v/>
      </c>
      <c r="AD103">
        <f>HYPERLINK("https://klasma.github.io/Logging_0482/tillsynsmail/A 6714-2026 tillsynsbegäran mail.docx", "A 6714-2026")</f>
        <v/>
      </c>
    </row>
    <row r="104" ht="15" customHeight="1">
      <c r="A104" t="inlineStr">
        <is>
          <t>A 54737-2022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46261</v>
      </c>
      <c r="F104" t="inlineStr">
        <is>
          <t>SÖDERMANLANDS LÄN</t>
        </is>
      </c>
      <c r="G104" t="inlineStr">
        <is>
          <t>FLEN</t>
        </is>
      </c>
      <c r="I104" t="n">
        <v>5.7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54737-2022 artfynd.xlsx", "A 54737-2022")</f>
        <v/>
      </c>
      <c r="X104">
        <f>HYPERLINK("https://klasma.github.io/Logging_0482/kartor/A 54737-2022 karta.png", "A 54737-2022")</f>
        <v/>
      </c>
      <c r="Y104">
        <f>HYPERLINK("https://klasma.github.io/Logging_0482/kartor_geotiff/A 54737-2022 georefererad karta.tif", "A 54737-2022")</f>
        <v/>
      </c>
      <c r="AA104">
        <f>HYPERLINK("https://klasma.github.io/Logging_0482/klagomål/A 54737-2022 FSC-klagomål.docx", "A 54737-2022")</f>
        <v/>
      </c>
      <c r="AB104">
        <f>HYPERLINK("https://klasma.github.io/Logging_0482/klagomålsmail/A 54737-2022 FSC-klagomål mail.docx", "A 54737-2022")</f>
        <v/>
      </c>
      <c r="AC104">
        <f>HYPERLINK("https://klasma.github.io/Logging_0482/tillsyn/A 54737-2022 tillsynsbegäran.docx", "A 54737-2022")</f>
        <v/>
      </c>
      <c r="AD104">
        <f>HYPERLINK("https://klasma.github.io/Logging_0482/tillsynsmail/A 54737-2022 tillsynsbegäran mail.docx", "A 54737-2022")</f>
        <v/>
      </c>
    </row>
    <row r="105" ht="15" customHeight="1">
      <c r="A105" t="inlineStr">
        <is>
          <t>A 9446-2026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46261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9446-2026 artfynd.xlsx", "A 9446-2026")</f>
        <v/>
      </c>
      <c r="X105">
        <f>HYPERLINK("https://klasma.github.io/Logging_0482/kartor/A 9446-2026 karta.png", "A 9446-2026")</f>
        <v/>
      </c>
      <c r="Y105">
        <f>HYPERLINK("https://klasma.github.io/Logging_0482/kartor_geotiff/A 9446-2026 georefererad karta.tif", "A 9446-2026")</f>
        <v/>
      </c>
      <c r="AA105">
        <f>HYPERLINK("https://klasma.github.io/Logging_0482/klagomål/A 9446-2026 FSC-klagomål.docx", "A 9446-2026")</f>
        <v/>
      </c>
      <c r="AB105">
        <f>HYPERLINK("https://klasma.github.io/Logging_0482/klagomålsmail/A 9446-2026 FSC-klagomål mail.docx", "A 9446-2026")</f>
        <v/>
      </c>
      <c r="AC105">
        <f>HYPERLINK("https://klasma.github.io/Logging_0482/tillsyn/A 9446-2026 tillsynsbegäran.docx", "A 9446-2026")</f>
        <v/>
      </c>
      <c r="AD105">
        <f>HYPERLINK("https://klasma.github.io/Logging_0482/tillsynsmail/A 9446-2026 tillsynsbegäran mail.docx", "A 9446-2026")</f>
        <v/>
      </c>
    </row>
    <row r="106" ht="15" customHeight="1">
      <c r="A106" t="inlineStr">
        <is>
          <t>A 10999-2026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46261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10999-2026 artfynd.xlsx", "A 10999-2026")</f>
        <v/>
      </c>
      <c r="X106">
        <f>HYPERLINK("https://klasma.github.io/Logging_0482/kartor/A 10999-2026 karta.png", "A 10999-2026")</f>
        <v/>
      </c>
      <c r="Y106">
        <f>HYPERLINK("https://klasma.github.io/Logging_0482/kartor_geotiff/A 10999-2026 georefererad karta.tif", "A 10999-2026")</f>
        <v/>
      </c>
      <c r="AA106">
        <f>HYPERLINK("https://klasma.github.io/Logging_0482/klagomål/A 10999-2026 FSC-klagomål.docx", "A 10999-2026")</f>
        <v/>
      </c>
      <c r="AB106">
        <f>HYPERLINK("https://klasma.github.io/Logging_0482/klagomålsmail/A 10999-2026 FSC-klagomål mail.docx", "A 10999-2026")</f>
        <v/>
      </c>
      <c r="AC106">
        <f>HYPERLINK("https://klasma.github.io/Logging_0482/tillsyn/A 10999-2026 tillsynsbegäran.docx", "A 10999-2026")</f>
        <v/>
      </c>
      <c r="AD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12056-2024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46261</v>
      </c>
      <c r="F107" t="inlineStr">
        <is>
          <t>SÖDERMANLANDS LÄN</t>
        </is>
      </c>
      <c r="G107" t="inlineStr">
        <is>
          <t>FLEN</t>
        </is>
      </c>
      <c r="I107" t="n">
        <v>8.4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Fjällig taggsvamp s.str.</t>
        </is>
      </c>
      <c r="W107">
        <f>HYPERLINK("https://klasma.github.io/Logging_0482/artfynd/A 12056-2024 artfynd.xlsx", "A 12056-2024")</f>
        <v/>
      </c>
      <c r="X107">
        <f>HYPERLINK("https://klasma.github.io/Logging_0482/kartor/A 12056-2024 karta.png", "A 12056-2024")</f>
        <v/>
      </c>
      <c r="Y107">
        <f>HYPERLINK("https://klasma.github.io/Logging_0482/kartor_geotiff/A 12056-2024 georefererad karta.tif", "A 12056-2024")</f>
        <v/>
      </c>
      <c r="AA107">
        <f>HYPERLINK("https://klasma.github.io/Logging_0482/klagomål/A 12056-2024 FSC-klagomål.docx", "A 12056-2024")</f>
        <v/>
      </c>
      <c r="AB107">
        <f>HYPERLINK("https://klasma.github.io/Logging_0482/klagomålsmail/A 12056-2024 FSC-klagomål mail.docx", "A 12056-2024")</f>
        <v/>
      </c>
      <c r="AC107">
        <f>HYPERLINK("https://klasma.github.io/Logging_0482/tillsyn/A 12056-2024 tillsynsbegäran.docx", "A 12056-2024")</f>
        <v/>
      </c>
      <c r="AD107">
        <f>HYPERLINK("https://klasma.github.io/Logging_0482/tillsynsmail/A 12056-2024 tillsynsbegäran mail.docx", "A 12056-2024")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46261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52546-2021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44463</v>
      </c>
      <c r="E109" s="1" t="n">
        <v>46261</v>
      </c>
      <c r="F109" t="inlineStr">
        <is>
          <t>SÖDERMANLANDS LÄN</t>
        </is>
      </c>
      <c r="G109" t="inlineStr">
        <is>
          <t>FLEN</t>
        </is>
      </c>
      <c r="I109" t="n">
        <v>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Mindre bastardsvärmare</t>
        </is>
      </c>
      <c r="W109">
        <f>HYPERLINK("https://klasma.github.io/Logging_0482/artfynd/A 52546-2021 artfynd.xlsx", "A 52546-2021")</f>
        <v/>
      </c>
      <c r="X109">
        <f>HYPERLINK("https://klasma.github.io/Logging_0482/kartor/A 52546-2021 karta.png", "A 52546-2021")</f>
        <v/>
      </c>
      <c r="Y109">
        <f>HYPERLINK("https://klasma.github.io/Logging_0482/kartor_geotiff/A 52546-2021 georefererad karta.tif", "A 52546-2021")</f>
        <v/>
      </c>
      <c r="AA109">
        <f>HYPERLINK("https://klasma.github.io/Logging_0482/klagomål/A 52546-2021 FSC-klagomål.docx", "A 52546-2021")</f>
        <v/>
      </c>
      <c r="AB109">
        <f>HYPERLINK("https://klasma.github.io/Logging_0482/klagomålsmail/A 52546-2021 FSC-klagomål mail.docx", "A 52546-2021")</f>
        <v/>
      </c>
      <c r="AC109">
        <f>HYPERLINK("https://klasma.github.io/Logging_0482/tillsyn/A 52546-2021 tillsynsbegäran.docx", "A 52546-2021")</f>
        <v/>
      </c>
      <c r="AD109">
        <f>HYPERLINK("https://klasma.github.io/Logging_0482/tillsynsmail/A 52546-2021 tillsynsbegäran mail.docx", "A 52546-2021")</f>
        <v/>
      </c>
    </row>
    <row r="110" ht="15" customHeight="1">
      <c r="A110" t="inlineStr">
        <is>
          <t>A 10770-2022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46261</v>
      </c>
      <c r="F110" t="inlineStr">
        <is>
          <t>SÖDERMANLANDS LÄN</t>
        </is>
      </c>
      <c r="G110" t="inlineStr">
        <is>
          <t>FLEN</t>
        </is>
      </c>
      <c r="I110" t="n">
        <v>2.3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Svinrot</t>
        </is>
      </c>
      <c r="W110">
        <f>HYPERLINK("https://klasma.github.io/Logging_0482/artfynd/A 10770-2022 artfynd.xlsx", "A 10770-2022")</f>
        <v/>
      </c>
      <c r="X110">
        <f>HYPERLINK("https://klasma.github.io/Logging_0482/kartor/A 10770-2022 karta.png", "A 10770-2022")</f>
        <v/>
      </c>
      <c r="Y110">
        <f>HYPERLINK("https://klasma.github.io/Logging_0482/kartor_geotiff/A 10770-2022 georefererad karta.tif", "A 10770-2022")</f>
        <v/>
      </c>
      <c r="AA110">
        <f>HYPERLINK("https://klasma.github.io/Logging_0482/klagomål/A 10770-2022 FSC-klagomål.docx", "A 10770-2022")</f>
        <v/>
      </c>
      <c r="AB110">
        <f>HYPERLINK("https://klasma.github.io/Logging_0482/klagomålsmail/A 10770-2022 FSC-klagomål mail.docx", "A 10770-2022")</f>
        <v/>
      </c>
      <c r="AC110">
        <f>HYPERLINK("https://klasma.github.io/Logging_0482/tillsyn/A 10770-2022 tillsynsbegäran.docx", "A 10770-2022")</f>
        <v/>
      </c>
      <c r="AD110">
        <f>HYPERLINK("https://klasma.github.io/Logging_0482/tillsynsmail/A 10770-2022 tillsynsbegäran mail.docx", "A 10770-2022")</f>
        <v/>
      </c>
    </row>
    <row r="111" ht="15" customHeight="1">
      <c r="A111" t="inlineStr">
        <is>
          <t>A 52579-2025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46261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52579-2025 artfynd.xlsx", "A 52579-2025")</f>
        <v/>
      </c>
      <c r="X111">
        <f>HYPERLINK("https://klasma.github.io/Logging_0482/kartor/A 52579-2025 karta.png", "A 52579-2025")</f>
        <v/>
      </c>
      <c r="Y111">
        <f>HYPERLINK("https://klasma.github.io/Logging_0482/kartor_geotiff/A 52579-2025 georefererad karta.tif", "A 52579-2025")</f>
        <v/>
      </c>
      <c r="AA111">
        <f>HYPERLINK("https://klasma.github.io/Logging_0482/klagomål/A 52579-2025 FSC-klagomål.docx", "A 52579-2025")</f>
        <v/>
      </c>
      <c r="AB111">
        <f>HYPERLINK("https://klasma.github.io/Logging_0482/klagomålsmail/A 52579-2025 FSC-klagomål mail.docx", "A 52579-2025")</f>
        <v/>
      </c>
      <c r="AC111">
        <f>HYPERLINK("https://klasma.github.io/Logging_0482/tillsyn/A 52579-2025 tillsynsbegäran.docx", "A 52579-2025")</f>
        <v/>
      </c>
      <c r="AD111">
        <f>HYPERLINK("https://klasma.github.io/Logging_0482/tillsynsmail/A 52579-2025 tillsynsbegäran mail.docx", "A 52579-2025")</f>
        <v/>
      </c>
    </row>
    <row r="112" ht="15" customHeight="1">
      <c r="A112" t="inlineStr">
        <is>
          <t>A 14273-2025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46261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3.1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Vedskivlav</t>
        </is>
      </c>
      <c r="W112">
        <f>HYPERLINK("https://klasma.github.io/Logging_0482/artfynd/A 14273-2025 artfynd.xlsx", "A 14273-2025")</f>
        <v/>
      </c>
      <c r="X112">
        <f>HYPERLINK("https://klasma.github.io/Logging_0482/kartor/A 14273-2025 karta.png", "A 14273-2025")</f>
        <v/>
      </c>
      <c r="Y112">
        <f>HYPERLINK("https://klasma.github.io/Logging_0482/kartor_geotiff/A 14273-2025 georefererad karta.tif", "A 14273-2025")</f>
        <v/>
      </c>
      <c r="AA112">
        <f>HYPERLINK("https://klasma.github.io/Logging_0482/klagomål/A 14273-2025 FSC-klagomål.docx", "A 14273-2025")</f>
        <v/>
      </c>
      <c r="AB112">
        <f>HYPERLINK("https://klasma.github.io/Logging_0482/klagomålsmail/A 14273-2025 FSC-klagomål mail.docx", "A 14273-2025")</f>
        <v/>
      </c>
      <c r="AC112">
        <f>HYPERLINK("https://klasma.github.io/Logging_0482/tillsyn/A 14273-2025 tillsynsbegäran.docx", "A 14273-2025")</f>
        <v/>
      </c>
      <c r="AD112">
        <f>HYPERLINK("https://klasma.github.io/Logging_0482/tillsynsmail/A 14273-2025 tillsynsbegäran mail.docx", "A 14273-2025")</f>
        <v/>
      </c>
    </row>
    <row r="113" ht="15" customHeight="1">
      <c r="A113" t="inlineStr">
        <is>
          <t>A 21704-2026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46261</v>
      </c>
      <c r="F113" t="inlineStr">
        <is>
          <t>SÖDERMANLANDS LÄN</t>
        </is>
      </c>
      <c r="G113" t="inlineStr">
        <is>
          <t>FLEN</t>
        </is>
      </c>
      <c r="I113" t="n">
        <v>10.2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Kandelabersvamp</t>
        </is>
      </c>
      <c r="W113">
        <f>HYPERLINK("https://klasma.github.io/Logging_0482/artfynd/A 21704-2026 artfynd.xlsx", "A 21704-2026")</f>
        <v/>
      </c>
      <c r="X113">
        <f>HYPERLINK("https://klasma.github.io/Logging_0482/kartor/A 21704-2026 karta.png", "A 21704-2026")</f>
        <v/>
      </c>
      <c r="Y113">
        <f>HYPERLINK("https://klasma.github.io/Logging_0482/kartor_geotiff/A 21704-2026 georefererad karta.tif", "A 21704-2026")</f>
        <v/>
      </c>
      <c r="AA113">
        <f>HYPERLINK("https://klasma.github.io/Logging_0482/klagomål/A 21704-2026 FSC-klagomål.docx", "A 21704-2026")</f>
        <v/>
      </c>
      <c r="AB113">
        <f>HYPERLINK("https://klasma.github.io/Logging_0482/klagomålsmail/A 21704-2026 FSC-klagomål mail.docx", "A 21704-2026")</f>
        <v/>
      </c>
      <c r="AC113">
        <f>HYPERLINK("https://klasma.github.io/Logging_0482/tillsyn/A 21704-2026 tillsynsbegäran.docx", "A 21704-2026")</f>
        <v/>
      </c>
      <c r="AD113">
        <f>HYPERLINK("https://klasma.github.io/Logging_0482/tillsynsmail/A 21704-2026 tillsynsbegäran mail.docx", "A 21704-2026")</f>
        <v/>
      </c>
    </row>
    <row r="114" ht="15" customHeight="1">
      <c r="A114" t="inlineStr">
        <is>
          <t>A 24179-2026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46168</v>
      </c>
      <c r="E114" s="1" t="n">
        <v>46261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24179-2026 artfynd.xlsx", "A 24179-2026")</f>
        <v/>
      </c>
      <c r="X114">
        <f>HYPERLINK("https://klasma.github.io/Logging_0482/kartor/A 24179-2026 karta.png", "A 24179-2026")</f>
        <v/>
      </c>
      <c r="Y114">
        <f>HYPERLINK("https://klasma.github.io/Logging_0482/kartor_geotiff/A 24179-2026 georefererad karta.tif", "A 24179-2026")</f>
        <v/>
      </c>
      <c r="AA114">
        <f>HYPERLINK("https://klasma.github.io/Logging_0482/klagomål/A 24179-2026 FSC-klagomål.docx", "A 24179-2026")</f>
        <v/>
      </c>
      <c r="AB114">
        <f>HYPERLINK("https://klasma.github.io/Logging_0482/klagomålsmail/A 24179-2026 FSC-klagomål mail.docx", "A 24179-2026")</f>
        <v/>
      </c>
      <c r="AC114">
        <f>HYPERLINK("https://klasma.github.io/Logging_0482/tillsyn/A 24179-2026 tillsynsbegäran.docx", "A 24179-2026")</f>
        <v/>
      </c>
      <c r="AD114">
        <f>HYPERLINK("https://klasma.github.io/Logging_0482/tillsynsmail/A 24179-2026 tillsynsbegäran mail.docx", "A 24179-2026")</f>
        <v/>
      </c>
    </row>
    <row r="115" ht="15" customHeight="1">
      <c r="A115" t="inlineStr">
        <is>
          <t>A 26310-2026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46261</v>
      </c>
      <c r="F115" t="inlineStr">
        <is>
          <t>SÖDERMANLANDS LÄN</t>
        </is>
      </c>
      <c r="G115" t="inlineStr">
        <is>
          <t>FLEN</t>
        </is>
      </c>
      <c r="I115" t="n">
        <v>1.2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HYPERLINK("https://klasma.github.io/Logging_0482/artfynd/A 26310-2026 artfynd.xlsx", "A 26310-2026")</f>
        <v/>
      </c>
      <c r="X115">
        <f>HYPERLINK("https://klasma.github.io/Logging_0482/kartor/A 26310-2026 karta.png", "A 26310-2026")</f>
        <v/>
      </c>
      <c r="Y115">
        <f>HYPERLINK("https://klasma.github.io/Logging_0482/kartor_geotiff/A 26310-2026 georefererad karta.tif", "A 26310-2026")</f>
        <v/>
      </c>
      <c r="AA115">
        <f>HYPERLINK("https://klasma.github.io/Logging_0482/klagomål/A 26310-2026 FSC-klagomål.docx", "A 26310-2026")</f>
        <v/>
      </c>
      <c r="AB115">
        <f>HYPERLINK("https://klasma.github.io/Logging_0482/klagomålsmail/A 26310-2026 FSC-klagomål mail.docx", "A 26310-2026")</f>
        <v/>
      </c>
      <c r="AC115">
        <f>HYPERLINK("https://klasma.github.io/Logging_0482/tillsyn/A 26310-2026 tillsynsbegäran.docx", "A 26310-2026")</f>
        <v/>
      </c>
      <c r="AD115">
        <f>HYPERLINK("https://klasma.github.io/Logging_0482/tillsynsmail/A 26310-2026 tillsynsbegäran mail.docx", "A 26310-2026")</f>
        <v/>
      </c>
      <c r="AE115">
        <f>HYPERLINK("https://klasma.github.io/Logging_0482/fåglar/A 26310-2026 prioriterade fågelarter.docx", "A 26310-2026")</f>
        <v/>
      </c>
    </row>
    <row r="116" ht="15" customHeight="1">
      <c r="A116" t="inlineStr">
        <is>
          <t>A 26052-2026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46261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Revlummer</t>
        </is>
      </c>
      <c r="W116">
        <f>HYPERLINK("https://klasma.github.io/Logging_0482/artfynd/A 26052-2026 artfynd.xlsx", "A 26052-2026")</f>
        <v/>
      </c>
      <c r="X116">
        <f>HYPERLINK("https://klasma.github.io/Logging_0482/kartor/A 26052-2026 karta.png", "A 26052-2026")</f>
        <v/>
      </c>
      <c r="Y116">
        <f>HYPERLINK("https://klasma.github.io/Logging_0482/kartor_geotiff/A 26052-2026 georefererad karta.tif", "A 26052-2026")</f>
        <v/>
      </c>
      <c r="AA116">
        <f>HYPERLINK("https://klasma.github.io/Logging_0482/klagomål/A 26052-2026 FSC-klagomål.docx", "A 26052-2026")</f>
        <v/>
      </c>
      <c r="AB116">
        <f>HYPERLINK("https://klasma.github.io/Logging_0482/klagomålsmail/A 26052-2026 FSC-klagomål mail.docx", "A 26052-2026")</f>
        <v/>
      </c>
      <c r="AC116">
        <f>HYPERLINK("https://klasma.github.io/Logging_0482/tillsyn/A 26052-2026 tillsynsbegäran.docx", "A 26052-2026")</f>
        <v/>
      </c>
      <c r="AD116">
        <f>HYPERLINK("https://klasma.github.io/Logging_0482/tillsynsmail/A 26052-2026 tillsynsbegäran mail.docx", "A 26052-2026")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46261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62535-2021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46261</v>
      </c>
      <c r="F118" t="inlineStr">
        <is>
          <t>SÖDERMANLANDS LÄN</t>
        </is>
      </c>
      <c r="G118" t="inlineStr">
        <is>
          <t>FLEN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62535-2021 artfynd.xlsx", "A 62535-2021")</f>
        <v/>
      </c>
      <c r="X118">
        <f>HYPERLINK("https://klasma.github.io/Logging_0482/kartor/A 62535-2021 karta.png", "A 62535-2021")</f>
        <v/>
      </c>
      <c r="Y118">
        <f>HYPERLINK("https://klasma.github.io/Logging_0482/kartor_geotiff/A 62535-2021 georefererad karta.tif", "A 62535-2021")</f>
        <v/>
      </c>
      <c r="AA118">
        <f>HYPERLINK("https://klasma.github.io/Logging_0482/klagomål/A 62535-2021 FSC-klagomål.docx", "A 62535-2021")</f>
        <v/>
      </c>
      <c r="AB118">
        <f>HYPERLINK("https://klasma.github.io/Logging_0482/klagomålsmail/A 62535-2021 FSC-klagomål mail.docx", "A 62535-2021")</f>
        <v/>
      </c>
      <c r="AC118">
        <f>HYPERLINK("https://klasma.github.io/Logging_0482/tillsyn/A 62535-2021 tillsynsbegäran.docx", "A 62535-2021")</f>
        <v/>
      </c>
      <c r="AD118">
        <f>HYPERLINK("https://klasma.github.io/Logging_0482/tillsynsmail/A 62535-2021 tillsynsbegäran mail.docx", "A 62535-2021")</f>
        <v/>
      </c>
    </row>
    <row r="119" ht="15" customHeight="1">
      <c r="A119" t="inlineStr">
        <is>
          <t>A 50202-2022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46261</v>
      </c>
      <c r="F119" t="inlineStr">
        <is>
          <t>SÖDERMANLANDS LÄN</t>
        </is>
      </c>
      <c r="G119" t="inlineStr">
        <is>
          <t>FLEN</t>
        </is>
      </c>
      <c r="H119" t="inlineStr">
        <is>
          <t>Kyrkan</t>
        </is>
      </c>
      <c r="I119" t="n">
        <v>5.8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50202-2022 artfynd.xlsx", "A 50202-2022")</f>
        <v/>
      </c>
      <c r="X119">
        <f>HYPERLINK("https://klasma.github.io/Logging_0482/kartor/A 50202-2022 karta.png", "A 50202-2022")</f>
        <v/>
      </c>
      <c r="Y119">
        <f>HYPERLINK("https://klasma.github.io/Logging_0482/kartor_geotiff/A 50202-2022 georefererad karta.tif", "A 50202-2022")</f>
        <v/>
      </c>
      <c r="AA119">
        <f>HYPERLINK("https://klasma.github.io/Logging_0482/klagomål/A 50202-2022 FSC-klagomål.docx", "A 50202-2022")</f>
        <v/>
      </c>
      <c r="AB119">
        <f>HYPERLINK("https://klasma.github.io/Logging_0482/klagomålsmail/A 50202-2022 FSC-klagomål mail.docx", "A 50202-2022")</f>
        <v/>
      </c>
      <c r="AC119">
        <f>HYPERLINK("https://klasma.github.io/Logging_0482/tillsyn/A 50202-2022 tillsynsbegäran.docx", "A 50202-2022")</f>
        <v/>
      </c>
      <c r="AD119">
        <f>HYPERLINK("https://klasma.github.io/Logging_0482/tillsynsmail/A 50202-2022 tillsynsbegäran mail.docx", "A 50202-2022")</f>
        <v/>
      </c>
    </row>
    <row r="120" ht="15" customHeight="1">
      <c r="A120" t="inlineStr">
        <is>
          <t>A 52563-2021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46261</v>
      </c>
      <c r="F120" t="inlineStr">
        <is>
          <t>SÖDERMANLANDS LÄN</t>
        </is>
      </c>
      <c r="G120" t="inlineStr">
        <is>
          <t>FLEN</t>
        </is>
      </c>
      <c r="I120" t="n">
        <v>9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Gulsparv</t>
        </is>
      </c>
      <c r="W120">
        <f>HYPERLINK("https://klasma.github.io/Logging_0482/artfynd/A 52563-2021 artfynd.xlsx", "A 52563-2021")</f>
        <v/>
      </c>
      <c r="X120">
        <f>HYPERLINK("https://klasma.github.io/Logging_0482/kartor/A 52563-2021 karta.png", "A 52563-2021")</f>
        <v/>
      </c>
      <c r="Y120">
        <f>HYPERLINK("https://klasma.github.io/Logging_0482/kartor_geotiff/A 52563-2021 georefererad karta.tif", "A 52563-2021")</f>
        <v/>
      </c>
      <c r="AA120">
        <f>HYPERLINK("https://klasma.github.io/Logging_0482/klagomål/A 52563-2021 FSC-klagomål.docx", "A 52563-2021")</f>
        <v/>
      </c>
      <c r="AB120">
        <f>HYPERLINK("https://klasma.github.io/Logging_0482/klagomålsmail/A 52563-2021 FSC-klagomål mail.docx", "A 52563-2021")</f>
        <v/>
      </c>
      <c r="AC120">
        <f>HYPERLINK("https://klasma.github.io/Logging_0482/tillsyn/A 52563-2021 tillsynsbegäran.docx", "A 52563-2021")</f>
        <v/>
      </c>
      <c r="AD120">
        <f>HYPERLINK("https://klasma.github.io/Logging_0482/tillsynsmail/A 52563-2021 tillsynsbegäran mail.docx", "A 52563-2021")</f>
        <v/>
      </c>
      <c r="AE120">
        <f>HYPERLINK("https://klasma.github.io/Logging_0482/fåglar/A 52563-2021 prioriterade fågelarter.docx", "A 52563-2021")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46261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60562-2021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46261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Gullklöver</t>
        </is>
      </c>
      <c r="W122">
        <f>HYPERLINK("https://klasma.github.io/Logging_0482/artfynd/A 60562-2021 artfynd.xlsx", "A 60562-2021")</f>
        <v/>
      </c>
      <c r="X122">
        <f>HYPERLINK("https://klasma.github.io/Logging_0482/kartor/A 60562-2021 karta.png", "A 60562-2021")</f>
        <v/>
      </c>
      <c r="Y122">
        <f>HYPERLINK("https://klasma.github.io/Logging_0482/kartor_geotiff/A 60562-2021 georefererad karta.tif", "A 60562-2021")</f>
        <v/>
      </c>
      <c r="AA122">
        <f>HYPERLINK("https://klasma.github.io/Logging_0482/klagomål/A 60562-2021 FSC-klagomål.docx", "A 60562-2021")</f>
        <v/>
      </c>
      <c r="AB122">
        <f>HYPERLINK("https://klasma.github.io/Logging_0482/klagomålsmail/A 60562-2021 FSC-klagomål mail.docx", "A 60562-2021")</f>
        <v/>
      </c>
      <c r="AC122">
        <f>HYPERLINK("https://klasma.github.io/Logging_0482/tillsyn/A 60562-2021 tillsynsbegäran.docx", "A 60562-2021")</f>
        <v/>
      </c>
      <c r="AD122">
        <f>HYPERLINK("https://klasma.github.io/Logging_0482/tillsynsmail/A 60562-2021 tillsynsbegäran mail.docx", "A 60562-2021")</f>
        <v/>
      </c>
    </row>
    <row r="123" ht="15" customHeight="1">
      <c r="A123" t="inlineStr">
        <is>
          <t>A 30406-2026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46209</v>
      </c>
      <c r="E123" s="1" t="n">
        <v>46261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Ullticka</t>
        </is>
      </c>
      <c r="W123">
        <f>HYPERLINK("https://klasma.github.io/Logging_0482/artfynd/A 30406-2026 artfynd.xlsx", "A 30406-2026")</f>
        <v/>
      </c>
      <c r="X123">
        <f>HYPERLINK("https://klasma.github.io/Logging_0482/kartor/A 30406-2026 karta.png", "A 30406-2026")</f>
        <v/>
      </c>
      <c r="Y123">
        <f>HYPERLINK("https://klasma.github.io/Logging_0482/kartor_geotiff/A 30406-2026 georefererad karta.tif", "A 30406-2026")</f>
        <v/>
      </c>
      <c r="AA123">
        <f>HYPERLINK("https://klasma.github.io/Logging_0482/klagomål/A 30406-2026 FSC-klagomål.docx", "A 30406-2026")</f>
        <v/>
      </c>
      <c r="AB123">
        <f>HYPERLINK("https://klasma.github.io/Logging_0482/klagomålsmail/A 30406-2026 FSC-klagomål mail.docx", "A 30406-2026")</f>
        <v/>
      </c>
      <c r="AC123">
        <f>HYPERLINK("https://klasma.github.io/Logging_0482/tillsyn/A 30406-2026 tillsynsbegäran.docx", "A 30406-2026")</f>
        <v/>
      </c>
      <c r="AD123">
        <f>HYPERLINK("https://klasma.github.io/Logging_0482/tillsynsmail/A 30406-2026 tillsynsbegäran mail.docx", "A 30406-2026")</f>
        <v/>
      </c>
    </row>
    <row r="124" ht="15" customHeight="1">
      <c r="A124" t="inlineStr">
        <is>
          <t>A 7525-2024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45348</v>
      </c>
      <c r="E124" s="1" t="n">
        <v>46261</v>
      </c>
      <c r="F124" t="inlineStr">
        <is>
          <t>SÖDERMANLANDS LÄN</t>
        </is>
      </c>
      <c r="G124" t="inlineStr">
        <is>
          <t>FLEN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Vanlig backsmörblomma</t>
        </is>
      </c>
      <c r="W124">
        <f>HYPERLINK("https://klasma.github.io/Logging_0482/artfynd/A 7525-2024 artfynd.xlsx", "A 7525-2024")</f>
        <v/>
      </c>
      <c r="X124">
        <f>HYPERLINK("https://klasma.github.io/Logging_0482/kartor/A 7525-2024 karta.png", "A 7525-2024")</f>
        <v/>
      </c>
      <c r="Y124">
        <f>HYPERLINK("https://klasma.github.io/Logging_0482/kartor_geotiff/A 7525-2024 georefererad karta.tif", "A 7525-2024")</f>
        <v/>
      </c>
      <c r="AA124">
        <f>HYPERLINK("https://klasma.github.io/Logging_0482/klagomål/A 7525-2024 FSC-klagomål.docx", "A 7525-2024")</f>
        <v/>
      </c>
      <c r="AB124">
        <f>HYPERLINK("https://klasma.github.io/Logging_0482/klagomålsmail/A 7525-2024 FSC-klagomål mail.docx", "A 7525-2024")</f>
        <v/>
      </c>
      <c r="AC124">
        <f>HYPERLINK("https://klasma.github.io/Logging_0482/tillsyn/A 7525-2024 tillsynsbegäran.docx", "A 7525-2024")</f>
        <v/>
      </c>
      <c r="AD124">
        <f>HYPERLINK("https://klasma.github.io/Logging_0482/tillsynsmail/A 7525-2024 tillsynsbegäran mail.docx", "A 7525-2024")</f>
        <v/>
      </c>
    </row>
    <row r="125" ht="15" customHeight="1">
      <c r="A125" t="inlineStr">
        <is>
          <t>A 13858-2023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46261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Svedjenäva</t>
        </is>
      </c>
      <c r="W125">
        <f>HYPERLINK("https://klasma.github.io/Logging_0482/artfynd/A 13858-2023 artfynd.xlsx", "A 13858-2023")</f>
        <v/>
      </c>
      <c r="X125">
        <f>HYPERLINK("https://klasma.github.io/Logging_0482/kartor/A 13858-2023 karta.png", "A 13858-2023")</f>
        <v/>
      </c>
      <c r="Y125">
        <f>HYPERLINK("https://klasma.github.io/Logging_0482/kartor_geotiff/A 13858-2023 georefererad karta.tif", "A 13858-2023")</f>
        <v/>
      </c>
      <c r="AA125">
        <f>HYPERLINK("https://klasma.github.io/Logging_0482/klagomål/A 13858-2023 FSC-klagomål.docx", "A 13858-2023")</f>
        <v/>
      </c>
      <c r="AB125">
        <f>HYPERLINK("https://klasma.github.io/Logging_0482/klagomålsmail/A 13858-2023 FSC-klagomål mail.docx", "A 13858-2023")</f>
        <v/>
      </c>
      <c r="AC125">
        <f>HYPERLINK("https://klasma.github.io/Logging_0482/tillsyn/A 13858-2023 tillsynsbegäran.docx", "A 13858-2023")</f>
        <v/>
      </c>
      <c r="AD125">
        <f>HYPERLINK("https://klasma.github.io/Logging_0482/tillsynsmail/A 13858-2023 tillsynsbegäran mail.docx", "A 13858-2023")</f>
        <v/>
      </c>
    </row>
    <row r="126" ht="15" customHeight="1">
      <c r="A126" t="inlineStr">
        <is>
          <t>A 45107-2023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46261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Brudborste</t>
        </is>
      </c>
      <c r="W126">
        <f>HYPERLINK("https://klasma.github.io/Logging_0482/artfynd/A 45107-2023 artfynd.xlsx", "A 45107-2023")</f>
        <v/>
      </c>
      <c r="X126">
        <f>HYPERLINK("https://klasma.github.io/Logging_0482/kartor/A 45107-2023 karta.png", "A 45107-2023")</f>
        <v/>
      </c>
      <c r="Y126">
        <f>HYPERLINK("https://klasma.github.io/Logging_0482/kartor_geotiff/A 45107-2023 georefererad karta.tif", "A 45107-2023")</f>
        <v/>
      </c>
      <c r="AA126">
        <f>HYPERLINK("https://klasma.github.io/Logging_0482/klagomål/A 45107-2023 FSC-klagomål.docx", "A 45107-2023")</f>
        <v/>
      </c>
      <c r="AB126">
        <f>HYPERLINK("https://klasma.github.io/Logging_0482/klagomålsmail/A 45107-2023 FSC-klagomål mail.docx", "A 45107-2023")</f>
        <v/>
      </c>
      <c r="AC126">
        <f>HYPERLINK("https://klasma.github.io/Logging_0482/tillsyn/A 45107-2023 tillsynsbegäran.docx", "A 45107-2023")</f>
        <v/>
      </c>
      <c r="AD126">
        <f>HYPERLINK("https://klasma.github.io/Logging_0482/tillsynsmail/A 45107-2023 tillsynsbegäran mail.docx", "A 45107-2023")</f>
        <v/>
      </c>
    </row>
    <row r="127" ht="15" customHeight="1">
      <c r="A127" t="inlineStr">
        <is>
          <t>A 1242-2022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44572</v>
      </c>
      <c r="E127" s="1" t="n">
        <v>46261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9.300000000000001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Slåtterfibbla</t>
        </is>
      </c>
      <c r="W127">
        <f>HYPERLINK("https://klasma.github.io/Logging_0482/artfynd/A 1242-2022 artfynd.xlsx", "A 1242-2022")</f>
        <v/>
      </c>
      <c r="X127">
        <f>HYPERLINK("https://klasma.github.io/Logging_0482/kartor/A 1242-2022 karta.png", "A 1242-2022")</f>
        <v/>
      </c>
      <c r="Y127">
        <f>HYPERLINK("https://klasma.github.io/Logging_0482/kartor_geotiff/A 1242-2022 georefererad karta.tif", "A 1242-2022")</f>
        <v/>
      </c>
      <c r="AA127">
        <f>HYPERLINK("https://klasma.github.io/Logging_0482/klagomål/A 1242-2022 FSC-klagomål.docx", "A 1242-2022")</f>
        <v/>
      </c>
      <c r="AB127">
        <f>HYPERLINK("https://klasma.github.io/Logging_0482/klagomålsmail/A 1242-2022 FSC-klagomål mail.docx", "A 1242-2022")</f>
        <v/>
      </c>
      <c r="AC127">
        <f>HYPERLINK("https://klasma.github.io/Logging_0482/tillsyn/A 1242-2022 tillsynsbegäran.docx", "A 1242-2022")</f>
        <v/>
      </c>
      <c r="AD127">
        <f>HYPERLINK("https://klasma.github.io/Logging_0482/tillsynsmail/A 1242-2022 tillsynsbegäran mail.docx", "A 1242-2022")</f>
        <v/>
      </c>
    </row>
    <row r="128" ht="15" customHeight="1">
      <c r="A128" t="inlineStr">
        <is>
          <t>A 12371-2022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46261</v>
      </c>
      <c r="F128" t="inlineStr">
        <is>
          <t>SÖDERMANLANDS LÄN</t>
        </is>
      </c>
      <c r="G128" t="inlineStr">
        <is>
          <t>FLEN</t>
        </is>
      </c>
      <c r="H128" t="inlineStr">
        <is>
          <t>Kommuner</t>
        </is>
      </c>
      <c r="I128" t="n">
        <v>2.1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Gullklöver</t>
        </is>
      </c>
      <c r="W128">
        <f>HYPERLINK("https://klasma.github.io/Logging_0482/artfynd/A 12371-2022 artfynd.xlsx", "A 12371-2022")</f>
        <v/>
      </c>
      <c r="X128">
        <f>HYPERLINK("https://klasma.github.io/Logging_0482/kartor/A 12371-2022 karta.png", "A 12371-2022")</f>
        <v/>
      </c>
      <c r="Y128">
        <f>HYPERLINK("https://klasma.github.io/Logging_0482/kartor_geotiff/A 12371-2022 georefererad karta.tif", "A 12371-2022")</f>
        <v/>
      </c>
      <c r="AA128">
        <f>HYPERLINK("https://klasma.github.io/Logging_0482/klagomål/A 12371-2022 FSC-klagomål.docx", "A 12371-2022")</f>
        <v/>
      </c>
      <c r="AB128">
        <f>HYPERLINK("https://klasma.github.io/Logging_0482/klagomålsmail/A 12371-2022 FSC-klagomål mail.docx", "A 12371-2022")</f>
        <v/>
      </c>
      <c r="AC128">
        <f>HYPERLINK("https://klasma.github.io/Logging_0482/tillsyn/A 12371-2022 tillsynsbegäran.docx", "A 12371-2022")</f>
        <v/>
      </c>
      <c r="AD128">
        <f>HYPERLINK("https://klasma.github.io/Logging_0482/tillsynsmail/A 12371-2022 tillsynsbegäran mail.docx", "A 12371-2022")</f>
        <v/>
      </c>
    </row>
    <row r="129" ht="15" customHeight="1">
      <c r="A129" t="inlineStr">
        <is>
          <t>A 14113-2025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46261</v>
      </c>
      <c r="F129" t="inlineStr">
        <is>
          <t>SÖDERMANLANDS LÄN</t>
        </is>
      </c>
      <c r="G129" t="inlineStr">
        <is>
          <t>FLEN</t>
        </is>
      </c>
      <c r="H129" t="inlineStr">
        <is>
          <t>Övriga statliga verk och myndigheter</t>
        </is>
      </c>
      <c r="I129" t="n">
        <v>3.6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HYPERLINK("https://klasma.github.io/Logging_0482/artfynd/A 14113-2025 artfynd.xlsx", "A 14113-2025")</f>
        <v/>
      </c>
      <c r="X129">
        <f>HYPERLINK("https://klasma.github.io/Logging_0482/kartor/A 14113-2025 karta.png", "A 14113-2025")</f>
        <v/>
      </c>
      <c r="Y129">
        <f>HYPERLINK("https://klasma.github.io/Logging_0482/kartor_geotiff/A 14113-2025 georefererad karta.tif", "A 14113-2025")</f>
        <v/>
      </c>
      <c r="AA129">
        <f>HYPERLINK("https://klasma.github.io/Logging_0482/klagomål/A 14113-2025 FSC-klagomål.docx", "A 14113-2025")</f>
        <v/>
      </c>
      <c r="AB129">
        <f>HYPERLINK("https://klasma.github.io/Logging_0482/klagomålsmail/A 14113-2025 FSC-klagomål mail.docx", "A 14113-2025")</f>
        <v/>
      </c>
      <c r="AC129">
        <f>HYPERLINK("https://klasma.github.io/Logging_0482/tillsyn/A 14113-2025 tillsynsbegäran.docx", "A 14113-2025")</f>
        <v/>
      </c>
      <c r="AD129">
        <f>HYPERLINK("https://klasma.github.io/Logging_0482/tillsynsmail/A 14113-2025 tillsynsbegäran mail.docx", "A 14113-2025")</f>
        <v/>
      </c>
    </row>
    <row r="130" ht="15" customHeight="1">
      <c r="A130" t="inlineStr">
        <is>
          <t>A 39036-2023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46261</v>
      </c>
      <c r="F130" t="inlineStr">
        <is>
          <t>SÖDERMANLANDS LÄN</t>
        </is>
      </c>
      <c r="G130" t="inlineStr">
        <is>
          <t>FLEN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Igelkott</t>
        </is>
      </c>
      <c r="W130">
        <f>HYPERLINK("https://klasma.github.io/Logging_0482/artfynd/A 39036-2023 artfynd.xlsx", "A 39036-2023")</f>
        <v/>
      </c>
      <c r="X130">
        <f>HYPERLINK("https://klasma.github.io/Logging_0482/kartor/A 39036-2023 karta.png", "A 39036-2023")</f>
        <v/>
      </c>
      <c r="Y130">
        <f>HYPERLINK("https://klasma.github.io/Logging_0482/kartor_geotiff/A 39036-2023 georefererad karta.tif", "A 39036-2023")</f>
        <v/>
      </c>
      <c r="AA130">
        <f>HYPERLINK("https://klasma.github.io/Logging_0482/klagomål/A 39036-2023 FSC-klagomål.docx", "A 39036-2023")</f>
        <v/>
      </c>
      <c r="AB130">
        <f>HYPERLINK("https://klasma.github.io/Logging_0482/klagomålsmail/A 39036-2023 FSC-klagomål mail.docx", "A 39036-2023")</f>
        <v/>
      </c>
      <c r="AC130">
        <f>HYPERLINK("https://klasma.github.io/Logging_0482/tillsyn/A 39036-2023 tillsynsbegäran.docx", "A 39036-2023")</f>
        <v/>
      </c>
      <c r="AD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31427-2022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44774</v>
      </c>
      <c r="E131" s="1" t="n">
        <v>46261</v>
      </c>
      <c r="F131" t="inlineStr">
        <is>
          <t>SÖDERMANLANDS LÄN</t>
        </is>
      </c>
      <c r="G131" t="inlineStr">
        <is>
          <t>FLEN</t>
        </is>
      </c>
      <c r="I131" t="n">
        <v>3.7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Älg</t>
        </is>
      </c>
      <c r="W131">
        <f>HYPERLINK("https://klasma.github.io/Logging_0482/artfynd/A 31427-2022 artfynd.xlsx", "A 31427-2022")</f>
        <v/>
      </c>
      <c r="X131">
        <f>HYPERLINK("https://klasma.github.io/Logging_0482/kartor/A 31427-2022 karta.png", "A 31427-2022")</f>
        <v/>
      </c>
      <c r="Y131">
        <f>HYPERLINK("https://klasma.github.io/Logging_0482/kartor_geotiff/A 31427-2022 georefererad karta.tif", "A 31427-2022")</f>
        <v/>
      </c>
      <c r="AA131">
        <f>HYPERLINK("https://klasma.github.io/Logging_0482/klagomål/A 31427-2022 FSC-klagomål.docx", "A 31427-2022")</f>
        <v/>
      </c>
      <c r="AB131">
        <f>HYPERLINK("https://klasma.github.io/Logging_0482/klagomålsmail/A 31427-2022 FSC-klagomål mail.docx", "A 31427-2022")</f>
        <v/>
      </c>
      <c r="AC131">
        <f>HYPERLINK("https://klasma.github.io/Logging_0482/tillsyn/A 31427-2022 tillsynsbegäran.docx", "A 31427-2022")</f>
        <v/>
      </c>
      <c r="AD131">
        <f>HYPERLINK("https://klasma.github.io/Logging_0482/tillsynsmail/A 31427-2022 tillsynsbegäran mail.docx", "A 31427-2022")</f>
        <v/>
      </c>
    </row>
    <row r="132" ht="15" customHeight="1">
      <c r="A132" t="inlineStr">
        <is>
          <t>A 47756-2022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46261</v>
      </c>
      <c r="F132" t="inlineStr">
        <is>
          <t>SÖDERMANLANDS LÄN</t>
        </is>
      </c>
      <c r="G132" t="inlineStr">
        <is>
          <t>FLEN</t>
        </is>
      </c>
      <c r="I132" t="n">
        <v>2.4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47756-2022 artfynd.xlsx", "A 47756-2022")</f>
        <v/>
      </c>
      <c r="X132">
        <f>HYPERLINK("https://klasma.github.io/Logging_0482/kartor/A 47756-2022 karta.png", "A 47756-2022")</f>
        <v/>
      </c>
      <c r="Y132">
        <f>HYPERLINK("https://klasma.github.io/Logging_0482/kartor_geotiff/A 47756-2022 georefererad karta.tif", "A 47756-2022")</f>
        <v/>
      </c>
      <c r="AA132">
        <f>HYPERLINK("https://klasma.github.io/Logging_0482/klagomål/A 47756-2022 FSC-klagomål.docx", "A 47756-2022")</f>
        <v/>
      </c>
      <c r="AB132">
        <f>HYPERLINK("https://klasma.github.io/Logging_0482/klagomålsmail/A 47756-2022 FSC-klagomål mail.docx", "A 47756-2022")</f>
        <v/>
      </c>
      <c r="AC132">
        <f>HYPERLINK("https://klasma.github.io/Logging_0482/tillsyn/A 47756-2022 tillsynsbegäran.docx", "A 47756-2022")</f>
        <v/>
      </c>
      <c r="AD132">
        <f>HYPERLINK("https://klasma.github.io/Logging_0482/tillsynsmail/A 47756-2022 tillsynsbegäran mail.docx", "A 47756-2022")</f>
        <v/>
      </c>
    </row>
    <row r="133" ht="15" customHeight="1">
      <c r="A133" t="inlineStr">
        <is>
          <t>A 6982-2024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46261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Fläcknycklar</t>
        </is>
      </c>
      <c r="W133">
        <f>HYPERLINK("https://klasma.github.io/Logging_0482/artfynd/A 6982-2024 artfynd.xlsx", "A 6982-2024")</f>
        <v/>
      </c>
      <c r="X133">
        <f>HYPERLINK("https://klasma.github.io/Logging_0482/kartor/A 6982-2024 karta.png", "A 6982-2024")</f>
        <v/>
      </c>
      <c r="Y133">
        <f>HYPERLINK("https://klasma.github.io/Logging_0482/kartor_geotiff/A 6982-2024 georefererad karta.tif", "A 6982-2024")</f>
        <v/>
      </c>
      <c r="AA133">
        <f>HYPERLINK("https://klasma.github.io/Logging_0482/klagomål/A 6982-2024 FSC-klagomål.docx", "A 6982-2024")</f>
        <v/>
      </c>
      <c r="AB133">
        <f>HYPERLINK("https://klasma.github.io/Logging_0482/klagomålsmail/A 6982-2024 FSC-klagomål mail.docx", "A 6982-2024")</f>
        <v/>
      </c>
      <c r="AC133">
        <f>HYPERLINK("https://klasma.github.io/Logging_0482/tillsyn/A 6982-2024 tillsynsbegäran.docx", "A 6982-2024")</f>
        <v/>
      </c>
      <c r="AD133">
        <f>HYPERLINK("https://klasma.github.io/Logging_0482/tillsynsmail/A 6982-2024 tillsynsbegäran mail.docx", "A 6982-2024")</f>
        <v/>
      </c>
    </row>
    <row r="134" ht="15" customHeight="1">
      <c r="A134" t="inlineStr">
        <is>
          <t>A 53339-2023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46261</v>
      </c>
      <c r="F134" t="inlineStr">
        <is>
          <t>SÖDERMANLANDS LÄN</t>
        </is>
      </c>
      <c r="G134" t="inlineStr">
        <is>
          <t>FLEN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53339-2023 artfynd.xlsx", "A 53339-2023")</f>
        <v/>
      </c>
      <c r="X134">
        <f>HYPERLINK("https://klasma.github.io/Logging_0482/kartor/A 53339-2023 karta.png", "A 53339-2023")</f>
        <v/>
      </c>
      <c r="Y134">
        <f>HYPERLINK("https://klasma.github.io/Logging_0482/kartor_geotiff/A 53339-2023 georefererad karta.tif", "A 53339-2023")</f>
        <v/>
      </c>
      <c r="AA134">
        <f>HYPERLINK("https://klasma.github.io/Logging_0482/klagomål/A 53339-2023 FSC-klagomål.docx", "A 53339-2023")</f>
        <v/>
      </c>
      <c r="AB134">
        <f>HYPERLINK("https://klasma.github.io/Logging_0482/klagomålsmail/A 53339-2023 FSC-klagomål mail.docx", "A 53339-2023")</f>
        <v/>
      </c>
      <c r="AC134">
        <f>HYPERLINK("https://klasma.github.io/Logging_0482/tillsyn/A 53339-2023 tillsynsbegäran.docx", "A 53339-2023")</f>
        <v/>
      </c>
      <c r="AD134">
        <f>HYPERLINK("https://klasma.github.io/Logging_0482/tillsynsmail/A 53339-2023 tillsynsbegäran mail.docx", "A 53339-2023")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46261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HYPERLINK("https://klasma.github.io/Logging_0482/artfynd/A 4259-2023 artfynd.xlsx", "A 4259-2023")</f>
        <v/>
      </c>
      <c r="X135">
        <f>HYPERLINK("https://klasma.github.io/Logging_0482/kartor/A 4259-2023 karta.png", "A 4259-2023")</f>
        <v/>
      </c>
      <c r="Y135">
        <f>HYPERLINK("https://klasma.github.io/Logging_0482/kartor_geotiff/A 4259-2023 georefererad karta.tif", "A 4259-2023")</f>
        <v/>
      </c>
      <c r="AA135">
        <f>HYPERLINK("https://klasma.github.io/Logging_0482/klagomål/A 4259-2023 FSC-klagomål.docx", "A 4259-2023")</f>
        <v/>
      </c>
      <c r="AB135">
        <f>HYPERLINK("https://klasma.github.io/Logging_0482/klagomålsmail/A 4259-2023 FSC-klagomål mail.docx", "A 4259-2023")</f>
        <v/>
      </c>
      <c r="AC135">
        <f>HYPERLINK("https://klasma.github.io/Logging_0482/tillsyn/A 4259-2023 tillsynsbegäran.docx", "A 4259-2023")</f>
        <v/>
      </c>
      <c r="AD135">
        <f>HYPERLINK("https://klasma.github.io/Logging_0482/tillsynsmail/A 4259-2023 tillsynsbegäran mail.docx", "A 4259-2023")</f>
        <v/>
      </c>
    </row>
    <row r="136" ht="15" customHeight="1">
      <c r="A136" t="inlineStr">
        <is>
          <t>A 12306-2022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44637</v>
      </c>
      <c r="E136" s="1" t="n">
        <v>46261</v>
      </c>
      <c r="F136" t="inlineStr">
        <is>
          <t>SÖDERMANLANDS LÄN</t>
        </is>
      </c>
      <c r="G136" t="inlineStr">
        <is>
          <t>FLEN</t>
        </is>
      </c>
      <c r="I136" t="n">
        <v>3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HYPERLINK("https://klasma.github.io/Logging_0482/artfynd/A 12306-2022 artfynd.xlsx", "A 12306-2022")</f>
        <v/>
      </c>
      <c r="X136">
        <f>HYPERLINK("https://klasma.github.io/Logging_0482/kartor/A 12306-2022 karta.png", "A 12306-2022")</f>
        <v/>
      </c>
      <c r="Y136">
        <f>HYPERLINK("https://klasma.github.io/Logging_0482/kartor_geotiff/A 12306-2022 georefererad karta.tif", "A 12306-2022")</f>
        <v/>
      </c>
      <c r="AA136">
        <f>HYPERLINK("https://klasma.github.io/Logging_0482/klagomål/A 12306-2022 FSC-klagomål.docx", "A 12306-2022")</f>
        <v/>
      </c>
      <c r="AB136">
        <f>HYPERLINK("https://klasma.github.io/Logging_0482/klagomålsmail/A 12306-2022 FSC-klagomål mail.docx", "A 12306-2022")</f>
        <v/>
      </c>
      <c r="AC136">
        <f>HYPERLINK("https://klasma.github.io/Logging_0482/tillsyn/A 12306-2022 tillsynsbegäran.docx", "A 12306-2022")</f>
        <v/>
      </c>
      <c r="AD136">
        <f>HYPERLINK("https://klasma.github.io/Logging_0482/tillsynsmail/A 12306-2022 tillsynsbegäran mail.docx", "A 12306-2022")</f>
        <v/>
      </c>
      <c r="AE136">
        <f>HYPERLINK("https://klasma.github.io/Logging_0482/fåglar/A 12306-2022 prioriterade fågelarter.docx", "A 12306-2022")</f>
        <v/>
      </c>
    </row>
    <row r="137" ht="15" customHeight="1">
      <c r="A137" t="inlineStr">
        <is>
          <t>A 46987-2024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46261</v>
      </c>
      <c r="F137" t="inlineStr">
        <is>
          <t>SÖDERMANLANDS LÄN</t>
        </is>
      </c>
      <c r="G137" t="inlineStr">
        <is>
          <t>FLEN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Svinrot</t>
        </is>
      </c>
      <c r="W137">
        <f>HYPERLINK("https://klasma.github.io/Logging_0482/artfynd/A 46987-2024 artfynd.xlsx", "A 46987-2024")</f>
        <v/>
      </c>
      <c r="X137">
        <f>HYPERLINK("https://klasma.github.io/Logging_0482/kartor/A 46987-2024 karta.png", "A 46987-2024")</f>
        <v/>
      </c>
      <c r="Y137">
        <f>HYPERLINK("https://klasma.github.io/Logging_0482/kartor_geotiff/A 46987-2024 georefererad karta.tif", "A 46987-2024")</f>
        <v/>
      </c>
      <c r="AA137">
        <f>HYPERLINK("https://klasma.github.io/Logging_0482/klagomål/A 46987-2024 FSC-klagomål.docx", "A 46987-2024")</f>
        <v/>
      </c>
      <c r="AB137">
        <f>HYPERLINK("https://klasma.github.io/Logging_0482/klagomålsmail/A 46987-2024 FSC-klagomål mail.docx", "A 46987-2024")</f>
        <v/>
      </c>
      <c r="AC137">
        <f>HYPERLINK("https://klasma.github.io/Logging_0482/tillsyn/A 46987-2024 tillsynsbegäran.docx", "A 46987-2024")</f>
        <v/>
      </c>
      <c r="AD137">
        <f>HYPERLINK("https://klasma.github.io/Logging_0482/tillsynsmail/A 46987-2024 tillsynsbegäran mail.docx", "A 46987-2024")</f>
        <v/>
      </c>
    </row>
    <row r="138" ht="15" customHeight="1">
      <c r="A138" t="inlineStr">
        <is>
          <t>A 66230-2021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44518</v>
      </c>
      <c r="E138" s="1" t="n">
        <v>46261</v>
      </c>
      <c r="F138" t="inlineStr">
        <is>
          <t>SÖDERMANLANDS LÄN</t>
        </is>
      </c>
      <c r="G138" t="inlineStr">
        <is>
          <t>FLEN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66230-2021 artfynd.xlsx", "A 66230-2021")</f>
        <v/>
      </c>
      <c r="X138">
        <f>HYPERLINK("https://klasma.github.io/Logging_0482/kartor/A 66230-2021 karta.png", "A 66230-2021")</f>
        <v/>
      </c>
      <c r="Y138">
        <f>HYPERLINK("https://klasma.github.io/Logging_0482/kartor_geotiff/A 66230-2021 georefererad karta.tif", "A 66230-2021")</f>
        <v/>
      </c>
      <c r="AA138">
        <f>HYPERLINK("https://klasma.github.io/Logging_0482/klagomål/A 66230-2021 FSC-klagomål.docx", "A 66230-2021")</f>
        <v/>
      </c>
      <c r="AB138">
        <f>HYPERLINK("https://klasma.github.io/Logging_0482/klagomålsmail/A 66230-2021 FSC-klagomål mail.docx", "A 66230-2021")</f>
        <v/>
      </c>
      <c r="AC138">
        <f>HYPERLINK("https://klasma.github.io/Logging_0482/tillsyn/A 66230-2021 tillsynsbegäran.docx", "A 66230-2021")</f>
        <v/>
      </c>
      <c r="AD138">
        <f>HYPERLINK("https://klasma.github.io/Logging_0482/tillsynsmail/A 66230-2021 tillsynsbegäran mail.docx", "A 66230-2021")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46261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HYPERLINK("https://klasma.github.io/Logging_0482/artfynd/A 29195-2023 artfynd.xlsx", "A 29195-2023")</f>
        <v/>
      </c>
      <c r="X139">
        <f>HYPERLINK("https://klasma.github.io/Logging_0482/kartor/A 29195-2023 karta.png", "A 29195-2023")</f>
        <v/>
      </c>
      <c r="Y139">
        <f>HYPERLINK("https://klasma.github.io/Logging_0482/kartor_geotiff/A 29195-2023 georefererad karta.tif", "A 29195-2023")</f>
        <v/>
      </c>
      <c r="AA139">
        <f>HYPERLINK("https://klasma.github.io/Logging_0482/klagomål/A 29195-2023 FSC-klagomål.docx", "A 29195-2023")</f>
        <v/>
      </c>
      <c r="AB139">
        <f>HYPERLINK("https://klasma.github.io/Logging_0482/klagomålsmail/A 29195-2023 FSC-klagomål mail.docx", "A 29195-2023")</f>
        <v/>
      </c>
      <c r="AC139">
        <f>HYPERLINK("https://klasma.github.io/Logging_0482/tillsyn/A 29195-2023 tillsynsbegäran.docx", "A 29195-2023")</f>
        <v/>
      </c>
      <c r="AD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34721-2023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45141</v>
      </c>
      <c r="E140" s="1" t="n">
        <v>46261</v>
      </c>
      <c r="F140" t="inlineStr">
        <is>
          <t>SÖDERMANLANDS LÄN</t>
        </is>
      </c>
      <c r="G140" t="inlineStr">
        <is>
          <t>FLEN</t>
        </is>
      </c>
      <c r="I140" t="n">
        <v>4.1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34721-2023 artfynd.xlsx", "A 34721-2023")</f>
        <v/>
      </c>
      <c r="X140">
        <f>HYPERLINK("https://klasma.github.io/Logging_0482/kartor/A 34721-2023 karta.png", "A 34721-2023")</f>
        <v/>
      </c>
      <c r="Y140">
        <f>HYPERLINK("https://klasma.github.io/Logging_0482/kartor_geotiff/A 34721-2023 georefererad karta.tif", "A 34721-2023")</f>
        <v/>
      </c>
      <c r="AA140">
        <f>HYPERLINK("https://klasma.github.io/Logging_0482/klagomål/A 34721-2023 FSC-klagomål.docx", "A 34721-2023")</f>
        <v/>
      </c>
      <c r="AB140">
        <f>HYPERLINK("https://klasma.github.io/Logging_0482/klagomålsmail/A 34721-2023 FSC-klagomål mail.docx", "A 34721-2023")</f>
        <v/>
      </c>
      <c r="AC140">
        <f>HYPERLINK("https://klasma.github.io/Logging_0482/tillsyn/A 34721-2023 tillsynsbegäran.docx", "A 34721-2023")</f>
        <v/>
      </c>
      <c r="AD140">
        <f>HYPERLINK("https://klasma.github.io/Logging_0482/tillsynsmail/A 34721-2023 tillsynsbegäran mail.docx", "A 34721-2023")</f>
        <v/>
      </c>
    </row>
    <row r="141" ht="15" customHeight="1">
      <c r="A141" t="inlineStr">
        <is>
          <t>A 60591-2022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44911</v>
      </c>
      <c r="E141" s="1" t="n">
        <v>46261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HYPERLINK("https://klasma.github.io/Logging_0482/artfynd/A 60591-2022 artfynd.xlsx", "A 60591-2022")</f>
        <v/>
      </c>
      <c r="X141">
        <f>HYPERLINK("https://klasma.github.io/Logging_0482/kartor/A 60591-2022 karta.png", "A 60591-2022")</f>
        <v/>
      </c>
      <c r="Y141">
        <f>HYPERLINK("https://klasma.github.io/Logging_0482/kartor_geotiff/A 60591-2022 georefererad karta.tif", "A 60591-2022")</f>
        <v/>
      </c>
      <c r="AA141">
        <f>HYPERLINK("https://klasma.github.io/Logging_0482/klagomål/A 60591-2022 FSC-klagomål.docx", "A 60591-2022")</f>
        <v/>
      </c>
      <c r="AB141">
        <f>HYPERLINK("https://klasma.github.io/Logging_0482/klagomålsmail/A 60591-2022 FSC-klagomål mail.docx", "A 60591-2022")</f>
        <v/>
      </c>
      <c r="AC141">
        <f>HYPERLINK("https://klasma.github.io/Logging_0482/tillsyn/A 60591-2022 tillsynsbegäran.docx", "A 60591-2022")</f>
        <v/>
      </c>
      <c r="AD141">
        <f>HYPERLINK("https://klasma.github.io/Logging_0482/tillsynsmail/A 60591-2022 tillsynsbegäran mail.docx", "A 60591-2022")</f>
        <v/>
      </c>
    </row>
    <row r="142" ht="15" customHeight="1">
      <c r="A142" t="inlineStr">
        <is>
          <t>A 34823-2023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45140</v>
      </c>
      <c r="E142" s="1" t="n">
        <v>46261</v>
      </c>
      <c r="F142" t="inlineStr">
        <is>
          <t>SÖDERMANLANDS LÄN</t>
        </is>
      </c>
      <c r="G142" t="inlineStr">
        <is>
          <t>FLEN</t>
        </is>
      </c>
      <c r="I142" t="n">
        <v>1.3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Mörk dunört</t>
        </is>
      </c>
      <c r="W142">
        <f>HYPERLINK("https://klasma.github.io/Logging_0482/artfynd/A 34823-2023 artfynd.xlsx", "A 34823-2023")</f>
        <v/>
      </c>
      <c r="X142">
        <f>HYPERLINK("https://klasma.github.io/Logging_0482/kartor/A 34823-2023 karta.png", "A 34823-2023")</f>
        <v/>
      </c>
      <c r="Y142">
        <f>HYPERLINK("https://klasma.github.io/Logging_0482/kartor_geotiff/A 34823-2023 georefererad karta.tif", "A 34823-2023")</f>
        <v/>
      </c>
      <c r="AA142">
        <f>HYPERLINK("https://klasma.github.io/Logging_0482/klagomål/A 34823-2023 FSC-klagomål.docx", "A 34823-2023")</f>
        <v/>
      </c>
      <c r="AB142">
        <f>HYPERLINK("https://klasma.github.io/Logging_0482/klagomålsmail/A 34823-2023 FSC-klagomål mail.docx", "A 34823-2023")</f>
        <v/>
      </c>
      <c r="AC142">
        <f>HYPERLINK("https://klasma.github.io/Logging_0482/tillsyn/A 34823-2023 tillsynsbegäran.docx", "A 34823-2023")</f>
        <v/>
      </c>
      <c r="AD142">
        <f>HYPERLINK("https://klasma.github.io/Logging_0482/tillsynsmail/A 34823-2023 tillsynsbegäran mail.docx", "A 34823-2023")</f>
        <v/>
      </c>
    </row>
    <row r="143" ht="15" customHeight="1">
      <c r="A143" t="inlineStr">
        <is>
          <t>A 60529-2024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46261</v>
      </c>
      <c r="F143" t="inlineStr">
        <is>
          <t>SÖDERMANLANDS LÄN</t>
        </is>
      </c>
      <c r="G143" t="inlineStr">
        <is>
          <t>FLEN</t>
        </is>
      </c>
      <c r="I143" t="n">
        <v>2.5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Skarp dropptaggsvamp</t>
        </is>
      </c>
      <c r="W143">
        <f>HYPERLINK("https://klasma.github.io/Logging_0482/artfynd/A 60529-2024 artfynd.xlsx", "A 60529-2024")</f>
        <v/>
      </c>
      <c r="X143">
        <f>HYPERLINK("https://klasma.github.io/Logging_0482/kartor/A 60529-2024 karta.png", "A 60529-2024")</f>
        <v/>
      </c>
      <c r="Y143">
        <f>HYPERLINK("https://klasma.github.io/Logging_0482/kartor_geotiff/A 60529-2024 georefererad karta.tif", "A 60529-2024")</f>
        <v/>
      </c>
      <c r="AA143">
        <f>HYPERLINK("https://klasma.github.io/Logging_0482/klagomål/A 60529-2024 FSC-klagomål.docx", "A 60529-2024")</f>
        <v/>
      </c>
      <c r="AB143">
        <f>HYPERLINK("https://klasma.github.io/Logging_0482/klagomålsmail/A 60529-2024 FSC-klagomål mail.docx", "A 60529-2024")</f>
        <v/>
      </c>
      <c r="AC143">
        <f>HYPERLINK("https://klasma.github.io/Logging_0482/tillsyn/A 60529-2024 tillsynsbegäran.docx", "A 60529-2024")</f>
        <v/>
      </c>
      <c r="AD143">
        <f>HYPERLINK("https://klasma.github.io/Logging_0482/tillsynsmail/A 60529-2024 tillsynsbegäran mail.docx", "A 60529-2024")</f>
        <v/>
      </c>
    </row>
    <row r="144" ht="15" customHeight="1">
      <c r="A144" t="inlineStr">
        <is>
          <t>A 49820-2023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46261</v>
      </c>
      <c r="F144" t="inlineStr">
        <is>
          <t>SÖDERMANLANDS LÄN</t>
        </is>
      </c>
      <c r="G144" t="inlineStr">
        <is>
          <t>FLEN</t>
        </is>
      </c>
      <c r="I144" t="n">
        <v>3.2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Gullviva</t>
        </is>
      </c>
      <c r="W144">
        <f>HYPERLINK("https://klasma.github.io/Logging_0482/artfynd/A 49820-2023 artfynd.xlsx", "A 49820-2023")</f>
        <v/>
      </c>
      <c r="X144">
        <f>HYPERLINK("https://klasma.github.io/Logging_0482/kartor/A 49820-2023 karta.png", "A 49820-2023")</f>
        <v/>
      </c>
      <c r="Y144">
        <f>HYPERLINK("https://klasma.github.io/Logging_0482/kartor_geotiff/A 49820-2023 georefererad karta.tif", "A 49820-2023")</f>
        <v/>
      </c>
      <c r="AA144">
        <f>HYPERLINK("https://klasma.github.io/Logging_0482/klagomål/A 49820-2023 FSC-klagomål.docx", "A 49820-2023")</f>
        <v/>
      </c>
      <c r="AB144">
        <f>HYPERLINK("https://klasma.github.io/Logging_0482/klagomålsmail/A 49820-2023 FSC-klagomål mail.docx", "A 49820-2023")</f>
        <v/>
      </c>
      <c r="AC144">
        <f>HYPERLINK("https://klasma.github.io/Logging_0482/tillsyn/A 49820-2023 tillsynsbegäran.docx", "A 49820-2023")</f>
        <v/>
      </c>
      <c r="AD144">
        <f>HYPERLINK("https://klasma.github.io/Logging_0482/tillsynsmail/A 49820-2023 tillsynsbegäran mail.docx", "A 49820-2023")</f>
        <v/>
      </c>
    </row>
    <row r="145" ht="15" customHeight="1">
      <c r="A145" t="inlineStr">
        <is>
          <t>A 37283-2024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45540</v>
      </c>
      <c r="E145" s="1" t="n">
        <v>46261</v>
      </c>
      <c r="F145" t="inlineStr">
        <is>
          <t>SÖDERMANLANDS LÄN</t>
        </is>
      </c>
      <c r="G145" t="inlineStr">
        <is>
          <t>FLEN</t>
        </is>
      </c>
      <c r="I145" t="n">
        <v>1.5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Gullklöver</t>
        </is>
      </c>
      <c r="W145">
        <f>HYPERLINK("https://klasma.github.io/Logging_0482/artfynd/A 37283-2024 artfynd.xlsx", "A 37283-2024")</f>
        <v/>
      </c>
      <c r="X145">
        <f>HYPERLINK("https://klasma.github.io/Logging_0482/kartor/A 37283-2024 karta.png", "A 37283-2024")</f>
        <v/>
      </c>
      <c r="Y145">
        <f>HYPERLINK("https://klasma.github.io/Logging_0482/kartor_geotiff/A 37283-2024 georefererad karta.tif", "A 37283-2024")</f>
        <v/>
      </c>
      <c r="AA145">
        <f>HYPERLINK("https://klasma.github.io/Logging_0482/klagomål/A 37283-2024 FSC-klagomål.docx", "A 37283-2024")</f>
        <v/>
      </c>
      <c r="AB145">
        <f>HYPERLINK("https://klasma.github.io/Logging_0482/klagomålsmail/A 37283-2024 FSC-klagomål mail.docx", "A 37283-2024")</f>
        <v/>
      </c>
      <c r="AC145">
        <f>HYPERLINK("https://klasma.github.io/Logging_0482/tillsyn/A 37283-2024 tillsynsbegäran.docx", "A 37283-2024")</f>
        <v/>
      </c>
      <c r="AD145">
        <f>HYPERLINK("https://klasma.github.io/Logging_0482/tillsynsmail/A 37283-2024 tillsynsbegäran mail.docx", "A 37283-2024")</f>
        <v/>
      </c>
    </row>
    <row r="146" ht="15" customHeight="1">
      <c r="A146" t="inlineStr">
        <is>
          <t>A 7973-2024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45350</v>
      </c>
      <c r="E146" s="1" t="n">
        <v>46261</v>
      </c>
      <c r="F146" t="inlineStr">
        <is>
          <t>SÖDERMANLANDS LÄN</t>
        </is>
      </c>
      <c r="G146" t="inlineStr">
        <is>
          <t>FLEN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Vippärt</t>
        </is>
      </c>
      <c r="W146">
        <f>HYPERLINK("https://klasma.github.io/Logging_0482/artfynd/A 7973-2024 artfynd.xlsx", "A 7973-2024")</f>
        <v/>
      </c>
      <c r="X146">
        <f>HYPERLINK("https://klasma.github.io/Logging_0482/kartor/A 7973-2024 karta.png", "A 7973-2024")</f>
        <v/>
      </c>
      <c r="Y146">
        <f>HYPERLINK("https://klasma.github.io/Logging_0482/kartor_geotiff/A 7973-2024 georefererad karta.tif", "A 7973-2024")</f>
        <v/>
      </c>
      <c r="AA146">
        <f>HYPERLINK("https://klasma.github.io/Logging_0482/klagomål/A 7973-2024 FSC-klagomål.docx", "A 7973-2024")</f>
        <v/>
      </c>
      <c r="AB146">
        <f>HYPERLINK("https://klasma.github.io/Logging_0482/klagomålsmail/A 7973-2024 FSC-klagomål mail.docx", "A 7973-2024")</f>
        <v/>
      </c>
      <c r="AC146">
        <f>HYPERLINK("https://klasma.github.io/Logging_0482/tillsyn/A 7973-2024 tillsynsbegäran.docx", "A 7973-2024")</f>
        <v/>
      </c>
      <c r="AD146">
        <f>HYPERLINK("https://klasma.github.io/Logging_0482/tillsynsmail/A 7973-2024 tillsynsbegäran mail.docx", "A 7973-2024")</f>
        <v/>
      </c>
    </row>
    <row r="147" ht="15" customHeight="1">
      <c r="A147" t="inlineStr">
        <is>
          <t>A 43008-2023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45182</v>
      </c>
      <c r="E147" s="1" t="n">
        <v>46261</v>
      </c>
      <c r="F147" t="inlineStr">
        <is>
          <t>SÖDERMANLANDS LÄN</t>
        </is>
      </c>
      <c r="G147" t="inlineStr">
        <is>
          <t>FLEN</t>
        </is>
      </c>
      <c r="I147" t="n">
        <v>1.5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Gullklöver</t>
        </is>
      </c>
      <c r="W147">
        <f>HYPERLINK("https://klasma.github.io/Logging_0482/artfynd/A 43008-2023 artfynd.xlsx", "A 43008-2023")</f>
        <v/>
      </c>
      <c r="X147">
        <f>HYPERLINK("https://klasma.github.io/Logging_0482/kartor/A 43008-2023 karta.png", "A 43008-2023")</f>
        <v/>
      </c>
      <c r="Y147">
        <f>HYPERLINK("https://klasma.github.io/Logging_0482/kartor_geotiff/A 43008-2023 georefererad karta.tif", "A 43008-2023")</f>
        <v/>
      </c>
      <c r="AA147">
        <f>HYPERLINK("https://klasma.github.io/Logging_0482/klagomål/A 43008-2023 FSC-klagomål.docx", "A 43008-2023")</f>
        <v/>
      </c>
      <c r="AB147">
        <f>HYPERLINK("https://klasma.github.io/Logging_0482/klagomålsmail/A 43008-2023 FSC-klagomål mail.docx", "A 43008-2023")</f>
        <v/>
      </c>
      <c r="AC147">
        <f>HYPERLINK("https://klasma.github.io/Logging_0482/tillsyn/A 43008-2023 tillsynsbegäran.docx", "A 43008-2023")</f>
        <v/>
      </c>
      <c r="AD147">
        <f>HYPERLINK("https://klasma.github.io/Logging_0482/tillsynsmail/A 43008-2023 tillsynsbegäran mail.docx", "A 43008-2023")</f>
        <v/>
      </c>
    </row>
    <row r="148" ht="15" customHeight="1">
      <c r="A148" t="inlineStr">
        <is>
          <t>A 37317-2023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45156</v>
      </c>
      <c r="E148" s="1" t="n">
        <v>46261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5.1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Svavelriska</t>
        </is>
      </c>
      <c r="W148">
        <f>HYPERLINK("https://klasma.github.io/Logging_0482/artfynd/A 37317-2023 artfynd.xlsx", "A 37317-2023")</f>
        <v/>
      </c>
      <c r="X148">
        <f>HYPERLINK("https://klasma.github.io/Logging_0482/kartor/A 37317-2023 karta.png", "A 37317-2023")</f>
        <v/>
      </c>
      <c r="Y148">
        <f>HYPERLINK("https://klasma.github.io/Logging_0482/kartor_geotiff/A 37317-2023 georefererad karta.tif", "A 37317-2023")</f>
        <v/>
      </c>
      <c r="AA148">
        <f>HYPERLINK("https://klasma.github.io/Logging_0482/klagomål/A 37317-2023 FSC-klagomål.docx", "A 37317-2023")</f>
        <v/>
      </c>
      <c r="AB148">
        <f>HYPERLINK("https://klasma.github.io/Logging_0482/klagomålsmail/A 37317-2023 FSC-klagomål mail.docx", "A 37317-2023")</f>
        <v/>
      </c>
      <c r="AC148">
        <f>HYPERLINK("https://klasma.github.io/Logging_0482/tillsyn/A 37317-2023 tillsynsbegäran.docx", "A 37317-2023")</f>
        <v/>
      </c>
      <c r="AD148">
        <f>HYPERLINK("https://klasma.github.io/Logging_0482/tillsynsmail/A 37317-2023 tillsynsbegäran mail.docx", "A 37317-2023")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46261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56308-2024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46261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56308-2024 artfynd.xlsx", "A 56308-2024")</f>
        <v/>
      </c>
      <c r="X150">
        <f>HYPERLINK("https://klasma.github.io/Logging_0482/kartor/A 56308-2024 karta.png", "A 56308-2024")</f>
        <v/>
      </c>
      <c r="Y150">
        <f>HYPERLINK("https://klasma.github.io/Logging_0482/kartor_geotiff/A 56308-2024 georefererad karta.tif", "A 56308-2024")</f>
        <v/>
      </c>
      <c r="AA150">
        <f>HYPERLINK("https://klasma.github.io/Logging_0482/klagomål/A 56308-2024 FSC-klagomål.docx", "A 56308-2024")</f>
        <v/>
      </c>
      <c r="AB150">
        <f>HYPERLINK("https://klasma.github.io/Logging_0482/klagomålsmail/A 56308-2024 FSC-klagomål mail.docx", "A 56308-2024")</f>
        <v/>
      </c>
      <c r="AC150">
        <f>HYPERLINK("https://klasma.github.io/Logging_0482/tillsyn/A 56308-2024 tillsynsbegäran.docx", "A 56308-2024")</f>
        <v/>
      </c>
      <c r="AD150">
        <f>HYPERLINK("https://klasma.github.io/Logging_0482/tillsynsmail/A 56308-2024 tillsynsbegäran mail.docx", "A 56308-2024")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46261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46261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46261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46261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46261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46261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46261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46261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46261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46261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46261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46261</v>
      </c>
      <c r="F162" t="inlineStr">
        <is>
          <t>SÖDERMANLANDS LÄN</t>
        </is>
      </c>
      <c r="G162" t="inlineStr">
        <is>
          <t>FLEN</t>
        </is>
      </c>
      <c r="H162" t="inlineStr">
        <is>
          <t>Övriga statliga verk och myndigheter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46261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46261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46261</v>
      </c>
      <c r="F165" t="inlineStr">
        <is>
          <t>SÖDERMANLANDS LÄN</t>
        </is>
      </c>
      <c r="G165" t="inlineStr">
        <is>
          <t>FLEN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46261</v>
      </c>
      <c r="F166" t="inlineStr">
        <is>
          <t>SÖDERMANLANDS LÄN</t>
        </is>
      </c>
      <c r="G166" t="inlineStr">
        <is>
          <t>FLEN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46261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46261</v>
      </c>
      <c r="F168" t="inlineStr">
        <is>
          <t>SÖDERMANLANDS LÄN</t>
        </is>
      </c>
      <c r="G168" t="inlineStr">
        <is>
          <t>FLEN</t>
        </is>
      </c>
      <c r="H168" t="inlineStr">
        <is>
          <t>Holmen skog AB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46261</v>
      </c>
      <c r="F169" t="inlineStr">
        <is>
          <t>SÖDERMANLANDS LÄN</t>
        </is>
      </c>
      <c r="G169" t="inlineStr">
        <is>
          <t>FLEN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46261</v>
      </c>
      <c r="F170" t="inlineStr">
        <is>
          <t>SÖDERMANLANDS LÄN</t>
        </is>
      </c>
      <c r="G170" t="inlineStr">
        <is>
          <t>FLEN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46261</v>
      </c>
      <c r="F171" t="inlineStr">
        <is>
          <t>SÖDERMANLANDS LÄN</t>
        </is>
      </c>
      <c r="G171" t="inlineStr">
        <is>
          <t>FLEN</t>
        </is>
      </c>
      <c r="I171" t="n">
        <v>14.7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44807</v>
      </c>
      <c r="E172" s="1" t="n">
        <v>46261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46261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46261</v>
      </c>
      <c r="F174" t="inlineStr">
        <is>
          <t>SÖDERMANLANDS LÄN</t>
        </is>
      </c>
      <c r="G174" t="inlineStr">
        <is>
          <t>FLEN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46261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44463</v>
      </c>
      <c r="E176" s="1" t="n">
        <v>46261</v>
      </c>
      <c r="F176" t="inlineStr">
        <is>
          <t>SÖDERMANLANDS LÄN</t>
        </is>
      </c>
      <c r="G176" t="inlineStr">
        <is>
          <t>FLEN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46261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46261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46261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46261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44640</v>
      </c>
      <c r="E181" s="1" t="n">
        <v>46261</v>
      </c>
      <c r="F181" t="inlineStr">
        <is>
          <t>SÖDERMANLANDS LÄN</t>
        </is>
      </c>
      <c r="G181" t="inlineStr">
        <is>
          <t>FLEN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46261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44725</v>
      </c>
      <c r="E183" s="1" t="n">
        <v>46261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46261</v>
      </c>
      <c r="F184" t="inlineStr">
        <is>
          <t>SÖDERMANLANDS LÄN</t>
        </is>
      </c>
      <c r="G184" t="inlineStr">
        <is>
          <t>FLEN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46261</v>
      </c>
      <c r="F185" t="inlineStr">
        <is>
          <t>SÖDERMANLANDS LÄN</t>
        </is>
      </c>
      <c r="G185" t="inlineStr">
        <is>
          <t>FLEN</t>
        </is>
      </c>
      <c r="H185" t="inlineStr">
        <is>
          <t>Holmen skog AB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46261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46261</v>
      </c>
      <c r="F187" t="inlineStr">
        <is>
          <t>SÖDERMANLANDS LÄN</t>
        </is>
      </c>
      <c r="G187" t="inlineStr">
        <is>
          <t>FLEN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46261</v>
      </c>
      <c r="F188" t="inlineStr">
        <is>
          <t>SÖDERMANLANDS LÄN</t>
        </is>
      </c>
      <c r="G188" t="inlineStr">
        <is>
          <t>FLEN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46261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46261</v>
      </c>
      <c r="F190" t="inlineStr">
        <is>
          <t>SÖDERMANLANDS LÄN</t>
        </is>
      </c>
      <c r="G190" t="inlineStr">
        <is>
          <t>FLEN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44854</v>
      </c>
      <c r="E191" s="1" t="n">
        <v>46261</v>
      </c>
      <c r="F191" t="inlineStr">
        <is>
          <t>SÖDERMANLANDS LÄN</t>
        </is>
      </c>
      <c r="G191" t="inlineStr">
        <is>
          <t>FLEN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46261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44450</v>
      </c>
      <c r="E193" s="1" t="n">
        <v>46261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46261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44769</v>
      </c>
      <c r="E195" s="1" t="n">
        <v>46261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46261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46261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46261</v>
      </c>
      <c r="F198" t="inlineStr">
        <is>
          <t>SÖDERMANLANDS LÄN</t>
        </is>
      </c>
      <c r="G198" t="inlineStr">
        <is>
          <t>FLEN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46261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46261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44566</v>
      </c>
      <c r="E201" s="1" t="n">
        <v>46261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46261</v>
      </c>
      <c r="F202" t="inlineStr">
        <is>
          <t>SÖDERMANLANDS LÄN</t>
        </is>
      </c>
      <c r="G202" t="inlineStr">
        <is>
          <t>FLEN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46261</v>
      </c>
      <c r="F203" t="inlineStr">
        <is>
          <t>SÖDERMANLANDS LÄN</t>
        </is>
      </c>
      <c r="G203" t="inlineStr">
        <is>
          <t>FLEN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44643</v>
      </c>
      <c r="E204" s="1" t="n">
        <v>46261</v>
      </c>
      <c r="F204" t="inlineStr">
        <is>
          <t>SÖDERMANLANDS LÄN</t>
        </is>
      </c>
      <c r="G204" t="inlineStr">
        <is>
          <t>FLEN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46261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46261</v>
      </c>
      <c r="F206" t="inlineStr">
        <is>
          <t>SÖDERMANLANDS LÄN</t>
        </is>
      </c>
      <c r="G206" t="inlineStr">
        <is>
          <t>FLEN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44705</v>
      </c>
      <c r="E207" s="1" t="n">
        <v>46261</v>
      </c>
      <c r="F207" t="inlineStr">
        <is>
          <t>SÖDERMANLANDS LÄN</t>
        </is>
      </c>
      <c r="G207" t="inlineStr">
        <is>
          <t>FLEN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46261</v>
      </c>
      <c r="F208" t="inlineStr">
        <is>
          <t>SÖDERMANLANDS LÄN</t>
        </is>
      </c>
      <c r="G208" t="inlineStr">
        <is>
          <t>FLEN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46261</v>
      </c>
      <c r="F209" t="inlineStr">
        <is>
          <t>SÖDERMANLANDS LÄN</t>
        </is>
      </c>
      <c r="G209" t="inlineStr">
        <is>
          <t>FLEN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46261</v>
      </c>
      <c r="F210" t="inlineStr">
        <is>
          <t>SÖDERMANLANDS LÄN</t>
        </is>
      </c>
      <c r="G210" t="inlineStr">
        <is>
          <t>FLEN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45311</v>
      </c>
      <c r="E211" s="1" t="n">
        <v>46261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46261</v>
      </c>
      <c r="F212" t="inlineStr">
        <is>
          <t>SÖDERMANLANDS LÄN</t>
        </is>
      </c>
      <c r="G212" t="inlineStr">
        <is>
          <t>FLEN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46261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46261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45228</v>
      </c>
      <c r="E215" s="1" t="n">
        <v>46261</v>
      </c>
      <c r="F215" t="inlineStr">
        <is>
          <t>SÖDERMANLANDS LÄN</t>
        </is>
      </c>
      <c r="G215" t="inlineStr">
        <is>
          <t>FLEN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46261</v>
      </c>
      <c r="F216" t="inlineStr">
        <is>
          <t>SÖDERMANLANDS LÄN</t>
        </is>
      </c>
      <c r="G216" t="inlineStr">
        <is>
          <t>FLEN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46261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46261</v>
      </c>
      <c r="F218" t="inlineStr">
        <is>
          <t>SÖDERMANLANDS LÄN</t>
        </is>
      </c>
      <c r="G218" t="inlineStr">
        <is>
          <t>FLEN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46261</v>
      </c>
      <c r="F219" t="inlineStr">
        <is>
          <t>SÖDERMANLANDS LÄN</t>
        </is>
      </c>
      <c r="G219" t="inlineStr">
        <is>
          <t>FLEN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46261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46261</v>
      </c>
      <c r="F221" t="inlineStr">
        <is>
          <t>SÖDERMANLANDS LÄN</t>
        </is>
      </c>
      <c r="G221" t="inlineStr">
        <is>
          <t>FLEN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46261</v>
      </c>
      <c r="F222" t="inlineStr">
        <is>
          <t>SÖDERMANLANDS LÄN</t>
        </is>
      </c>
      <c r="G222" t="inlineStr">
        <is>
          <t>FLEN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46261</v>
      </c>
      <c r="F223" t="inlineStr">
        <is>
          <t>SÖDERMANLANDS LÄN</t>
        </is>
      </c>
      <c r="G223" t="inlineStr">
        <is>
          <t>FLEN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46261</v>
      </c>
      <c r="F224" t="inlineStr">
        <is>
          <t>SÖDERMANLANDS LÄN</t>
        </is>
      </c>
      <c r="G224" t="inlineStr">
        <is>
          <t>FLEN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46261</v>
      </c>
      <c r="F225" t="inlineStr">
        <is>
          <t>SÖDERMANLANDS LÄN</t>
        </is>
      </c>
      <c r="G225" t="inlineStr">
        <is>
          <t>FLEN</t>
        </is>
      </c>
      <c r="I225" t="n">
        <v>11.3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46261</v>
      </c>
      <c r="F226" t="inlineStr">
        <is>
          <t>SÖDERMANLANDS LÄN</t>
        </is>
      </c>
      <c r="G226" t="inlineStr">
        <is>
          <t>FLEN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65869-2021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46261</v>
      </c>
      <c r="F227" t="inlineStr">
        <is>
          <t>SÖDERMANLANDS LÄN</t>
        </is>
      </c>
      <c r="G227" t="inlineStr">
        <is>
          <t>FLEN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46261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45555</v>
      </c>
      <c r="E229" s="1" t="n">
        <v>46261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52775-2024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46261</v>
      </c>
      <c r="F230" t="inlineStr">
        <is>
          <t>SÖDERMANLANDS LÄN</t>
        </is>
      </c>
      <c r="G230" t="inlineStr">
        <is>
          <t>FLEN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46261</v>
      </c>
      <c r="F231" t="inlineStr">
        <is>
          <t>SÖDERMANLANDS LÄN</t>
        </is>
      </c>
      <c r="G231" t="inlineStr">
        <is>
          <t>FLEN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45256</v>
      </c>
      <c r="E232" s="1" t="n">
        <v>46261</v>
      </c>
      <c r="F232" t="inlineStr">
        <is>
          <t>SÖDERMANLANDS LÄN</t>
        </is>
      </c>
      <c r="G232" t="inlineStr">
        <is>
          <t>FLEN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46261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46261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46261</v>
      </c>
      <c r="F235" t="inlineStr">
        <is>
          <t>SÖDERMANLANDS LÄN</t>
        </is>
      </c>
      <c r="G235" t="inlineStr">
        <is>
          <t>FLEN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46261</v>
      </c>
      <c r="F236" t="inlineStr">
        <is>
          <t>SÖDERMANLANDS LÄN</t>
        </is>
      </c>
      <c r="G236" t="inlineStr">
        <is>
          <t>FLEN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46261</v>
      </c>
      <c r="F237" t="inlineStr">
        <is>
          <t>SÖDERMANLANDS LÄN</t>
        </is>
      </c>
      <c r="G237" t="inlineStr">
        <is>
          <t>FLEN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46261</v>
      </c>
      <c r="F238" t="inlineStr">
        <is>
          <t>SÖDERMANLANDS LÄN</t>
        </is>
      </c>
      <c r="G238" t="inlineStr">
        <is>
          <t>FLEN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46261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46037</v>
      </c>
      <c r="E240" s="1" t="n">
        <v>46261</v>
      </c>
      <c r="F240" t="inlineStr">
        <is>
          <t>SÖDERMANLANDS LÄN</t>
        </is>
      </c>
      <c r="G240" t="inlineStr">
        <is>
          <t>FLEN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46261</v>
      </c>
      <c r="F241" t="inlineStr">
        <is>
          <t>SÖDERMANLANDS LÄN</t>
        </is>
      </c>
      <c r="G241" t="inlineStr">
        <is>
          <t>FLEN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46261</v>
      </c>
      <c r="F242" t="inlineStr">
        <is>
          <t>SÖDERMANLANDS LÄN</t>
        </is>
      </c>
      <c r="G242" t="inlineStr">
        <is>
          <t>FLEN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46261</v>
      </c>
      <c r="F243" t="inlineStr">
        <is>
          <t>SÖDERMANLANDS LÄN</t>
        </is>
      </c>
      <c r="G243" t="inlineStr">
        <is>
          <t>FLEN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46261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46261</v>
      </c>
      <c r="F245" t="inlineStr">
        <is>
          <t>SÖDERMANLANDS LÄN</t>
        </is>
      </c>
      <c r="G245" t="inlineStr">
        <is>
          <t>FLEN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46261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45830</v>
      </c>
      <c r="E247" s="1" t="n">
        <v>46261</v>
      </c>
      <c r="F247" t="inlineStr">
        <is>
          <t>SÖDERMANLANDS LÄN</t>
        </is>
      </c>
      <c r="G247" t="inlineStr">
        <is>
          <t>FLEN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45830</v>
      </c>
      <c r="E248" s="1" t="n">
        <v>46261</v>
      </c>
      <c r="F248" t="inlineStr">
        <is>
          <t>SÖDERMANLANDS LÄN</t>
        </is>
      </c>
      <c r="G248" t="inlineStr">
        <is>
          <t>FLEN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46261</v>
      </c>
      <c r="F249" t="inlineStr">
        <is>
          <t>SÖDERMANLANDS LÄN</t>
        </is>
      </c>
      <c r="G249" t="inlineStr">
        <is>
          <t>FLEN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46261</v>
      </c>
      <c r="F250" t="inlineStr">
        <is>
          <t>SÖDERMANLANDS LÄN</t>
        </is>
      </c>
      <c r="G250" t="inlineStr">
        <is>
          <t>FLEN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46077</v>
      </c>
      <c r="E251" s="1" t="n">
        <v>46261</v>
      </c>
      <c r="F251" t="inlineStr">
        <is>
          <t>SÖDERMANLANDS LÄN</t>
        </is>
      </c>
      <c r="G251" t="inlineStr">
        <is>
          <t>FLEN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46261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46261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46261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46261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46082</v>
      </c>
      <c r="E256" s="1" t="n">
        <v>46261</v>
      </c>
      <c r="F256" t="inlineStr">
        <is>
          <t>SÖDERMANLANDS LÄN</t>
        </is>
      </c>
      <c r="G256" t="inlineStr">
        <is>
          <t>FLEN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46261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46261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46261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46080</v>
      </c>
      <c r="E260" s="1" t="n">
        <v>46261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44887</v>
      </c>
      <c r="E261" s="1" t="n">
        <v>46261</v>
      </c>
      <c r="F261" t="inlineStr">
        <is>
          <t>SÖDERMANLANDS LÄN</t>
        </is>
      </c>
      <c r="G261" t="inlineStr">
        <is>
          <t>FLEN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46261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28768-2024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45478</v>
      </c>
      <c r="E263" s="1" t="n">
        <v>46261</v>
      </c>
      <c r="F263" t="inlineStr">
        <is>
          <t>SÖDERMANLANDS LÄN</t>
        </is>
      </c>
      <c r="G263" t="inlineStr">
        <is>
          <t>FLEN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46261</v>
      </c>
      <c r="F264" t="inlineStr">
        <is>
          <t>SÖDERMANLANDS LÄN</t>
        </is>
      </c>
      <c r="G264" t="inlineStr">
        <is>
          <t>FLEN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46261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46261</v>
      </c>
      <c r="F266" t="inlineStr">
        <is>
          <t>SÖDERMANLANDS LÄN</t>
        </is>
      </c>
      <c r="G266" t="inlineStr">
        <is>
          <t>FLEN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46261</v>
      </c>
      <c r="F267" t="inlineStr">
        <is>
          <t>SÖDERMANLANDS LÄN</t>
        </is>
      </c>
      <c r="G267" t="inlineStr">
        <is>
          <t>FLEN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46261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46261</v>
      </c>
      <c r="F269" t="inlineStr">
        <is>
          <t>SÖDERMANLANDS LÄN</t>
        </is>
      </c>
      <c r="G269" t="inlineStr">
        <is>
          <t>FLEN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45176</v>
      </c>
      <c r="E270" s="1" t="n">
        <v>46261</v>
      </c>
      <c r="F270" t="inlineStr">
        <is>
          <t>SÖDERMANLANDS LÄN</t>
        </is>
      </c>
      <c r="G270" t="inlineStr">
        <is>
          <t>FLEN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44899</v>
      </c>
      <c r="E271" s="1" t="n">
        <v>46261</v>
      </c>
      <c r="F271" t="inlineStr">
        <is>
          <t>SÖDERMANLANDS LÄN</t>
        </is>
      </c>
      <c r="G271" t="inlineStr">
        <is>
          <t>FLEN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66979-2021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44522</v>
      </c>
      <c r="E272" s="1" t="n">
        <v>46261</v>
      </c>
      <c r="F272" t="inlineStr">
        <is>
          <t>SÖDERMANLANDS LÄN</t>
        </is>
      </c>
      <c r="G272" t="inlineStr">
        <is>
          <t>FLEN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45946</v>
      </c>
      <c r="E273" s="1" t="n">
        <v>46261</v>
      </c>
      <c r="F273" t="inlineStr">
        <is>
          <t>SÖDERMANLANDS LÄN</t>
        </is>
      </c>
      <c r="G273" t="inlineStr">
        <is>
          <t>FLEN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46261</v>
      </c>
      <c r="F274" t="inlineStr">
        <is>
          <t>SÖDERMANLANDS LÄN</t>
        </is>
      </c>
      <c r="G274" t="inlineStr">
        <is>
          <t>FLEN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46261</v>
      </c>
      <c r="F275" t="inlineStr">
        <is>
          <t>SÖDERMANLANDS LÄN</t>
        </is>
      </c>
      <c r="G275" t="inlineStr">
        <is>
          <t>FLEN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46261</v>
      </c>
      <c r="F276" t="inlineStr">
        <is>
          <t>SÖDERMANLANDS LÄN</t>
        </is>
      </c>
      <c r="G276" t="inlineStr">
        <is>
          <t>FLEN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12172-2022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44636</v>
      </c>
      <c r="E277" s="1" t="n">
        <v>46261</v>
      </c>
      <c r="F277" t="inlineStr">
        <is>
          <t>SÖDERMANLANDS LÄN</t>
        </is>
      </c>
      <c r="G277" t="inlineStr">
        <is>
          <t>FLEN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16052-2026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46261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8.300000000000001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46261</v>
      </c>
      <c r="F279" t="inlineStr">
        <is>
          <t>SÖDERMANLANDS LÄN</t>
        </is>
      </c>
      <c r="G279" t="inlineStr">
        <is>
          <t>FLEN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46261</v>
      </c>
      <c r="F280" t="inlineStr">
        <is>
          <t>SÖDERMANLANDS LÄN</t>
        </is>
      </c>
      <c r="G280" t="inlineStr">
        <is>
          <t>FLEN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45880</v>
      </c>
      <c r="E281" s="1" t="n">
        <v>46261</v>
      </c>
      <c r="F281" t="inlineStr">
        <is>
          <t>SÖDERMANLANDS LÄN</t>
        </is>
      </c>
      <c r="G281" t="inlineStr">
        <is>
          <t>FLEN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44859</v>
      </c>
      <c r="E282" s="1" t="n">
        <v>46261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64480-2023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46261</v>
      </c>
      <c r="F283" t="inlineStr">
        <is>
          <t>SÖDERMANLANDS LÄN</t>
        </is>
      </c>
      <c r="G283" t="inlineStr">
        <is>
          <t>FLEN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51955-2025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46261</v>
      </c>
      <c r="F284" t="inlineStr">
        <is>
          <t>SÖDERMANLANDS LÄN</t>
        </is>
      </c>
      <c r="G284" t="inlineStr">
        <is>
          <t>FLEN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46261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46126</v>
      </c>
      <c r="E286" s="1" t="n">
        <v>46261</v>
      </c>
      <c r="F286" t="inlineStr">
        <is>
          <t>SÖDERMANLANDS LÄN</t>
        </is>
      </c>
      <c r="G286" t="inlineStr">
        <is>
          <t>FLEN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46261</v>
      </c>
      <c r="F287" t="inlineStr">
        <is>
          <t>SÖDERMANLANDS LÄN</t>
        </is>
      </c>
      <c r="G287" t="inlineStr">
        <is>
          <t>FLEN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46261</v>
      </c>
      <c r="F288" t="inlineStr">
        <is>
          <t>SÖDERMANLANDS LÄN</t>
        </is>
      </c>
      <c r="G288" t="inlineStr">
        <is>
          <t>FLEN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46261</v>
      </c>
      <c r="F289" t="inlineStr">
        <is>
          <t>SÖDERMANLANDS LÄN</t>
        </is>
      </c>
      <c r="G289" t="inlineStr">
        <is>
          <t>FLEN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46261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54282-2025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45964</v>
      </c>
      <c r="E291" s="1" t="n">
        <v>46261</v>
      </c>
      <c r="F291" t="inlineStr">
        <is>
          <t>SÖDERMANLANDS LÄN</t>
        </is>
      </c>
      <c r="G291" t="inlineStr">
        <is>
          <t>FLEN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54283-2025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45964</v>
      </c>
      <c r="E292" s="1" t="n">
        <v>46261</v>
      </c>
      <c r="F292" t="inlineStr">
        <is>
          <t>SÖDERMANLANDS LÄN</t>
        </is>
      </c>
      <c r="G292" t="inlineStr">
        <is>
          <t>FLEN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46261</v>
      </c>
      <c r="F293" t="inlineStr">
        <is>
          <t>SÖDERMANLANDS LÄN</t>
        </is>
      </c>
      <c r="G293" t="inlineStr">
        <is>
          <t>FLEN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46261</v>
      </c>
      <c r="F294" t="inlineStr">
        <is>
          <t>SÖDERMANLANDS LÄN</t>
        </is>
      </c>
      <c r="G294" t="inlineStr">
        <is>
          <t>FLEN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46261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46261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19618-2026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46261</v>
      </c>
      <c r="F297" t="inlineStr">
        <is>
          <t>SÖDERMANLANDS LÄN</t>
        </is>
      </c>
      <c r="G297" t="inlineStr">
        <is>
          <t>FLEN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26253-2025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45805</v>
      </c>
      <c r="E298" s="1" t="n">
        <v>46261</v>
      </c>
      <c r="F298" t="inlineStr">
        <is>
          <t>SÖDERMANLANDS LÄN</t>
        </is>
      </c>
      <c r="G298" t="inlineStr">
        <is>
          <t>FLEN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22839-2025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45789</v>
      </c>
      <c r="E299" s="1" t="n">
        <v>46261</v>
      </c>
      <c r="F299" t="inlineStr">
        <is>
          <t>SÖDERMANLANDS LÄN</t>
        </is>
      </c>
      <c r="G299" t="inlineStr">
        <is>
          <t>FLEN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56573-2025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45974</v>
      </c>
      <c r="E300" s="1" t="n">
        <v>46261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46261</v>
      </c>
      <c r="F301" t="inlineStr">
        <is>
          <t>SÖDERMANLANDS LÄN</t>
        </is>
      </c>
      <c r="G301" t="inlineStr">
        <is>
          <t>FLEN</t>
        </is>
      </c>
      <c r="H301" t="inlineStr">
        <is>
          <t>Övriga statliga verk och myndigheter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44616</v>
      </c>
      <c r="E302" s="1" t="n">
        <v>46261</v>
      </c>
      <c r="F302" t="inlineStr">
        <is>
          <t>SÖDERMANLANDS LÄN</t>
        </is>
      </c>
      <c r="G302" t="inlineStr">
        <is>
          <t>FLEN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45014</v>
      </c>
      <c r="E303" s="1" t="n">
        <v>46261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46261</v>
      </c>
      <c r="F304" t="inlineStr">
        <is>
          <t>SÖDERMANLANDS LÄN</t>
        </is>
      </c>
      <c r="G304" t="inlineStr">
        <is>
          <t>FLEN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44807</v>
      </c>
      <c r="E305" s="1" t="n">
        <v>46261</v>
      </c>
      <c r="F305" t="inlineStr">
        <is>
          <t>SÖDERMANLANDS LÄN</t>
        </is>
      </c>
      <c r="G305" t="inlineStr">
        <is>
          <t>FLEN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44588</v>
      </c>
      <c r="E306" s="1" t="n">
        <v>46261</v>
      </c>
      <c r="F306" t="inlineStr">
        <is>
          <t>SÖDERMANLANDS LÄN</t>
        </is>
      </c>
      <c r="G306" t="inlineStr">
        <is>
          <t>FLEN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44838</v>
      </c>
      <c r="E307" s="1" t="n">
        <v>46261</v>
      </c>
      <c r="F307" t="inlineStr">
        <is>
          <t>SÖDERMANLANDS LÄN</t>
        </is>
      </c>
      <c r="G307" t="inlineStr">
        <is>
          <t>FLEN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4899-2023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44958</v>
      </c>
      <c r="E308" s="1" t="n">
        <v>46261</v>
      </c>
      <c r="F308" t="inlineStr">
        <is>
          <t>SÖDERMANLANDS LÄN</t>
        </is>
      </c>
      <c r="G308" t="inlineStr">
        <is>
          <t>FLEN</t>
        </is>
      </c>
      <c r="H308" t="inlineStr">
        <is>
          <t>Kyrkan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45226</v>
      </c>
      <c r="E309" s="1" t="n">
        <v>46261</v>
      </c>
      <c r="F309" t="inlineStr">
        <is>
          <t>SÖDERMANLANDS LÄN</t>
        </is>
      </c>
      <c r="G309" t="inlineStr">
        <is>
          <t>FLEN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46261</v>
      </c>
      <c r="F310" t="inlineStr">
        <is>
          <t>SÖDERMANLANDS LÄN</t>
        </is>
      </c>
      <c r="G310" t="inlineStr">
        <is>
          <t>FLEN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46261</v>
      </c>
      <c r="F311" t="inlineStr">
        <is>
          <t>SÖDERMANLANDS LÄN</t>
        </is>
      </c>
      <c r="G311" t="inlineStr">
        <is>
          <t>FLEN</t>
        </is>
      </c>
      <c r="H311" t="inlineStr">
        <is>
          <t>Kyrkan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45869</v>
      </c>
      <c r="E312" s="1" t="n">
        <v>46261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46261</v>
      </c>
      <c r="F313" t="inlineStr">
        <is>
          <t>SÖDERMANLANDS LÄN</t>
        </is>
      </c>
      <c r="G313" t="inlineStr">
        <is>
          <t>FLEN</t>
        </is>
      </c>
      <c r="H313" t="inlineStr">
        <is>
          <t>Kyrkan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45993</v>
      </c>
      <c r="E314" s="1" t="n">
        <v>46261</v>
      </c>
      <c r="F314" t="inlineStr">
        <is>
          <t>SÖDERMANLANDS LÄN</t>
        </is>
      </c>
      <c r="G314" t="inlineStr">
        <is>
          <t>FLEN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46261</v>
      </c>
      <c r="F315" t="inlineStr">
        <is>
          <t>SÖDERMANLANDS LÄN</t>
        </is>
      </c>
      <c r="G315" t="inlineStr">
        <is>
          <t>FLEN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56229-2025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46261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45993</v>
      </c>
      <c r="E317" s="1" t="n">
        <v>46261</v>
      </c>
      <c r="F317" t="inlineStr">
        <is>
          <t>SÖDERMANLANDS LÄN</t>
        </is>
      </c>
      <c r="G317" t="inlineStr">
        <is>
          <t>FLEN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45718</v>
      </c>
      <c r="E318" s="1" t="n">
        <v>46261</v>
      </c>
      <c r="F318" t="inlineStr">
        <is>
          <t>SÖDERMANLANDS LÄN</t>
        </is>
      </c>
      <c r="G318" t="inlineStr">
        <is>
          <t>FLEN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60382-2025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46261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46261</v>
      </c>
      <c r="F320" t="inlineStr">
        <is>
          <t>SÖDERMANLANDS LÄN</t>
        </is>
      </c>
      <c r="G320" t="inlineStr">
        <is>
          <t>FLEN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56991-2023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46261</v>
      </c>
      <c r="F321" t="inlineStr">
        <is>
          <t>SÖDERMANLANDS LÄN</t>
        </is>
      </c>
      <c r="G321" t="inlineStr">
        <is>
          <t>FLEN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46261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46261</v>
      </c>
      <c r="F323" t="inlineStr">
        <is>
          <t>SÖDERMANLANDS LÄN</t>
        </is>
      </c>
      <c r="G323" t="inlineStr">
        <is>
          <t>FLEN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46261</v>
      </c>
      <c r="F324" t="inlineStr">
        <is>
          <t>SÖDERMANLANDS LÄN</t>
        </is>
      </c>
      <c r="G324" t="inlineStr">
        <is>
          <t>FLEN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45791</v>
      </c>
      <c r="E325" s="1" t="n">
        <v>46261</v>
      </c>
      <c r="F325" t="inlineStr">
        <is>
          <t>SÖDERMANLANDS LÄN</t>
        </is>
      </c>
      <c r="G325" t="inlineStr">
        <is>
          <t>FLEN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67464-2021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44524</v>
      </c>
      <c r="E326" s="1" t="n">
        <v>46261</v>
      </c>
      <c r="F326" t="inlineStr">
        <is>
          <t>SÖDERMANLANDS LÄN</t>
        </is>
      </c>
      <c r="G326" t="inlineStr">
        <is>
          <t>FLEN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44897</v>
      </c>
      <c r="E327" s="1" t="n">
        <v>46261</v>
      </c>
      <c r="F327" t="inlineStr">
        <is>
          <t>SÖDERMANLANDS LÄN</t>
        </is>
      </c>
      <c r="G327" t="inlineStr">
        <is>
          <t>FLEN</t>
        </is>
      </c>
      <c r="H327" t="inlineStr">
        <is>
          <t>Övriga statliga verk och myndigheter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47604-2021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46261</v>
      </c>
      <c r="F328" t="inlineStr">
        <is>
          <t>SÖDERMANLANDS LÄN</t>
        </is>
      </c>
      <c r="G328" t="inlineStr">
        <is>
          <t>FLEN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46261</v>
      </c>
      <c r="F329" t="inlineStr">
        <is>
          <t>SÖDERMANLANDS LÄN</t>
        </is>
      </c>
      <c r="G329" t="inlineStr">
        <is>
          <t>FLEN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46261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44986</v>
      </c>
      <c r="E331" s="1" t="n">
        <v>46261</v>
      </c>
      <c r="F331" t="inlineStr">
        <is>
          <t>SÖDERMANLANDS LÄN</t>
        </is>
      </c>
      <c r="G331" t="inlineStr">
        <is>
          <t>FLEN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44988</v>
      </c>
      <c r="E332" s="1" t="n">
        <v>46261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46261</v>
      </c>
      <c r="F333" t="inlineStr">
        <is>
          <t>SÖDERMANLANDS LÄN</t>
        </is>
      </c>
      <c r="G333" t="inlineStr">
        <is>
          <t>FLEN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45089</v>
      </c>
      <c r="E334" s="1" t="n">
        <v>46261</v>
      </c>
      <c r="F334" t="inlineStr">
        <is>
          <t>SÖDERMANLANDS LÄN</t>
        </is>
      </c>
      <c r="G334" t="inlineStr">
        <is>
          <t>FLEN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46261</v>
      </c>
      <c r="F335" t="inlineStr">
        <is>
          <t>SÖDERMANLANDS LÄN</t>
        </is>
      </c>
      <c r="G335" t="inlineStr">
        <is>
          <t>FLEN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45553</v>
      </c>
      <c r="E336" s="1" t="n">
        <v>46261</v>
      </c>
      <c r="F336" t="inlineStr">
        <is>
          <t>SÖDERMANLANDS LÄN</t>
        </is>
      </c>
      <c r="G336" t="inlineStr">
        <is>
          <t>FLEN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44911</v>
      </c>
      <c r="E337" s="1" t="n">
        <v>46261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46261</v>
      </c>
      <c r="F338" t="inlineStr">
        <is>
          <t>SÖDERMANLANDS LÄN</t>
        </is>
      </c>
      <c r="G338" t="inlineStr">
        <is>
          <t>FLEN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30423-2022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44761</v>
      </c>
      <c r="E339" s="1" t="n">
        <v>46261</v>
      </c>
      <c r="F339" t="inlineStr">
        <is>
          <t>SÖDERMANLANDS LÄN</t>
        </is>
      </c>
      <c r="G339" t="inlineStr">
        <is>
          <t>FLEN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45224</v>
      </c>
      <c r="E340" s="1" t="n">
        <v>46261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46261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46261</v>
      </c>
      <c r="F342" t="inlineStr">
        <is>
          <t>SÖDERMANLANDS LÄN</t>
        </is>
      </c>
      <c r="G342" t="inlineStr">
        <is>
          <t>FLEN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46261</v>
      </c>
      <c r="F343" t="inlineStr">
        <is>
          <t>SÖDERMANLANDS LÄN</t>
        </is>
      </c>
      <c r="G343" t="inlineStr">
        <is>
          <t>FLEN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23835-2022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44722</v>
      </c>
      <c r="E344" s="1" t="n">
        <v>46261</v>
      </c>
      <c r="F344" t="inlineStr">
        <is>
          <t>SÖDERMANLANDS LÄN</t>
        </is>
      </c>
      <c r="G344" t="inlineStr">
        <is>
          <t>FLEN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23859-2022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46261</v>
      </c>
      <c r="F345" t="inlineStr">
        <is>
          <t>SÖDERMANLANDS LÄN</t>
        </is>
      </c>
      <c r="G345" t="inlineStr">
        <is>
          <t>FLEN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46261</v>
      </c>
      <c r="F346" t="inlineStr">
        <is>
          <t>SÖDERMANLANDS LÄN</t>
        </is>
      </c>
      <c r="G346" t="inlineStr">
        <is>
          <t>FLEN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46261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46261</v>
      </c>
      <c r="F348" t="inlineStr">
        <is>
          <t>SÖDERMANLANDS LÄN</t>
        </is>
      </c>
      <c r="G348" t="inlineStr">
        <is>
          <t>FLEN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46261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46261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45012</v>
      </c>
      <c r="E351" s="1" t="n">
        <v>46261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46261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46261</v>
      </c>
      <c r="F353" t="inlineStr">
        <is>
          <t>SÖDERMANLANDS LÄN</t>
        </is>
      </c>
      <c r="G353" t="inlineStr">
        <is>
          <t>FLEN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46261</v>
      </c>
      <c r="F354" t="inlineStr">
        <is>
          <t>SÖDERMANLANDS LÄN</t>
        </is>
      </c>
      <c r="G354" t="inlineStr">
        <is>
          <t>FLEN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54781-2024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45618</v>
      </c>
      <c r="E355" s="1" t="n">
        <v>46261</v>
      </c>
      <c r="F355" t="inlineStr">
        <is>
          <t>SÖDERMANLANDS LÄN</t>
        </is>
      </c>
      <c r="G355" t="inlineStr">
        <is>
          <t>FLEN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46170</v>
      </c>
      <c r="E356" s="1" t="n">
        <v>46261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  <c r="Z356">
        <f>HYPERLINK("https://klasma.github.io/Logging_0482/knärot/A 24450-2026 karta knärot.png", "A 24450-2026")</f>
        <v/>
      </c>
      <c r="AA356">
        <f>HYPERLINK("https://klasma.github.io/Logging_0482/klagomål/A 24450-2026 FSC-klagomål.docx", "A 24450-2026")</f>
        <v/>
      </c>
      <c r="AB356">
        <f>HYPERLINK("https://klasma.github.io/Logging_0482/klagomålsmail/A 24450-2026 FSC-klagomål mail.docx", "A 24450-2026")</f>
        <v/>
      </c>
      <c r="AC356">
        <f>HYPERLINK("https://klasma.github.io/Logging_0482/tillsyn/A 24450-2026 tillsynsbegäran.docx", "A 24450-2026")</f>
        <v/>
      </c>
      <c r="AD356">
        <f>HYPERLINK("https://klasma.github.io/Logging_0482/tillsynsmail/A 24450-2026 tillsynsbegäran mail.docx", "A 24450-2026")</f>
        <v/>
      </c>
    </row>
    <row r="357" ht="15" customHeight="1">
      <c r="A357" t="inlineStr">
        <is>
          <t>A 9079-2025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46261</v>
      </c>
      <c r="F357" t="inlineStr">
        <is>
          <t>SÖDERMANLANDS LÄN</t>
        </is>
      </c>
      <c r="G357" t="inlineStr">
        <is>
          <t>FLEN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47872-2025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45932</v>
      </c>
      <c r="E358" s="1" t="n">
        <v>46261</v>
      </c>
      <c r="F358" t="inlineStr">
        <is>
          <t>SÖDERMANLANDS LÄN</t>
        </is>
      </c>
      <c r="G358" t="inlineStr">
        <is>
          <t>FLEN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45597</v>
      </c>
      <c r="E359" s="1" t="n">
        <v>46261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46261</v>
      </c>
      <c r="F360" t="inlineStr">
        <is>
          <t>SÖDERMANLANDS LÄN</t>
        </is>
      </c>
      <c r="G360" t="inlineStr">
        <is>
          <t>FLEN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46261</v>
      </c>
      <c r="F361" t="inlineStr">
        <is>
          <t>SÖDERMANLANDS LÄN</t>
        </is>
      </c>
      <c r="G361" t="inlineStr">
        <is>
          <t>FLEN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46261</v>
      </c>
      <c r="F362" t="inlineStr">
        <is>
          <t>SÖDERMANLANDS LÄN</t>
        </is>
      </c>
      <c r="G362" t="inlineStr">
        <is>
          <t>FLEN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52472-2023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46261</v>
      </c>
      <c r="F363" t="inlineStr">
        <is>
          <t>SÖDERMANLANDS LÄN</t>
        </is>
      </c>
      <c r="G363" t="inlineStr">
        <is>
          <t>FLEN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46261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52481-2023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46261</v>
      </c>
      <c r="F365" t="inlineStr">
        <is>
          <t>SÖDERMANLANDS LÄN</t>
        </is>
      </c>
      <c r="G365" t="inlineStr">
        <is>
          <t>FLEN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46261</v>
      </c>
      <c r="F366" t="inlineStr">
        <is>
          <t>SÖDERMANLANDS LÄN</t>
        </is>
      </c>
      <c r="G366" t="inlineStr">
        <is>
          <t>FLEN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46261</v>
      </c>
      <c r="F367" t="inlineStr">
        <is>
          <t>SÖDERMANLANDS LÄN</t>
        </is>
      </c>
      <c r="G367" t="inlineStr">
        <is>
          <t>FLEN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46261</v>
      </c>
      <c r="F368" t="inlineStr">
        <is>
          <t>SÖDERMANLANDS LÄN</t>
        </is>
      </c>
      <c r="G368" t="inlineStr">
        <is>
          <t>FLEN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45713</v>
      </c>
      <c r="E369" s="1" t="n">
        <v>46261</v>
      </c>
      <c r="F369" t="inlineStr">
        <is>
          <t>SÖDERMANLANDS LÄN</t>
        </is>
      </c>
      <c r="G369" t="inlineStr">
        <is>
          <t>FLEN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46261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46261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45228</v>
      </c>
      <c r="E372" s="1" t="n">
        <v>46261</v>
      </c>
      <c r="F372" t="inlineStr">
        <is>
          <t>SÖDERMANLANDS LÄN</t>
        </is>
      </c>
      <c r="G372" t="inlineStr">
        <is>
          <t>FLEN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46261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46229</v>
      </c>
      <c r="E374" s="1" t="n">
        <v>46261</v>
      </c>
      <c r="F374" t="inlineStr">
        <is>
          <t>SÖDERMANLANDS LÄN</t>
        </is>
      </c>
      <c r="G374" t="inlineStr">
        <is>
          <t>FLEN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46185</v>
      </c>
      <c r="E375" s="1" t="n">
        <v>46261</v>
      </c>
      <c r="F375" t="inlineStr">
        <is>
          <t>SÖDERMANLANDS LÄN</t>
        </is>
      </c>
      <c r="G375" t="inlineStr">
        <is>
          <t>FLEN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66867-2021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44522</v>
      </c>
      <c r="E376" s="1" t="n">
        <v>46261</v>
      </c>
      <c r="F376" t="inlineStr">
        <is>
          <t>SÖDERMANLANDS LÄN</t>
        </is>
      </c>
      <c r="G376" t="inlineStr">
        <is>
          <t>FLEN</t>
        </is>
      </c>
      <c r="H376" t="inlineStr">
        <is>
          <t>Kyrkan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46261</v>
      </c>
      <c r="F377" t="inlineStr">
        <is>
          <t>SÖDERMANLANDS LÄN</t>
        </is>
      </c>
      <c r="G377" t="inlineStr">
        <is>
          <t>FLEN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46261</v>
      </c>
      <c r="F378" t="inlineStr">
        <is>
          <t>SÖDERMANLANDS LÄN</t>
        </is>
      </c>
      <c r="G378" t="inlineStr">
        <is>
          <t>FLEN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45048</v>
      </c>
      <c r="E379" s="1" t="n">
        <v>46261</v>
      </c>
      <c r="F379" t="inlineStr">
        <is>
          <t>SÖDERMANLANDS LÄN</t>
        </is>
      </c>
      <c r="G379" t="inlineStr">
        <is>
          <t>FLEN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45671</v>
      </c>
      <c r="E380" s="1" t="n">
        <v>46261</v>
      </c>
      <c r="F380" t="inlineStr">
        <is>
          <t>SÖDERMANLANDS LÄN</t>
        </is>
      </c>
      <c r="G380" t="inlineStr">
        <is>
          <t>FLEN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13824-2023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45007</v>
      </c>
      <c r="E381" s="1" t="n">
        <v>46261</v>
      </c>
      <c r="F381" t="inlineStr">
        <is>
          <t>SÖDERMANLANDS LÄN</t>
        </is>
      </c>
      <c r="G381" t="inlineStr">
        <is>
          <t>FLEN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45345</v>
      </c>
      <c r="E382" s="1" t="n">
        <v>46261</v>
      </c>
      <c r="F382" t="inlineStr">
        <is>
          <t>SÖDERMANLANDS LÄN</t>
        </is>
      </c>
      <c r="G382" t="inlineStr">
        <is>
          <t>FLEN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46261</v>
      </c>
      <c r="F383" t="inlineStr">
        <is>
          <t>SÖDERMANLANDS LÄN</t>
        </is>
      </c>
      <c r="G383" t="inlineStr">
        <is>
          <t>FLEN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46261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46261</v>
      </c>
      <c r="F385" t="inlineStr">
        <is>
          <t>SÖDERMANLANDS LÄN</t>
        </is>
      </c>
      <c r="G385" t="inlineStr">
        <is>
          <t>FLEN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46261</v>
      </c>
      <c r="F386" t="inlineStr">
        <is>
          <t>SÖDERMANLANDS LÄN</t>
        </is>
      </c>
      <c r="G386" t="inlineStr">
        <is>
          <t>FLEN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46261</v>
      </c>
      <c r="F387" t="inlineStr">
        <is>
          <t>SÖDERMANLANDS LÄN</t>
        </is>
      </c>
      <c r="G387" t="inlineStr">
        <is>
          <t>FLEN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46261</v>
      </c>
      <c r="F388" t="inlineStr">
        <is>
          <t>SÖDERMANLANDS LÄN</t>
        </is>
      </c>
      <c r="G388" t="inlineStr">
        <is>
          <t>FLEN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8883-2023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44979</v>
      </c>
      <c r="E389" s="1" t="n">
        <v>46261</v>
      </c>
      <c r="F389" t="inlineStr">
        <is>
          <t>SÖDERMANLANDS LÄN</t>
        </is>
      </c>
      <c r="G389" t="inlineStr">
        <is>
          <t>FLEN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21822-2023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45068</v>
      </c>
      <c r="E390" s="1" t="n">
        <v>46261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47187-2022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44848</v>
      </c>
      <c r="E391" s="1" t="n">
        <v>46261</v>
      </c>
      <c r="F391" t="inlineStr">
        <is>
          <t>SÖDERMANLANDS LÄN</t>
        </is>
      </c>
      <c r="G391" t="inlineStr">
        <is>
          <t>FLEN</t>
        </is>
      </c>
      <c r="H391" t="inlineStr">
        <is>
          <t>Övriga statliga verk och myndigheter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45225</v>
      </c>
      <c r="E392" s="1" t="n">
        <v>46261</v>
      </c>
      <c r="F392" t="inlineStr">
        <is>
          <t>SÖDERMANLANDS LÄN</t>
        </is>
      </c>
      <c r="G392" t="inlineStr">
        <is>
          <t>FLEN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46261</v>
      </c>
      <c r="F393" t="inlineStr">
        <is>
          <t>SÖDERMANLANDS LÄN</t>
        </is>
      </c>
      <c r="G393" t="inlineStr">
        <is>
          <t>FLEN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44864</v>
      </c>
      <c r="E394" s="1" t="n">
        <v>46261</v>
      </c>
      <c r="F394" t="inlineStr">
        <is>
          <t>SÖDERMANLANDS LÄN</t>
        </is>
      </c>
      <c r="G394" t="inlineStr">
        <is>
          <t>FLEN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50796-2021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44459</v>
      </c>
      <c r="E395" s="1" t="n">
        <v>46261</v>
      </c>
      <c r="F395" t="inlineStr">
        <is>
          <t>SÖDERMANLANDS LÄN</t>
        </is>
      </c>
      <c r="G395" t="inlineStr">
        <is>
          <t>FLEN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45216</v>
      </c>
      <c r="E396" s="1" t="n">
        <v>46261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45555</v>
      </c>
      <c r="E397" s="1" t="n">
        <v>46261</v>
      </c>
      <c r="F397" t="inlineStr">
        <is>
          <t>SÖDERMANLANDS LÄN</t>
        </is>
      </c>
      <c r="G397" t="inlineStr">
        <is>
          <t>FLEN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46240</v>
      </c>
      <c r="E398" s="1" t="n">
        <v>46261</v>
      </c>
      <c r="F398" t="inlineStr">
        <is>
          <t>SÖDERMANLANDS LÄN</t>
        </is>
      </c>
      <c r="G398" t="inlineStr">
        <is>
          <t>FLEN</t>
        </is>
      </c>
      <c r="I398" t="n">
        <v>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52692-2021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44466</v>
      </c>
      <c r="E399" s="1" t="n">
        <v>46261</v>
      </c>
      <c r="F399" t="inlineStr">
        <is>
          <t>SÖDERMANLANDS LÄN</t>
        </is>
      </c>
      <c r="G399" t="inlineStr">
        <is>
          <t>FLEN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46261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45260</v>
      </c>
      <c r="E401" s="1" t="n">
        <v>46261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45271</v>
      </c>
      <c r="E402" s="1" t="n">
        <v>46261</v>
      </c>
      <c r="F402" t="inlineStr">
        <is>
          <t>SÖDERMANLANDS LÄN</t>
        </is>
      </c>
      <c r="G402" t="inlineStr">
        <is>
          <t>FLEN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46261</v>
      </c>
      <c r="F403" t="inlineStr">
        <is>
          <t>SÖDERMANLANDS LÄN</t>
        </is>
      </c>
      <c r="G403" t="inlineStr">
        <is>
          <t>FLEN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46261</v>
      </c>
      <c r="F404" t="inlineStr">
        <is>
          <t>SÖDERMANLANDS LÄN</t>
        </is>
      </c>
      <c r="G404" t="inlineStr">
        <is>
          <t>FLEN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15897-2023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45022</v>
      </c>
      <c r="E405" s="1" t="n">
        <v>46261</v>
      </c>
      <c r="F405" t="inlineStr">
        <is>
          <t>SÖDERMANLANDS LÄN</t>
        </is>
      </c>
      <c r="G405" t="inlineStr">
        <is>
          <t>FLEN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45034</v>
      </c>
      <c r="E406" s="1" t="n">
        <v>46261</v>
      </c>
      <c r="F406" t="inlineStr">
        <is>
          <t>SÖDERMANLANDS LÄN</t>
        </is>
      </c>
      <c r="G406" t="inlineStr">
        <is>
          <t>FLEN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45104</v>
      </c>
      <c r="E407" s="1" t="n">
        <v>46261</v>
      </c>
      <c r="F407" t="inlineStr">
        <is>
          <t>SÖDERMANLANDS LÄN</t>
        </is>
      </c>
      <c r="G407" t="inlineStr">
        <is>
          <t>FLEN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45081</v>
      </c>
      <c r="E408" s="1" t="n">
        <v>46261</v>
      </c>
      <c r="F408" t="inlineStr">
        <is>
          <t>SÖDERMANLANDS LÄN</t>
        </is>
      </c>
      <c r="G408" t="inlineStr">
        <is>
          <t>FLEN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45081</v>
      </c>
      <c r="E409" s="1" t="n">
        <v>46261</v>
      </c>
      <c r="F409" t="inlineStr">
        <is>
          <t>SÖDERMANLANDS LÄN</t>
        </is>
      </c>
      <c r="G409" t="inlineStr">
        <is>
          <t>FLEN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45001</v>
      </c>
      <c r="E410" s="1" t="n">
        <v>46261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46261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35600-2023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45147</v>
      </c>
      <c r="E412" s="1" t="n">
        <v>46261</v>
      </c>
      <c r="F412" t="inlineStr">
        <is>
          <t>SÖDERMANLANDS LÄN</t>
        </is>
      </c>
      <c r="G412" t="inlineStr">
        <is>
          <t>FLEN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46261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73923-2021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44553</v>
      </c>
      <c r="E414" s="1" t="n">
        <v>46261</v>
      </c>
      <c r="F414" t="inlineStr">
        <is>
          <t>SÖDERMANLANDS LÄN</t>
        </is>
      </c>
      <c r="G414" t="inlineStr">
        <is>
          <t>FLEN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33936-2026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46250</v>
      </c>
      <c r="E415" s="1" t="n">
        <v>46261</v>
      </c>
      <c r="F415" t="inlineStr">
        <is>
          <t>SÖDERMANLANDS LÄN</t>
        </is>
      </c>
      <c r="G415" t="inlineStr">
        <is>
          <t>FLEN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60034-2022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44909</v>
      </c>
      <c r="E416" s="1" t="n">
        <v>46261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46249</v>
      </c>
      <c r="E417" s="1" t="n">
        <v>46261</v>
      </c>
      <c r="F417" t="inlineStr">
        <is>
          <t>SÖDERMANLANDS LÄN</t>
        </is>
      </c>
      <c r="G417" t="inlineStr">
        <is>
          <t>FLEN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46251</v>
      </c>
      <c r="E418" s="1" t="n">
        <v>46261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46251</v>
      </c>
      <c r="E419" s="1" t="n">
        <v>46261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45250</v>
      </c>
      <c r="E420" s="1" t="n">
        <v>46261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45161</v>
      </c>
      <c r="E421" s="1" t="n">
        <v>46261</v>
      </c>
      <c r="F421" t="inlineStr">
        <is>
          <t>SÖDERMANLANDS LÄN</t>
        </is>
      </c>
      <c r="G421" t="inlineStr">
        <is>
          <t>FLEN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46261</v>
      </c>
      <c r="F422" t="inlineStr">
        <is>
          <t>SÖDERMANLANDS LÄN</t>
        </is>
      </c>
      <c r="G422" t="inlineStr">
        <is>
          <t>FLEN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9257-2023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44980</v>
      </c>
      <c r="E423" s="1" t="n">
        <v>46261</v>
      </c>
      <c r="F423" t="inlineStr">
        <is>
          <t>SÖDERMANLANDS LÄN</t>
        </is>
      </c>
      <c r="G423" t="inlineStr">
        <is>
          <t>FLEN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46261</v>
      </c>
      <c r="F424" t="inlineStr">
        <is>
          <t>SÖDERMANLANDS LÄN</t>
        </is>
      </c>
      <c r="G424" t="inlineStr">
        <is>
          <t>FLEN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54666-2021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44473</v>
      </c>
      <c r="E425" s="1" t="n">
        <v>46261</v>
      </c>
      <c r="F425" t="inlineStr">
        <is>
          <t>SÖDERMANLANDS LÄN</t>
        </is>
      </c>
      <c r="G425" t="inlineStr">
        <is>
          <t>FLEN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46261</v>
      </c>
      <c r="F426" t="inlineStr">
        <is>
          <t>SÖDERMANLANDS LÄN</t>
        </is>
      </c>
      <c r="G426" t="inlineStr">
        <is>
          <t>FLEN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44957</v>
      </c>
      <c r="E427" s="1" t="n">
        <v>46261</v>
      </c>
      <c r="F427" t="inlineStr">
        <is>
          <t>SÖDERMANLANDS LÄN</t>
        </is>
      </c>
      <c r="G427" t="inlineStr">
        <is>
          <t>FLEN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34839-2026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46258</v>
      </c>
      <c r="E428" s="1" t="n">
        <v>46261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44614</v>
      </c>
      <c r="E429" s="1" t="n">
        <v>46261</v>
      </c>
      <c r="F429" t="inlineStr">
        <is>
          <t>SÖDERMANLANDS LÄN</t>
        </is>
      </c>
      <c r="G429" t="inlineStr">
        <is>
          <t>FLEN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46261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42388-2023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46261</v>
      </c>
      <c r="F431" t="inlineStr">
        <is>
          <t>SÖDERMANLANDS LÄN</t>
        </is>
      </c>
      <c r="G431" t="inlineStr">
        <is>
          <t>FLEN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45528</v>
      </c>
      <c r="E432" s="1" t="n">
        <v>46261</v>
      </c>
      <c r="F432" t="inlineStr">
        <is>
          <t>SÖDERMANLANDS LÄN</t>
        </is>
      </c>
      <c r="G432" t="inlineStr">
        <is>
          <t>FLEN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46258</v>
      </c>
      <c r="E433" s="1" t="n">
        <v>46261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72314-2021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44544</v>
      </c>
      <c r="E434" s="1" t="n">
        <v>46261</v>
      </c>
      <c r="F434" t="inlineStr">
        <is>
          <t>SÖDERMANLANDS LÄN</t>
        </is>
      </c>
      <c r="G434" t="inlineStr">
        <is>
          <t>FLEN</t>
        </is>
      </c>
      <c r="I434" t="n">
        <v>13.8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46261</v>
      </c>
      <c r="F435" t="inlineStr">
        <is>
          <t>SÖDERMANLANDS LÄN</t>
        </is>
      </c>
      <c r="G435" t="inlineStr">
        <is>
          <t>FLEN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41630-2023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45175</v>
      </c>
      <c r="E436" s="1" t="n">
        <v>46261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45163</v>
      </c>
      <c r="E437" s="1" t="n">
        <v>46261</v>
      </c>
      <c r="F437" t="inlineStr">
        <is>
          <t>SÖDERMANLANDS LÄN</t>
        </is>
      </c>
      <c r="G437" t="inlineStr">
        <is>
          <t>FLEN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60255-2021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44495</v>
      </c>
      <c r="E438" s="1" t="n">
        <v>46261</v>
      </c>
      <c r="F438" t="inlineStr">
        <is>
          <t>SÖDERMANLANDS LÄN</t>
        </is>
      </c>
      <c r="G438" t="inlineStr">
        <is>
          <t>FLEN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46261</v>
      </c>
      <c r="F439" t="inlineStr">
        <is>
          <t>SÖDERMANLANDS LÄN</t>
        </is>
      </c>
      <c r="G439" t="inlineStr">
        <is>
          <t>FLEN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38331-2023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45161</v>
      </c>
      <c r="E440" s="1" t="n">
        <v>46261</v>
      </c>
      <c r="F440" t="inlineStr">
        <is>
          <t>SÖDERMANLANDS LÄN</t>
        </is>
      </c>
      <c r="G440" t="inlineStr">
        <is>
          <t>FLEN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44610</v>
      </c>
      <c r="E441" s="1" t="n">
        <v>46261</v>
      </c>
      <c r="F441" t="inlineStr">
        <is>
          <t>SÖDERMANLANDS LÄN</t>
        </is>
      </c>
      <c r="G441" t="inlineStr">
        <is>
          <t>FLEN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6725-2022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44602</v>
      </c>
      <c r="E442" s="1" t="n">
        <v>46261</v>
      </c>
      <c r="F442" t="inlineStr">
        <is>
          <t>SÖDERMANLANDS LÄN</t>
        </is>
      </c>
      <c r="G442" t="inlineStr">
        <is>
          <t>FLEN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45114</v>
      </c>
      <c r="E443" s="1" t="n">
        <v>46261</v>
      </c>
      <c r="F443" t="inlineStr">
        <is>
          <t>SÖDERMANLANDS LÄN</t>
        </is>
      </c>
      <c r="G443" t="inlineStr">
        <is>
          <t>FLEN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46261</v>
      </c>
      <c r="F444" t="inlineStr">
        <is>
          <t>SÖDERMANLANDS LÄN</t>
        </is>
      </c>
      <c r="G444" t="inlineStr">
        <is>
          <t>FLEN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46261</v>
      </c>
      <c r="F445" t="inlineStr">
        <is>
          <t>SÖDERMANLANDS LÄN</t>
        </is>
      </c>
      <c r="G445" t="inlineStr">
        <is>
          <t>FLEN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39335-2023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45166</v>
      </c>
      <c r="E446" s="1" t="n">
        <v>46261</v>
      </c>
      <c r="F446" t="inlineStr">
        <is>
          <t>SÖDERMANLANDS LÄN</t>
        </is>
      </c>
      <c r="G446" t="inlineStr">
        <is>
          <t>FLEN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69588-2021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44531</v>
      </c>
      <c r="E447" s="1" t="n">
        <v>46261</v>
      </c>
      <c r="F447" t="inlineStr">
        <is>
          <t>SÖDERMANLANDS LÄN</t>
        </is>
      </c>
      <c r="G447" t="inlineStr">
        <is>
          <t>FLEN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11747-2022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44634</v>
      </c>
      <c r="E448" s="1" t="n">
        <v>46261</v>
      </c>
      <c r="F448" t="inlineStr">
        <is>
          <t>SÖDERMANLANDS LÄN</t>
        </is>
      </c>
      <c r="G448" t="inlineStr">
        <is>
          <t>FLEN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45923-2023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46261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46261</v>
      </c>
      <c r="F450" t="inlineStr">
        <is>
          <t>SÖDERMANLANDS LÄN</t>
        </is>
      </c>
      <c r="G450" t="inlineStr">
        <is>
          <t>FLEN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8903-2022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44614</v>
      </c>
      <c r="E451" s="1" t="n">
        <v>46261</v>
      </c>
      <c r="F451" t="inlineStr">
        <is>
          <t>SÖDERMANLANDS LÄN</t>
        </is>
      </c>
      <c r="G451" t="inlineStr">
        <is>
          <t>FLEN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16937-2022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44676</v>
      </c>
      <c r="E452" s="1" t="n">
        <v>46261</v>
      </c>
      <c r="F452" t="inlineStr">
        <is>
          <t>SÖDERMANLANDS LÄN</t>
        </is>
      </c>
      <c r="G452" t="inlineStr">
        <is>
          <t>FLEN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45454</v>
      </c>
      <c r="E453" s="1" t="n">
        <v>46261</v>
      </c>
      <c r="F453" t="inlineStr">
        <is>
          <t>SÖDERMANLANDS LÄN</t>
        </is>
      </c>
      <c r="G453" t="inlineStr">
        <is>
          <t>FLEN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46261</v>
      </c>
      <c r="F454" t="inlineStr">
        <is>
          <t>SÖDERMANLANDS LÄN</t>
        </is>
      </c>
      <c r="G454" t="inlineStr">
        <is>
          <t>FLEN</t>
        </is>
      </c>
      <c r="H454" t="inlineStr">
        <is>
          <t>Övriga statliga verk och myndigheter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33024-2022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44785</v>
      </c>
      <c r="E455" s="1" t="n">
        <v>46261</v>
      </c>
      <c r="F455" t="inlineStr">
        <is>
          <t>SÖDERMANLANDS LÄN</t>
        </is>
      </c>
      <c r="G455" t="inlineStr">
        <is>
          <t>FLEN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46261</v>
      </c>
      <c r="F456" t="inlineStr">
        <is>
          <t>SÖDERMANLANDS LÄN</t>
        </is>
      </c>
      <c r="G456" t="inlineStr">
        <is>
          <t>FLEN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46401-2022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44846</v>
      </c>
      <c r="E457" s="1" t="n">
        <v>46261</v>
      </c>
      <c r="F457" t="inlineStr">
        <is>
          <t>SÖDERMANLANDS LÄN</t>
        </is>
      </c>
      <c r="G457" t="inlineStr">
        <is>
          <t>FLEN</t>
        </is>
      </c>
      <c r="H457" t="inlineStr">
        <is>
          <t>Kyrkan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44819</v>
      </c>
      <c r="E458" s="1" t="n">
        <v>46261</v>
      </c>
      <c r="F458" t="inlineStr">
        <is>
          <t>SÖDERMANLANDS LÄN</t>
        </is>
      </c>
      <c r="G458" t="inlineStr">
        <is>
          <t>FLEN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21167-2023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45057</v>
      </c>
      <c r="E459" s="1" t="n">
        <v>46261</v>
      </c>
      <c r="F459" t="inlineStr">
        <is>
          <t>SÖDERMANLANDS LÄN</t>
        </is>
      </c>
      <c r="G459" t="inlineStr">
        <is>
          <t>FLEN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40286-2023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46261</v>
      </c>
      <c r="F460" t="inlineStr">
        <is>
          <t>SÖDERMANLANDS LÄN</t>
        </is>
      </c>
      <c r="G460" t="inlineStr">
        <is>
          <t>FLEN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25823-2022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44733</v>
      </c>
      <c r="E461" s="1" t="n">
        <v>46261</v>
      </c>
      <c r="F461" t="inlineStr">
        <is>
          <t>SÖDERMANLANDS LÄN</t>
        </is>
      </c>
      <c r="G461" t="inlineStr">
        <is>
          <t>FLEN</t>
        </is>
      </c>
      <c r="I461" t="n">
        <v>8.699999999999999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59599-2022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44907</v>
      </c>
      <c r="E462" s="1" t="n">
        <v>46261</v>
      </c>
      <c r="F462" t="inlineStr">
        <is>
          <t>SÖDERMANLANDS LÄN</t>
        </is>
      </c>
      <c r="G462" t="inlineStr">
        <is>
          <t>FLEN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45315</v>
      </c>
      <c r="E463" s="1" t="n">
        <v>46261</v>
      </c>
      <c r="F463" t="inlineStr">
        <is>
          <t>SÖDERMANLANDS LÄN</t>
        </is>
      </c>
      <c r="G463" t="inlineStr">
        <is>
          <t>FLEN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44887</v>
      </c>
      <c r="E464" s="1" t="n">
        <v>46261</v>
      </c>
      <c r="F464" t="inlineStr">
        <is>
          <t>SÖDERMANLANDS LÄN</t>
        </is>
      </c>
      <c r="G464" t="inlineStr">
        <is>
          <t>FLEN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45378</v>
      </c>
      <c r="E465" s="1" t="n">
        <v>46261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39053-2023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46261</v>
      </c>
      <c r="F466" t="inlineStr">
        <is>
          <t>SÖDERMANLANDS LÄN</t>
        </is>
      </c>
      <c r="G466" t="inlineStr">
        <is>
          <t>FLEN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46261</v>
      </c>
      <c r="F467" t="inlineStr">
        <is>
          <t>SÖDERMANLANDS LÄN</t>
        </is>
      </c>
      <c r="G467" t="inlineStr">
        <is>
          <t>FLEN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46261</v>
      </c>
      <c r="F468" t="inlineStr">
        <is>
          <t>SÖDERMANLANDS LÄN</t>
        </is>
      </c>
      <c r="G468" t="inlineStr">
        <is>
          <t>FLEN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44900</v>
      </c>
      <c r="E469" s="1" t="n">
        <v>46261</v>
      </c>
      <c r="F469" t="inlineStr">
        <is>
          <t>SÖDERMANLANDS LÄN</t>
        </is>
      </c>
      <c r="G469" t="inlineStr">
        <is>
          <t>FLEN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45309</v>
      </c>
      <c r="E470" s="1" t="n">
        <v>46261</v>
      </c>
      <c r="F470" t="inlineStr">
        <is>
          <t>SÖDERMANLANDS LÄN</t>
        </is>
      </c>
      <c r="G470" t="inlineStr">
        <is>
          <t>FLEN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44958</v>
      </c>
      <c r="E471" s="1" t="n">
        <v>46261</v>
      </c>
      <c r="F471" t="inlineStr">
        <is>
          <t>SÖDERMANLANDS LÄN</t>
        </is>
      </c>
      <c r="G471" t="inlineStr">
        <is>
          <t>FLEN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51925-2022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44868</v>
      </c>
      <c r="E472" s="1" t="n">
        <v>46261</v>
      </c>
      <c r="F472" t="inlineStr">
        <is>
          <t>SÖDERMANLANDS LÄN</t>
        </is>
      </c>
      <c r="G472" t="inlineStr">
        <is>
          <t>FLEN</t>
        </is>
      </c>
      <c r="H472" t="inlineStr">
        <is>
          <t>Övriga statliga verk och myndigheter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10771-2022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44624</v>
      </c>
      <c r="E473" s="1" t="n">
        <v>46261</v>
      </c>
      <c r="F473" t="inlineStr">
        <is>
          <t>SÖDERMANLANDS LÄN</t>
        </is>
      </c>
      <c r="G473" t="inlineStr">
        <is>
          <t>FLEN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10828-2022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44624</v>
      </c>
      <c r="E474" s="1" t="n">
        <v>46261</v>
      </c>
      <c r="F474" t="inlineStr">
        <is>
          <t>SÖDERMANLANDS LÄN</t>
        </is>
      </c>
      <c r="G474" t="inlineStr">
        <is>
          <t>FLEN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16908-2024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45411</v>
      </c>
      <c r="E475" s="1" t="n">
        <v>46261</v>
      </c>
      <c r="F475" t="inlineStr">
        <is>
          <t>SÖDERMANLANDS LÄN</t>
        </is>
      </c>
      <c r="G475" t="inlineStr">
        <is>
          <t>FLEN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46261</v>
      </c>
      <c r="F476" t="inlineStr">
        <is>
          <t>SÖDERMANLANDS LÄN</t>
        </is>
      </c>
      <c r="G476" t="inlineStr">
        <is>
          <t>FLEN</t>
        </is>
      </c>
      <c r="H476" t="inlineStr">
        <is>
          <t>Kommuner</t>
        </is>
      </c>
      <c r="I476" t="n">
        <v>11.2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44896</v>
      </c>
      <c r="E477" s="1" t="n">
        <v>46261</v>
      </c>
      <c r="F477" t="inlineStr">
        <is>
          <t>SÖDERMANLANDS LÄN</t>
        </is>
      </c>
      <c r="G477" t="inlineStr">
        <is>
          <t>FLEN</t>
        </is>
      </c>
      <c r="H477" t="inlineStr">
        <is>
          <t>Övriga statliga verk och myndigheter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45244</v>
      </c>
      <c r="E478" s="1" t="n">
        <v>46261</v>
      </c>
      <c r="F478" t="inlineStr">
        <is>
          <t>SÖDERMANLANDS LÄN</t>
        </is>
      </c>
      <c r="G478" t="inlineStr">
        <is>
          <t>FLEN</t>
        </is>
      </c>
      <c r="H478" t="inlineStr">
        <is>
          <t>Övriga statliga verk och myndigheter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35507-2024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46261</v>
      </c>
      <c r="F479" t="inlineStr">
        <is>
          <t>SÖDERMANLANDS LÄN</t>
        </is>
      </c>
      <c r="G479" t="inlineStr">
        <is>
          <t>FLEN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48826-2022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44859</v>
      </c>
      <c r="E480" s="1" t="n">
        <v>46261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31028-2024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45501</v>
      </c>
      <c r="E481" s="1" t="n">
        <v>46261</v>
      </c>
      <c r="F481" t="inlineStr">
        <is>
          <t>SÖDERMANLANDS LÄN</t>
        </is>
      </c>
      <c r="G481" t="inlineStr">
        <is>
          <t>FLEN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44566</v>
      </c>
      <c r="E482" s="1" t="n">
        <v>46261</v>
      </c>
      <c r="F482" t="inlineStr">
        <is>
          <t>SÖDERMANLANDS LÄN</t>
        </is>
      </c>
      <c r="G482" t="inlineStr">
        <is>
          <t>FLEN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46261</v>
      </c>
      <c r="F483" t="inlineStr">
        <is>
          <t>SÖDERMANLANDS LÄN</t>
        </is>
      </c>
      <c r="G483" t="inlineStr">
        <is>
          <t>FLEN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48749-2022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44855</v>
      </c>
      <c r="E484" s="1" t="n">
        <v>46261</v>
      </c>
      <c r="F484" t="inlineStr">
        <is>
          <t>SÖDERMANLANDS LÄN</t>
        </is>
      </c>
      <c r="G484" t="inlineStr">
        <is>
          <t>FLEN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48774-2022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44855</v>
      </c>
      <c r="E485" s="1" t="n">
        <v>46261</v>
      </c>
      <c r="F485" t="inlineStr">
        <is>
          <t>SÖDERMANLANDS LÄN</t>
        </is>
      </c>
      <c r="G485" t="inlineStr">
        <is>
          <t>FLEN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45140</v>
      </c>
      <c r="E486" s="1" t="n">
        <v>46261</v>
      </c>
      <c r="F486" t="inlineStr">
        <is>
          <t>SÖDERMANLANDS LÄN</t>
        </is>
      </c>
      <c r="G486" t="inlineStr">
        <is>
          <t>FLEN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48497-2021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44449</v>
      </c>
      <c r="E487" s="1" t="n">
        <v>46261</v>
      </c>
      <c r="F487" t="inlineStr">
        <is>
          <t>SÖDERMANLANDS LÄN</t>
        </is>
      </c>
      <c r="G487" t="inlineStr">
        <is>
          <t>FLEN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22957-2023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45072</v>
      </c>
      <c r="E488" s="1" t="n">
        <v>46261</v>
      </c>
      <c r="F488" t="inlineStr">
        <is>
          <t>SÖDERMANLANDS LÄN</t>
        </is>
      </c>
      <c r="G488" t="inlineStr">
        <is>
          <t>FLEN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45482</v>
      </c>
      <c r="E489" s="1" t="n">
        <v>46261</v>
      </c>
      <c r="F489" t="inlineStr">
        <is>
          <t>SÖDERMANLANDS LÄN</t>
        </is>
      </c>
      <c r="G489" t="inlineStr">
        <is>
          <t>FLEN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45213</v>
      </c>
      <c r="E490" s="1" t="n">
        <v>46261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45510</v>
      </c>
      <c r="E491" s="1" t="n">
        <v>46261</v>
      </c>
      <c r="F491" t="inlineStr">
        <is>
          <t>SÖDERMANLANDS LÄN</t>
        </is>
      </c>
      <c r="G491" t="inlineStr">
        <is>
          <t>FLEN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60937-2022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44914</v>
      </c>
      <c r="E492" s="1" t="n">
        <v>46261</v>
      </c>
      <c r="F492" t="inlineStr">
        <is>
          <t>SÖDERMANLANDS LÄN</t>
        </is>
      </c>
      <c r="G492" t="inlineStr">
        <is>
          <t>FLEN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33103-2022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44785</v>
      </c>
      <c r="E493" s="1" t="n">
        <v>46261</v>
      </c>
      <c r="F493" t="inlineStr">
        <is>
          <t>SÖDERMANLANDS LÄN</t>
        </is>
      </c>
      <c r="G493" t="inlineStr">
        <is>
          <t>FLEN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13587-2022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44648</v>
      </c>
      <c r="E494" s="1" t="n">
        <v>46261</v>
      </c>
      <c r="F494" t="inlineStr">
        <is>
          <t>SÖDERMANLANDS LÄN</t>
        </is>
      </c>
      <c r="G494" t="inlineStr">
        <is>
          <t>FLEN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52541-2021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44463</v>
      </c>
      <c r="E495" s="1" t="n">
        <v>46261</v>
      </c>
      <c r="F495" t="inlineStr">
        <is>
          <t>SÖDERMANLANDS LÄN</t>
        </is>
      </c>
      <c r="G495" t="inlineStr">
        <is>
          <t>FLEN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44979</v>
      </c>
      <c r="E496" s="1" t="n">
        <v>46261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46261</v>
      </c>
      <c r="F497" t="inlineStr">
        <is>
          <t>SÖDERMANLANDS LÄN</t>
        </is>
      </c>
      <c r="G497" t="inlineStr">
        <is>
          <t>FLEN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26663-2022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44739</v>
      </c>
      <c r="E498" s="1" t="n">
        <v>46261</v>
      </c>
      <c r="F498" t="inlineStr">
        <is>
          <t>SÖDERMANLANDS LÄN</t>
        </is>
      </c>
      <c r="G498" t="inlineStr">
        <is>
          <t>FLEN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31083-2022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44769</v>
      </c>
      <c r="E499" s="1" t="n">
        <v>46261</v>
      </c>
      <c r="F499" t="inlineStr">
        <is>
          <t>SÖDERMANLANDS LÄN</t>
        </is>
      </c>
      <c r="G499" t="inlineStr">
        <is>
          <t>FLEN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45036</v>
      </c>
      <c r="E500" s="1" t="n">
        <v>46261</v>
      </c>
      <c r="F500" t="inlineStr">
        <is>
          <t>SÖDERMANLANDS LÄN</t>
        </is>
      </c>
      <c r="G500" t="inlineStr">
        <is>
          <t>FLEN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51872-2022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44872</v>
      </c>
      <c r="E501" s="1" t="n">
        <v>46261</v>
      </c>
      <c r="F501" t="inlineStr">
        <is>
          <t>SÖDERMANLANDS LÄN</t>
        </is>
      </c>
      <c r="G501" t="inlineStr">
        <is>
          <t>FLEN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46261</v>
      </c>
      <c r="F502" t="inlineStr">
        <is>
          <t>SÖDERMANLANDS LÄN</t>
        </is>
      </c>
      <c r="G502" t="inlineStr">
        <is>
          <t>FLEN</t>
        </is>
      </c>
      <c r="H502" t="inlineStr">
        <is>
          <t>Övriga statliga verk och myndigheter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56996-2023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45244</v>
      </c>
      <c r="E503" s="1" t="n">
        <v>46261</v>
      </c>
      <c r="F503" t="inlineStr">
        <is>
          <t>SÖDERMANLANDS LÄN</t>
        </is>
      </c>
      <c r="G503" t="inlineStr">
        <is>
          <t>FLEN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20791-2022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44701</v>
      </c>
      <c r="E504" s="1" t="n">
        <v>46261</v>
      </c>
      <c r="F504" t="inlineStr">
        <is>
          <t>SÖDERMANLANDS LÄN</t>
        </is>
      </c>
      <c r="G504" t="inlineStr">
        <is>
          <t>FLEN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62579-2023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45270</v>
      </c>
      <c r="E505" s="1" t="n">
        <v>46261</v>
      </c>
      <c r="F505" t="inlineStr">
        <is>
          <t>SÖDERMANLANDS LÄN</t>
        </is>
      </c>
      <c r="G505" t="inlineStr">
        <is>
          <t>FLEN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45161</v>
      </c>
      <c r="E506" s="1" t="n">
        <v>46261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33228-2024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45518</v>
      </c>
      <c r="E507" s="1" t="n">
        <v>46261</v>
      </c>
      <c r="F507" t="inlineStr">
        <is>
          <t>SÖDERMANLANDS LÄN</t>
        </is>
      </c>
      <c r="G507" t="inlineStr">
        <is>
          <t>FLEN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44561-2024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45574</v>
      </c>
      <c r="E508" s="1" t="n">
        <v>46261</v>
      </c>
      <c r="F508" t="inlineStr">
        <is>
          <t>SÖDERMANLANDS LÄN</t>
        </is>
      </c>
      <c r="G508" t="inlineStr">
        <is>
          <t>FLEN</t>
        </is>
      </c>
      <c r="H508" t="inlineStr">
        <is>
          <t>Övriga statliga verk och myndigheter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45365</v>
      </c>
      <c r="E509" s="1" t="n">
        <v>46261</v>
      </c>
      <c r="F509" t="inlineStr">
        <is>
          <t>SÖDERMANLANDS LÄN</t>
        </is>
      </c>
      <c r="G509" t="inlineStr">
        <is>
          <t>FLEN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46261</v>
      </c>
      <c r="F510" t="inlineStr">
        <is>
          <t>SÖDERMANLANDS LÄN</t>
        </is>
      </c>
      <c r="G510" t="inlineStr">
        <is>
          <t>FLEN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46261</v>
      </c>
      <c r="F511" t="inlineStr">
        <is>
          <t>SÖDERMANLANDS LÄN</t>
        </is>
      </c>
      <c r="G511" t="inlineStr">
        <is>
          <t>FLEN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15904-2023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45022</v>
      </c>
      <c r="E512" s="1" t="n">
        <v>46261</v>
      </c>
      <c r="F512" t="inlineStr">
        <is>
          <t>SÖDERMANLANDS LÄN</t>
        </is>
      </c>
      <c r="G512" t="inlineStr">
        <is>
          <t>FLEN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45110</v>
      </c>
      <c r="E513" s="1" t="n">
        <v>46261</v>
      </c>
      <c r="F513" t="inlineStr">
        <is>
          <t>SÖDERMANLANDS LÄN</t>
        </is>
      </c>
      <c r="G513" t="inlineStr">
        <is>
          <t>FLEN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36096-2023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45149</v>
      </c>
      <c r="E514" s="1" t="n">
        <v>46261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46261</v>
      </c>
      <c r="F515" t="inlineStr">
        <is>
          <t>SÖDERMANLANDS LÄN</t>
        </is>
      </c>
      <c r="G515" t="inlineStr">
        <is>
          <t>FLEN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45331</v>
      </c>
      <c r="E516" s="1" t="n">
        <v>46261</v>
      </c>
      <c r="F516" t="inlineStr">
        <is>
          <t>SÖDERMANLANDS LÄN</t>
        </is>
      </c>
      <c r="G516" t="inlineStr">
        <is>
          <t>FLEN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34612-2023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45140</v>
      </c>
      <c r="E517" s="1" t="n">
        <v>46261</v>
      </c>
      <c r="F517" t="inlineStr">
        <is>
          <t>SÖDERMANLANDS LÄN</t>
        </is>
      </c>
      <c r="G517" t="inlineStr">
        <is>
          <t>FLEN</t>
        </is>
      </c>
      <c r="H517" t="inlineStr">
        <is>
          <t>Kyrkan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44931</v>
      </c>
      <c r="E518" s="1" t="n">
        <v>46261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2738-2022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44580</v>
      </c>
      <c r="E519" s="1" t="n">
        <v>46261</v>
      </c>
      <c r="F519" t="inlineStr">
        <is>
          <t>SÖDERMANLANDS LÄN</t>
        </is>
      </c>
      <c r="G519" t="inlineStr">
        <is>
          <t>FLEN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45217</v>
      </c>
      <c r="E520" s="1" t="n">
        <v>46261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45066</v>
      </c>
      <c r="E521" s="1" t="n">
        <v>46261</v>
      </c>
      <c r="F521" t="inlineStr">
        <is>
          <t>SÖDERMANLANDS LÄN</t>
        </is>
      </c>
      <c r="G521" t="inlineStr">
        <is>
          <t>FLEN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59439-2022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44907</v>
      </c>
      <c r="E522" s="1" t="n">
        <v>46261</v>
      </c>
      <c r="F522" t="inlineStr">
        <is>
          <t>SÖDERMANLANDS LÄN</t>
        </is>
      </c>
      <c r="G522" t="inlineStr">
        <is>
          <t>FLEN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45667</v>
      </c>
      <c r="E523" s="1" t="n">
        <v>46261</v>
      </c>
      <c r="F523" t="inlineStr">
        <is>
          <t>SÖDERMANLANDS LÄN</t>
        </is>
      </c>
      <c r="G523" t="inlineStr">
        <is>
          <t>FLEN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53507-2023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45230</v>
      </c>
      <c r="E524" s="1" t="n">
        <v>46261</v>
      </c>
      <c r="F524" t="inlineStr">
        <is>
          <t>SÖDERMANLANDS LÄN</t>
        </is>
      </c>
      <c r="G524" t="inlineStr">
        <is>
          <t>FLEN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45230</v>
      </c>
      <c r="E525" s="1" t="n">
        <v>46261</v>
      </c>
      <c r="F525" t="inlineStr">
        <is>
          <t>SÖDERMANLANDS LÄN</t>
        </is>
      </c>
      <c r="G525" t="inlineStr">
        <is>
          <t>FLEN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14599-2023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45013</v>
      </c>
      <c r="E526" s="1" t="n">
        <v>46261</v>
      </c>
      <c r="F526" t="inlineStr">
        <is>
          <t>SÖDERMANLANDS LÄN</t>
        </is>
      </c>
      <c r="G526" t="inlineStr">
        <is>
          <t>FLEN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42731-2024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45566</v>
      </c>
      <c r="E527" s="1" t="n">
        <v>46261</v>
      </c>
      <c r="F527" t="inlineStr">
        <is>
          <t>SÖDERMANLANDS LÄN</t>
        </is>
      </c>
      <c r="G527" t="inlineStr">
        <is>
          <t>FLEN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46261</v>
      </c>
      <c r="F528" t="inlineStr">
        <is>
          <t>SÖDERMANLANDS LÄN</t>
        </is>
      </c>
      <c r="G528" t="inlineStr">
        <is>
          <t>FLEN</t>
        </is>
      </c>
      <c r="H528" t="inlineStr">
        <is>
          <t>Övriga statliga verk och myndigheter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13233-2024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45386</v>
      </c>
      <c r="E529" s="1" t="n">
        <v>46261</v>
      </c>
      <c r="F529" t="inlineStr">
        <is>
          <t>SÖDERMANLANDS LÄN</t>
        </is>
      </c>
      <c r="G529" t="inlineStr">
        <is>
          <t>FLEN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20952-2025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45777</v>
      </c>
      <c r="E530" s="1" t="n">
        <v>46261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45350</v>
      </c>
      <c r="E531" s="1" t="n">
        <v>46261</v>
      </c>
      <c r="F531" t="inlineStr">
        <is>
          <t>SÖDERMANLANDS LÄN</t>
        </is>
      </c>
      <c r="G531" t="inlineStr">
        <is>
          <t>FLEN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59051-2023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45252</v>
      </c>
      <c r="E532" s="1" t="n">
        <v>46261</v>
      </c>
      <c r="F532" t="inlineStr">
        <is>
          <t>SÖDERMANLANDS LÄN</t>
        </is>
      </c>
      <c r="G532" t="inlineStr">
        <is>
          <t>FLEN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45008</v>
      </c>
      <c r="E533" s="1" t="n">
        <v>46261</v>
      </c>
      <c r="F533" t="inlineStr">
        <is>
          <t>SÖDERMANLANDS LÄN</t>
        </is>
      </c>
      <c r="G533" t="inlineStr">
        <is>
          <t>FLEN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47055-2022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44852</v>
      </c>
      <c r="E534" s="1" t="n">
        <v>46261</v>
      </c>
      <c r="F534" t="inlineStr">
        <is>
          <t>SÖDERMANLANDS LÄN</t>
        </is>
      </c>
      <c r="G534" t="inlineStr">
        <is>
          <t>FLEN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54736-2022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44883</v>
      </c>
      <c r="E535" s="1" t="n">
        <v>46261</v>
      </c>
      <c r="F535" t="inlineStr">
        <is>
          <t>SÖDERMANLANDS LÄN</t>
        </is>
      </c>
      <c r="G535" t="inlineStr">
        <is>
          <t>FLEN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45414</v>
      </c>
      <c r="E536" s="1" t="n">
        <v>46261</v>
      </c>
      <c r="F536" t="inlineStr">
        <is>
          <t>SÖDERMANLANDS LÄN</t>
        </is>
      </c>
      <c r="G536" t="inlineStr">
        <is>
          <t>FLEN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22989-2025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45790</v>
      </c>
      <c r="E537" s="1" t="n">
        <v>46261</v>
      </c>
      <c r="F537" t="inlineStr">
        <is>
          <t>SÖDERMANLANDS LÄN</t>
        </is>
      </c>
      <c r="G537" t="inlineStr">
        <is>
          <t>FLEN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45790</v>
      </c>
      <c r="E538" s="1" t="n">
        <v>46261</v>
      </c>
      <c r="F538" t="inlineStr">
        <is>
          <t>SÖDERMANLANDS LÄN</t>
        </is>
      </c>
      <c r="G538" t="inlineStr">
        <is>
          <t>FLEN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22998-2025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45790</v>
      </c>
      <c r="E539" s="1" t="n">
        <v>46261</v>
      </c>
      <c r="F539" t="inlineStr">
        <is>
          <t>SÖDERMANLANDS LÄN</t>
        </is>
      </c>
      <c r="G539" t="inlineStr">
        <is>
          <t>FLEN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482-2022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44588</v>
      </c>
      <c r="E540" s="1" t="n">
        <v>46261</v>
      </c>
      <c r="F540" t="inlineStr">
        <is>
          <t>SÖDERMANLANDS LÄN</t>
        </is>
      </c>
      <c r="G540" t="inlineStr">
        <is>
          <t>FLEN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2321-2022</t>
        </is>
      </c>
      <c r="B541" t="inlineStr">
        <is>
          <t>samrådsanmälan</t>
        </is>
      </c>
      <c r="C541" t="inlineStr">
        <is>
          <t>Åtgärd i nyckelbiotop</t>
        </is>
      </c>
      <c r="D541" s="1" t="n">
        <v>44685</v>
      </c>
      <c r="E541" s="1" t="n">
        <v>46261</v>
      </c>
      <c r="F541" t="inlineStr">
        <is>
          <t>SÖDERMANLANDS LÄN</t>
        </is>
      </c>
      <c r="G541" t="inlineStr">
        <is>
          <t>FLEN</t>
        </is>
      </c>
      <c r="H541" t="inlineStr">
        <is>
          <t>Kyrkan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458-2023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44964</v>
      </c>
      <c r="E542" s="1" t="n">
        <v>46261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292-2025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45686</v>
      </c>
      <c r="E543" s="1" t="n">
        <v>46261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3723-2022</t>
        </is>
      </c>
      <c r="B544" t="inlineStr">
        <is>
          <t>samrådsanmälan</t>
        </is>
      </c>
      <c r="C544" t="inlineStr">
        <is>
          <t>Åtgärd i nyckelbiotop</t>
        </is>
      </c>
      <c r="D544" s="1" t="n">
        <v>44742</v>
      </c>
      <c r="E544" s="1" t="n">
        <v>46261</v>
      </c>
      <c r="F544" t="inlineStr">
        <is>
          <t>SÖDERMANLANDS LÄN</t>
        </is>
      </c>
      <c r="G544" t="inlineStr">
        <is>
          <t>FLEN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1976-2024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45446</v>
      </c>
      <c r="E545" s="1" t="n">
        <v>46261</v>
      </c>
      <c r="F545" t="inlineStr">
        <is>
          <t>SÖDERMANLANDS LÄN</t>
        </is>
      </c>
      <c r="G545" t="inlineStr">
        <is>
          <t>FLEN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1287-2024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45403</v>
      </c>
      <c r="E546" s="1" t="n">
        <v>46261</v>
      </c>
      <c r="F546" t="inlineStr">
        <is>
          <t>SÖDERMANLANDS LÄN</t>
        </is>
      </c>
      <c r="G546" t="inlineStr">
        <is>
          <t>FLEN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1528-2026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46164</v>
      </c>
      <c r="E547" s="1" t="n">
        <v>46261</v>
      </c>
      <c r="F547" t="inlineStr">
        <is>
          <t>SÖDERMANLANDS LÄN</t>
        </is>
      </c>
      <c r="G547" t="inlineStr">
        <is>
          <t>FLEN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2026-08-27T01:53:53Z</dcterms:created>
  <dcterms:modified xmlns:dcterms="http://purl.org/dc/terms/" xmlns:xsi="http://www.w3.org/2001/XMLSchema-instance" xsi:type="dcterms:W3CDTF">2026-08-27T01:53:54Z</dcterms:modified>
</cp:coreProperties>
</file>