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45807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45807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45807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45807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45807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45807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45807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45807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36133-2019</t>
        </is>
      </c>
      <c r="B30" s="1" t="n">
        <v>43668</v>
      </c>
      <c r="C30" s="1" t="n">
        <v>45807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Gullviva</t>
        </is>
      </c>
      <c r="S30">
        <f>HYPERLINK("https://klasma.github.io/Logging_0482/artfynd/A 36133-2019 artfynd.xlsx", "A 36133-2019")</f>
        <v/>
      </c>
      <c r="T30">
        <f>HYPERLINK("https://klasma.github.io/Logging_0482/kartor/A 36133-2019 karta.png", "A 36133-2019")</f>
        <v/>
      </c>
      <c r="V30">
        <f>HYPERLINK("https://klasma.github.io/Logging_0482/klagomål/A 36133-2019 FSC-klagomål.docx", "A 36133-2019")</f>
        <v/>
      </c>
      <c r="W30">
        <f>HYPERLINK("https://klasma.github.io/Logging_0482/klagomålsmail/A 36133-2019 FSC-klagomål mail.docx", "A 36133-2019")</f>
        <v/>
      </c>
      <c r="X30">
        <f>HYPERLINK("https://klasma.github.io/Logging_0482/tillsyn/A 36133-2019 tillsynsbegäran.docx", "A 36133-2019")</f>
        <v/>
      </c>
      <c r="Y30">
        <f>HYPERLINK("https://klasma.github.io/Logging_0482/tillsynsmail/A 36133-2019 tillsynsbegäran mail.docx", "A 36133-2019")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45807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31238-2022</t>
        </is>
      </c>
      <c r="B32" s="1" t="n">
        <v>44771</v>
      </c>
      <c r="C32" s="1" t="n">
        <v>45807</v>
      </c>
      <c r="D32" t="inlineStr">
        <is>
          <t>SÖDERMANLANDS LÄN</t>
        </is>
      </c>
      <c r="E32" t="inlineStr">
        <is>
          <t>FLEN</t>
        </is>
      </c>
      <c r="G32" t="n">
        <v>7.5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Svedjenäva
Svinrot
Skogsbräsma</t>
        </is>
      </c>
      <c r="S32">
        <f>HYPERLINK("https://klasma.github.io/Logging_0482/artfynd/A 31238-2022 artfynd.xlsx", "A 31238-2022")</f>
        <v/>
      </c>
      <c r="T32">
        <f>HYPERLINK("https://klasma.github.io/Logging_0482/kartor/A 31238-2022 karta.png", "A 31238-2022")</f>
        <v/>
      </c>
      <c r="V32">
        <f>HYPERLINK("https://klasma.github.io/Logging_0482/klagomål/A 31238-2022 FSC-klagomål.docx", "A 31238-2022")</f>
        <v/>
      </c>
      <c r="W32">
        <f>HYPERLINK("https://klasma.github.io/Logging_0482/klagomålsmail/A 31238-2022 FSC-klagomål mail.docx", "A 31238-2022")</f>
        <v/>
      </c>
      <c r="X32">
        <f>HYPERLINK("https://klasma.github.io/Logging_0482/tillsyn/A 31238-2022 tillsynsbegäran.docx", "A 31238-2022")</f>
        <v/>
      </c>
      <c r="Y32">
        <f>HYPERLINK("https://klasma.github.io/Logging_0482/tillsynsmail/A 31238-2022 tillsynsbegäran mail.docx", "A 31238-2022")</f>
        <v/>
      </c>
    </row>
    <row r="33" ht="15" customHeight="1">
      <c r="A33" t="inlineStr">
        <is>
          <t>A 59265-2022</t>
        </is>
      </c>
      <c r="B33" s="1" t="n">
        <v>44897</v>
      </c>
      <c r="C33" s="1" t="n">
        <v>45807</v>
      </c>
      <c r="D33" t="inlineStr">
        <is>
          <t>SÖDERMANLANDS LÄN</t>
        </is>
      </c>
      <c r="E33" t="inlineStr">
        <is>
          <t>FLEN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Svinrot
Blåsippa</t>
        </is>
      </c>
      <c r="S33">
        <f>HYPERLINK("https://klasma.github.io/Logging_0482/artfynd/A 59265-2022 artfynd.xlsx", "A 59265-2022")</f>
        <v/>
      </c>
      <c r="T33">
        <f>HYPERLINK("https://klasma.github.io/Logging_0482/kartor/A 59265-2022 karta.png", "A 59265-2022")</f>
        <v/>
      </c>
      <c r="V33">
        <f>HYPERLINK("https://klasma.github.io/Logging_0482/klagomål/A 59265-2022 FSC-klagomål.docx", "A 59265-2022")</f>
        <v/>
      </c>
      <c r="W33">
        <f>HYPERLINK("https://klasma.github.io/Logging_0482/klagomålsmail/A 59265-2022 FSC-klagomål mail.docx", "A 59265-2022")</f>
        <v/>
      </c>
      <c r="X33">
        <f>HYPERLINK("https://klasma.github.io/Logging_0482/tillsyn/A 59265-2022 tillsynsbegäran.docx", "A 59265-2022")</f>
        <v/>
      </c>
      <c r="Y33">
        <f>HYPERLINK("https://klasma.github.io/Logging_0482/tillsynsmail/A 59265-2022 tillsynsbegäran mail.docx", "A 59265-2022")</f>
        <v/>
      </c>
    </row>
    <row r="34" ht="15" customHeight="1">
      <c r="A34" t="inlineStr">
        <is>
          <t>A 4551-2023</t>
        </is>
      </c>
      <c r="B34" s="1" t="n">
        <v>44956</v>
      </c>
      <c r="C34" s="1" t="n">
        <v>45807</v>
      </c>
      <c r="D34" t="inlineStr">
        <is>
          <t>SÖDERMANLANDS LÄN</t>
        </is>
      </c>
      <c r="E34" t="inlineStr">
        <is>
          <t>FLEN</t>
        </is>
      </c>
      <c r="G34" t="n">
        <v>6.6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Krusfrö
Större vattensalamander</t>
        </is>
      </c>
      <c r="S34">
        <f>HYPERLINK("https://klasma.github.io/Logging_0482/artfynd/A 4551-2023 artfynd.xlsx", "A 4551-2023")</f>
        <v/>
      </c>
      <c r="T34">
        <f>HYPERLINK("https://klasma.github.io/Logging_0482/kartor/A 4551-2023 karta.png", "A 4551-2023")</f>
        <v/>
      </c>
      <c r="V34">
        <f>HYPERLINK("https://klasma.github.io/Logging_0482/klagomål/A 4551-2023 FSC-klagomål.docx", "A 4551-2023")</f>
        <v/>
      </c>
      <c r="W34">
        <f>HYPERLINK("https://klasma.github.io/Logging_0482/klagomålsmail/A 4551-2023 FSC-klagomål mail.docx", "A 4551-2023")</f>
        <v/>
      </c>
      <c r="X34">
        <f>HYPERLINK("https://klasma.github.io/Logging_0482/tillsyn/A 4551-2023 tillsynsbegäran.docx", "A 4551-2023")</f>
        <v/>
      </c>
      <c r="Y34">
        <f>HYPERLINK("https://klasma.github.io/Logging_0482/tillsynsmail/A 4551-2023 tillsynsbegäran mail.docx", "A 4551-2023")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45807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Bombmurkla
Svedjenäva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45807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29138-2023</t>
        </is>
      </c>
      <c r="B37" s="1" t="n">
        <v>45105</v>
      </c>
      <c r="C37" s="1" t="n">
        <v>45807</v>
      </c>
      <c r="D37" t="inlineStr">
        <is>
          <t>SÖDERMANLANDS LÄN</t>
        </is>
      </c>
      <c r="E37" t="inlineStr">
        <is>
          <t>FLEN</t>
        </is>
      </c>
      <c r="F37" t="inlineStr">
        <is>
          <t>Holmen skog AB</t>
        </is>
      </c>
      <c r="G37" t="n">
        <v>3.9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Stare
Talltita
Revlummer</t>
        </is>
      </c>
      <c r="S37">
        <f>HYPERLINK("https://klasma.github.io/Logging_0482/artfynd/A 29138-2023 artfynd.xlsx", "A 29138-2023")</f>
        <v/>
      </c>
      <c r="T37">
        <f>HYPERLINK("https://klasma.github.io/Logging_0482/kartor/A 29138-2023 karta.png", "A 29138-2023")</f>
        <v/>
      </c>
      <c r="V37">
        <f>HYPERLINK("https://klasma.github.io/Logging_0482/klagomål/A 29138-2023 FSC-klagomål.docx", "A 29138-2023")</f>
        <v/>
      </c>
      <c r="W37">
        <f>HYPERLINK("https://klasma.github.io/Logging_0482/klagomålsmail/A 29138-2023 FSC-klagomål mail.docx", "A 29138-2023")</f>
        <v/>
      </c>
      <c r="X37">
        <f>HYPERLINK("https://klasma.github.io/Logging_0482/tillsyn/A 29138-2023 tillsynsbegäran.docx", "A 29138-2023")</f>
        <v/>
      </c>
      <c r="Y37">
        <f>HYPERLINK("https://klasma.github.io/Logging_0482/tillsynsmail/A 29138-2023 tillsynsbegäran mail.docx", "A 29138-2023")</f>
        <v/>
      </c>
      <c r="Z37">
        <f>HYPERLINK("https://klasma.github.io/Logging_0482/fåglar/A 29138-2023 prioriterade fågelarter.docx", "A 29138-2023")</f>
        <v/>
      </c>
    </row>
    <row r="38" ht="15" customHeight="1">
      <c r="A38" t="inlineStr">
        <is>
          <t>A 34985-2023</t>
        </is>
      </c>
      <c r="B38" s="1" t="n">
        <v>45142</v>
      </c>
      <c r="C38" s="1" t="n">
        <v>45807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2.8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34985-2023 artfynd.xlsx", "A 34985-2023")</f>
        <v/>
      </c>
      <c r="T38">
        <f>HYPERLINK("https://klasma.github.io/Logging_0482/kartor/A 34985-2023 karta.png", "A 34985-2023")</f>
        <v/>
      </c>
      <c r="U38">
        <f>HYPERLINK("https://klasma.github.io/Logging_0482/knärot/A 34985-2023 karta knärot.png", "A 34985-2023")</f>
        <v/>
      </c>
      <c r="V38">
        <f>HYPERLINK("https://klasma.github.io/Logging_0482/klagomål/A 34985-2023 FSC-klagomål.docx", "A 34985-2023")</f>
        <v/>
      </c>
      <c r="W38">
        <f>HYPERLINK("https://klasma.github.io/Logging_0482/klagomålsmail/A 34985-2023 FSC-klagomål mail.docx", "A 34985-2023")</f>
        <v/>
      </c>
      <c r="X38">
        <f>HYPERLINK("https://klasma.github.io/Logging_0482/tillsyn/A 34985-2023 tillsynsbegäran.docx", "A 34985-2023")</f>
        <v/>
      </c>
      <c r="Y38">
        <f>HYPERLINK("https://klasma.github.io/Logging_0482/tillsynsmail/A 34985-2023 tillsynsbegäran mail.docx", "A 34985-2023")</f>
        <v/>
      </c>
    </row>
    <row r="39" ht="15" customHeight="1">
      <c r="A39" t="inlineStr">
        <is>
          <t>A 52653-2024</t>
        </is>
      </c>
      <c r="B39" s="1" t="n">
        <v>45610</v>
      </c>
      <c r="C39" s="1" t="n">
        <v>45807</v>
      </c>
      <c r="D39" t="inlineStr">
        <is>
          <t>SÖDERMANLANDS LÄN</t>
        </is>
      </c>
      <c r="E39" t="inlineStr">
        <is>
          <t>FLEN</t>
        </is>
      </c>
      <c r="G39" t="n">
        <v>5.6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Fyrflikig jordstjärna
Blodticka
Blåsippa</t>
        </is>
      </c>
      <c r="S39">
        <f>HYPERLINK("https://klasma.github.io/Logging_0482/artfynd/A 52653-2024 artfynd.xlsx", "A 52653-2024")</f>
        <v/>
      </c>
      <c r="T39">
        <f>HYPERLINK("https://klasma.github.io/Logging_0482/kartor/A 52653-2024 karta.png", "A 52653-2024")</f>
        <v/>
      </c>
      <c r="V39">
        <f>HYPERLINK("https://klasma.github.io/Logging_0482/klagomål/A 52653-2024 FSC-klagomål.docx", "A 52653-2024")</f>
        <v/>
      </c>
      <c r="W39">
        <f>HYPERLINK("https://klasma.github.io/Logging_0482/klagomålsmail/A 52653-2024 FSC-klagomål mail.docx", "A 52653-2024")</f>
        <v/>
      </c>
      <c r="X39">
        <f>HYPERLINK("https://klasma.github.io/Logging_0482/tillsyn/A 52653-2024 tillsynsbegäran.docx", "A 52653-2024")</f>
        <v/>
      </c>
      <c r="Y39">
        <f>HYPERLINK("https://klasma.github.io/Logging_0482/tillsynsmail/A 52653-2024 tillsynsbegäran mail.docx", "A 52653-2024")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45807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Leptoporus erubescens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3161-2025</t>
        </is>
      </c>
      <c r="B41" s="1" t="n">
        <v>45679</v>
      </c>
      <c r="C41" s="1" t="n">
        <v>45807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3161-2025 artfynd.xlsx", "A 3161-2025")</f>
        <v/>
      </c>
      <c r="T41">
        <f>HYPERLINK("https://klasma.github.io/Logging_0482/kartor/A 3161-2025 karta.png", "A 3161-2025")</f>
        <v/>
      </c>
      <c r="V41">
        <f>HYPERLINK("https://klasma.github.io/Logging_0482/klagomål/A 3161-2025 FSC-klagomål.docx", "A 3161-2025")</f>
        <v/>
      </c>
      <c r="W41">
        <f>HYPERLINK("https://klasma.github.io/Logging_0482/klagomålsmail/A 3161-2025 FSC-klagomål mail.docx", "A 3161-2025")</f>
        <v/>
      </c>
      <c r="X41">
        <f>HYPERLINK("https://klasma.github.io/Logging_0482/tillsyn/A 3161-2025 tillsynsbegäran.docx", "A 3161-2025")</f>
        <v/>
      </c>
      <c r="Y41">
        <f>HYPERLINK("https://klasma.github.io/Logging_0482/tillsynsmail/A 3161-2025 tillsynsbegäran mail.docx", "A 3161-2025")</f>
        <v/>
      </c>
    </row>
    <row r="42" ht="15" customHeight="1">
      <c r="A42" t="inlineStr">
        <is>
          <t>A 3159-2025</t>
        </is>
      </c>
      <c r="B42" s="1" t="n">
        <v>45679</v>
      </c>
      <c r="C42" s="1" t="n">
        <v>45807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7.1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Brandticka
Kambräken
Mattlummer</t>
        </is>
      </c>
      <c r="S42">
        <f>HYPERLINK("https://klasma.github.io/Logging_0482/artfynd/A 3159-2025 artfynd.xlsx", "A 3159-2025")</f>
        <v/>
      </c>
      <c r="T42">
        <f>HYPERLINK("https://klasma.github.io/Logging_0482/kartor/A 3159-2025 karta.png", "A 3159-2025")</f>
        <v/>
      </c>
      <c r="V42">
        <f>HYPERLINK("https://klasma.github.io/Logging_0482/klagomål/A 3159-2025 FSC-klagomål.docx", "A 3159-2025")</f>
        <v/>
      </c>
      <c r="W42">
        <f>HYPERLINK("https://klasma.github.io/Logging_0482/klagomålsmail/A 3159-2025 FSC-klagomål mail.docx", "A 3159-2025")</f>
        <v/>
      </c>
      <c r="X42">
        <f>HYPERLINK("https://klasma.github.io/Logging_0482/tillsyn/A 3159-2025 tillsynsbegäran.docx", "A 3159-2025")</f>
        <v/>
      </c>
      <c r="Y42">
        <f>HYPERLINK("https://klasma.github.io/Logging_0482/tillsynsmail/A 3159-2025 tillsynsbegäran mail.docx", "A 3159-2025")</f>
        <v/>
      </c>
    </row>
    <row r="43" ht="15" customHeight="1">
      <c r="A43" t="inlineStr">
        <is>
          <t>A 32879-2019</t>
        </is>
      </c>
      <c r="B43" s="1" t="n">
        <v>43643</v>
      </c>
      <c r="C43" s="1" t="n">
        <v>45807</v>
      </c>
      <c r="D43" t="inlineStr">
        <is>
          <t>SÖDERMANLANDS LÄN</t>
        </is>
      </c>
      <c r="E43" t="inlineStr">
        <is>
          <t>FLEN</t>
        </is>
      </c>
      <c r="G43" t="n">
        <v>22.2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Gullviva</t>
        </is>
      </c>
      <c r="S43">
        <f>HYPERLINK("https://klasma.github.io/Logging_0482/artfynd/A 32879-2019 artfynd.xlsx", "A 32879-2019")</f>
        <v/>
      </c>
      <c r="T43">
        <f>HYPERLINK("https://klasma.github.io/Logging_0482/kartor/A 32879-2019 karta.png", "A 32879-2019")</f>
        <v/>
      </c>
      <c r="V43">
        <f>HYPERLINK("https://klasma.github.io/Logging_0482/klagomål/A 32879-2019 FSC-klagomål.docx", "A 32879-2019")</f>
        <v/>
      </c>
      <c r="W43">
        <f>HYPERLINK("https://klasma.github.io/Logging_0482/klagomålsmail/A 32879-2019 FSC-klagomål mail.docx", "A 32879-2019")</f>
        <v/>
      </c>
      <c r="X43">
        <f>HYPERLINK("https://klasma.github.io/Logging_0482/tillsyn/A 32879-2019 tillsynsbegäran.docx", "A 32879-2019")</f>
        <v/>
      </c>
      <c r="Y43">
        <f>HYPERLINK("https://klasma.github.io/Logging_0482/tillsynsmail/A 32879-2019 tillsynsbegäran mail.docx", "A 32879-2019")</f>
        <v/>
      </c>
    </row>
    <row r="44" ht="15" customHeight="1">
      <c r="A44" t="inlineStr">
        <is>
          <t>A 32889-2019</t>
        </is>
      </c>
      <c r="B44" s="1" t="n">
        <v>43643</v>
      </c>
      <c r="C44" s="1" t="n">
        <v>45807</v>
      </c>
      <c r="D44" t="inlineStr">
        <is>
          <t>SÖDERMANLANDS LÄN</t>
        </is>
      </c>
      <c r="E44" t="inlineStr">
        <is>
          <t>FLEN</t>
        </is>
      </c>
      <c r="G44" t="n">
        <v>16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32889-2019 artfynd.xlsx", "A 32889-2019")</f>
        <v/>
      </c>
      <c r="T44">
        <f>HYPERLINK("https://klasma.github.io/Logging_0482/kartor/A 32889-2019 karta.png", "A 32889-2019")</f>
        <v/>
      </c>
      <c r="V44">
        <f>HYPERLINK("https://klasma.github.io/Logging_0482/klagomål/A 32889-2019 FSC-klagomål.docx", "A 32889-2019")</f>
        <v/>
      </c>
      <c r="W44">
        <f>HYPERLINK("https://klasma.github.io/Logging_0482/klagomålsmail/A 32889-2019 FSC-klagomål mail.docx", "A 32889-2019")</f>
        <v/>
      </c>
      <c r="X44">
        <f>HYPERLINK("https://klasma.github.io/Logging_0482/tillsyn/A 32889-2019 tillsynsbegäran.docx", "A 32889-2019")</f>
        <v/>
      </c>
      <c r="Y44">
        <f>HYPERLINK("https://klasma.github.io/Logging_0482/tillsynsmail/A 32889-2019 tillsynsbegäran mail.docx", "A 32889-2019")</f>
        <v/>
      </c>
    </row>
    <row r="45" ht="15" customHeight="1">
      <c r="A45" t="inlineStr">
        <is>
          <t>A 43373-2019</t>
        </is>
      </c>
      <c r="B45" s="1" t="n">
        <v>43703</v>
      </c>
      <c r="C45" s="1" t="n">
        <v>45807</v>
      </c>
      <c r="D45" t="inlineStr">
        <is>
          <t>SÖDERMANLANDS LÄN</t>
        </is>
      </c>
      <c r="E45" t="inlineStr">
        <is>
          <t>FLEN</t>
        </is>
      </c>
      <c r="G45" t="n">
        <v>10.5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HYPERLINK("https://klasma.github.io/Logging_0482/artfynd/A 43373-2019 artfynd.xlsx", "A 43373-2019")</f>
        <v/>
      </c>
      <c r="T45">
        <f>HYPERLINK("https://klasma.github.io/Logging_0482/kartor/A 43373-2019 karta.png", "A 43373-2019")</f>
        <v/>
      </c>
      <c r="V45">
        <f>HYPERLINK("https://klasma.github.io/Logging_0482/klagomål/A 43373-2019 FSC-klagomål.docx", "A 43373-2019")</f>
        <v/>
      </c>
      <c r="W45">
        <f>HYPERLINK("https://klasma.github.io/Logging_0482/klagomålsmail/A 43373-2019 FSC-klagomål mail.docx", "A 43373-2019")</f>
        <v/>
      </c>
      <c r="X45">
        <f>HYPERLINK("https://klasma.github.io/Logging_0482/tillsyn/A 43373-2019 tillsynsbegäran.docx", "A 43373-2019")</f>
        <v/>
      </c>
      <c r="Y45">
        <f>HYPERLINK("https://klasma.github.io/Logging_0482/tillsynsmail/A 43373-2019 tillsynsbegäran mail.docx", "A 43373-2019")</f>
        <v/>
      </c>
    </row>
    <row r="46" ht="15" customHeight="1">
      <c r="A46" t="inlineStr">
        <is>
          <t>A 45347-2020</t>
        </is>
      </c>
      <c r="B46" s="1" t="n">
        <v>44085</v>
      </c>
      <c r="C46" s="1" t="n">
        <v>45807</v>
      </c>
      <c r="D46" t="inlineStr">
        <is>
          <t>SÖDERMANLANDS LÄN</t>
        </is>
      </c>
      <c r="E46" t="inlineStr">
        <is>
          <t>FLEN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Grönvit nattviol</t>
        </is>
      </c>
      <c r="S46">
        <f>HYPERLINK("https://klasma.github.io/Logging_0482/artfynd/A 45347-2020 artfynd.xlsx", "A 45347-2020")</f>
        <v/>
      </c>
      <c r="T46">
        <f>HYPERLINK("https://klasma.github.io/Logging_0482/kartor/A 45347-2020 karta.png", "A 45347-2020")</f>
        <v/>
      </c>
      <c r="V46">
        <f>HYPERLINK("https://klasma.github.io/Logging_0482/klagomål/A 45347-2020 FSC-klagomål.docx", "A 45347-2020")</f>
        <v/>
      </c>
      <c r="W46">
        <f>HYPERLINK("https://klasma.github.io/Logging_0482/klagomålsmail/A 45347-2020 FSC-klagomål mail.docx", "A 45347-2020")</f>
        <v/>
      </c>
      <c r="X46">
        <f>HYPERLINK("https://klasma.github.io/Logging_0482/tillsyn/A 45347-2020 tillsynsbegäran.docx", "A 45347-2020")</f>
        <v/>
      </c>
      <c r="Y46">
        <f>HYPERLINK("https://klasma.github.io/Logging_0482/tillsynsmail/A 45347-2020 tillsynsbegäran mail.docx", "A 45347-2020")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45807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60251-2021</t>
        </is>
      </c>
      <c r="B48" s="1" t="n">
        <v>44495</v>
      </c>
      <c r="C48" s="1" t="n">
        <v>45807</v>
      </c>
      <c r="D48" t="inlineStr">
        <is>
          <t>SÖDERMANLANDS LÄN</t>
        </is>
      </c>
      <c r="E48" t="inlineStr">
        <is>
          <t>FLEN</t>
        </is>
      </c>
      <c r="G48" t="n">
        <v>2.7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Klasefibbla</t>
        </is>
      </c>
      <c r="S48">
        <f>HYPERLINK("https://klasma.github.io/Logging_0482/artfynd/A 60251-2021 artfynd.xlsx", "A 60251-2021")</f>
        <v/>
      </c>
      <c r="T48">
        <f>HYPERLINK("https://klasma.github.io/Logging_0482/kartor/A 60251-2021 karta.png", "A 60251-2021")</f>
        <v/>
      </c>
      <c r="U48">
        <f>HYPERLINK("https://klasma.github.io/Logging_0482/knärot/A 60251-2021 karta knärot.png", "A 60251-2021")</f>
        <v/>
      </c>
      <c r="V48">
        <f>HYPERLINK("https://klasma.github.io/Logging_0482/klagomål/A 60251-2021 FSC-klagomål.docx", "A 60251-2021")</f>
        <v/>
      </c>
      <c r="W48">
        <f>HYPERLINK("https://klasma.github.io/Logging_0482/klagomålsmail/A 60251-2021 FSC-klagomål mail.docx", "A 60251-2021")</f>
        <v/>
      </c>
      <c r="X48">
        <f>HYPERLINK("https://klasma.github.io/Logging_0482/tillsyn/A 60251-2021 tillsynsbegäran.docx", "A 60251-2021")</f>
        <v/>
      </c>
      <c r="Y48">
        <f>HYPERLINK("https://klasma.github.io/Logging_0482/tillsynsmail/A 60251-2021 tillsynsbegäran mail.docx", "A 60251-2021")</f>
        <v/>
      </c>
    </row>
    <row r="49" ht="15" customHeight="1">
      <c r="A49" t="inlineStr">
        <is>
          <t>A 10825-2022</t>
        </is>
      </c>
      <c r="B49" s="1" t="n">
        <v>44624</v>
      </c>
      <c r="C49" s="1" t="n">
        <v>45807</v>
      </c>
      <c r="D49" t="inlineStr">
        <is>
          <t>SÖDERMANLANDS LÄN</t>
        </is>
      </c>
      <c r="E49" t="inlineStr">
        <is>
          <t>FLEN</t>
        </is>
      </c>
      <c r="G49" t="n">
        <v>4.7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Svinrot
Vanlig backsmörblomma</t>
        </is>
      </c>
      <c r="S49">
        <f>HYPERLINK("https://klasma.github.io/Logging_0482/artfynd/A 10825-2022 artfynd.xlsx", "A 10825-2022")</f>
        <v/>
      </c>
      <c r="T49">
        <f>HYPERLINK("https://klasma.github.io/Logging_0482/kartor/A 10825-2022 karta.png", "A 10825-2022")</f>
        <v/>
      </c>
      <c r="V49">
        <f>HYPERLINK("https://klasma.github.io/Logging_0482/klagomål/A 10825-2022 FSC-klagomål.docx", "A 10825-2022")</f>
        <v/>
      </c>
      <c r="W49">
        <f>HYPERLINK("https://klasma.github.io/Logging_0482/klagomålsmail/A 10825-2022 FSC-klagomål mail.docx", "A 10825-2022")</f>
        <v/>
      </c>
      <c r="X49">
        <f>HYPERLINK("https://klasma.github.io/Logging_0482/tillsyn/A 10825-2022 tillsynsbegäran.docx", "A 10825-2022")</f>
        <v/>
      </c>
      <c r="Y49">
        <f>HYPERLINK("https://klasma.github.io/Logging_0482/tillsynsmail/A 10825-2022 tillsynsbegäran mail.docx", "A 10825-2022")</f>
        <v/>
      </c>
    </row>
    <row r="50" ht="15" customHeight="1">
      <c r="A50" t="inlineStr">
        <is>
          <t>A 22743-2022</t>
        </is>
      </c>
      <c r="B50" s="1" t="n">
        <v>44714</v>
      </c>
      <c r="C50" s="1" t="n">
        <v>45807</v>
      </c>
      <c r="D50" t="inlineStr">
        <is>
          <t>SÖDERMANLANDS LÄN</t>
        </is>
      </c>
      <c r="E50" t="inlineStr">
        <is>
          <t>FLEN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Grön sköldmossa</t>
        </is>
      </c>
      <c r="S50">
        <f>HYPERLINK("https://klasma.github.io/Logging_0482/artfynd/A 22743-2022 artfynd.xlsx", "A 22743-2022")</f>
        <v/>
      </c>
      <c r="T50">
        <f>HYPERLINK("https://klasma.github.io/Logging_0482/kartor/A 22743-2022 karta.png", "A 22743-2022")</f>
        <v/>
      </c>
      <c r="V50">
        <f>HYPERLINK("https://klasma.github.io/Logging_0482/klagomål/A 22743-2022 FSC-klagomål.docx", "A 22743-2022")</f>
        <v/>
      </c>
      <c r="W50">
        <f>HYPERLINK("https://klasma.github.io/Logging_0482/klagomålsmail/A 22743-2022 FSC-klagomål mail.docx", "A 22743-2022")</f>
        <v/>
      </c>
      <c r="X50">
        <f>HYPERLINK("https://klasma.github.io/Logging_0482/tillsyn/A 22743-2022 tillsynsbegäran.docx", "A 22743-2022")</f>
        <v/>
      </c>
      <c r="Y50">
        <f>HYPERLINK("https://klasma.github.io/Logging_0482/tillsynsmail/A 22743-2022 tillsynsbegäran mail.docx", "A 22743-2022")</f>
        <v/>
      </c>
      <c r="Z50">
        <f>HYPERLINK("https://klasma.github.io/Logging_0482/fåglar/A 22743-2022 prioriterade fågelarter.docx", "A 22743-2022")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45807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50215-2022</t>
        </is>
      </c>
      <c r="B52" s="1" t="n">
        <v>44865</v>
      </c>
      <c r="C52" s="1" t="n">
        <v>45807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Äkta lopplummer</t>
        </is>
      </c>
      <c r="S52">
        <f>HYPERLINK("https://klasma.github.io/Logging_0482/artfynd/A 50215-2022 artfynd.xlsx", "A 50215-2022")</f>
        <v/>
      </c>
      <c r="T52">
        <f>HYPERLINK("https://klasma.github.io/Logging_0482/kartor/A 50215-2022 karta.png", "A 50215-2022")</f>
        <v/>
      </c>
      <c r="U52">
        <f>HYPERLINK("https://klasma.github.io/Logging_0482/knärot/A 50215-2022 karta knärot.png", "A 50215-2022")</f>
        <v/>
      </c>
      <c r="V52">
        <f>HYPERLINK("https://klasma.github.io/Logging_0482/klagomål/A 50215-2022 FSC-klagomål.docx", "A 50215-2022")</f>
        <v/>
      </c>
      <c r="W52">
        <f>HYPERLINK("https://klasma.github.io/Logging_0482/klagomålsmail/A 50215-2022 FSC-klagomål mail.docx", "A 50215-2022")</f>
        <v/>
      </c>
      <c r="X52">
        <f>HYPERLINK("https://klasma.github.io/Logging_0482/tillsyn/A 50215-2022 tillsynsbegäran.docx", "A 50215-2022")</f>
        <v/>
      </c>
      <c r="Y52">
        <f>HYPERLINK("https://klasma.github.io/Logging_0482/tillsynsmail/A 50215-2022 tillsynsbegäran mail.docx", "A 50215-2022")</f>
        <v/>
      </c>
    </row>
    <row r="53" ht="15" customHeight="1">
      <c r="A53" t="inlineStr">
        <is>
          <t>A 54724-2022</t>
        </is>
      </c>
      <c r="B53" s="1" t="n">
        <v>44881</v>
      </c>
      <c r="C53" s="1" t="n">
        <v>45807</v>
      </c>
      <c r="D53" t="inlineStr">
        <is>
          <t>SÖDERMANLANDS LÄN</t>
        </is>
      </c>
      <c r="E53" t="inlineStr">
        <is>
          <t>FLEN</t>
        </is>
      </c>
      <c r="G53" t="n">
        <v>11.6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54724-2022 artfynd.xlsx", "A 54724-2022")</f>
        <v/>
      </c>
      <c r="T53">
        <f>HYPERLINK("https://klasma.github.io/Logging_0482/kartor/A 54724-2022 karta.png", "A 54724-2022")</f>
        <v/>
      </c>
      <c r="V53">
        <f>HYPERLINK("https://klasma.github.io/Logging_0482/klagomål/A 54724-2022 FSC-klagomål.docx", "A 54724-2022")</f>
        <v/>
      </c>
      <c r="W53">
        <f>HYPERLINK("https://klasma.github.io/Logging_0482/klagomålsmail/A 54724-2022 FSC-klagomål mail.docx", "A 54724-2022")</f>
        <v/>
      </c>
      <c r="X53">
        <f>HYPERLINK("https://klasma.github.io/Logging_0482/tillsyn/A 54724-2022 tillsynsbegäran.docx", "A 54724-2022")</f>
        <v/>
      </c>
      <c r="Y53">
        <f>HYPERLINK("https://klasma.github.io/Logging_0482/tillsynsmail/A 54724-2022 tillsynsbegäran mail.docx", "A 54724-2022")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45807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45807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45807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45807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45807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45807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45807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45807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45807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45807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45807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45807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45807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45807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45807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45807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45807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45807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45807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45807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45807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45807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45807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45807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45807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45807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45807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45807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45807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45807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45807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45120-2021</t>
        </is>
      </c>
      <c r="B86" s="1" t="n">
        <v>44439</v>
      </c>
      <c r="C86" s="1" t="n">
        <v>45807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45120-2021 artfynd.xlsx", "A 45120-2021")</f>
        <v/>
      </c>
      <c r="T86">
        <f>HYPERLINK("https://klasma.github.io/Logging_0482/kartor/A 45120-2021 karta.png", "A 45120-2021")</f>
        <v/>
      </c>
      <c r="V86">
        <f>HYPERLINK("https://klasma.github.io/Logging_0482/klagomål/A 45120-2021 FSC-klagomål.docx", "A 45120-2021")</f>
        <v/>
      </c>
      <c r="W86">
        <f>HYPERLINK("https://klasma.github.io/Logging_0482/klagomålsmail/A 45120-2021 FSC-klagomål mail.docx", "A 45120-2021")</f>
        <v/>
      </c>
      <c r="X86">
        <f>HYPERLINK("https://klasma.github.io/Logging_0482/tillsyn/A 45120-2021 tillsynsbegäran.docx", "A 45120-2021")</f>
        <v/>
      </c>
      <c r="Y86">
        <f>HYPERLINK("https://klasma.github.io/Logging_0482/tillsynsmail/A 45120-2021 tillsynsbegäran mail.docx", "A 45120-2021")</f>
        <v/>
      </c>
    </row>
    <row r="87" ht="15" customHeight="1">
      <c r="A87" t="inlineStr">
        <is>
          <t>A 48520-2021</t>
        </is>
      </c>
      <c r="B87" s="1" t="n">
        <v>44449</v>
      </c>
      <c r="C87" s="1" t="n">
        <v>45807</v>
      </c>
      <c r="D87" t="inlineStr">
        <is>
          <t>SÖDERMANLANDS LÄN</t>
        </is>
      </c>
      <c r="E87" t="inlineStr">
        <is>
          <t>FLEN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HYPERLINK("https://klasma.github.io/Logging_0482/artfynd/A 48520-2021 artfynd.xlsx", "A 48520-2021")</f>
        <v/>
      </c>
      <c r="T87">
        <f>HYPERLINK("https://klasma.github.io/Logging_0482/kartor/A 48520-2021 karta.png", "A 48520-2021")</f>
        <v/>
      </c>
      <c r="V87">
        <f>HYPERLINK("https://klasma.github.io/Logging_0482/klagomål/A 48520-2021 FSC-klagomål.docx", "A 48520-2021")</f>
        <v/>
      </c>
      <c r="W87">
        <f>HYPERLINK("https://klasma.github.io/Logging_0482/klagomålsmail/A 48520-2021 FSC-klagomål mail.docx", "A 48520-2021")</f>
        <v/>
      </c>
      <c r="X87">
        <f>HYPERLINK("https://klasma.github.io/Logging_0482/tillsyn/A 48520-2021 tillsynsbegäran.docx", "A 48520-2021")</f>
        <v/>
      </c>
      <c r="Y87">
        <f>HYPERLINK("https://klasma.github.io/Logging_0482/tillsynsmail/A 48520-2021 tillsynsbegäran mail.docx", "A 48520-2021")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45807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55092-2021</t>
        </is>
      </c>
      <c r="B89" s="1" t="n">
        <v>44474</v>
      </c>
      <c r="C89" s="1" t="n">
        <v>45807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Huggorm</t>
        </is>
      </c>
      <c r="S89">
        <f>HYPERLINK("https://klasma.github.io/Logging_0482/artfynd/A 55092-2021 artfynd.xlsx", "A 55092-2021")</f>
        <v/>
      </c>
      <c r="T89">
        <f>HYPERLINK("https://klasma.github.io/Logging_0482/kartor/A 55092-2021 karta.png", "A 55092-2021")</f>
        <v/>
      </c>
      <c r="V89">
        <f>HYPERLINK("https://klasma.github.io/Logging_0482/klagomål/A 55092-2021 FSC-klagomål.docx", "A 55092-2021")</f>
        <v/>
      </c>
      <c r="W89">
        <f>HYPERLINK("https://klasma.github.io/Logging_0482/klagomålsmail/A 55092-2021 FSC-klagomål mail.docx", "A 55092-2021")</f>
        <v/>
      </c>
      <c r="X89">
        <f>HYPERLINK("https://klasma.github.io/Logging_0482/tillsyn/A 55092-2021 tillsynsbegäran.docx", "A 55092-2021")</f>
        <v/>
      </c>
      <c r="Y89">
        <f>HYPERLINK("https://klasma.github.io/Logging_0482/tillsynsmail/A 55092-2021 tillsynsbegäran mail.docx", "A 55092-2021")</f>
        <v/>
      </c>
    </row>
    <row r="90" ht="15" customHeight="1">
      <c r="A90" t="inlineStr">
        <is>
          <t>A 57766-2021</t>
        </is>
      </c>
      <c r="B90" s="1" t="n">
        <v>44484</v>
      </c>
      <c r="C90" s="1" t="n">
        <v>45807</v>
      </c>
      <c r="D90" t="inlineStr">
        <is>
          <t>SÖDERMANLANDS LÄN</t>
        </is>
      </c>
      <c r="E90" t="inlineStr">
        <is>
          <t>FLEN</t>
        </is>
      </c>
      <c r="G90" t="n">
        <v>9.9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57766-2021 artfynd.xlsx", "A 57766-2021")</f>
        <v/>
      </c>
      <c r="T90">
        <f>HYPERLINK("https://klasma.github.io/Logging_0482/kartor/A 57766-2021 karta.png", "A 57766-2021")</f>
        <v/>
      </c>
      <c r="V90">
        <f>HYPERLINK("https://klasma.github.io/Logging_0482/klagomål/A 57766-2021 FSC-klagomål.docx", "A 57766-2021")</f>
        <v/>
      </c>
      <c r="W90">
        <f>HYPERLINK("https://klasma.github.io/Logging_0482/klagomålsmail/A 57766-2021 FSC-klagomål mail.docx", "A 57766-2021")</f>
        <v/>
      </c>
      <c r="X90">
        <f>HYPERLINK("https://klasma.github.io/Logging_0482/tillsyn/A 57766-2021 tillsynsbegäran.docx", "A 57766-2021")</f>
        <v/>
      </c>
      <c r="Y90">
        <f>HYPERLINK("https://klasma.github.io/Logging_0482/tillsynsmail/A 57766-2021 tillsynsbegäran mail.docx", "A 57766-2021")</f>
        <v/>
      </c>
    </row>
    <row r="91" ht="15" customHeight="1">
      <c r="A91" t="inlineStr">
        <is>
          <t>A 62355-2021</t>
        </is>
      </c>
      <c r="B91" s="1" t="n">
        <v>44503</v>
      </c>
      <c r="C91" s="1" t="n">
        <v>45807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62355-2021 artfynd.xlsx", "A 62355-2021")</f>
        <v/>
      </c>
      <c r="T91">
        <f>HYPERLINK("https://klasma.github.io/Logging_0482/kartor/A 62355-2021 karta.png", "A 62355-2021")</f>
        <v/>
      </c>
      <c r="V91">
        <f>HYPERLINK("https://klasma.github.io/Logging_0482/klagomål/A 62355-2021 FSC-klagomål.docx", "A 62355-2021")</f>
        <v/>
      </c>
      <c r="W91">
        <f>HYPERLINK("https://klasma.github.io/Logging_0482/klagomålsmail/A 62355-2021 FSC-klagomål mail.docx", "A 62355-2021")</f>
        <v/>
      </c>
      <c r="X91">
        <f>HYPERLINK("https://klasma.github.io/Logging_0482/tillsyn/A 62355-2021 tillsynsbegäran.docx", "A 62355-2021")</f>
        <v/>
      </c>
      <c r="Y91">
        <f>HYPERLINK("https://klasma.github.io/Logging_0482/tillsynsmail/A 62355-2021 tillsynsbegäran mail.docx", "A 62355-2021")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45807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70039-2021</t>
        </is>
      </c>
      <c r="B93" s="1" t="n">
        <v>44533</v>
      </c>
      <c r="C93" s="1" t="n">
        <v>45807</v>
      </c>
      <c r="D93" t="inlineStr">
        <is>
          <t>SÖDERMANLANDS LÄN</t>
        </is>
      </c>
      <c r="E93" t="inlineStr">
        <is>
          <t>FLEN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HYPERLINK("https://klasma.github.io/Logging_0482/artfynd/A 70039-2021 artfynd.xlsx", "A 70039-2021")</f>
        <v/>
      </c>
      <c r="T93">
        <f>HYPERLINK("https://klasma.github.io/Logging_0482/kartor/A 70039-2021 karta.png", "A 70039-2021")</f>
        <v/>
      </c>
      <c r="V93">
        <f>HYPERLINK("https://klasma.github.io/Logging_0482/klagomål/A 70039-2021 FSC-klagomål.docx", "A 70039-2021")</f>
        <v/>
      </c>
      <c r="W93">
        <f>HYPERLINK("https://klasma.github.io/Logging_0482/klagomålsmail/A 70039-2021 FSC-klagomål mail.docx", "A 70039-2021")</f>
        <v/>
      </c>
      <c r="X93">
        <f>HYPERLINK("https://klasma.github.io/Logging_0482/tillsyn/A 70039-2021 tillsynsbegäran.docx", "A 70039-2021")</f>
        <v/>
      </c>
      <c r="Y93">
        <f>HYPERLINK("https://klasma.github.io/Logging_0482/tillsynsmail/A 70039-2021 tillsynsbegäran mail.docx", "A 70039-2021")</f>
        <v/>
      </c>
    </row>
    <row r="94" ht="15" customHeight="1">
      <c r="A94" t="inlineStr">
        <is>
          <t>A 73923-2021</t>
        </is>
      </c>
      <c r="B94" s="1" t="n">
        <v>44553</v>
      </c>
      <c r="C94" s="1" t="n">
        <v>45807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7883-2022</t>
        </is>
      </c>
      <c r="B95" s="1" t="n">
        <v>44608</v>
      </c>
      <c r="C95" s="1" t="n">
        <v>45807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2.2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HYPERLINK("https://klasma.github.io/Logging_0482/artfynd/A 7883-2022 artfynd.xlsx", "A 7883-2022")</f>
        <v/>
      </c>
      <c r="T95">
        <f>HYPERLINK("https://klasma.github.io/Logging_0482/kartor/A 7883-2022 karta.png", "A 7883-2022")</f>
        <v/>
      </c>
      <c r="V95">
        <f>HYPERLINK("https://klasma.github.io/Logging_0482/klagomål/A 7883-2022 FSC-klagomål.docx", "A 7883-2022")</f>
        <v/>
      </c>
      <c r="W95">
        <f>HYPERLINK("https://klasma.github.io/Logging_0482/klagomålsmail/A 7883-2022 FSC-klagomål mail.docx", "A 7883-2022")</f>
        <v/>
      </c>
      <c r="X95">
        <f>HYPERLINK("https://klasma.github.io/Logging_0482/tillsyn/A 7883-2022 tillsynsbegäran.docx", "A 7883-2022")</f>
        <v/>
      </c>
      <c r="Y95">
        <f>HYPERLINK("https://klasma.github.io/Logging_0482/tillsynsmail/A 7883-2022 tillsynsbegäran mail.docx", "A 7883-2022")</f>
        <v/>
      </c>
    </row>
    <row r="96" ht="15" customHeight="1">
      <c r="A96" t="inlineStr">
        <is>
          <t>A 10789-2022</t>
        </is>
      </c>
      <c r="B96" s="1" t="n">
        <v>44624</v>
      </c>
      <c r="C96" s="1" t="n">
        <v>45807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HYPERLINK("https://klasma.github.io/Logging_0482/artfynd/A 10789-2022 artfynd.xlsx", "A 10789-2022")</f>
        <v/>
      </c>
      <c r="T96">
        <f>HYPERLINK("https://klasma.github.io/Logging_0482/kartor/A 10789-2022 karta.png", "A 10789-2022")</f>
        <v/>
      </c>
      <c r="V96">
        <f>HYPERLINK("https://klasma.github.io/Logging_0482/klagomål/A 10789-2022 FSC-klagomål.docx", "A 10789-2022")</f>
        <v/>
      </c>
      <c r="W96">
        <f>HYPERLINK("https://klasma.github.io/Logging_0482/klagomålsmail/A 10789-2022 FSC-klagomål mail.docx", "A 10789-2022")</f>
        <v/>
      </c>
      <c r="X96">
        <f>HYPERLINK("https://klasma.github.io/Logging_0482/tillsyn/A 10789-2022 tillsynsbegäran.docx", "A 10789-2022")</f>
        <v/>
      </c>
      <c r="Y96">
        <f>HYPERLINK("https://klasma.github.io/Logging_0482/tillsynsmail/A 10789-2022 tillsynsbegäran mail.docx", "A 10789-2022")</f>
        <v/>
      </c>
    </row>
    <row r="97" ht="15" customHeight="1">
      <c r="A97" t="inlineStr">
        <is>
          <t>A 10770-2022</t>
        </is>
      </c>
      <c r="B97" s="1" t="n">
        <v>44624</v>
      </c>
      <c r="C97" s="1" t="n">
        <v>45807</v>
      </c>
      <c r="D97" t="inlineStr">
        <is>
          <t>SÖDERMANLANDS LÄN</t>
        </is>
      </c>
      <c r="E97" t="inlineStr">
        <is>
          <t>FLEN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10770-2022 artfynd.xlsx", "A 10770-2022")</f>
        <v/>
      </c>
      <c r="T97">
        <f>HYPERLINK("https://klasma.github.io/Logging_0482/kartor/A 10770-2022 karta.png", "A 10770-2022")</f>
        <v/>
      </c>
      <c r="V97">
        <f>HYPERLINK("https://klasma.github.io/Logging_0482/klagomål/A 10770-2022 FSC-klagomål.docx", "A 10770-2022")</f>
        <v/>
      </c>
      <c r="W97">
        <f>HYPERLINK("https://klasma.github.io/Logging_0482/klagomålsmail/A 10770-2022 FSC-klagomål mail.docx", "A 10770-2022")</f>
        <v/>
      </c>
      <c r="X97">
        <f>HYPERLINK("https://klasma.github.io/Logging_0482/tillsyn/A 10770-2022 tillsynsbegäran.docx", "A 10770-2022")</f>
        <v/>
      </c>
      <c r="Y97">
        <f>HYPERLINK("https://klasma.github.io/Logging_0482/tillsynsmail/A 10770-2022 tillsynsbegäran mail.docx", "A 10770-2022")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45807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12371-2022</t>
        </is>
      </c>
      <c r="B99" s="1" t="n">
        <v>44637</v>
      </c>
      <c r="C99" s="1" t="n">
        <v>45807</v>
      </c>
      <c r="D99" t="inlineStr">
        <is>
          <t>SÖDERMANLANDS LÄN</t>
        </is>
      </c>
      <c r="E99" t="inlineStr">
        <is>
          <t>FLEN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12371-2022 artfynd.xlsx", "A 12371-2022")</f>
        <v/>
      </c>
      <c r="T99">
        <f>HYPERLINK("https://klasma.github.io/Logging_0482/kartor/A 12371-2022 karta.png", "A 12371-2022")</f>
        <v/>
      </c>
      <c r="V99">
        <f>HYPERLINK("https://klasma.github.io/Logging_0482/klagomål/A 12371-2022 FSC-klagomål.docx", "A 12371-2022")</f>
        <v/>
      </c>
      <c r="W99">
        <f>HYPERLINK("https://klasma.github.io/Logging_0482/klagomålsmail/A 12371-2022 FSC-klagomål mail.docx", "A 12371-2022")</f>
        <v/>
      </c>
      <c r="X99">
        <f>HYPERLINK("https://klasma.github.io/Logging_0482/tillsyn/A 12371-2022 tillsynsbegäran.docx", "A 12371-2022")</f>
        <v/>
      </c>
      <c r="Y99">
        <f>HYPERLINK("https://klasma.github.io/Logging_0482/tillsynsmail/A 12371-2022 tillsynsbegäran mail.docx", "A 12371-2022")</f>
        <v/>
      </c>
    </row>
    <row r="100" ht="15" customHeight="1">
      <c r="A100" t="inlineStr">
        <is>
          <t>A 26245-2022</t>
        </is>
      </c>
      <c r="B100" s="1" t="n">
        <v>44735</v>
      </c>
      <c r="C100" s="1" t="n">
        <v>45807</v>
      </c>
      <c r="D100" t="inlineStr">
        <is>
          <t>SÖDERMANLANDS LÄN</t>
        </is>
      </c>
      <c r="E100" t="inlineStr">
        <is>
          <t>FLEN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Blanksvart trämyra</t>
        </is>
      </c>
      <c r="S100">
        <f>HYPERLINK("https://klasma.github.io/Logging_0482/artfynd/A 26245-2022 artfynd.xlsx", "A 26245-2022")</f>
        <v/>
      </c>
      <c r="T100">
        <f>HYPERLINK("https://klasma.github.io/Logging_0482/kartor/A 26245-2022 karta.png", "A 26245-2022")</f>
        <v/>
      </c>
      <c r="V100">
        <f>HYPERLINK("https://klasma.github.io/Logging_0482/klagomål/A 26245-2022 FSC-klagomål.docx", "A 26245-2022")</f>
        <v/>
      </c>
      <c r="W100">
        <f>HYPERLINK("https://klasma.github.io/Logging_0482/klagomålsmail/A 26245-2022 FSC-klagomål mail.docx", "A 26245-2022")</f>
        <v/>
      </c>
      <c r="X100">
        <f>HYPERLINK("https://klasma.github.io/Logging_0482/tillsyn/A 26245-2022 tillsynsbegäran.docx", "A 26245-2022")</f>
        <v/>
      </c>
      <c r="Y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34498-2022</t>
        </is>
      </c>
      <c r="B101" s="1" t="n">
        <v>44792</v>
      </c>
      <c r="C101" s="1" t="n">
        <v>45807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34498-2022 artfynd.xlsx", "A 34498-2022")</f>
        <v/>
      </c>
      <c r="T101">
        <f>HYPERLINK("https://klasma.github.io/Logging_0482/kartor/A 34498-2022 karta.png", "A 34498-2022")</f>
        <v/>
      </c>
      <c r="V101">
        <f>HYPERLINK("https://klasma.github.io/Logging_0482/klagomål/A 34498-2022 FSC-klagomål.docx", "A 34498-2022")</f>
        <v/>
      </c>
      <c r="W101">
        <f>HYPERLINK("https://klasma.github.io/Logging_0482/klagomålsmail/A 34498-2022 FSC-klagomål mail.docx", "A 34498-2022")</f>
        <v/>
      </c>
      <c r="X101">
        <f>HYPERLINK("https://klasma.github.io/Logging_0482/tillsyn/A 34498-2022 tillsynsbegäran.docx", "A 34498-2022")</f>
        <v/>
      </c>
      <c r="Y101">
        <f>HYPERLINK("https://klasma.github.io/Logging_0482/tillsynsmail/A 34498-2022 tillsynsbegäran mail.docx", "A 34498-2022")</f>
        <v/>
      </c>
    </row>
    <row r="102" ht="15" customHeight="1">
      <c r="A102" t="inlineStr">
        <is>
          <t>A 35278-2022</t>
        </is>
      </c>
      <c r="B102" s="1" t="n">
        <v>44798</v>
      </c>
      <c r="C102" s="1" t="n">
        <v>45807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HYPERLINK("https://klasma.github.io/Logging_0482/artfynd/A 35278-2022 artfynd.xlsx", "A 35278-2022")</f>
        <v/>
      </c>
      <c r="T102">
        <f>HYPERLINK("https://klasma.github.io/Logging_0482/kartor/A 35278-2022 karta.png", "A 35278-2022")</f>
        <v/>
      </c>
      <c r="V102">
        <f>HYPERLINK("https://klasma.github.io/Logging_0482/klagomål/A 35278-2022 FSC-klagomål.docx", "A 35278-2022")</f>
        <v/>
      </c>
      <c r="W102">
        <f>HYPERLINK("https://klasma.github.io/Logging_0482/klagomålsmail/A 35278-2022 FSC-klagomål mail.docx", "A 35278-2022")</f>
        <v/>
      </c>
      <c r="X102">
        <f>HYPERLINK("https://klasma.github.io/Logging_0482/tillsyn/A 35278-2022 tillsynsbegäran.docx", "A 35278-2022")</f>
        <v/>
      </c>
      <c r="Y102">
        <f>HYPERLINK("https://klasma.github.io/Logging_0482/tillsynsmail/A 35278-2022 tillsynsbegäran mail.docx", "A 35278-2022")</f>
        <v/>
      </c>
    </row>
    <row r="103" ht="15" customHeight="1">
      <c r="A103" t="inlineStr">
        <is>
          <t>A 44563-2022</t>
        </is>
      </c>
      <c r="B103" s="1" t="n">
        <v>44838</v>
      </c>
      <c r="C103" s="1" t="n">
        <v>45807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44563-2022 artfynd.xlsx", "A 44563-2022")</f>
        <v/>
      </c>
      <c r="T103">
        <f>HYPERLINK("https://klasma.github.io/Logging_0482/kartor/A 44563-2022 karta.png", "A 44563-2022")</f>
        <v/>
      </c>
      <c r="V103">
        <f>HYPERLINK("https://klasma.github.io/Logging_0482/klagomål/A 44563-2022 FSC-klagomål.docx", "A 44563-2022")</f>
        <v/>
      </c>
      <c r="W103">
        <f>HYPERLINK("https://klasma.github.io/Logging_0482/klagomålsmail/A 44563-2022 FSC-klagomål mail.docx", "A 44563-2022")</f>
        <v/>
      </c>
      <c r="X103">
        <f>HYPERLINK("https://klasma.github.io/Logging_0482/tillsyn/A 44563-2022 tillsynsbegäran.docx", "A 44563-2022")</f>
        <v/>
      </c>
      <c r="Y103">
        <f>HYPERLINK("https://klasma.github.io/Logging_0482/tillsynsmail/A 44563-2022 tillsynsbegäran mail.docx", "A 44563-2022")</f>
        <v/>
      </c>
    </row>
    <row r="104" ht="15" customHeight="1">
      <c r="A104" t="inlineStr">
        <is>
          <t>A 47756-2022</t>
        </is>
      </c>
      <c r="B104" s="1" t="n">
        <v>44854</v>
      </c>
      <c r="C104" s="1" t="n">
        <v>45807</v>
      </c>
      <c r="D104" t="inlineStr">
        <is>
          <t>SÖDERMANLANDS LÄN</t>
        </is>
      </c>
      <c r="E104" t="inlineStr">
        <is>
          <t>FLEN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47756-2022 artfynd.xlsx", "A 47756-2022")</f>
        <v/>
      </c>
      <c r="T104">
        <f>HYPERLINK("https://klasma.github.io/Logging_0482/kartor/A 47756-2022 karta.png", "A 47756-2022")</f>
        <v/>
      </c>
      <c r="V104">
        <f>HYPERLINK("https://klasma.github.io/Logging_0482/klagomål/A 47756-2022 FSC-klagomål.docx", "A 47756-2022")</f>
        <v/>
      </c>
      <c r="W104">
        <f>HYPERLINK("https://klasma.github.io/Logging_0482/klagomålsmail/A 47756-2022 FSC-klagomål mail.docx", "A 47756-2022")</f>
        <v/>
      </c>
      <c r="X104">
        <f>HYPERLINK("https://klasma.github.io/Logging_0482/tillsyn/A 47756-2022 tillsynsbegäran.docx", "A 47756-2022")</f>
        <v/>
      </c>
      <c r="Y104">
        <f>HYPERLINK("https://klasma.github.io/Logging_0482/tillsynsmail/A 47756-2022 tillsynsbegäran mail.docx", "A 47756-2022")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45807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60591-2022</t>
        </is>
      </c>
      <c r="B106" s="1" t="n">
        <v>44911</v>
      </c>
      <c r="C106" s="1" t="n">
        <v>45807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60591-2022 artfynd.xlsx", "A 60591-2022")</f>
        <v/>
      </c>
      <c r="T106">
        <f>HYPERLINK("https://klasma.github.io/Logging_0482/kartor/A 60591-2022 karta.png", "A 60591-2022")</f>
        <v/>
      </c>
      <c r="V106">
        <f>HYPERLINK("https://klasma.github.io/Logging_0482/klagomål/A 60591-2022 FSC-klagomål.docx", "A 60591-2022")</f>
        <v/>
      </c>
      <c r="W106">
        <f>HYPERLINK("https://klasma.github.io/Logging_0482/klagomålsmail/A 60591-2022 FSC-klagomål mail.docx", "A 60591-2022")</f>
        <v/>
      </c>
      <c r="X106">
        <f>HYPERLINK("https://klasma.github.io/Logging_0482/tillsyn/A 60591-2022 tillsynsbegäran.docx", "A 60591-2022")</f>
        <v/>
      </c>
      <c r="Y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61870-2022</t>
        </is>
      </c>
      <c r="B107" s="1" t="n">
        <v>44917</v>
      </c>
      <c r="C107" s="1" t="n">
        <v>45807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61870-2022 artfynd.xlsx", "A 61870-2022")</f>
        <v/>
      </c>
      <c r="T107">
        <f>HYPERLINK("https://klasma.github.io/Logging_0482/kartor/A 61870-2022 karta.png", "A 61870-2022")</f>
        <v/>
      </c>
      <c r="V107">
        <f>HYPERLINK("https://klasma.github.io/Logging_0482/klagomål/A 61870-2022 FSC-klagomål.docx", "A 61870-2022")</f>
        <v/>
      </c>
      <c r="W107">
        <f>HYPERLINK("https://klasma.github.io/Logging_0482/klagomålsmail/A 61870-2022 FSC-klagomål mail.docx", "A 61870-2022")</f>
        <v/>
      </c>
      <c r="X107">
        <f>HYPERLINK("https://klasma.github.io/Logging_0482/tillsyn/A 61870-2022 tillsynsbegäran.docx", "A 61870-2022")</f>
        <v/>
      </c>
      <c r="Y107">
        <f>HYPERLINK("https://klasma.github.io/Logging_0482/tillsynsmail/A 61870-2022 tillsynsbegäran mail.docx", "A 61870-2022")</f>
        <v/>
      </c>
    </row>
    <row r="108" ht="15" customHeight="1">
      <c r="A108" t="inlineStr">
        <is>
          <t>A 882-2023</t>
        </is>
      </c>
      <c r="B108" s="1" t="n">
        <v>44931</v>
      </c>
      <c r="C108" s="1" t="n">
        <v>45807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Aspvedgnagare</t>
        </is>
      </c>
      <c r="S108">
        <f>HYPERLINK("https://klasma.github.io/Logging_0482/artfynd/A 882-2023 artfynd.xlsx", "A 882-2023")</f>
        <v/>
      </c>
      <c r="T108">
        <f>HYPERLINK("https://klasma.github.io/Logging_0482/kartor/A 882-2023 karta.png", "A 882-2023")</f>
        <v/>
      </c>
      <c r="V108">
        <f>HYPERLINK("https://klasma.github.io/Logging_0482/klagomål/A 882-2023 FSC-klagomål.docx", "A 882-2023")</f>
        <v/>
      </c>
      <c r="W108">
        <f>HYPERLINK("https://klasma.github.io/Logging_0482/klagomålsmail/A 882-2023 FSC-klagomål mail.docx", "A 882-2023")</f>
        <v/>
      </c>
      <c r="X108">
        <f>HYPERLINK("https://klasma.github.io/Logging_0482/tillsyn/A 882-2023 tillsynsbegäran.docx", "A 882-2023")</f>
        <v/>
      </c>
      <c r="Y108">
        <f>HYPERLINK("https://klasma.github.io/Logging_0482/tillsynsmail/A 882-2023 tillsynsbegäran mail.docx", "A 882-2023")</f>
        <v/>
      </c>
    </row>
    <row r="109" ht="15" customHeight="1">
      <c r="A109" t="inlineStr">
        <is>
          <t>A 4699-2023</t>
        </is>
      </c>
      <c r="B109" s="1" t="n">
        <v>44957</v>
      </c>
      <c r="C109" s="1" t="n">
        <v>45807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4699-2023 artfynd.xlsx", "A 4699-2023")</f>
        <v/>
      </c>
      <c r="T109">
        <f>HYPERLINK("https://klasma.github.io/Logging_0482/kartor/A 4699-2023 karta.png", "A 4699-2023")</f>
        <v/>
      </c>
      <c r="V109">
        <f>HYPERLINK("https://klasma.github.io/Logging_0482/klagomål/A 4699-2023 FSC-klagomål.docx", "A 4699-2023")</f>
        <v/>
      </c>
      <c r="W109">
        <f>HYPERLINK("https://klasma.github.io/Logging_0482/klagomålsmail/A 4699-2023 FSC-klagomål mail.docx", "A 4699-2023")</f>
        <v/>
      </c>
      <c r="X109">
        <f>HYPERLINK("https://klasma.github.io/Logging_0482/tillsyn/A 4699-2023 tillsynsbegäran.docx", "A 4699-2023")</f>
        <v/>
      </c>
      <c r="Y109">
        <f>HYPERLINK("https://klasma.github.io/Logging_0482/tillsynsmail/A 4699-2023 tillsynsbegäran mail.docx", "A 4699-2023")</f>
        <v/>
      </c>
    </row>
    <row r="110" ht="15" customHeight="1">
      <c r="A110" t="inlineStr">
        <is>
          <t>A 7506-2023</t>
        </is>
      </c>
      <c r="B110" s="1" t="n">
        <v>44971</v>
      </c>
      <c r="C110" s="1" t="n">
        <v>45807</v>
      </c>
      <c r="D110" t="inlineStr">
        <is>
          <t>SÖDERMANLANDS LÄN</t>
        </is>
      </c>
      <c r="E110" t="inlineStr">
        <is>
          <t>FLEN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7506-2023 artfynd.xlsx", "A 7506-2023")</f>
        <v/>
      </c>
      <c r="T110">
        <f>HYPERLINK("https://klasma.github.io/Logging_0482/kartor/A 7506-2023 karta.png", "A 7506-2023")</f>
        <v/>
      </c>
      <c r="V110">
        <f>HYPERLINK("https://klasma.github.io/Logging_0482/klagomål/A 7506-2023 FSC-klagomål.docx", "A 7506-2023")</f>
        <v/>
      </c>
      <c r="W110">
        <f>HYPERLINK("https://klasma.github.io/Logging_0482/klagomålsmail/A 7506-2023 FSC-klagomål mail.docx", "A 7506-2023")</f>
        <v/>
      </c>
      <c r="X110">
        <f>HYPERLINK("https://klasma.github.io/Logging_0482/tillsyn/A 7506-2023 tillsynsbegäran.docx", "A 7506-2023")</f>
        <v/>
      </c>
      <c r="Y110">
        <f>HYPERLINK("https://klasma.github.io/Logging_0482/tillsynsmail/A 7506-2023 tillsynsbegäran mail.docx", "A 7506-2023")</f>
        <v/>
      </c>
    </row>
    <row r="111" ht="15" customHeight="1">
      <c r="A111" t="inlineStr">
        <is>
          <t>A 12419-2023</t>
        </is>
      </c>
      <c r="B111" s="1" t="n">
        <v>44998</v>
      </c>
      <c r="C111" s="1" t="n">
        <v>45807</v>
      </c>
      <c r="D111" t="inlineStr">
        <is>
          <t>SÖDERMANLANDS LÄN</t>
        </is>
      </c>
      <c r="E111" t="inlineStr">
        <is>
          <t>FLEN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12419-2023 artfynd.xlsx", "A 12419-2023")</f>
        <v/>
      </c>
      <c r="T111">
        <f>HYPERLINK("https://klasma.github.io/Logging_0482/kartor/A 12419-2023 karta.png", "A 12419-2023")</f>
        <v/>
      </c>
      <c r="V111">
        <f>HYPERLINK("https://klasma.github.io/Logging_0482/klagomål/A 12419-2023 FSC-klagomål.docx", "A 12419-2023")</f>
        <v/>
      </c>
      <c r="W111">
        <f>HYPERLINK("https://klasma.github.io/Logging_0482/klagomålsmail/A 12419-2023 FSC-klagomål mail.docx", "A 12419-2023")</f>
        <v/>
      </c>
      <c r="X111">
        <f>HYPERLINK("https://klasma.github.io/Logging_0482/tillsyn/A 12419-2023 tillsynsbegäran.docx", "A 12419-2023")</f>
        <v/>
      </c>
      <c r="Y111">
        <f>HYPERLINK("https://klasma.github.io/Logging_0482/tillsynsmail/A 12419-2023 tillsynsbegäran mail.docx", "A 12419-2023")</f>
        <v/>
      </c>
      <c r="Z111">
        <f>HYPERLINK("https://klasma.github.io/Logging_0482/fåglar/A 12419-2023 prioriterade fågelarter.docx", "A 12419-2023")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45807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30584-2023</t>
        </is>
      </c>
      <c r="B113" s="1" t="n">
        <v>45112</v>
      </c>
      <c r="C113" s="1" t="n">
        <v>45807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30584-2023 artfynd.xlsx", "A 30584-2023")</f>
        <v/>
      </c>
      <c r="T113">
        <f>HYPERLINK("https://klasma.github.io/Logging_0482/kartor/A 30584-2023 karta.png", "A 30584-2023")</f>
        <v/>
      </c>
      <c r="V113">
        <f>HYPERLINK("https://klasma.github.io/Logging_0482/klagomål/A 30584-2023 FSC-klagomål.docx", "A 30584-2023")</f>
        <v/>
      </c>
      <c r="W113">
        <f>HYPERLINK("https://klasma.github.io/Logging_0482/klagomålsmail/A 30584-2023 FSC-klagomål mail.docx", "A 30584-2023")</f>
        <v/>
      </c>
      <c r="X113">
        <f>HYPERLINK("https://klasma.github.io/Logging_0482/tillsyn/A 30584-2023 tillsynsbegäran.docx", "A 30584-2023")</f>
        <v/>
      </c>
      <c r="Y113">
        <f>HYPERLINK("https://klasma.github.io/Logging_0482/tillsynsmail/A 30584-2023 tillsynsbegäran mail.docx", "A 30584-2023")</f>
        <v/>
      </c>
      <c r="Z113">
        <f>HYPERLINK("https://klasma.github.io/Logging_0482/fåglar/A 30584-2023 prioriterade fågelarter.docx", "A 30584-2023")</f>
        <v/>
      </c>
    </row>
    <row r="114" ht="15" customHeight="1">
      <c r="A114" t="inlineStr">
        <is>
          <t>A 37025-2023</t>
        </is>
      </c>
      <c r="B114" s="1" t="n">
        <v>45155</v>
      </c>
      <c r="C114" s="1" t="n">
        <v>45807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24.1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HYPERLINK("https://klasma.github.io/Logging_0482/artfynd/A 37025-2023 artfynd.xlsx", "A 37025-2023")</f>
        <v/>
      </c>
      <c r="T114">
        <f>HYPERLINK("https://klasma.github.io/Logging_0482/kartor/A 37025-2023 karta.png", "A 37025-2023")</f>
        <v/>
      </c>
      <c r="V114">
        <f>HYPERLINK("https://klasma.github.io/Logging_0482/klagomål/A 37025-2023 FSC-klagomål.docx", "A 37025-2023")</f>
        <v/>
      </c>
      <c r="W114">
        <f>HYPERLINK("https://klasma.github.io/Logging_0482/klagomålsmail/A 37025-2023 FSC-klagomål mail.docx", "A 37025-2023")</f>
        <v/>
      </c>
      <c r="X114">
        <f>HYPERLINK("https://klasma.github.io/Logging_0482/tillsyn/A 37025-2023 tillsynsbegäran.docx", "A 37025-2023")</f>
        <v/>
      </c>
      <c r="Y114">
        <f>HYPERLINK("https://klasma.github.io/Logging_0482/tillsynsmail/A 37025-2023 tillsynsbegäran mail.docx", "A 37025-2023")</f>
        <v/>
      </c>
      <c r="Z114">
        <f>HYPERLINK("https://klasma.github.io/Logging_0482/fåglar/A 37025-2023 prioriterade fågelarter.docx", "A 37025-2023")</f>
        <v/>
      </c>
    </row>
    <row r="115" ht="15" customHeight="1">
      <c r="A115" t="inlineStr">
        <is>
          <t>A 37317-2023</t>
        </is>
      </c>
      <c r="B115" s="1" t="n">
        <v>45156</v>
      </c>
      <c r="C115" s="1" t="n">
        <v>45807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Svavelriska</t>
        </is>
      </c>
      <c r="S115">
        <f>HYPERLINK("https://klasma.github.io/Logging_0482/artfynd/A 37317-2023 artfynd.xlsx", "A 37317-2023")</f>
        <v/>
      </c>
      <c r="T115">
        <f>HYPERLINK("https://klasma.github.io/Logging_0482/kartor/A 37317-2023 karta.png", "A 37317-2023")</f>
        <v/>
      </c>
      <c r="V115">
        <f>HYPERLINK("https://klasma.github.io/Logging_0482/klagomål/A 37317-2023 FSC-klagomål.docx", "A 37317-2023")</f>
        <v/>
      </c>
      <c r="W115">
        <f>HYPERLINK("https://klasma.github.io/Logging_0482/klagomålsmail/A 37317-2023 FSC-klagomål mail.docx", "A 37317-2023")</f>
        <v/>
      </c>
      <c r="X115">
        <f>HYPERLINK("https://klasma.github.io/Logging_0482/tillsyn/A 37317-2023 tillsynsbegäran.docx", "A 37317-2023")</f>
        <v/>
      </c>
      <c r="Y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39590-2023</t>
        </is>
      </c>
      <c r="B116" s="1" t="n">
        <v>45163</v>
      </c>
      <c r="C116" s="1" t="n">
        <v>45807</v>
      </c>
      <c r="D116" t="inlineStr">
        <is>
          <t>SÖDERMANLANDS LÄN</t>
        </is>
      </c>
      <c r="E116" t="inlineStr">
        <is>
          <t>FLEN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39590-2023 artfynd.xlsx", "A 39590-2023")</f>
        <v/>
      </c>
      <c r="T116">
        <f>HYPERLINK("https://klasma.github.io/Logging_0482/kartor/A 39590-2023 karta.png", "A 39590-2023")</f>
        <v/>
      </c>
      <c r="V116">
        <f>HYPERLINK("https://klasma.github.io/Logging_0482/klagomål/A 39590-2023 FSC-klagomål.docx", "A 39590-2023")</f>
        <v/>
      </c>
      <c r="W116">
        <f>HYPERLINK("https://klasma.github.io/Logging_0482/klagomålsmail/A 39590-2023 FSC-klagomål mail.docx", "A 39590-2023")</f>
        <v/>
      </c>
      <c r="X116">
        <f>HYPERLINK("https://klasma.github.io/Logging_0482/tillsyn/A 39590-2023 tillsynsbegäran.docx", "A 39590-2023")</f>
        <v/>
      </c>
      <c r="Y116">
        <f>HYPERLINK("https://klasma.github.io/Logging_0482/tillsynsmail/A 39590-2023 tillsynsbegäran mail.docx", "A 39590-2023")</f>
        <v/>
      </c>
    </row>
    <row r="117" ht="15" customHeight="1">
      <c r="A117" t="inlineStr">
        <is>
          <t>A 39240-2023</t>
        </is>
      </c>
      <c r="B117" s="1" t="n">
        <v>45166</v>
      </c>
      <c r="C117" s="1" t="n">
        <v>45807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Blodticka</t>
        </is>
      </c>
      <c r="S117">
        <f>HYPERLINK("https://klasma.github.io/Logging_0482/artfynd/A 39240-2023 artfynd.xlsx", "A 39240-2023")</f>
        <v/>
      </c>
      <c r="T117">
        <f>HYPERLINK("https://klasma.github.io/Logging_0482/kartor/A 39240-2023 karta.png", "A 39240-2023")</f>
        <v/>
      </c>
      <c r="V117">
        <f>HYPERLINK("https://klasma.github.io/Logging_0482/klagomål/A 39240-2023 FSC-klagomål.docx", "A 39240-2023")</f>
        <v/>
      </c>
      <c r="W117">
        <f>HYPERLINK("https://klasma.github.io/Logging_0482/klagomålsmail/A 39240-2023 FSC-klagomål mail.docx", "A 39240-2023")</f>
        <v/>
      </c>
      <c r="X117">
        <f>HYPERLINK("https://klasma.github.io/Logging_0482/tillsyn/A 39240-2023 tillsynsbegäran.docx", "A 39240-2023")</f>
        <v/>
      </c>
      <c r="Y117">
        <f>HYPERLINK("https://klasma.github.io/Logging_0482/tillsynsmail/A 39240-2023 tillsynsbegäran mail.docx", "A 39240-2023")</f>
        <v/>
      </c>
    </row>
    <row r="118" ht="15" customHeight="1">
      <c r="A118" t="inlineStr">
        <is>
          <t>A 44476-2023</t>
        </is>
      </c>
      <c r="B118" s="1" t="n">
        <v>45189</v>
      </c>
      <c r="C118" s="1" t="n">
        <v>45807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44476-2023 artfynd.xlsx", "A 44476-2023")</f>
        <v/>
      </c>
      <c r="T118">
        <f>HYPERLINK("https://klasma.github.io/Logging_0482/kartor/A 44476-2023 karta.png", "A 44476-2023")</f>
        <v/>
      </c>
      <c r="V118">
        <f>HYPERLINK("https://klasma.github.io/Logging_0482/klagomål/A 44476-2023 FSC-klagomål.docx", "A 44476-2023")</f>
        <v/>
      </c>
      <c r="W118">
        <f>HYPERLINK("https://klasma.github.io/Logging_0482/klagomålsmail/A 44476-2023 FSC-klagomål mail.docx", "A 44476-2023")</f>
        <v/>
      </c>
      <c r="X118">
        <f>HYPERLINK("https://klasma.github.io/Logging_0482/tillsyn/A 44476-2023 tillsynsbegäran.docx", "A 44476-2023")</f>
        <v/>
      </c>
      <c r="Y118">
        <f>HYPERLINK("https://klasma.github.io/Logging_0482/tillsynsmail/A 44476-2023 tillsynsbegäran mail.docx", "A 44476-2023")</f>
        <v/>
      </c>
    </row>
    <row r="119" ht="15" customHeight="1">
      <c r="A119" t="inlineStr">
        <is>
          <t>A 48896-2023</t>
        </is>
      </c>
      <c r="B119" s="1" t="n">
        <v>45209</v>
      </c>
      <c r="C119" s="1" t="n">
        <v>45807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48896-2023 artfynd.xlsx", "A 48896-2023")</f>
        <v/>
      </c>
      <c r="T119">
        <f>HYPERLINK("https://klasma.github.io/Logging_0482/kartor/A 48896-2023 karta.png", "A 48896-2023")</f>
        <v/>
      </c>
      <c r="V119">
        <f>HYPERLINK("https://klasma.github.io/Logging_0482/klagomål/A 48896-2023 FSC-klagomål.docx", "A 48896-2023")</f>
        <v/>
      </c>
      <c r="W119">
        <f>HYPERLINK("https://klasma.github.io/Logging_0482/klagomålsmail/A 48896-2023 FSC-klagomål mail.docx", "A 48896-2023")</f>
        <v/>
      </c>
      <c r="X119">
        <f>HYPERLINK("https://klasma.github.io/Logging_0482/tillsyn/A 48896-2023 tillsynsbegäran.docx", "A 48896-2023")</f>
        <v/>
      </c>
      <c r="Y119">
        <f>HYPERLINK("https://klasma.github.io/Logging_0482/tillsynsmail/A 48896-2023 tillsynsbegäran mail.docx", "A 48896-2023")</f>
        <v/>
      </c>
    </row>
    <row r="120" ht="15" customHeight="1">
      <c r="A120" t="inlineStr">
        <is>
          <t>A 49808-2023</t>
        </is>
      </c>
      <c r="B120" s="1" t="n">
        <v>45212</v>
      </c>
      <c r="C120" s="1" t="n">
        <v>45807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12.3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49808-2023 artfynd.xlsx", "A 49808-2023")</f>
        <v/>
      </c>
      <c r="T120">
        <f>HYPERLINK("https://klasma.github.io/Logging_0482/kartor/A 49808-2023 karta.png", "A 49808-2023")</f>
        <v/>
      </c>
      <c r="V120">
        <f>HYPERLINK("https://klasma.github.io/Logging_0482/klagomål/A 49808-2023 FSC-klagomål.docx", "A 49808-2023")</f>
        <v/>
      </c>
      <c r="W120">
        <f>HYPERLINK("https://klasma.github.io/Logging_0482/klagomålsmail/A 49808-2023 FSC-klagomål mail.docx", "A 49808-2023")</f>
        <v/>
      </c>
      <c r="X120">
        <f>HYPERLINK("https://klasma.github.io/Logging_0482/tillsyn/A 49808-2023 tillsynsbegäran.docx", "A 49808-2023")</f>
        <v/>
      </c>
      <c r="Y120">
        <f>HYPERLINK("https://klasma.github.io/Logging_0482/tillsynsmail/A 49808-2023 tillsynsbegäran mail.docx", "A 49808-2023")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45807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4154-2024</t>
        </is>
      </c>
      <c r="B122" s="1" t="n">
        <v>45323</v>
      </c>
      <c r="C122" s="1" t="n">
        <v>45807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4154-2024 artfynd.xlsx", "A 4154-2024")</f>
        <v/>
      </c>
      <c r="T122">
        <f>HYPERLINK("https://klasma.github.io/Logging_0482/kartor/A 4154-2024 karta.png", "A 4154-2024")</f>
        <v/>
      </c>
      <c r="V122">
        <f>HYPERLINK("https://klasma.github.io/Logging_0482/klagomål/A 4154-2024 FSC-klagomål.docx", "A 4154-2024")</f>
        <v/>
      </c>
      <c r="W122">
        <f>HYPERLINK("https://klasma.github.io/Logging_0482/klagomålsmail/A 4154-2024 FSC-klagomål mail.docx", "A 4154-2024")</f>
        <v/>
      </c>
      <c r="X122">
        <f>HYPERLINK("https://klasma.github.io/Logging_0482/tillsyn/A 4154-2024 tillsynsbegäran.docx", "A 4154-2024")</f>
        <v/>
      </c>
      <c r="Y122">
        <f>HYPERLINK("https://klasma.github.io/Logging_0482/tillsynsmail/A 4154-2024 tillsynsbegäran mail.docx", "A 4154-2024")</f>
        <v/>
      </c>
    </row>
    <row r="123" ht="15" customHeight="1">
      <c r="A123" t="inlineStr">
        <is>
          <t>A 7973-2024</t>
        </is>
      </c>
      <c r="B123" s="1" t="n">
        <v>45350</v>
      </c>
      <c r="C123" s="1" t="n">
        <v>45807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7973-2024 artfynd.xlsx", "A 7973-2024")</f>
        <v/>
      </c>
      <c r="T123">
        <f>HYPERLINK("https://klasma.github.io/Logging_0482/kartor/A 7973-2024 karta.png", "A 7973-2024")</f>
        <v/>
      </c>
      <c r="V123">
        <f>HYPERLINK("https://klasma.github.io/Logging_0482/klagomål/A 7973-2024 FSC-klagomål.docx", "A 7973-2024")</f>
        <v/>
      </c>
      <c r="W123">
        <f>HYPERLINK("https://klasma.github.io/Logging_0482/klagomålsmail/A 7973-2024 FSC-klagomål mail.docx", "A 7973-2024")</f>
        <v/>
      </c>
      <c r="X123">
        <f>HYPERLINK("https://klasma.github.io/Logging_0482/tillsyn/A 7973-2024 tillsynsbegäran.docx", "A 7973-2024")</f>
        <v/>
      </c>
      <c r="Y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s="1" t="n">
        <v>45377</v>
      </c>
      <c r="C124" s="1" t="n">
        <v>45807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HYPERLINK("https://klasma.github.io/Logging_0482/artfynd/A 12056-2024 artfynd.xlsx", "A 12056-2024")</f>
        <v/>
      </c>
      <c r="T124">
        <f>HYPERLINK("https://klasma.github.io/Logging_0482/kartor/A 12056-2024 karta.png", "A 12056-2024")</f>
        <v/>
      </c>
      <c r="V124">
        <f>HYPERLINK("https://klasma.github.io/Logging_0482/klagomål/A 12056-2024 FSC-klagomål.docx", "A 12056-2024")</f>
        <v/>
      </c>
      <c r="W124">
        <f>HYPERLINK("https://klasma.github.io/Logging_0482/klagomålsmail/A 12056-2024 FSC-klagomål mail.docx", "A 12056-2024")</f>
        <v/>
      </c>
      <c r="X124">
        <f>HYPERLINK("https://klasma.github.io/Logging_0482/tillsyn/A 12056-2024 tillsynsbegäran.docx", "A 12056-2024")</f>
        <v/>
      </c>
      <c r="Y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14854-2024</t>
        </is>
      </c>
      <c r="B125" s="1" t="n">
        <v>45398</v>
      </c>
      <c r="C125" s="1" t="n">
        <v>45807</v>
      </c>
      <c r="D125" t="inlineStr">
        <is>
          <t>SÖDERMANLANDS LÄN</t>
        </is>
      </c>
      <c r="E125" t="inlineStr">
        <is>
          <t>FLEN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14854-2024 artfynd.xlsx", "A 14854-2024")</f>
        <v/>
      </c>
      <c r="T125">
        <f>HYPERLINK("https://klasma.github.io/Logging_0482/kartor/A 14854-2024 karta.png", "A 14854-2024")</f>
        <v/>
      </c>
      <c r="V125">
        <f>HYPERLINK("https://klasma.github.io/Logging_0482/klagomål/A 14854-2024 FSC-klagomål.docx", "A 14854-2024")</f>
        <v/>
      </c>
      <c r="W125">
        <f>HYPERLINK("https://klasma.github.io/Logging_0482/klagomålsmail/A 14854-2024 FSC-klagomål mail.docx", "A 14854-2024")</f>
        <v/>
      </c>
      <c r="X125">
        <f>HYPERLINK("https://klasma.github.io/Logging_0482/tillsyn/A 14854-2024 tillsynsbegäran.docx", "A 14854-2024")</f>
        <v/>
      </c>
      <c r="Y125">
        <f>HYPERLINK("https://klasma.github.io/Logging_0482/tillsynsmail/A 14854-2024 tillsynsbegäran mail.docx", "A 14854-2024")</f>
        <v/>
      </c>
    </row>
    <row r="126" ht="15" customHeight="1">
      <c r="A126" t="inlineStr">
        <is>
          <t>A 28779-2024</t>
        </is>
      </c>
      <c r="B126" s="1" t="n">
        <v>45478</v>
      </c>
      <c r="C126" s="1" t="n">
        <v>45807</v>
      </c>
      <c r="D126" t="inlineStr">
        <is>
          <t>SÖDERMANLANDS LÄN</t>
        </is>
      </c>
      <c r="E126" t="inlineStr">
        <is>
          <t>FLEN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28779-2024 artfynd.xlsx", "A 28779-2024")</f>
        <v/>
      </c>
      <c r="T126">
        <f>HYPERLINK("https://klasma.github.io/Logging_0482/kartor/A 28779-2024 karta.png", "A 28779-2024")</f>
        <v/>
      </c>
      <c r="V126">
        <f>HYPERLINK("https://klasma.github.io/Logging_0482/klagomål/A 28779-2024 FSC-klagomål.docx", "A 28779-2024")</f>
        <v/>
      </c>
      <c r="W126">
        <f>HYPERLINK("https://klasma.github.io/Logging_0482/klagomålsmail/A 28779-2024 FSC-klagomål mail.docx", "A 28779-2024")</f>
        <v/>
      </c>
      <c r="X126">
        <f>HYPERLINK("https://klasma.github.io/Logging_0482/tillsyn/A 28779-2024 tillsynsbegäran.docx", "A 28779-2024")</f>
        <v/>
      </c>
      <c r="Y126">
        <f>HYPERLINK("https://klasma.github.io/Logging_0482/tillsynsmail/A 28779-2024 tillsynsbegäran mail.docx", "A 28779-2024")</f>
        <v/>
      </c>
    </row>
    <row r="127" ht="15" customHeight="1">
      <c r="A127" t="inlineStr">
        <is>
          <t>A 33216-2024</t>
        </is>
      </c>
      <c r="B127" s="1" t="n">
        <v>45518</v>
      </c>
      <c r="C127" s="1" t="n">
        <v>45807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HYPERLINK("https://klasma.github.io/Logging_0482/artfynd/A 33216-2024 artfynd.xlsx", "A 33216-2024")</f>
        <v/>
      </c>
      <c r="T127">
        <f>HYPERLINK("https://klasma.github.io/Logging_0482/kartor/A 33216-2024 karta.png", "A 33216-2024")</f>
        <v/>
      </c>
      <c r="V127">
        <f>HYPERLINK("https://klasma.github.io/Logging_0482/klagomål/A 33216-2024 FSC-klagomål.docx", "A 33216-2024")</f>
        <v/>
      </c>
      <c r="W127">
        <f>HYPERLINK("https://klasma.github.io/Logging_0482/klagomålsmail/A 33216-2024 FSC-klagomål mail.docx", "A 33216-2024")</f>
        <v/>
      </c>
      <c r="X127">
        <f>HYPERLINK("https://klasma.github.io/Logging_0482/tillsyn/A 33216-2024 tillsynsbegäran.docx", "A 33216-2024")</f>
        <v/>
      </c>
      <c r="Y127">
        <f>HYPERLINK("https://klasma.github.io/Logging_0482/tillsynsmail/A 33216-2024 tillsynsbegäran mail.docx", "A 33216-2024")</f>
        <v/>
      </c>
    </row>
    <row r="128" ht="15" customHeight="1">
      <c r="A128" t="inlineStr">
        <is>
          <t>A 37282-2024</t>
        </is>
      </c>
      <c r="B128" s="1" t="n">
        <v>45540</v>
      </c>
      <c r="C128" s="1" t="n">
        <v>45807</v>
      </c>
      <c r="D128" t="inlineStr">
        <is>
          <t>SÖDERMANLANDS LÄN</t>
        </is>
      </c>
      <c r="E128" t="inlineStr">
        <is>
          <t>FLEN</t>
        </is>
      </c>
      <c r="G128" t="n">
        <v>3.4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37282-2024 artfynd.xlsx", "A 37282-2024")</f>
        <v/>
      </c>
      <c r="T128">
        <f>HYPERLINK("https://klasma.github.io/Logging_0482/kartor/A 37282-2024 karta.png", "A 37282-2024")</f>
        <v/>
      </c>
      <c r="V128">
        <f>HYPERLINK("https://klasma.github.io/Logging_0482/klagomål/A 37282-2024 FSC-klagomål.docx", "A 37282-2024")</f>
        <v/>
      </c>
      <c r="W128">
        <f>HYPERLINK("https://klasma.github.io/Logging_0482/klagomålsmail/A 37282-2024 FSC-klagomål mail.docx", "A 37282-2024")</f>
        <v/>
      </c>
      <c r="X128">
        <f>HYPERLINK("https://klasma.github.io/Logging_0482/tillsyn/A 37282-2024 tillsynsbegäran.docx", "A 37282-2024")</f>
        <v/>
      </c>
      <c r="Y128">
        <f>HYPERLINK("https://klasma.github.io/Logging_0482/tillsynsmail/A 37282-2024 tillsynsbegäran mail.docx", "A 37282-2024")</f>
        <v/>
      </c>
    </row>
    <row r="129" ht="15" customHeight="1">
      <c r="A129" t="inlineStr">
        <is>
          <t>A 37284-2024</t>
        </is>
      </c>
      <c r="B129" s="1" t="n">
        <v>45540</v>
      </c>
      <c r="C129" s="1" t="n">
        <v>45807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HYPERLINK("https://klasma.github.io/Logging_0482/artfynd/A 37284-2024 artfynd.xlsx", "A 37284-2024")</f>
        <v/>
      </c>
      <c r="T129">
        <f>HYPERLINK("https://klasma.github.io/Logging_0482/kartor/A 37284-2024 karta.png", "A 37284-2024")</f>
        <v/>
      </c>
      <c r="V129">
        <f>HYPERLINK("https://klasma.github.io/Logging_0482/klagomål/A 37284-2024 FSC-klagomål.docx", "A 37284-2024")</f>
        <v/>
      </c>
      <c r="W129">
        <f>HYPERLINK("https://klasma.github.io/Logging_0482/klagomålsmail/A 37284-2024 FSC-klagomål mail.docx", "A 37284-2024")</f>
        <v/>
      </c>
      <c r="X129">
        <f>HYPERLINK("https://klasma.github.io/Logging_0482/tillsyn/A 37284-2024 tillsynsbegäran.docx", "A 37284-2024")</f>
        <v/>
      </c>
      <c r="Y129">
        <f>HYPERLINK("https://klasma.github.io/Logging_0482/tillsynsmail/A 37284-2024 tillsynsbegäran mail.docx", "A 37284-2024")</f>
        <v/>
      </c>
    </row>
    <row r="130" ht="15" customHeight="1">
      <c r="A130" t="inlineStr">
        <is>
          <t>A 40820-2024</t>
        </is>
      </c>
      <c r="B130" s="1" t="n">
        <v>45558</v>
      </c>
      <c r="C130" s="1" t="n">
        <v>45807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40820-2024 artfynd.xlsx", "A 40820-2024")</f>
        <v/>
      </c>
      <c r="T130">
        <f>HYPERLINK("https://klasma.github.io/Logging_0482/kartor/A 40820-2024 karta.png", "A 40820-2024")</f>
        <v/>
      </c>
      <c r="U130">
        <f>HYPERLINK("https://klasma.github.io/Logging_0482/knärot/A 40820-2024 karta knärot.png", "A 40820-2024")</f>
        <v/>
      </c>
      <c r="V130">
        <f>HYPERLINK("https://klasma.github.io/Logging_0482/klagomål/A 40820-2024 FSC-klagomål.docx", "A 40820-2024")</f>
        <v/>
      </c>
      <c r="W130">
        <f>HYPERLINK("https://klasma.github.io/Logging_0482/klagomålsmail/A 40820-2024 FSC-klagomål mail.docx", "A 40820-2024")</f>
        <v/>
      </c>
      <c r="X130">
        <f>HYPERLINK("https://klasma.github.io/Logging_0482/tillsyn/A 40820-2024 tillsynsbegäran.docx", "A 40820-2024")</f>
        <v/>
      </c>
      <c r="Y130">
        <f>HYPERLINK("https://klasma.github.io/Logging_0482/tillsynsmail/A 40820-2024 tillsynsbegäran mail.docx", "A 40820-2024")</f>
        <v/>
      </c>
    </row>
    <row r="131" ht="15" customHeight="1">
      <c r="A131" t="inlineStr">
        <is>
          <t>A 45718-2024</t>
        </is>
      </c>
      <c r="B131" s="1" t="n">
        <v>45579</v>
      </c>
      <c r="C131" s="1" t="n">
        <v>45807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45718-2024 artfynd.xlsx", "A 45718-2024")</f>
        <v/>
      </c>
      <c r="T131">
        <f>HYPERLINK("https://klasma.github.io/Logging_0482/kartor/A 45718-2024 karta.png", "A 45718-2024")</f>
        <v/>
      </c>
      <c r="U131">
        <f>HYPERLINK("https://klasma.github.io/Logging_0482/knärot/A 45718-2024 karta knärot.png", "A 45718-2024")</f>
        <v/>
      </c>
      <c r="V131">
        <f>HYPERLINK("https://klasma.github.io/Logging_0482/klagomål/A 45718-2024 FSC-klagomål.docx", "A 45718-2024")</f>
        <v/>
      </c>
      <c r="W131">
        <f>HYPERLINK("https://klasma.github.io/Logging_0482/klagomålsmail/A 45718-2024 FSC-klagomål mail.docx", "A 45718-2024")</f>
        <v/>
      </c>
      <c r="X131">
        <f>HYPERLINK("https://klasma.github.io/Logging_0482/tillsyn/A 45718-2024 tillsynsbegäran.docx", "A 45718-2024")</f>
        <v/>
      </c>
      <c r="Y131">
        <f>HYPERLINK("https://klasma.github.io/Logging_0482/tillsynsmail/A 45718-2024 tillsynsbegäran mail.docx", "A 45718-2024")</f>
        <v/>
      </c>
    </row>
    <row r="132" ht="15" customHeight="1">
      <c r="A132" t="inlineStr">
        <is>
          <t>A 49594-2024</t>
        </is>
      </c>
      <c r="B132" s="1" t="n">
        <v>45596</v>
      </c>
      <c r="C132" s="1" t="n">
        <v>45807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HYPERLINK("https://klasma.github.io/Logging_0482/artfynd/A 49594-2024 artfynd.xlsx", "A 49594-2024")</f>
        <v/>
      </c>
      <c r="T132">
        <f>HYPERLINK("https://klasma.github.io/Logging_0482/kartor/A 49594-2024 karta.png", "A 49594-2024")</f>
        <v/>
      </c>
      <c r="V132">
        <f>HYPERLINK("https://klasma.github.io/Logging_0482/klagomål/A 49594-2024 FSC-klagomål.docx", "A 49594-2024")</f>
        <v/>
      </c>
      <c r="W132">
        <f>HYPERLINK("https://klasma.github.io/Logging_0482/klagomålsmail/A 49594-2024 FSC-klagomål mail.docx", "A 49594-2024")</f>
        <v/>
      </c>
      <c r="X132">
        <f>HYPERLINK("https://klasma.github.io/Logging_0482/tillsyn/A 49594-2024 tillsynsbegäran.docx", "A 49594-2024")</f>
        <v/>
      </c>
      <c r="Y132">
        <f>HYPERLINK("https://klasma.github.io/Logging_0482/tillsynsmail/A 49594-2024 tillsynsbegäran mail.docx", "A 49594-2024")</f>
        <v/>
      </c>
      <c r="Z132">
        <f>HYPERLINK("https://klasma.github.io/Logging_0482/fåglar/A 49594-2024 prioriterade fågelarter.docx", "A 49594-2024")</f>
        <v/>
      </c>
    </row>
    <row r="133" ht="15" customHeight="1">
      <c r="A133" t="inlineStr">
        <is>
          <t>A 57251-2024</t>
        </is>
      </c>
      <c r="B133" s="1" t="n">
        <v>45629</v>
      </c>
      <c r="C133" s="1" t="n">
        <v>45807</v>
      </c>
      <c r="D133" t="inlineStr">
        <is>
          <t>SÖDERMANLANDS LÄN</t>
        </is>
      </c>
      <c r="E133" t="inlineStr">
        <is>
          <t>FLEN</t>
        </is>
      </c>
      <c r="G133" t="n">
        <v>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57251-2024 artfynd.xlsx", "A 57251-2024")</f>
        <v/>
      </c>
      <c r="T133">
        <f>HYPERLINK("https://klasma.github.io/Logging_0482/kartor/A 57251-2024 karta.png", "A 57251-2024")</f>
        <v/>
      </c>
      <c r="V133">
        <f>HYPERLINK("https://klasma.github.io/Logging_0482/klagomål/A 57251-2024 FSC-klagomål.docx", "A 57251-2024")</f>
        <v/>
      </c>
      <c r="W133">
        <f>HYPERLINK("https://klasma.github.io/Logging_0482/klagomålsmail/A 57251-2024 FSC-klagomål mail.docx", "A 57251-2024")</f>
        <v/>
      </c>
      <c r="X133">
        <f>HYPERLINK("https://klasma.github.io/Logging_0482/tillsyn/A 57251-2024 tillsynsbegäran.docx", "A 57251-2024")</f>
        <v/>
      </c>
      <c r="Y133">
        <f>HYPERLINK("https://klasma.github.io/Logging_0482/tillsynsmail/A 57251-2024 tillsynsbegäran mail.docx", "A 57251-2024")</f>
        <v/>
      </c>
    </row>
    <row r="134" ht="15" customHeight="1">
      <c r="A134" t="inlineStr">
        <is>
          <t>A 60529-2024</t>
        </is>
      </c>
      <c r="B134" s="1" t="n">
        <v>45643</v>
      </c>
      <c r="C134" s="1" t="n">
        <v>45807</v>
      </c>
      <c r="D134" t="inlineStr">
        <is>
          <t>SÖDERMANLANDS LÄN</t>
        </is>
      </c>
      <c r="E134" t="inlineStr">
        <is>
          <t>FLEN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HYPERLINK("https://klasma.github.io/Logging_0482/artfynd/A 60529-2024 artfynd.xlsx", "A 60529-2024")</f>
        <v/>
      </c>
      <c r="T134">
        <f>HYPERLINK("https://klasma.github.io/Logging_0482/kartor/A 60529-2024 karta.png", "A 60529-2024")</f>
        <v/>
      </c>
      <c r="V134">
        <f>HYPERLINK("https://klasma.github.io/Logging_0482/klagomål/A 60529-2024 FSC-klagomål.docx", "A 60529-2024")</f>
        <v/>
      </c>
      <c r="W134">
        <f>HYPERLINK("https://klasma.github.io/Logging_0482/klagomålsmail/A 60529-2024 FSC-klagomål mail.docx", "A 60529-2024")</f>
        <v/>
      </c>
      <c r="X134">
        <f>HYPERLINK("https://klasma.github.io/Logging_0482/tillsyn/A 60529-2024 tillsynsbegäran.docx", "A 60529-2024")</f>
        <v/>
      </c>
      <c r="Y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1148-2025</t>
        </is>
      </c>
      <c r="B135" s="1" t="n">
        <v>45666</v>
      </c>
      <c r="C135" s="1" t="n">
        <v>45807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HYPERLINK("https://klasma.github.io/Logging_0482/artfynd/A 1148-2025 artfynd.xlsx", "A 1148-2025")</f>
        <v/>
      </c>
      <c r="T135">
        <f>HYPERLINK("https://klasma.github.io/Logging_0482/kartor/A 1148-2025 karta.png", "A 1148-2025")</f>
        <v/>
      </c>
      <c r="V135">
        <f>HYPERLINK("https://klasma.github.io/Logging_0482/klagomål/A 1148-2025 FSC-klagomål.docx", "A 1148-2025")</f>
        <v/>
      </c>
      <c r="W135">
        <f>HYPERLINK("https://klasma.github.io/Logging_0482/klagomålsmail/A 1148-2025 FSC-klagomål mail.docx", "A 1148-2025")</f>
        <v/>
      </c>
      <c r="X135">
        <f>HYPERLINK("https://klasma.github.io/Logging_0482/tillsyn/A 1148-2025 tillsynsbegäran.docx", "A 1148-2025")</f>
        <v/>
      </c>
      <c r="Y135">
        <f>HYPERLINK("https://klasma.github.io/Logging_0482/tillsynsmail/A 1148-2025 tillsynsbegäran mail.docx", "A 1148-2025")</f>
        <v/>
      </c>
    </row>
    <row r="136" ht="15" customHeight="1">
      <c r="A136" t="inlineStr">
        <is>
          <t>A 1861-2025</t>
        </is>
      </c>
      <c r="B136" s="1" t="n">
        <v>45671</v>
      </c>
      <c r="C136" s="1" t="n">
        <v>45807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HYPERLINK("https://klasma.github.io/Logging_0482/artfynd/A 1861-2025 artfynd.xlsx", "A 1861-2025")</f>
        <v/>
      </c>
      <c r="T136">
        <f>HYPERLINK("https://klasma.github.io/Logging_0482/kartor/A 1861-2025 karta.png", "A 1861-2025")</f>
        <v/>
      </c>
      <c r="V136">
        <f>HYPERLINK("https://klasma.github.io/Logging_0482/klagomål/A 1861-2025 FSC-klagomål.docx", "A 1861-2025")</f>
        <v/>
      </c>
      <c r="W136">
        <f>HYPERLINK("https://klasma.github.io/Logging_0482/klagomålsmail/A 1861-2025 FSC-klagomål mail.docx", "A 1861-2025")</f>
        <v/>
      </c>
      <c r="X136">
        <f>HYPERLINK("https://klasma.github.io/Logging_0482/tillsyn/A 1861-2025 tillsynsbegäran.docx", "A 1861-2025")</f>
        <v/>
      </c>
      <c r="Y136">
        <f>HYPERLINK("https://klasma.github.io/Logging_0482/tillsynsmail/A 1861-2025 tillsynsbegäran mail.docx", "A 1861-2025")</f>
        <v/>
      </c>
    </row>
    <row r="137" ht="15" customHeight="1">
      <c r="A137" t="inlineStr">
        <is>
          <t>A 9066-2025</t>
        </is>
      </c>
      <c r="B137" s="1" t="n">
        <v>45713</v>
      </c>
      <c r="C137" s="1" t="n">
        <v>45807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9066-2025 artfynd.xlsx", "A 9066-2025")</f>
        <v/>
      </c>
      <c r="T137">
        <f>HYPERLINK("https://klasma.github.io/Logging_0482/kartor/A 9066-2025 karta.png", "A 9066-2025")</f>
        <v/>
      </c>
      <c r="V137">
        <f>HYPERLINK("https://klasma.github.io/Logging_0482/klagomål/A 9066-2025 FSC-klagomål.docx", "A 9066-2025")</f>
        <v/>
      </c>
      <c r="W137">
        <f>HYPERLINK("https://klasma.github.io/Logging_0482/klagomålsmail/A 9066-2025 FSC-klagomål mail.docx", "A 9066-2025")</f>
        <v/>
      </c>
      <c r="X137">
        <f>HYPERLINK("https://klasma.github.io/Logging_0482/tillsyn/A 9066-2025 tillsynsbegäran.docx", "A 9066-2025")</f>
        <v/>
      </c>
      <c r="Y137">
        <f>HYPERLINK("https://klasma.github.io/Logging_0482/tillsynsmail/A 9066-2025 tillsynsbegäran mail.docx", "A 9066-2025")</f>
        <v/>
      </c>
    </row>
    <row r="138" ht="15" customHeight="1">
      <c r="A138" t="inlineStr">
        <is>
          <t>A 10828-2025</t>
        </is>
      </c>
      <c r="B138" s="1" t="n">
        <v>45722</v>
      </c>
      <c r="C138" s="1" t="n">
        <v>45807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HYPERLINK("https://klasma.github.io/Logging_040482/artfynd/A 10828-2025 artfynd.xlsx", "A 10828-2025")</f>
        <v/>
      </c>
      <c r="T138">
        <f>HYPERLINK("https://klasma.github.io/Logging_040482/kartor/A 10828-2025 karta.png", "A 10828-2025")</f>
        <v/>
      </c>
      <c r="V138">
        <f>HYPERLINK("https://klasma.github.io/Logging_040482/klagomål/A 10828-2025 FSC-klagomål.docx", "A 10828-2025")</f>
        <v/>
      </c>
      <c r="W138">
        <f>HYPERLINK("https://klasma.github.io/Logging_040482/klagomålsmail/A 10828-2025 FSC-klagomål mail.docx", "A 10828-2025")</f>
        <v/>
      </c>
      <c r="X138">
        <f>HYPERLINK("https://klasma.github.io/Logging_040482/tillsyn/A 10828-2025 tillsynsbegäran.docx", "A 10828-2025")</f>
        <v/>
      </c>
      <c r="Y138">
        <f>HYPERLINK("https://klasma.github.io/Logging_040482/tillsynsmail/A 10828-2025 tillsynsbegäran mail.docx", "A 10828-2025")</f>
        <v/>
      </c>
    </row>
    <row r="139" ht="15" customHeight="1">
      <c r="A139" t="inlineStr">
        <is>
          <t>A 14101-2025</t>
        </is>
      </c>
      <c r="B139" s="1" t="n">
        <v>45740</v>
      </c>
      <c r="C139" s="1" t="n">
        <v>45807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HYPERLINK("https://klasma.github.io/Logging_040482/artfynd/A 14101-2025 artfynd.xlsx", "A 14101-2025")</f>
        <v/>
      </c>
      <c r="T139">
        <f>HYPERLINK("https://klasma.github.io/Logging_040482/kartor/A 14101-2025 karta.png", "A 14101-2025")</f>
        <v/>
      </c>
      <c r="V139">
        <f>HYPERLINK("https://klasma.github.io/Logging_040482/klagomål/A 14101-2025 FSC-klagomål.docx", "A 14101-2025")</f>
        <v/>
      </c>
      <c r="W139">
        <f>HYPERLINK("https://klasma.github.io/Logging_040482/klagomålsmail/A 14101-2025 FSC-klagomål mail.docx", "A 14101-2025")</f>
        <v/>
      </c>
      <c r="X139">
        <f>HYPERLINK("https://klasma.github.io/Logging_040482/tillsyn/A 14101-2025 tillsynsbegäran.docx", "A 14101-2025")</f>
        <v/>
      </c>
      <c r="Y139">
        <f>HYPERLINK("https://klasma.github.io/Logging_040482/tillsynsmail/A 14101-2025 tillsynsbegäran mail.docx", "A 14101-2025")</f>
        <v/>
      </c>
    </row>
    <row r="140" ht="15" customHeight="1">
      <c r="A140" t="inlineStr">
        <is>
          <t>A 14273-2025</t>
        </is>
      </c>
      <c r="B140" s="1" t="n">
        <v>45740</v>
      </c>
      <c r="C140" s="1" t="n">
        <v>45807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HYPERLINK("https://klasma.github.io/Logging_040482/artfynd/A 14273-2025 artfynd.xlsx", "A 14273-2025")</f>
        <v/>
      </c>
      <c r="T140">
        <f>HYPERLINK("https://klasma.github.io/Logging_040482/kartor/A 14273-2025 karta.png", "A 14273-2025")</f>
        <v/>
      </c>
      <c r="V140">
        <f>HYPERLINK("https://klasma.github.io/Logging_040482/klagomål/A 14273-2025 FSC-klagomål.docx", "A 14273-2025")</f>
        <v/>
      </c>
      <c r="W140">
        <f>HYPERLINK("https://klasma.github.io/Logging_040482/klagomålsmail/A 14273-2025 FSC-klagomål mail.docx", "A 14273-2025")</f>
        <v/>
      </c>
      <c r="X140">
        <f>HYPERLINK("https://klasma.github.io/Logging_040482/tillsyn/A 14273-2025 tillsynsbegäran.docx", "A 14273-2025")</f>
        <v/>
      </c>
      <c r="Y140">
        <f>HYPERLINK("https://klasma.github.io/Logging_040482/tillsynsmail/A 14273-2025 tillsynsbegäran mail.docx", "A 14273-2025")</f>
        <v/>
      </c>
    </row>
    <row r="141" ht="15" customHeight="1">
      <c r="A141" t="inlineStr">
        <is>
          <t>A 14113-2025</t>
        </is>
      </c>
      <c r="B141" s="1" t="n">
        <v>45740</v>
      </c>
      <c r="C141" s="1" t="n">
        <v>45807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HYPERLINK("https://klasma.github.io/Logging_040482/artfynd/A 14113-2025 artfynd.xlsx", "A 14113-2025")</f>
        <v/>
      </c>
      <c r="T141">
        <f>HYPERLINK("https://klasma.github.io/Logging_040482/kartor/A 14113-2025 karta.png", "A 14113-2025")</f>
        <v/>
      </c>
      <c r="V141">
        <f>HYPERLINK("https://klasma.github.io/Logging_040482/klagomål/A 14113-2025 FSC-klagomål.docx", "A 14113-2025")</f>
        <v/>
      </c>
      <c r="W141">
        <f>HYPERLINK("https://klasma.github.io/Logging_040482/klagomålsmail/A 14113-2025 FSC-klagomål mail.docx", "A 14113-2025")</f>
        <v/>
      </c>
      <c r="X141">
        <f>HYPERLINK("https://klasma.github.io/Logging_040482/tillsyn/A 14113-2025 tillsynsbegäran.docx", "A 14113-2025")</f>
        <v/>
      </c>
      <c r="Y141">
        <f>HYPERLINK("https://klasma.github.io/Logging_040482/tillsynsmail/A 14113-2025 tillsynsbegäran mail.docx", "A 14113-2025")</f>
        <v/>
      </c>
    </row>
    <row r="142" ht="15" customHeight="1">
      <c r="A142" t="inlineStr">
        <is>
          <t>A 16831-2025</t>
        </is>
      </c>
      <c r="B142" s="1" t="n">
        <v>45754</v>
      </c>
      <c r="C142" s="1" t="n">
        <v>45807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6.6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HYPERLINK("https://klasma.github.io/Logging_040482/artfynd/A 16831-2025 artfynd.xlsx", "A 16831-2025")</f>
        <v/>
      </c>
      <c r="T142">
        <f>HYPERLINK("https://klasma.github.io/Logging_040482/kartor/A 16831-2025 karta.png", "A 16831-2025")</f>
        <v/>
      </c>
      <c r="V142">
        <f>HYPERLINK("https://klasma.github.io/Logging_040482/klagomål/A 16831-2025 FSC-klagomål.docx", "A 16831-2025")</f>
        <v/>
      </c>
      <c r="W142">
        <f>HYPERLINK("https://klasma.github.io/Logging_040482/klagomålsmail/A 16831-2025 FSC-klagomål mail.docx", "A 16831-2025")</f>
        <v/>
      </c>
      <c r="X142">
        <f>HYPERLINK("https://klasma.github.io/Logging_040482/tillsyn/A 16831-2025 tillsynsbegäran.docx", "A 16831-2025")</f>
        <v/>
      </c>
      <c r="Y142">
        <f>HYPERLINK("https://klasma.github.io/Logging_040482/tillsynsmail/A 16831-2025 tillsynsbegäran mail.docx", "A 16831-2025")</f>
        <v/>
      </c>
    </row>
    <row r="143" ht="15" customHeight="1">
      <c r="A143" t="inlineStr">
        <is>
          <t>A 24464-2025</t>
        </is>
      </c>
      <c r="B143" s="1" t="n">
        <v>45798</v>
      </c>
      <c r="C143" s="1" t="n">
        <v>45807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24464-2025 artfynd.xlsx", "A 24464-2025")</f>
        <v/>
      </c>
      <c r="T143">
        <f>HYPERLINK("https://klasma.github.io/Logging_040482/kartor/A 24464-2025 karta.png", "A 24464-2025")</f>
        <v/>
      </c>
      <c r="V143">
        <f>HYPERLINK("https://klasma.github.io/Logging_040482/klagomål/A 24464-2025 FSC-klagomål.docx", "A 24464-2025")</f>
        <v/>
      </c>
      <c r="W143">
        <f>HYPERLINK("https://klasma.github.io/Logging_040482/klagomålsmail/A 24464-2025 FSC-klagomål mail.docx", "A 24464-2025")</f>
        <v/>
      </c>
      <c r="X143">
        <f>HYPERLINK("https://klasma.github.io/Logging_040482/tillsyn/A 24464-2025 tillsynsbegäran.docx", "A 24464-2025")</f>
        <v/>
      </c>
      <c r="Y143">
        <f>HYPERLINK("https://klasma.github.io/Logging_040482/tillsynsmail/A 24464-2025 tillsynsbegäran mail.docx", "A 24464-2025")</f>
        <v/>
      </c>
    </row>
    <row r="144" ht="15" customHeight="1">
      <c r="A144" t="inlineStr">
        <is>
          <t>A 18391-2019</t>
        </is>
      </c>
      <c r="B144" s="1" t="n">
        <v>43558</v>
      </c>
      <c r="C144" s="1" t="n">
        <v>45807</v>
      </c>
      <c r="D144" t="inlineStr">
        <is>
          <t>SÖDERMANLANDS LÄN</t>
        </is>
      </c>
      <c r="E144" t="inlineStr">
        <is>
          <t>FLEN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18543-2019</t>
        </is>
      </c>
      <c r="B145" s="1" t="n">
        <v>43558</v>
      </c>
      <c r="C145" s="1" t="n">
        <v>45807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18700-2019</t>
        </is>
      </c>
      <c r="B146" s="1" t="n">
        <v>43559</v>
      </c>
      <c r="C146" s="1" t="n">
        <v>45807</v>
      </c>
      <c r="D146" t="inlineStr">
        <is>
          <t>SÖDERMANLANDS LÄN</t>
        </is>
      </c>
      <c r="E146" t="inlineStr">
        <is>
          <t>FLEN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18688-2019</t>
        </is>
      </c>
      <c r="B147" s="1" t="n">
        <v>43559</v>
      </c>
      <c r="C147" s="1" t="n">
        <v>45807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18645-2019</t>
        </is>
      </c>
      <c r="B148" s="1" t="n">
        <v>43560</v>
      </c>
      <c r="C148" s="1" t="n">
        <v>45807</v>
      </c>
      <c r="D148" t="inlineStr">
        <is>
          <t>SÖDERMANLANDS LÄN</t>
        </is>
      </c>
      <c r="E148" t="inlineStr">
        <is>
          <t>FLEN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18824-2019</t>
        </is>
      </c>
      <c r="B149" s="1" t="n">
        <v>43560</v>
      </c>
      <c r="C149" s="1" t="n">
        <v>45807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19395-2019</t>
        </is>
      </c>
      <c r="B150" s="1" t="n">
        <v>43565</v>
      </c>
      <c r="C150" s="1" t="n">
        <v>45807</v>
      </c>
      <c r="D150" t="inlineStr">
        <is>
          <t>SÖDERMANLANDS LÄN</t>
        </is>
      </c>
      <c r="E150" t="inlineStr">
        <is>
          <t>FLEN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19834-2019</t>
        </is>
      </c>
      <c r="B151" s="1" t="n">
        <v>43567</v>
      </c>
      <c r="C151" s="1" t="n">
        <v>45807</v>
      </c>
      <c r="D151" t="inlineStr">
        <is>
          <t>SÖDERMANLANDS LÄN</t>
        </is>
      </c>
      <c r="E151" t="inlineStr">
        <is>
          <t>FLEN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20284-2019</t>
        </is>
      </c>
      <c r="B152" s="1" t="n">
        <v>43570</v>
      </c>
      <c r="C152" s="1" t="n">
        <v>45807</v>
      </c>
      <c r="D152" t="inlineStr">
        <is>
          <t>SÖDERMANLANDS LÄN</t>
        </is>
      </c>
      <c r="E152" t="inlineStr">
        <is>
          <t>FLEN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21920-2019</t>
        </is>
      </c>
      <c r="B153" s="1" t="n">
        <v>43584</v>
      </c>
      <c r="C153" s="1" t="n">
        <v>45807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28911-2019</t>
        </is>
      </c>
      <c r="B154" s="1" t="n">
        <v>43616</v>
      </c>
      <c r="C154" s="1" t="n">
        <v>45807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28058-2019</t>
        </is>
      </c>
      <c r="B155" s="1" t="n">
        <v>43621</v>
      </c>
      <c r="C155" s="1" t="n">
        <v>45807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29977-2019</t>
        </is>
      </c>
      <c r="B156" s="1" t="n">
        <v>43630</v>
      </c>
      <c r="C156" s="1" t="n">
        <v>45807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30492-2019</t>
        </is>
      </c>
      <c r="B157" s="1" t="n">
        <v>43635</v>
      </c>
      <c r="C157" s="1" t="n">
        <v>45807</v>
      </c>
      <c r="D157" t="inlineStr">
        <is>
          <t>SÖDERMANLANDS LÄN</t>
        </is>
      </c>
      <c r="E157" t="inlineStr">
        <is>
          <t>FLEN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30872-2019</t>
        </is>
      </c>
      <c r="B158" s="1" t="n">
        <v>43636</v>
      </c>
      <c r="C158" s="1" t="n">
        <v>45807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32070-2019</t>
        </is>
      </c>
      <c r="B159" s="1" t="n">
        <v>43643</v>
      </c>
      <c r="C159" s="1" t="n">
        <v>45807</v>
      </c>
      <c r="D159" t="inlineStr">
        <is>
          <t>SÖDERMANLANDS LÄN</t>
        </is>
      </c>
      <c r="E159" t="inlineStr">
        <is>
          <t>FLEN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35583-2019</t>
        </is>
      </c>
      <c r="B160" s="1" t="n">
        <v>43655</v>
      </c>
      <c r="C160" s="1" t="n">
        <v>45807</v>
      </c>
      <c r="D160" t="inlineStr">
        <is>
          <t>SÖDERMANLANDS LÄN</t>
        </is>
      </c>
      <c r="E160" t="inlineStr">
        <is>
          <t>FLEN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34988-2019</t>
        </is>
      </c>
      <c r="B161" s="1" t="n">
        <v>43659</v>
      </c>
      <c r="C161" s="1" t="n">
        <v>45807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35023-2019</t>
        </is>
      </c>
      <c r="B162" s="1" t="n">
        <v>43661</v>
      </c>
      <c r="C162" s="1" t="n">
        <v>45807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35086-2019</t>
        </is>
      </c>
      <c r="B163" s="1" t="n">
        <v>43661</v>
      </c>
      <c r="C163" s="1" t="n">
        <v>45807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35052-2019</t>
        </is>
      </c>
      <c r="B164" s="1" t="n">
        <v>43661</v>
      </c>
      <c r="C164" s="1" t="n">
        <v>45807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35182-2019</t>
        </is>
      </c>
      <c r="B165" s="1" t="n">
        <v>43661</v>
      </c>
      <c r="C165" s="1" t="n">
        <v>45807</v>
      </c>
      <c r="D165" t="inlineStr">
        <is>
          <t>SÖDERMANLANDS LÄN</t>
        </is>
      </c>
      <c r="E165" t="inlineStr">
        <is>
          <t>FLEN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35702-2019</t>
        </is>
      </c>
      <c r="B166" s="1" t="n">
        <v>43664</v>
      </c>
      <c r="C166" s="1" t="n">
        <v>45807</v>
      </c>
      <c r="D166" t="inlineStr">
        <is>
          <t>SÖDERMANLANDS LÄN</t>
        </is>
      </c>
      <c r="E166" t="inlineStr">
        <is>
          <t>FLEN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36152-2019</t>
        </is>
      </c>
      <c r="B167" s="1" t="n">
        <v>43668</v>
      </c>
      <c r="C167" s="1" t="n">
        <v>45807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36223-2019</t>
        </is>
      </c>
      <c r="B168" s="1" t="n">
        <v>43669</v>
      </c>
      <c r="C168" s="1" t="n">
        <v>45807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36612-2019</t>
        </is>
      </c>
      <c r="B169" s="1" t="n">
        <v>43669</v>
      </c>
      <c r="C169" s="1" t="n">
        <v>45807</v>
      </c>
      <c r="D169" t="inlineStr">
        <is>
          <t>SÖDERMANLANDS LÄN</t>
        </is>
      </c>
      <c r="E169" t="inlineStr">
        <is>
          <t>FLEN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36225-2019</t>
        </is>
      </c>
      <c r="B170" s="1" t="n">
        <v>43669</v>
      </c>
      <c r="C170" s="1" t="n">
        <v>45807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36619-2019</t>
        </is>
      </c>
      <c r="B171" s="1" t="n">
        <v>43669</v>
      </c>
      <c r="C171" s="1" t="n">
        <v>45807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36901-2019</t>
        </is>
      </c>
      <c r="B172" s="1" t="n">
        <v>43675</v>
      </c>
      <c r="C172" s="1" t="n">
        <v>45807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36978-2019</t>
        </is>
      </c>
      <c r="B173" s="1" t="n">
        <v>43676</v>
      </c>
      <c r="C173" s="1" t="n">
        <v>45807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36994-2019</t>
        </is>
      </c>
      <c r="B174" s="1" t="n">
        <v>43676</v>
      </c>
      <c r="C174" s="1" t="n">
        <v>45807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37337-2019</t>
        </is>
      </c>
      <c r="B175" s="1" t="n">
        <v>43678</v>
      </c>
      <c r="C175" s="1" t="n">
        <v>45807</v>
      </c>
      <c r="D175" t="inlineStr">
        <is>
          <t>SÖDERMANLANDS LÄN</t>
        </is>
      </c>
      <c r="E175" t="inlineStr">
        <is>
          <t>FLEN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37574-2019</t>
        </is>
      </c>
      <c r="B176" s="1" t="n">
        <v>43679</v>
      </c>
      <c r="C176" s="1" t="n">
        <v>45807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37560-2019</t>
        </is>
      </c>
      <c r="B177" s="1" t="n">
        <v>43679</v>
      </c>
      <c r="C177" s="1" t="n">
        <v>45807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37571-2019</t>
        </is>
      </c>
      <c r="B178" s="1" t="n">
        <v>43679</v>
      </c>
      <c r="C178" s="1" t="n">
        <v>45807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37572-2019</t>
        </is>
      </c>
      <c r="B179" s="1" t="n">
        <v>43679</v>
      </c>
      <c r="C179" s="1" t="n">
        <v>45807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37769-2019</t>
        </is>
      </c>
      <c r="B180" s="1" t="n">
        <v>43682</v>
      </c>
      <c r="C180" s="1" t="n">
        <v>45807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38241-2019</t>
        </is>
      </c>
      <c r="B181" s="1" t="n">
        <v>43684</v>
      </c>
      <c r="C181" s="1" t="n">
        <v>45807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38795-2019</t>
        </is>
      </c>
      <c r="B182" s="1" t="n">
        <v>43688</v>
      </c>
      <c r="C182" s="1" t="n">
        <v>45807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38796-2019</t>
        </is>
      </c>
      <c r="B183" s="1" t="n">
        <v>43688</v>
      </c>
      <c r="C183" s="1" t="n">
        <v>45807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39441-2019</t>
        </is>
      </c>
      <c r="B184" s="1" t="n">
        <v>43691</v>
      </c>
      <c r="C184" s="1" t="n">
        <v>45807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41114-2019</t>
        </is>
      </c>
      <c r="B185" s="1" t="n">
        <v>43691</v>
      </c>
      <c r="C185" s="1" t="n">
        <v>45807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40314-2019</t>
        </is>
      </c>
      <c r="B186" s="1" t="n">
        <v>43696</v>
      </c>
      <c r="C186" s="1" t="n">
        <v>45807</v>
      </c>
      <c r="D186" t="inlineStr">
        <is>
          <t>SÖDERMANLANDS LÄN</t>
        </is>
      </c>
      <c r="E186" t="inlineStr">
        <is>
          <t>FLEN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41847-2019</t>
        </is>
      </c>
      <c r="B187" s="1" t="n">
        <v>43697</v>
      </c>
      <c r="C187" s="1" t="n">
        <v>45807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46628-2019</t>
        </is>
      </c>
      <c r="B188" s="1" t="n">
        <v>43717</v>
      </c>
      <c r="C188" s="1" t="n">
        <v>45807</v>
      </c>
      <c r="D188" t="inlineStr">
        <is>
          <t>SÖDERMANLANDS LÄN</t>
        </is>
      </c>
      <c r="E188" t="inlineStr">
        <is>
          <t>FLEN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47345-2019</t>
        </is>
      </c>
      <c r="B189" s="1" t="n">
        <v>43721</v>
      </c>
      <c r="C189" s="1" t="n">
        <v>45807</v>
      </c>
      <c r="D189" t="inlineStr">
        <is>
          <t>SÖDERMANLANDS LÄN</t>
        </is>
      </c>
      <c r="E189" t="inlineStr">
        <is>
          <t>FLEN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48078-2019</t>
        </is>
      </c>
      <c r="B190" s="1" t="n">
        <v>43725</v>
      </c>
      <c r="C190" s="1" t="n">
        <v>45807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48240-2019</t>
        </is>
      </c>
      <c r="B191" s="1" t="n">
        <v>43726</v>
      </c>
      <c r="C191" s="1" t="n">
        <v>45807</v>
      </c>
      <c r="D191" t="inlineStr">
        <is>
          <t>SÖDERMANLANDS LÄN</t>
        </is>
      </c>
      <c r="E191" t="inlineStr">
        <is>
          <t>FLEN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49342-2019</t>
        </is>
      </c>
      <c r="B192" s="1" t="n">
        <v>43730</v>
      </c>
      <c r="C192" s="1" t="n">
        <v>45807</v>
      </c>
      <c r="D192" t="inlineStr">
        <is>
          <t>SÖDERMANLANDS LÄN</t>
        </is>
      </c>
      <c r="E192" t="inlineStr">
        <is>
          <t>FLEN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50710-2019</t>
        </is>
      </c>
      <c r="B193" s="1" t="n">
        <v>43738</v>
      </c>
      <c r="C193" s="1" t="n">
        <v>45807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51170-2019</t>
        </is>
      </c>
      <c r="B194" s="1" t="n">
        <v>43739</v>
      </c>
      <c r="C194" s="1" t="n">
        <v>45807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51738-2019</t>
        </is>
      </c>
      <c r="B195" s="1" t="n">
        <v>43740</v>
      </c>
      <c r="C195" s="1" t="n">
        <v>45807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54175-2019</t>
        </is>
      </c>
      <c r="B196" s="1" t="n">
        <v>43745</v>
      </c>
      <c r="C196" s="1" t="n">
        <v>45807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52871-2019</t>
        </is>
      </c>
      <c r="B197" s="1" t="n">
        <v>43746</v>
      </c>
      <c r="C197" s="1" t="n">
        <v>45807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54412-2019</t>
        </is>
      </c>
      <c r="B198" s="1" t="n">
        <v>43747</v>
      </c>
      <c r="C198" s="1" t="n">
        <v>45807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55088-2019</t>
        </is>
      </c>
      <c r="B199" s="1" t="n">
        <v>43752</v>
      </c>
      <c r="C199" s="1" t="n">
        <v>45807</v>
      </c>
      <c r="D199" t="inlineStr">
        <is>
          <t>SÖDERMANLANDS LÄN</t>
        </is>
      </c>
      <c r="E199" t="inlineStr">
        <is>
          <t>FLEN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55122-2019</t>
        </is>
      </c>
      <c r="B200" s="1" t="n">
        <v>43752</v>
      </c>
      <c r="C200" s="1" t="n">
        <v>45807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54307-2019</t>
        </is>
      </c>
      <c r="B201" s="1" t="n">
        <v>43753</v>
      </c>
      <c r="C201" s="1" t="n">
        <v>45807</v>
      </c>
      <c r="D201" t="inlineStr">
        <is>
          <t>SÖDERMANLANDS LÄN</t>
        </is>
      </c>
      <c r="E201" t="inlineStr">
        <is>
          <t>FLEN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55346-2019</t>
        </is>
      </c>
      <c r="B202" s="1" t="n">
        <v>43756</v>
      </c>
      <c r="C202" s="1" t="n">
        <v>45807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55417-2019</t>
        </is>
      </c>
      <c r="B203" s="1" t="n">
        <v>43758</v>
      </c>
      <c r="C203" s="1" t="n">
        <v>45807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55421-2019</t>
        </is>
      </c>
      <c r="B204" s="1" t="n">
        <v>43758</v>
      </c>
      <c r="C204" s="1" t="n">
        <v>45807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57898-2019</t>
        </is>
      </c>
      <c r="B205" s="1" t="n">
        <v>43762</v>
      </c>
      <c r="C205" s="1" t="n">
        <v>45807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58909-2019</t>
        </is>
      </c>
      <c r="B206" s="1" t="n">
        <v>43769</v>
      </c>
      <c r="C206" s="1" t="n">
        <v>45807</v>
      </c>
      <c r="D206" t="inlineStr">
        <is>
          <t>SÖDERMANLANDS LÄN</t>
        </is>
      </c>
      <c r="E206" t="inlineStr">
        <is>
          <t>FLEN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59014-2019</t>
        </is>
      </c>
      <c r="B207" s="1" t="n">
        <v>43774</v>
      </c>
      <c r="C207" s="1" t="n">
        <v>45807</v>
      </c>
      <c r="D207" t="inlineStr">
        <is>
          <t>SÖDERMANLANDS LÄN</t>
        </is>
      </c>
      <c r="E207" t="inlineStr">
        <is>
          <t>FLEN</t>
        </is>
      </c>
      <c r="F207" t="inlineStr">
        <is>
          <t>Kommuner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59454-2019</t>
        </is>
      </c>
      <c r="B208" s="1" t="n">
        <v>43776</v>
      </c>
      <c r="C208" s="1" t="n">
        <v>45807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59448-2019</t>
        </is>
      </c>
      <c r="B209" s="1" t="n">
        <v>43776</v>
      </c>
      <c r="C209" s="1" t="n">
        <v>45807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59750-2019</t>
        </is>
      </c>
      <c r="B210" s="1" t="n">
        <v>43776</v>
      </c>
      <c r="C210" s="1" t="n">
        <v>45807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59446-2019</t>
        </is>
      </c>
      <c r="B211" s="1" t="n">
        <v>43776</v>
      </c>
      <c r="C211" s="1" t="n">
        <v>45807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61889-2019</t>
        </is>
      </c>
      <c r="B212" s="1" t="n">
        <v>43787</v>
      </c>
      <c r="C212" s="1" t="n">
        <v>45807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64580-2019</t>
        </is>
      </c>
      <c r="B213" s="1" t="n">
        <v>43794</v>
      </c>
      <c r="C213" s="1" t="n">
        <v>45807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63758-2019</t>
        </is>
      </c>
      <c r="B214" s="1" t="n">
        <v>43795</v>
      </c>
      <c r="C214" s="1" t="n">
        <v>45807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64576-2019</t>
        </is>
      </c>
      <c r="B215" s="1" t="n">
        <v>43798</v>
      </c>
      <c r="C215" s="1" t="n">
        <v>45807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65346-2019</t>
        </is>
      </c>
      <c r="B216" s="1" t="n">
        <v>43803</v>
      </c>
      <c r="C216" s="1" t="n">
        <v>45807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68476-2019</t>
        </is>
      </c>
      <c r="B217" s="1" t="n">
        <v>43811</v>
      </c>
      <c r="C217" s="1" t="n">
        <v>45807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68491-2019</t>
        </is>
      </c>
      <c r="B218" s="1" t="n">
        <v>43811</v>
      </c>
      <c r="C218" s="1" t="n">
        <v>45807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68481-2019</t>
        </is>
      </c>
      <c r="B219" s="1" t="n">
        <v>43811</v>
      </c>
      <c r="C219" s="1" t="n">
        <v>45807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68976-2019</t>
        </is>
      </c>
      <c r="B220" s="1" t="n">
        <v>43823</v>
      </c>
      <c r="C220" s="1" t="n">
        <v>45807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82-2020</t>
        </is>
      </c>
      <c r="B221" s="1" t="n">
        <v>43832</v>
      </c>
      <c r="C221" s="1" t="n">
        <v>45807</v>
      </c>
      <c r="D221" t="inlineStr">
        <is>
          <t>SÖDERMANLANDS LÄN</t>
        </is>
      </c>
      <c r="E221" t="inlineStr">
        <is>
          <t>FLEN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235-2020</t>
        </is>
      </c>
      <c r="B222" s="1" t="n">
        <v>43834</v>
      </c>
      <c r="C222" s="1" t="n">
        <v>45807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236-2020</t>
        </is>
      </c>
      <c r="B223" s="1" t="n">
        <v>43834</v>
      </c>
      <c r="C223" s="1" t="n">
        <v>45807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1007-2020</t>
        </is>
      </c>
      <c r="B224" s="1" t="n">
        <v>43839</v>
      </c>
      <c r="C224" s="1" t="n">
        <v>45807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4033-2020</t>
        </is>
      </c>
      <c r="B225" s="1" t="n">
        <v>43846</v>
      </c>
      <c r="C225" s="1" t="n">
        <v>45807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2538-2020</t>
        </is>
      </c>
      <c r="B226" s="1" t="n">
        <v>43847</v>
      </c>
      <c r="C226" s="1" t="n">
        <v>45807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3831-2020</t>
        </is>
      </c>
      <c r="B227" s="1" t="n">
        <v>43847</v>
      </c>
      <c r="C227" s="1" t="n">
        <v>45807</v>
      </c>
      <c r="D227" t="inlineStr">
        <is>
          <t>SÖDERMANLANDS LÄN</t>
        </is>
      </c>
      <c r="E227" t="inlineStr">
        <is>
          <t>FLEN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3619-2020</t>
        </is>
      </c>
      <c r="B228" s="1" t="n">
        <v>43853</v>
      </c>
      <c r="C228" s="1" t="n">
        <v>45807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4092-2020</t>
        </is>
      </c>
      <c r="B229" s="1" t="n">
        <v>43857</v>
      </c>
      <c r="C229" s="1" t="n">
        <v>45807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5777-2020</t>
        </is>
      </c>
      <c r="B230" s="1" t="n">
        <v>43864</v>
      </c>
      <c r="C230" s="1" t="n">
        <v>45807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7747-2020</t>
        </is>
      </c>
      <c r="B231" s="1" t="n">
        <v>43872</v>
      </c>
      <c r="C231" s="1" t="n">
        <v>45807</v>
      </c>
      <c r="D231" t="inlineStr">
        <is>
          <t>SÖDERMANLANDS LÄN</t>
        </is>
      </c>
      <c r="E231" t="inlineStr">
        <is>
          <t>FLEN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7941-2020</t>
        </is>
      </c>
      <c r="B232" s="1" t="n">
        <v>43873</v>
      </c>
      <c r="C232" s="1" t="n">
        <v>45807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9740-2020</t>
        </is>
      </c>
      <c r="B233" s="1" t="n">
        <v>43881</v>
      </c>
      <c r="C233" s="1" t="n">
        <v>45807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10193-2020</t>
        </is>
      </c>
      <c r="B234" s="1" t="n">
        <v>43885</v>
      </c>
      <c r="C234" s="1" t="n">
        <v>45807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11059-2020</t>
        </is>
      </c>
      <c r="B235" s="1" t="n">
        <v>43885</v>
      </c>
      <c r="C235" s="1" t="n">
        <v>45807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10705-2020</t>
        </is>
      </c>
      <c r="B236" s="1" t="n">
        <v>43888</v>
      </c>
      <c r="C236" s="1" t="n">
        <v>45807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10918-2020</t>
        </is>
      </c>
      <c r="B237" s="1" t="n">
        <v>43889</v>
      </c>
      <c r="C237" s="1" t="n">
        <v>45807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10913-2020</t>
        </is>
      </c>
      <c r="B238" s="1" t="n">
        <v>43889</v>
      </c>
      <c r="C238" s="1" t="n">
        <v>45807</v>
      </c>
      <c r="D238" t="inlineStr">
        <is>
          <t>SÖDERMANLANDS LÄN</t>
        </is>
      </c>
      <c r="E238" t="inlineStr">
        <is>
          <t>FLEN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11517-2020</t>
        </is>
      </c>
      <c r="B239" s="1" t="n">
        <v>43893</v>
      </c>
      <c r="C239" s="1" t="n">
        <v>45807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11811-2020</t>
        </is>
      </c>
      <c r="B240" s="1" t="n">
        <v>43894</v>
      </c>
      <c r="C240" s="1" t="n">
        <v>45807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13194-2020</t>
        </is>
      </c>
      <c r="B241" s="1" t="n">
        <v>43901</v>
      </c>
      <c r="C241" s="1" t="n">
        <v>45807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13255-2020</t>
        </is>
      </c>
      <c r="B242" s="1" t="n">
        <v>43901</v>
      </c>
      <c r="C242" s="1" t="n">
        <v>45807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13251-2020</t>
        </is>
      </c>
      <c r="B243" s="1" t="n">
        <v>43901</v>
      </c>
      <c r="C243" s="1" t="n">
        <v>45807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13473-2020</t>
        </is>
      </c>
      <c r="B244" s="1" t="n">
        <v>43902</v>
      </c>
      <c r="C244" s="1" t="n">
        <v>45807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13698-2020</t>
        </is>
      </c>
      <c r="B245" s="1" t="n">
        <v>43902</v>
      </c>
      <c r="C245" s="1" t="n">
        <v>45807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14200-2020</t>
        </is>
      </c>
      <c r="B246" s="1" t="n">
        <v>43907</v>
      </c>
      <c r="C246" s="1" t="n">
        <v>45807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15132-2020</t>
        </is>
      </c>
      <c r="B247" s="1" t="n">
        <v>43911</v>
      </c>
      <c r="C247" s="1" t="n">
        <v>45807</v>
      </c>
      <c r="D247" t="inlineStr">
        <is>
          <t>SÖDERMANLANDS LÄN</t>
        </is>
      </c>
      <c r="E247" t="inlineStr">
        <is>
          <t>FLEN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16206-2020</t>
        </is>
      </c>
      <c r="B248" s="1" t="n">
        <v>43917</v>
      </c>
      <c r="C248" s="1" t="n">
        <v>45807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16684-2020</t>
        </is>
      </c>
      <c r="B249" s="1" t="n">
        <v>43920</v>
      </c>
      <c r="C249" s="1" t="n">
        <v>45807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17154-2020</t>
        </is>
      </c>
      <c r="B250" s="1" t="n">
        <v>43922</v>
      </c>
      <c r="C250" s="1" t="n">
        <v>45807</v>
      </c>
      <c r="D250" t="inlineStr">
        <is>
          <t>SÖDERMANLANDS LÄN</t>
        </is>
      </c>
      <c r="E250" t="inlineStr">
        <is>
          <t>FLEN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20002-2020</t>
        </is>
      </c>
      <c r="B251" s="1" t="n">
        <v>43943</v>
      </c>
      <c r="C251" s="1" t="n">
        <v>45807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20527-2020</t>
        </is>
      </c>
      <c r="B252" s="1" t="n">
        <v>43948</v>
      </c>
      <c r="C252" s="1" t="n">
        <v>45807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21401-2020</t>
        </is>
      </c>
      <c r="B253" s="1" t="n">
        <v>43955</v>
      </c>
      <c r="C253" s="1" t="n">
        <v>45807</v>
      </c>
      <c r="D253" t="inlineStr">
        <is>
          <t>SÖDERMANLANDS LÄN</t>
        </is>
      </c>
      <c r="E253" t="inlineStr">
        <is>
          <t>FLEN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21404-2020</t>
        </is>
      </c>
      <c r="B254" s="1" t="n">
        <v>43955</v>
      </c>
      <c r="C254" s="1" t="n">
        <v>45807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22347-2020</t>
        </is>
      </c>
      <c r="B255" s="1" t="n">
        <v>43957</v>
      </c>
      <c r="C255" s="1" t="n">
        <v>45807</v>
      </c>
      <c r="D255" t="inlineStr">
        <is>
          <t>SÖDERMANLANDS LÄN</t>
        </is>
      </c>
      <c r="E255" t="inlineStr">
        <is>
          <t>FLEN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21902-2020</t>
        </is>
      </c>
      <c r="B256" s="1" t="n">
        <v>43958</v>
      </c>
      <c r="C256" s="1" t="n">
        <v>45807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22237-2020</t>
        </is>
      </c>
      <c r="B257" s="1" t="n">
        <v>43959</v>
      </c>
      <c r="C257" s="1" t="n">
        <v>45807</v>
      </c>
      <c r="D257" t="inlineStr">
        <is>
          <t>SÖDERMANLANDS LÄN</t>
        </is>
      </c>
      <c r="E257" t="inlineStr">
        <is>
          <t>FLEN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22243-2020</t>
        </is>
      </c>
      <c r="B258" s="1" t="n">
        <v>43959</v>
      </c>
      <c r="C258" s="1" t="n">
        <v>45807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22241-2020</t>
        </is>
      </c>
      <c r="B259" s="1" t="n">
        <v>43959</v>
      </c>
      <c r="C259" s="1" t="n">
        <v>45807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25067-2020</t>
        </is>
      </c>
      <c r="B260" s="1" t="n">
        <v>43979</v>
      </c>
      <c r="C260" s="1" t="n">
        <v>45807</v>
      </c>
      <c r="D260" t="inlineStr">
        <is>
          <t>SÖDERMANLANDS LÄN</t>
        </is>
      </c>
      <c r="E260" t="inlineStr">
        <is>
          <t>FLEN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25280-2020</t>
        </is>
      </c>
      <c r="B261" s="1" t="n">
        <v>43980</v>
      </c>
      <c r="C261" s="1" t="n">
        <v>45807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25842-2020</t>
        </is>
      </c>
      <c r="B262" s="1" t="n">
        <v>43983</v>
      </c>
      <c r="C262" s="1" t="n">
        <v>45807</v>
      </c>
      <c r="D262" t="inlineStr">
        <is>
          <t>SÖDERMANLANDS LÄN</t>
        </is>
      </c>
      <c r="E262" t="inlineStr">
        <is>
          <t>FLEN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25466-2020</t>
        </is>
      </c>
      <c r="B263" s="1" t="n">
        <v>43983</v>
      </c>
      <c r="C263" s="1" t="n">
        <v>45807</v>
      </c>
      <c r="D263" t="inlineStr">
        <is>
          <t>SÖDERMANLANDS LÄN</t>
        </is>
      </c>
      <c r="E263" t="inlineStr">
        <is>
          <t>FLEN</t>
        </is>
      </c>
      <c r="G263" t="n">
        <v>30.4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25880-2020</t>
        </is>
      </c>
      <c r="B264" s="1" t="n">
        <v>43983</v>
      </c>
      <c r="C264" s="1" t="n">
        <v>45807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26063-2020</t>
        </is>
      </c>
      <c r="B265" s="1" t="n">
        <v>43985</v>
      </c>
      <c r="C265" s="1" t="n">
        <v>45807</v>
      </c>
      <c r="D265" t="inlineStr">
        <is>
          <t>SÖDERMANLANDS LÄN</t>
        </is>
      </c>
      <c r="E265" t="inlineStr">
        <is>
          <t>FLEN</t>
        </is>
      </c>
      <c r="G265" t="n">
        <v>22.3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28981-2020</t>
        </is>
      </c>
      <c r="B266" s="1" t="n">
        <v>43998</v>
      </c>
      <c r="C266" s="1" t="n">
        <v>45807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28562-2020</t>
        </is>
      </c>
      <c r="B267" s="1" t="n">
        <v>43999</v>
      </c>
      <c r="C267" s="1" t="n">
        <v>45807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28676-2020</t>
        </is>
      </c>
      <c r="B268" s="1" t="n">
        <v>43999</v>
      </c>
      <c r="C268" s="1" t="n">
        <v>45807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29455-2020</t>
        </is>
      </c>
      <c r="B269" s="1" t="n">
        <v>44004</v>
      </c>
      <c r="C269" s="1" t="n">
        <v>45807</v>
      </c>
      <c r="D269" t="inlineStr">
        <is>
          <t>SÖDERMANLANDS LÄN</t>
        </is>
      </c>
      <c r="E269" t="inlineStr">
        <is>
          <t>FLEN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29557-2020</t>
        </is>
      </c>
      <c r="B270" s="1" t="n">
        <v>44005</v>
      </c>
      <c r="C270" s="1" t="n">
        <v>45807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30209-2020</t>
        </is>
      </c>
      <c r="B271" s="1" t="n">
        <v>44007</v>
      </c>
      <c r="C271" s="1" t="n">
        <v>45807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30879-2020</t>
        </is>
      </c>
      <c r="B272" s="1" t="n">
        <v>44011</v>
      </c>
      <c r="C272" s="1" t="n">
        <v>45807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30871-2020</t>
        </is>
      </c>
      <c r="B273" s="1" t="n">
        <v>44011</v>
      </c>
      <c r="C273" s="1" t="n">
        <v>45807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31118-2020</t>
        </is>
      </c>
      <c r="B274" s="1" t="n">
        <v>44012</v>
      </c>
      <c r="C274" s="1" t="n">
        <v>45807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32142-2020</t>
        </is>
      </c>
      <c r="B275" s="1" t="n">
        <v>44015</v>
      </c>
      <c r="C275" s="1" t="n">
        <v>45807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32366-2020</t>
        </is>
      </c>
      <c r="B276" s="1" t="n">
        <v>44018</v>
      </c>
      <c r="C276" s="1" t="n">
        <v>45807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32585-2020</t>
        </is>
      </c>
      <c r="B277" s="1" t="n">
        <v>44018</v>
      </c>
      <c r="C277" s="1" t="n">
        <v>45807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33146-2020</t>
        </is>
      </c>
      <c r="B278" s="1" t="n">
        <v>44021</v>
      </c>
      <c r="C278" s="1" t="n">
        <v>45807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33464-2020</t>
        </is>
      </c>
      <c r="B279" s="1" t="n">
        <v>44023</v>
      </c>
      <c r="C279" s="1" t="n">
        <v>45807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33682-2020</t>
        </is>
      </c>
      <c r="B280" s="1" t="n">
        <v>44026</v>
      </c>
      <c r="C280" s="1" t="n">
        <v>45807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34066-2020</t>
        </is>
      </c>
      <c r="B281" s="1" t="n">
        <v>44027</v>
      </c>
      <c r="C281" s="1" t="n">
        <v>45807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34072-2020</t>
        </is>
      </c>
      <c r="B282" s="1" t="n">
        <v>44028</v>
      </c>
      <c r="C282" s="1" t="n">
        <v>45807</v>
      </c>
      <c r="D282" t="inlineStr">
        <is>
          <t>SÖDERMANLANDS LÄN</t>
        </is>
      </c>
      <c r="E282" t="inlineStr">
        <is>
          <t>FLEN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34489-2020</t>
        </is>
      </c>
      <c r="B283" s="1" t="n">
        <v>44029</v>
      </c>
      <c r="C283" s="1" t="n">
        <v>45807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34992-2020</t>
        </is>
      </c>
      <c r="B284" s="1" t="n">
        <v>44039</v>
      </c>
      <c r="C284" s="1" t="n">
        <v>45807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35093-2020</t>
        </is>
      </c>
      <c r="B285" s="1" t="n">
        <v>44039</v>
      </c>
      <c r="C285" s="1" t="n">
        <v>45807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35176-2020</t>
        </is>
      </c>
      <c r="B286" s="1" t="n">
        <v>44040</v>
      </c>
      <c r="C286" s="1" t="n">
        <v>45807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35501-2020</t>
        </is>
      </c>
      <c r="B287" s="1" t="n">
        <v>44042</v>
      </c>
      <c r="C287" s="1" t="n">
        <v>45807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35563-2020</t>
        </is>
      </c>
      <c r="B288" s="1" t="n">
        <v>44043</v>
      </c>
      <c r="C288" s="1" t="n">
        <v>45807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35560-2020</t>
        </is>
      </c>
      <c r="B289" s="1" t="n">
        <v>44043</v>
      </c>
      <c r="C289" s="1" t="n">
        <v>45807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35817-2020</t>
        </is>
      </c>
      <c r="B290" s="1" t="n">
        <v>44047</v>
      </c>
      <c r="C290" s="1" t="n">
        <v>45807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36317-2020</t>
        </is>
      </c>
      <c r="B291" s="1" t="n">
        <v>44049</v>
      </c>
      <c r="C291" s="1" t="n">
        <v>45807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36366-2020</t>
        </is>
      </c>
      <c r="B292" s="1" t="n">
        <v>44049</v>
      </c>
      <c r="C292" s="1" t="n">
        <v>45807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36880-2020</t>
        </is>
      </c>
      <c r="B293" s="1" t="n">
        <v>44053</v>
      </c>
      <c r="C293" s="1" t="n">
        <v>45807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36891-2020</t>
        </is>
      </c>
      <c r="B294" s="1" t="n">
        <v>44053</v>
      </c>
      <c r="C294" s="1" t="n">
        <v>45807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37214-2020</t>
        </is>
      </c>
      <c r="B295" s="1" t="n">
        <v>44054</v>
      </c>
      <c r="C295" s="1" t="n">
        <v>45807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37274-2020</t>
        </is>
      </c>
      <c r="B296" s="1" t="n">
        <v>44054</v>
      </c>
      <c r="C296" s="1" t="n">
        <v>45807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37736-2020</t>
        </is>
      </c>
      <c r="B297" s="1" t="n">
        <v>44056</v>
      </c>
      <c r="C297" s="1" t="n">
        <v>45807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37897-2020</t>
        </is>
      </c>
      <c r="B298" s="1" t="n">
        <v>44057</v>
      </c>
      <c r="C298" s="1" t="n">
        <v>45807</v>
      </c>
      <c r="D298" t="inlineStr">
        <is>
          <t>SÖDERMANLANDS LÄN</t>
        </is>
      </c>
      <c r="E298" t="inlineStr">
        <is>
          <t>FLEN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38613-2020</t>
        </is>
      </c>
      <c r="B299" s="1" t="n">
        <v>44061</v>
      </c>
      <c r="C299" s="1" t="n">
        <v>45807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38849-2020</t>
        </is>
      </c>
      <c r="B300" s="1" t="n">
        <v>44062</v>
      </c>
      <c r="C300" s="1" t="n">
        <v>45807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38854-2020</t>
        </is>
      </c>
      <c r="B301" s="1" t="n">
        <v>44062</v>
      </c>
      <c r="C301" s="1" t="n">
        <v>45807</v>
      </c>
      <c r="D301" t="inlineStr">
        <is>
          <t>SÖDERMANLANDS LÄN</t>
        </is>
      </c>
      <c r="E301" t="inlineStr">
        <is>
          <t>FLEN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40693-2020</t>
        </is>
      </c>
      <c r="B302" s="1" t="n">
        <v>44067</v>
      </c>
      <c r="C302" s="1" t="n">
        <v>45807</v>
      </c>
      <c r="D302" t="inlineStr">
        <is>
          <t>SÖDERMANLANDS LÄN</t>
        </is>
      </c>
      <c r="E302" t="inlineStr">
        <is>
          <t>FLEN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45305-2020</t>
        </is>
      </c>
      <c r="B303" s="1" t="n">
        <v>44085</v>
      </c>
      <c r="C303" s="1" t="n">
        <v>45807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45315-2020</t>
        </is>
      </c>
      <c r="B304" s="1" t="n">
        <v>44085</v>
      </c>
      <c r="C304" s="1" t="n">
        <v>45807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45807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47401-2020</t>
        </is>
      </c>
      <c r="B306" s="1" t="n">
        <v>44097</v>
      </c>
      <c r="C306" s="1" t="n">
        <v>45807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47669-2020</t>
        </is>
      </c>
      <c r="B307" s="1" t="n">
        <v>44098</v>
      </c>
      <c r="C307" s="1" t="n">
        <v>45807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47681-2020</t>
        </is>
      </c>
      <c r="B308" s="1" t="n">
        <v>44098</v>
      </c>
      <c r="C308" s="1" t="n">
        <v>45807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48869-2020</t>
        </is>
      </c>
      <c r="B309" s="1" t="n">
        <v>44104</v>
      </c>
      <c r="C309" s="1" t="n">
        <v>45807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51315-2020</t>
        </is>
      </c>
      <c r="B310" s="1" t="n">
        <v>44106</v>
      </c>
      <c r="C310" s="1" t="n">
        <v>45807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51836-2020</t>
        </is>
      </c>
      <c r="B311" s="1" t="n">
        <v>44109</v>
      </c>
      <c r="C311" s="1" t="n">
        <v>45807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51933-2020</t>
        </is>
      </c>
      <c r="B312" s="1" t="n">
        <v>44109</v>
      </c>
      <c r="C312" s="1" t="n">
        <v>45807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50467-2020</t>
        </is>
      </c>
      <c r="B313" s="1" t="n">
        <v>44110</v>
      </c>
      <c r="C313" s="1" t="n">
        <v>45807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51864-2020</t>
        </is>
      </c>
      <c r="B314" s="1" t="n">
        <v>44113</v>
      </c>
      <c r="C314" s="1" t="n">
        <v>45807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53424-2020</t>
        </is>
      </c>
      <c r="B315" s="1" t="n">
        <v>44123</v>
      </c>
      <c r="C315" s="1" t="n">
        <v>45807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54919-2020</t>
        </is>
      </c>
      <c r="B316" s="1" t="n">
        <v>44127</v>
      </c>
      <c r="C316" s="1" t="n">
        <v>45807</v>
      </c>
      <c r="D316" t="inlineStr">
        <is>
          <t>SÖDERMANLANDS LÄN</t>
        </is>
      </c>
      <c r="E316" t="inlineStr">
        <is>
          <t>FLEN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54918-2020</t>
        </is>
      </c>
      <c r="B317" s="1" t="n">
        <v>44127</v>
      </c>
      <c r="C317" s="1" t="n">
        <v>45807</v>
      </c>
      <c r="D317" t="inlineStr">
        <is>
          <t>SÖDERMANLANDS LÄN</t>
        </is>
      </c>
      <c r="E317" t="inlineStr">
        <is>
          <t>FLEN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56930-2020</t>
        </is>
      </c>
      <c r="B318" s="1" t="n">
        <v>44138</v>
      </c>
      <c r="C318" s="1" t="n">
        <v>45807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56863-2020</t>
        </is>
      </c>
      <c r="B319" s="1" t="n">
        <v>44138</v>
      </c>
      <c r="C319" s="1" t="n">
        <v>45807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57165-2020</t>
        </is>
      </c>
      <c r="B320" s="1" t="n">
        <v>44138</v>
      </c>
      <c r="C320" s="1" t="n">
        <v>45807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57251-2020</t>
        </is>
      </c>
      <c r="B321" s="1" t="n">
        <v>44139</v>
      </c>
      <c r="C321" s="1" t="n">
        <v>45807</v>
      </c>
      <c r="D321" t="inlineStr">
        <is>
          <t>SÖDERMANLANDS LÄN</t>
        </is>
      </c>
      <c r="E321" t="inlineStr">
        <is>
          <t>FLEN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57682-2020</t>
        </is>
      </c>
      <c r="B322" s="1" t="n">
        <v>44140</v>
      </c>
      <c r="C322" s="1" t="n">
        <v>45807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57689-2020</t>
        </is>
      </c>
      <c r="B323" s="1" t="n">
        <v>44140</v>
      </c>
      <c r="C323" s="1" t="n">
        <v>45807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58592-2020</t>
        </is>
      </c>
      <c r="B324" s="1" t="n">
        <v>44145</v>
      </c>
      <c r="C324" s="1" t="n">
        <v>45807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58948-2020</t>
        </is>
      </c>
      <c r="B325" s="1" t="n">
        <v>44146</v>
      </c>
      <c r="C325" s="1" t="n">
        <v>45807</v>
      </c>
      <c r="D325" t="inlineStr">
        <is>
          <t>SÖDERMANLANDS LÄN</t>
        </is>
      </c>
      <c r="E325" t="inlineStr">
        <is>
          <t>FLEN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60409-2020</t>
        </is>
      </c>
      <c r="B326" s="1" t="n">
        <v>44152</v>
      </c>
      <c r="C326" s="1" t="n">
        <v>45807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61697-2020</t>
        </is>
      </c>
      <c r="B327" s="1" t="n">
        <v>44158</v>
      </c>
      <c r="C327" s="1" t="n">
        <v>45807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61713-2020</t>
        </is>
      </c>
      <c r="B328" s="1" t="n">
        <v>44158</v>
      </c>
      <c r="C328" s="1" t="n">
        <v>45807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62512-2020</t>
        </is>
      </c>
      <c r="B329" s="1" t="n">
        <v>44160</v>
      </c>
      <c r="C329" s="1" t="n">
        <v>45807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65233-2020</t>
        </is>
      </c>
      <c r="B330" s="1" t="n">
        <v>44172</v>
      </c>
      <c r="C330" s="1" t="n">
        <v>45807</v>
      </c>
      <c r="D330" t="inlineStr">
        <is>
          <t>SÖDERMANLANDS LÄN</t>
        </is>
      </c>
      <c r="E330" t="inlineStr">
        <is>
          <t>FLEN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66511-2020</t>
        </is>
      </c>
      <c r="B331" s="1" t="n">
        <v>44178</v>
      </c>
      <c r="C331" s="1" t="n">
        <v>45807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69019-2020</t>
        </is>
      </c>
      <c r="B332" s="1" t="n">
        <v>44187</v>
      </c>
      <c r="C332" s="1" t="n">
        <v>45807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69015-2020</t>
        </is>
      </c>
      <c r="B333" s="1" t="n">
        <v>44188</v>
      </c>
      <c r="C333" s="1" t="n">
        <v>45807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69388-2020</t>
        </is>
      </c>
      <c r="B334" s="1" t="n">
        <v>44193</v>
      </c>
      <c r="C334" s="1" t="n">
        <v>45807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527-2021</t>
        </is>
      </c>
      <c r="B335" s="1" t="n">
        <v>44201</v>
      </c>
      <c r="C335" s="1" t="n">
        <v>45807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587-2021</t>
        </is>
      </c>
      <c r="B336" s="1" t="n">
        <v>44203</v>
      </c>
      <c r="C336" s="1" t="n">
        <v>45807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1329-2021</t>
        </is>
      </c>
      <c r="B337" s="1" t="n">
        <v>44208</v>
      </c>
      <c r="C337" s="1" t="n">
        <v>45807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1333-2021</t>
        </is>
      </c>
      <c r="B338" s="1" t="n">
        <v>44208</v>
      </c>
      <c r="C338" s="1" t="n">
        <v>45807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45807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1565-2021</t>
        </is>
      </c>
      <c r="B340" s="1" t="n">
        <v>44209</v>
      </c>
      <c r="C340" s="1" t="n">
        <v>45807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2460-2021</t>
        </is>
      </c>
      <c r="B341" s="1" t="n">
        <v>44214</v>
      </c>
      <c r="C341" s="1" t="n">
        <v>45807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2488-2021</t>
        </is>
      </c>
      <c r="B342" s="1" t="n">
        <v>44214</v>
      </c>
      <c r="C342" s="1" t="n">
        <v>45807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3169-2021</t>
        </is>
      </c>
      <c r="B343" s="1" t="n">
        <v>44217</v>
      </c>
      <c r="C343" s="1" t="n">
        <v>45807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3513-2021</t>
        </is>
      </c>
      <c r="B344" s="1" t="n">
        <v>44218</v>
      </c>
      <c r="C344" s="1" t="n">
        <v>45807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4348-2021</t>
        </is>
      </c>
      <c r="B345" s="1" t="n">
        <v>44223</v>
      </c>
      <c r="C345" s="1" t="n">
        <v>45807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5971-2021</t>
        </is>
      </c>
      <c r="B346" s="1" t="n">
        <v>44230</v>
      </c>
      <c r="C346" s="1" t="n">
        <v>45807</v>
      </c>
      <c r="D346" t="inlineStr">
        <is>
          <t>SÖDERMANLANDS LÄN</t>
        </is>
      </c>
      <c r="E346" t="inlineStr">
        <is>
          <t>FLEN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6827-2021</t>
        </is>
      </c>
      <c r="B347" s="1" t="n">
        <v>44237</v>
      </c>
      <c r="C347" s="1" t="n">
        <v>45807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7858-2021</t>
        </is>
      </c>
      <c r="B348" s="1" t="n">
        <v>44242</v>
      </c>
      <c r="C348" s="1" t="n">
        <v>45807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8141-2021</t>
        </is>
      </c>
      <c r="B349" s="1" t="n">
        <v>44242</v>
      </c>
      <c r="C349" s="1" t="n">
        <v>45807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8762-2021</t>
        </is>
      </c>
      <c r="B350" s="1" t="n">
        <v>44246</v>
      </c>
      <c r="C350" s="1" t="n">
        <v>45807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8749-2021</t>
        </is>
      </c>
      <c r="B351" s="1" t="n">
        <v>44246</v>
      </c>
      <c r="C351" s="1" t="n">
        <v>45807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45807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8888-2021</t>
        </is>
      </c>
      <c r="B353" s="1" t="n">
        <v>44248</v>
      </c>
      <c r="C353" s="1" t="n">
        <v>45807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9373-2021</t>
        </is>
      </c>
      <c r="B354" s="1" t="n">
        <v>44250</v>
      </c>
      <c r="C354" s="1" t="n">
        <v>45807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9237-2021</t>
        </is>
      </c>
      <c r="B355" s="1" t="n">
        <v>44250</v>
      </c>
      <c r="C355" s="1" t="n">
        <v>45807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9634-2021</t>
        </is>
      </c>
      <c r="B356" s="1" t="n">
        <v>44252</v>
      </c>
      <c r="C356" s="1" t="n">
        <v>45807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9674-2021</t>
        </is>
      </c>
      <c r="B357" s="1" t="n">
        <v>44252</v>
      </c>
      <c r="C357" s="1" t="n">
        <v>45807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10607-2021</t>
        </is>
      </c>
      <c r="B358" s="1" t="n">
        <v>44258</v>
      </c>
      <c r="C358" s="1" t="n">
        <v>45807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10980-2021</t>
        </is>
      </c>
      <c r="B359" s="1" t="n">
        <v>44260</v>
      </c>
      <c r="C359" s="1" t="n">
        <v>45807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11030-2021</t>
        </is>
      </c>
      <c r="B360" s="1" t="n">
        <v>44260</v>
      </c>
      <c r="C360" s="1" t="n">
        <v>45807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11068-2021</t>
        </is>
      </c>
      <c r="B361" s="1" t="n">
        <v>44260</v>
      </c>
      <c r="C361" s="1" t="n">
        <v>45807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11288-2021</t>
        </is>
      </c>
      <c r="B362" s="1" t="n">
        <v>44263</v>
      </c>
      <c r="C362" s="1" t="n">
        <v>45807</v>
      </c>
      <c r="D362" t="inlineStr">
        <is>
          <t>SÖDERMANLANDS LÄN</t>
        </is>
      </c>
      <c r="E362" t="inlineStr">
        <is>
          <t>FLEN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11302-2021</t>
        </is>
      </c>
      <c r="B363" s="1" t="n">
        <v>44263</v>
      </c>
      <c r="C363" s="1" t="n">
        <v>45807</v>
      </c>
      <c r="D363" t="inlineStr">
        <is>
          <t>SÖDERMANLANDS LÄN</t>
        </is>
      </c>
      <c r="E363" t="inlineStr">
        <is>
          <t>FLEN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11731-2021</t>
        </is>
      </c>
      <c r="B364" s="1" t="n">
        <v>44265</v>
      </c>
      <c r="C364" s="1" t="n">
        <v>45807</v>
      </c>
      <c r="D364" t="inlineStr">
        <is>
          <t>SÖDERMANLANDS LÄN</t>
        </is>
      </c>
      <c r="E364" t="inlineStr">
        <is>
          <t>FLEN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12774-2021</t>
        </is>
      </c>
      <c r="B365" s="1" t="n">
        <v>44270</v>
      </c>
      <c r="C365" s="1" t="n">
        <v>45807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14973-2021</t>
        </is>
      </c>
      <c r="B366" s="1" t="n">
        <v>44281</v>
      </c>
      <c r="C366" s="1" t="n">
        <v>45807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15062-2021</t>
        </is>
      </c>
      <c r="B367" s="1" t="n">
        <v>44281</v>
      </c>
      <c r="C367" s="1" t="n">
        <v>45807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15465-2021</t>
        </is>
      </c>
      <c r="B368" s="1" t="n">
        <v>44285</v>
      </c>
      <c r="C368" s="1" t="n">
        <v>45807</v>
      </c>
      <c r="D368" t="inlineStr">
        <is>
          <t>SÖDERMANLANDS LÄN</t>
        </is>
      </c>
      <c r="E368" t="inlineStr">
        <is>
          <t>FLEN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16281-2021</t>
        </is>
      </c>
      <c r="B369" s="1" t="n">
        <v>44292</v>
      </c>
      <c r="C369" s="1" t="n">
        <v>45807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16275-2021</t>
        </is>
      </c>
      <c r="B370" s="1" t="n">
        <v>44292</v>
      </c>
      <c r="C370" s="1" t="n">
        <v>45807</v>
      </c>
      <c r="D370" t="inlineStr">
        <is>
          <t>SÖDERMANLANDS LÄN</t>
        </is>
      </c>
      <c r="E370" t="inlineStr">
        <is>
          <t>FLEN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16276-2021</t>
        </is>
      </c>
      <c r="B371" s="1" t="n">
        <v>44292</v>
      </c>
      <c r="C371" s="1" t="n">
        <v>45807</v>
      </c>
      <c r="D371" t="inlineStr">
        <is>
          <t>SÖDERMANLANDS LÄN</t>
        </is>
      </c>
      <c r="E371" t="inlineStr">
        <is>
          <t>FLEN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16520-2021</t>
        </is>
      </c>
      <c r="B372" s="1" t="n">
        <v>44293</v>
      </c>
      <c r="C372" s="1" t="n">
        <v>45807</v>
      </c>
      <c r="D372" t="inlineStr">
        <is>
          <t>SÖDERMANLANDS LÄN</t>
        </is>
      </c>
      <c r="E372" t="inlineStr">
        <is>
          <t>FLEN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17203-2021</t>
        </is>
      </c>
      <c r="B373" s="1" t="n">
        <v>44296</v>
      </c>
      <c r="C373" s="1" t="n">
        <v>45807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17210-2021</t>
        </is>
      </c>
      <c r="B374" s="1" t="n">
        <v>44297</v>
      </c>
      <c r="C374" s="1" t="n">
        <v>45807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17222-2021</t>
        </is>
      </c>
      <c r="B375" s="1" t="n">
        <v>44297</v>
      </c>
      <c r="C375" s="1" t="n">
        <v>45807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17183-2021</t>
        </is>
      </c>
      <c r="B376" s="1" t="n">
        <v>44297</v>
      </c>
      <c r="C376" s="1" t="n">
        <v>45807</v>
      </c>
      <c r="D376" t="inlineStr">
        <is>
          <t>SÖDERMANLANDS LÄN</t>
        </is>
      </c>
      <c r="E376" t="inlineStr">
        <is>
          <t>FLEN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17985-2021</t>
        </is>
      </c>
      <c r="B377" s="1" t="n">
        <v>44301</v>
      </c>
      <c r="C377" s="1" t="n">
        <v>45807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17987-2021</t>
        </is>
      </c>
      <c r="B378" s="1" t="n">
        <v>44301</v>
      </c>
      <c r="C378" s="1" t="n">
        <v>45807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18053-2021</t>
        </is>
      </c>
      <c r="B379" s="1" t="n">
        <v>44302</v>
      </c>
      <c r="C379" s="1" t="n">
        <v>45807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18192-2021</t>
        </is>
      </c>
      <c r="B380" s="1" t="n">
        <v>44302</v>
      </c>
      <c r="C380" s="1" t="n">
        <v>45807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18185-2021</t>
        </is>
      </c>
      <c r="B381" s="1" t="n">
        <v>44302</v>
      </c>
      <c r="C381" s="1" t="n">
        <v>45807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18180-2021</t>
        </is>
      </c>
      <c r="B382" s="1" t="n">
        <v>44302</v>
      </c>
      <c r="C382" s="1" t="n">
        <v>45807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19072-2021</t>
        </is>
      </c>
      <c r="B383" s="1" t="n">
        <v>44307</v>
      </c>
      <c r="C383" s="1" t="n">
        <v>45807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19387-2021</t>
        </is>
      </c>
      <c r="B384" s="1" t="n">
        <v>44309</v>
      </c>
      <c r="C384" s="1" t="n">
        <v>45807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22011-2021</t>
        </is>
      </c>
      <c r="B385" s="1" t="n">
        <v>44323</v>
      </c>
      <c r="C385" s="1" t="n">
        <v>45807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45807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22020-2021</t>
        </is>
      </c>
      <c r="B387" s="1" t="n">
        <v>44323</v>
      </c>
      <c r="C387" s="1" t="n">
        <v>45807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23004-2021</t>
        </is>
      </c>
      <c r="B388" s="1" t="n">
        <v>44328</v>
      </c>
      <c r="C388" s="1" t="n">
        <v>45807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26011-2021</t>
        </is>
      </c>
      <c r="B389" s="1" t="n">
        <v>44344</v>
      </c>
      <c r="C389" s="1" t="n">
        <v>45807</v>
      </c>
      <c r="D389" t="inlineStr">
        <is>
          <t>SÖDERMANLANDS LÄN</t>
        </is>
      </c>
      <c r="E389" t="inlineStr">
        <is>
          <t>FLEN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27190-2021</t>
        </is>
      </c>
      <c r="B390" s="1" t="n">
        <v>44350</v>
      </c>
      <c r="C390" s="1" t="n">
        <v>45807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27184-2021</t>
        </is>
      </c>
      <c r="B391" s="1" t="n">
        <v>44350</v>
      </c>
      <c r="C391" s="1" t="n">
        <v>45807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29002-2021</t>
        </is>
      </c>
      <c r="B392" s="1" t="n">
        <v>44358</v>
      </c>
      <c r="C392" s="1" t="n">
        <v>45807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29234-2021</t>
        </is>
      </c>
      <c r="B393" s="1" t="n">
        <v>44360</v>
      </c>
      <c r="C393" s="1" t="n">
        <v>45807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29239-2021</t>
        </is>
      </c>
      <c r="B394" s="1" t="n">
        <v>44360</v>
      </c>
      <c r="C394" s="1" t="n">
        <v>45807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29236-2021</t>
        </is>
      </c>
      <c r="B395" s="1" t="n">
        <v>44360</v>
      </c>
      <c r="C395" s="1" t="n">
        <v>45807</v>
      </c>
      <c r="D395" t="inlineStr">
        <is>
          <t>SÖDERMANLANDS LÄN</t>
        </is>
      </c>
      <c r="E395" t="inlineStr">
        <is>
          <t>FLEN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29233-2021</t>
        </is>
      </c>
      <c r="B396" s="1" t="n">
        <v>44360</v>
      </c>
      <c r="C396" s="1" t="n">
        <v>45807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30847-2021</t>
        </is>
      </c>
      <c r="B397" s="1" t="n">
        <v>44365</v>
      </c>
      <c r="C397" s="1" t="n">
        <v>45807</v>
      </c>
      <c r="D397" t="inlineStr">
        <is>
          <t>SÖDERMANLANDS LÄN</t>
        </is>
      </c>
      <c r="E397" t="inlineStr">
        <is>
          <t>FLEN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30830-2021</t>
        </is>
      </c>
      <c r="B398" s="1" t="n">
        <v>44365</v>
      </c>
      <c r="C398" s="1" t="n">
        <v>45807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31131-2021</t>
        </is>
      </c>
      <c r="B399" s="1" t="n">
        <v>44365</v>
      </c>
      <c r="C399" s="1" t="n">
        <v>45807</v>
      </c>
      <c r="D399" t="inlineStr">
        <is>
          <t>SÖDERMANLANDS LÄN</t>
        </is>
      </c>
      <c r="E399" t="inlineStr">
        <is>
          <t>FLEN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32416-2021</t>
        </is>
      </c>
      <c r="B400" s="1" t="n">
        <v>44371</v>
      </c>
      <c r="C400" s="1" t="n">
        <v>45807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45807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34003-2021</t>
        </is>
      </c>
      <c r="B402" s="1" t="n">
        <v>44378</v>
      </c>
      <c r="C402" s="1" t="n">
        <v>45807</v>
      </c>
      <c r="D402" t="inlineStr">
        <is>
          <t>SÖDERMANLANDS LÄN</t>
        </is>
      </c>
      <c r="E402" t="inlineStr">
        <is>
          <t>FLEN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34675-2021</t>
        </is>
      </c>
      <c r="B403" s="1" t="n">
        <v>44379</v>
      </c>
      <c r="C403" s="1" t="n">
        <v>45807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34448-2021</t>
        </is>
      </c>
      <c r="B404" s="1" t="n">
        <v>44381</v>
      </c>
      <c r="C404" s="1" t="n">
        <v>45807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34447-2021</t>
        </is>
      </c>
      <c r="B405" s="1" t="n">
        <v>44381</v>
      </c>
      <c r="C405" s="1" t="n">
        <v>45807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35250-2021</t>
        </is>
      </c>
      <c r="B406" s="1" t="n">
        <v>44384</v>
      </c>
      <c r="C406" s="1" t="n">
        <v>45807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35257-2021</t>
        </is>
      </c>
      <c r="B407" s="1" t="n">
        <v>44384</v>
      </c>
      <c r="C407" s="1" t="n">
        <v>45807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35649-2021</t>
        </is>
      </c>
      <c r="B408" s="1" t="n">
        <v>44384</v>
      </c>
      <c r="C408" s="1" t="n">
        <v>45807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35714-2021</t>
        </is>
      </c>
      <c r="B409" s="1" t="n">
        <v>44386</v>
      </c>
      <c r="C409" s="1" t="n">
        <v>45807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36595-2021</t>
        </is>
      </c>
      <c r="B410" s="1" t="n">
        <v>44391</v>
      </c>
      <c r="C410" s="1" t="n">
        <v>45807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37385-2021</t>
        </is>
      </c>
      <c r="B411" s="1" t="n">
        <v>44398</v>
      </c>
      <c r="C411" s="1" t="n">
        <v>45807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38008-2021</t>
        </is>
      </c>
      <c r="B412" s="1" t="n">
        <v>44404</v>
      </c>
      <c r="C412" s="1" t="n">
        <v>45807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38842-2021</t>
        </is>
      </c>
      <c r="B413" s="1" t="n">
        <v>44411</v>
      </c>
      <c r="C413" s="1" t="n">
        <v>45807</v>
      </c>
      <c r="D413" t="inlineStr">
        <is>
          <t>SÖDERMANLANDS LÄN</t>
        </is>
      </c>
      <c r="E413" t="inlineStr">
        <is>
          <t>FLEN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39188-2021</t>
        </is>
      </c>
      <c r="B414" s="1" t="n">
        <v>44413</v>
      </c>
      <c r="C414" s="1" t="n">
        <v>45807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39513-2021</t>
        </is>
      </c>
      <c r="B415" s="1" t="n">
        <v>44414</v>
      </c>
      <c r="C415" s="1" t="n">
        <v>45807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39518-2021</t>
        </is>
      </c>
      <c r="B416" s="1" t="n">
        <v>44414</v>
      </c>
      <c r="C416" s="1" t="n">
        <v>45807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40796-2021</t>
        </is>
      </c>
      <c r="B417" s="1" t="n">
        <v>44421</v>
      </c>
      <c r="C417" s="1" t="n">
        <v>45807</v>
      </c>
      <c r="D417" t="inlineStr">
        <is>
          <t>SÖDERMANLANDS LÄN</t>
        </is>
      </c>
      <c r="E417" t="inlineStr">
        <is>
          <t>FLEN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45807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41148-2021</t>
        </is>
      </c>
      <c r="B419" s="1" t="n">
        <v>44423</v>
      </c>
      <c r="C419" s="1" t="n">
        <v>45807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41150-2021</t>
        </is>
      </c>
      <c r="B420" s="1" t="n">
        <v>44423</v>
      </c>
      <c r="C420" s="1" t="n">
        <v>45807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41597-2021</t>
        </is>
      </c>
      <c r="B421" s="1" t="n">
        <v>44425</v>
      </c>
      <c r="C421" s="1" t="n">
        <v>45807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41640-2021</t>
        </is>
      </c>
      <c r="B422" s="1" t="n">
        <v>44425</v>
      </c>
      <c r="C422" s="1" t="n">
        <v>45807</v>
      </c>
      <c r="D422" t="inlineStr">
        <is>
          <t>SÖDERMANLANDS LÄN</t>
        </is>
      </c>
      <c r="E422" t="inlineStr">
        <is>
          <t>FLEN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41658-2021</t>
        </is>
      </c>
      <c r="B423" s="1" t="n">
        <v>44425</v>
      </c>
      <c r="C423" s="1" t="n">
        <v>45807</v>
      </c>
      <c r="D423" t="inlineStr">
        <is>
          <t>SÖDERMANLANDS LÄN</t>
        </is>
      </c>
      <c r="E423" t="inlineStr">
        <is>
          <t>FLEN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41638-2021</t>
        </is>
      </c>
      <c r="B424" s="1" t="n">
        <v>44425</v>
      </c>
      <c r="C424" s="1" t="n">
        <v>45807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41709-2021</t>
        </is>
      </c>
      <c r="B425" s="1" t="n">
        <v>44425</v>
      </c>
      <c r="C425" s="1" t="n">
        <v>45807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45807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41894-2021</t>
        </is>
      </c>
      <c r="B427" s="1" t="n">
        <v>44425</v>
      </c>
      <c r="C427" s="1" t="n">
        <v>45807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42936-2021</t>
        </is>
      </c>
      <c r="B428" s="1" t="n">
        <v>44431</v>
      </c>
      <c r="C428" s="1" t="n">
        <v>45807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45807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43450-2021</t>
        </is>
      </c>
      <c r="B430" s="1" t="n">
        <v>44432</v>
      </c>
      <c r="C430" s="1" t="n">
        <v>45807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43640-2021</t>
        </is>
      </c>
      <c r="B431" s="1" t="n">
        <v>44433</v>
      </c>
      <c r="C431" s="1" t="n">
        <v>45807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43541-2021</t>
        </is>
      </c>
      <c r="B432" s="1" t="n">
        <v>44433</v>
      </c>
      <c r="C432" s="1" t="n">
        <v>45807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44359-2021</t>
        </is>
      </c>
      <c r="B433" s="1" t="n">
        <v>44435</v>
      </c>
      <c r="C433" s="1" t="n">
        <v>45807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45807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45807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45807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45807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45807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45807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45807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45807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45807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45807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45807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45807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45807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45807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45807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45807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45807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45807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45807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45807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45807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45807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45807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45807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45807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45807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45807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45807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45807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45807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45807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45807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45807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45807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45807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45807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45807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45807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45807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45807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45807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45807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45807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45807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45807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45807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45807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45807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45807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45807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45807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45807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45807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45807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45807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45807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45807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45807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45807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45807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45807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45807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45807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45807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45807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45807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45807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45807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45807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45807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45807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45807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45807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45807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45807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45807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45807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45807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45807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45807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45807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45807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45807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45807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45807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45807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45807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45807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45807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45807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45807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45807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45807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45807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45807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45807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45807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45807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45807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45807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45807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45807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45807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45807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45807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45807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45807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45807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45807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45807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45807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45807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45807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45807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45807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45807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45807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45807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45807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45807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45807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45807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45807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45807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45807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45807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45807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45807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45807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45807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45807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45807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45807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45807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45807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45807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45807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45807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45807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45807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45807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45807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45807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45807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45807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45807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45807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45807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45807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45807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45807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45807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45807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45807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45807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45807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45807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45807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45807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45807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45807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45807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45807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45807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45807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45807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45807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45807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45807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45807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45807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45807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45807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45807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45807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45807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45807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45807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45807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45807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45807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45807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45807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45807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45807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45807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45807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45807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45807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45807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45807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45807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45807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45807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45807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45807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45807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45807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45807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45807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45807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45807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45807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45807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45807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45807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45807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45807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45807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45807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45807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45807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45807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45807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45807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45807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45807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45807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45807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45807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45807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45807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45807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45807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45807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45807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45807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45807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45807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45807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45807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45807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45807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45807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45807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45807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45807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45807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45807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45807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45807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45807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45807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45807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45807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45807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45807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45807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45807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45807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45807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45807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45807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45807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45807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45807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45807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45807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45807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45807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45807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45807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45807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45807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45807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45807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45807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45807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45807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45807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45807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45807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45807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45807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45807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45807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45807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45807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45807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45807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45807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45807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45807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45807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45807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45807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45807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45807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45807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45807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45807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45807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45807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45807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45807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45807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45807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45807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45807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45807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45807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45807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45807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45807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45807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45807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45807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45807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45807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45807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45807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45807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45807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45807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45807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45807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45807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45807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45807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45807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45807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45807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45807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45807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45807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45807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45807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45807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45807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45807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45807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45807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45807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45807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45807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45807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45807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45807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45807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45807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45807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45807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45807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45807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45807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45807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45807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45807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45807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45807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45807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45807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45807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45807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45807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45807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45807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45807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45807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45807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45807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45807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45807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45807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45807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45807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45807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45807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45807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45807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45807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45807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45807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45807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45807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45807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45807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45807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45807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45807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45807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45807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45807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45807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45807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45807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45807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45807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45807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45807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45807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45807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45807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45807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45807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45807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45807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45807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45807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45807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45807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45807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45807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45807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45807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45807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45807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45807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45807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45807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45807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45807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45807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45807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45807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45807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45807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45807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45807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45807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45807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45807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45807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45807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45807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45807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45807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45807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45807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45807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45807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45807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45807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45807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45807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45807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45807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45807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45807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45807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45807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45807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45807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45807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45807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45807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45807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45807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45807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45807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45807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45807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45807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45807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45807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45807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45807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45807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45807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45807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45807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45807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45807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45807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45807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45807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45807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45807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45807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45807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45807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45807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45807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45807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45807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45807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45807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45807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45807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45807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45807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45807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45807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45807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45807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45807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45807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45807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45807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45807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45807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45807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45807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45807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45807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45807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45807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45807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45807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45807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45807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45807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45807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45807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45807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45807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45807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45807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45807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45807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45807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45807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45807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45807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45807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45807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45807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45807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45807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45807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45807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45807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45807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45807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45807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45807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45807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45807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45807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45807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45807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45807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45807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45807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45807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45807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45807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45807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45807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45807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45807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45807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45807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45807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45807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45807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45807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45807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45807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45807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45807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45807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45807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45807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45807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45807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45807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45807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45807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45807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45807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45807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45807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45807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45807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45807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45807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45807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45807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45807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45807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45807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45807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45807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45807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45807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45807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45807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45807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45807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45807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45807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45807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45807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45807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45807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45807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45807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45807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45807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45807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45807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45807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45807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45807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45807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45807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45807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45807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45807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45807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45807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45807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45807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45807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45807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45807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45807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45807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45807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45807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45807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45807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45807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45807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45807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45807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45807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45807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45807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45807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45807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45807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45807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45807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45807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45807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45807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45807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45807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45807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45807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45807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45807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45807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45807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45807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45807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45807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45807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45807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45807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45807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45807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45807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45807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45807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45807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45807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45807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45807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45807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45807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45807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45807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45807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45807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45807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45807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45807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45807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45807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45807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45807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45807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45807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45807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45807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45807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45807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45807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45807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45807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45807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45807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45807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45807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45807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45807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45807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45807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45807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45807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45807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45807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45807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45807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45807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45807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45807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45807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45807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45807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45807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45807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45807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45807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45807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45807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45807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45807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45807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45807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45807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45807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45807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45807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45807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45807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45807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45807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45807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45807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45807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45807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45807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45807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45807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45807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45807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45807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45807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45807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45807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22867-2025</t>
        </is>
      </c>
      <c r="B1168" s="1" t="n">
        <v>45790</v>
      </c>
      <c r="C1168" s="1" t="n">
        <v>45807</v>
      </c>
      <c r="D1168" t="inlineStr">
        <is>
          <t>SÖDERMANLANDS LÄN</t>
        </is>
      </c>
      <c r="E1168" t="inlineStr">
        <is>
          <t>FLEN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22882-2025</t>
        </is>
      </c>
      <c r="B1169" s="1" t="n">
        <v>45790</v>
      </c>
      <c r="C1169" s="1" t="n">
        <v>45807</v>
      </c>
      <c r="D1169" t="inlineStr">
        <is>
          <t>SÖDERMANLANDS LÄN</t>
        </is>
      </c>
      <c r="E1169" t="inlineStr">
        <is>
          <t>FLEN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22892-2025</t>
        </is>
      </c>
      <c r="B1170" s="1" t="n">
        <v>45790</v>
      </c>
      <c r="C1170" s="1" t="n">
        <v>45807</v>
      </c>
      <c r="D1170" t="inlineStr">
        <is>
          <t>SÖDERMANLANDS LÄN</t>
        </is>
      </c>
      <c r="E1170" t="inlineStr">
        <is>
          <t>FLEN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45807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45807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45807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45807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45807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45807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45807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45807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45807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45807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24541-2025</t>
        </is>
      </c>
      <c r="B1181" s="1" t="n">
        <v>45798</v>
      </c>
      <c r="C1181" s="1" t="n">
        <v>45807</v>
      </c>
      <c r="D1181" t="inlineStr">
        <is>
          <t>SÖDERMANLANDS LÄN</t>
        </is>
      </c>
      <c r="E1181" t="inlineStr">
        <is>
          <t>FLEN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24557-2025</t>
        </is>
      </c>
      <c r="B1182" s="1" t="n">
        <v>45798</v>
      </c>
      <c r="C1182" s="1" t="n">
        <v>45807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45807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2025-05-30T17:45:28Z</dcterms:created>
  <dcterms:modified xmlns:dcterms="http://purl.org/dc/terms/" xmlns:xsi="http://www.w3.org/2001/XMLSchema-instance" xsi:type="dcterms:W3CDTF">2025-05-30T17:45:29Z</dcterms:modified>
</cp:coreProperties>
</file>