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46279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46279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46279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46279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46279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46279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46279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46279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46279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46279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46279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46279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46279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46279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46279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46279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46279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46279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46279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46279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46279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A 48952-2023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46279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12.8</v>
      </c>
      <c r="J36" t="n">
        <v>0</v>
      </c>
      <c r="K36" t="n">
        <v>2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11</v>
      </c>
      <c r="U36" t="n">
        <v>0</v>
      </c>
      <c r="V36" s="2" t="inlineStr">
        <is>
          <t>Dropptaggsvamp
Tallticka
Vedskivlav
Blåmossa
Grovticka</t>
        </is>
      </c>
      <c r="W36">
        <f>HYPERLINK("https://klasma.github.io/Logging_0482/artfynd/A 48952-2023 artfynd.xlsx", "A 48952-2023")</f>
        <v/>
      </c>
      <c r="X36">
        <f>HYPERLINK("https://klasma.github.io/Logging_0482/kartor/A 48952-2023 karta.png", "A 48952-2023")</f>
        <v/>
      </c>
      <c r="Y36">
        <f>HYPERLINK("https://klasma.github.io/Logging_0482/kartor_geotiff/A 48952-2023 georefererad karta.tif", "A 48952-2023")</f>
        <v/>
      </c>
      <c r="AA36">
        <f>HYPERLINK("https://klasma.github.io/Logging_0482/klagomål/A 48952-2023 FSC-klagomål.docx", "A 48952-2023")</f>
        <v/>
      </c>
      <c r="AB36">
        <f>HYPERLINK("https://klasma.github.io/Logging_0482/klagomålsmail/A 48952-2023 FSC-klagomål mail.docx", "A 48952-2023")</f>
        <v/>
      </c>
      <c r="AC36">
        <f>HYPERLINK("https://klasma.github.io/Logging_0482/tillsyn/A 48952-2023 tillsynsbegäran.docx", "A 48952-2023")</f>
        <v/>
      </c>
      <c r="AD36">
        <f>HYPERLINK("https://klasma.github.io/Logging_0482/tillsynsmail/A 48952-2023 tillsynsbegäran mail.docx", "A 48952-2023")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46279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46279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46279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46279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46279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46279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46279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49808-2023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46279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12.3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Svedjenäva
Svinrot
Mattlummer
Fläcknycklar</t>
        </is>
      </c>
      <c r="W44">
        <f>HYPERLINK("https://klasma.github.io/Logging_0482/artfynd/A 49808-2023 artfynd.xlsx", "A 49808-2023")</f>
        <v/>
      </c>
      <c r="X44">
        <f>HYPERLINK("https://klasma.github.io/Logging_0482/kartor/A 49808-2023 karta.png", "A 49808-2023")</f>
        <v/>
      </c>
      <c r="Y44">
        <f>HYPERLINK("https://klasma.github.io/Logging_0482/kartor_geotiff/A 49808-2023 georefererad karta.tif", "A 49808-2023")</f>
        <v/>
      </c>
      <c r="AA44">
        <f>HYPERLINK("https://klasma.github.io/Logging_0482/klagomål/A 49808-2023 FSC-klagomål.docx", "A 49808-2023")</f>
        <v/>
      </c>
      <c r="AB44">
        <f>HYPERLINK("https://klasma.github.io/Logging_0482/klagomålsmail/A 49808-2023 FSC-klagomål mail.docx", "A 49808-2023")</f>
        <v/>
      </c>
      <c r="AC44">
        <f>HYPERLINK("https://klasma.github.io/Logging_0482/tillsyn/A 49808-2023 tillsynsbegäran.docx", "A 49808-2023")</f>
        <v/>
      </c>
      <c r="AD44">
        <f>HYPERLINK("https://klasma.github.io/Logging_0482/tillsynsmail/A 49808-2023 tillsynsbegäran mail.docx", "A 49808-2023")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46279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46279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46279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46279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46279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46279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46279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46279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46279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46279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46279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22839-2025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46279</v>
      </c>
      <c r="F56" t="inlineStr">
        <is>
          <t>SÖDERMANLANDS LÄN</t>
        </is>
      </c>
      <c r="G56" t="inlineStr">
        <is>
          <t>FLEN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Blåsippa
Ekbräken
Missne</t>
        </is>
      </c>
      <c r="W56">
        <f>HYPERLINK("https://klasma.github.io/Logging_0482/artfynd/A 22839-2025 artfynd.xlsx", "A 22839-2025")</f>
        <v/>
      </c>
      <c r="X56">
        <f>HYPERLINK("https://klasma.github.io/Logging_0482/kartor/A 22839-2025 karta.png", "A 22839-2025")</f>
        <v/>
      </c>
      <c r="Y56">
        <f>HYPERLINK("https://klasma.github.io/Logging_0482/kartor_geotiff/A 22839-2025 georefererad karta.tif", "A 22839-2025")</f>
        <v/>
      </c>
      <c r="AA56">
        <f>HYPERLINK("https://klasma.github.io/Logging_0482/klagomål/A 22839-2025 FSC-klagomål.docx", "A 22839-2025")</f>
        <v/>
      </c>
      <c r="AB56">
        <f>HYPERLINK("https://klasma.github.io/Logging_0482/klagomålsmail/A 22839-2025 FSC-klagomål mail.docx", "A 22839-2025")</f>
        <v/>
      </c>
      <c r="AC56">
        <f>HYPERLINK("https://klasma.github.io/Logging_0482/tillsyn/A 22839-2025 tillsynsbegäran.docx", "A 22839-2025")</f>
        <v/>
      </c>
      <c r="AD56">
        <f>HYPERLINK("https://klasma.github.io/Logging_0482/tillsynsmail/A 22839-2025 tillsynsbegäran mail.docx", "A 22839-2025")</f>
        <v/>
      </c>
    </row>
    <row r="57" ht="15" customHeight="1">
      <c r="A57" t="inlineStr">
        <is>
          <t>A 2203-2022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44578</v>
      </c>
      <c r="E57" s="1" t="n">
        <v>46279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2.9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Knärot
Grönpyrola
Revlummer</t>
        </is>
      </c>
      <c r="W57">
        <f>HYPERLINK("https://klasma.github.io/Logging_0482/artfynd/A 2203-2022 artfynd.xlsx", "A 2203-2022")</f>
        <v/>
      </c>
      <c r="X57">
        <f>HYPERLINK("https://klasma.github.io/Logging_0482/kartor/A 2203-2022 karta.png", "A 2203-2022")</f>
        <v/>
      </c>
      <c r="Y57">
        <f>HYPERLINK("https://klasma.github.io/Logging_0482/kartor_geotiff/A 2203-2022 georefererad karta.tif", "A 2203-2022")</f>
        <v/>
      </c>
      <c r="Z57">
        <f>HYPERLINK("https://klasma.github.io/Logging_0482/knärot/A 2203-2022 karta knärot.png", "A 2203-2022")</f>
        <v/>
      </c>
      <c r="AA57">
        <f>HYPERLINK("https://klasma.github.io/Logging_0482/klagomål/A 2203-2022 FSC-klagomål.docx", "A 2203-2022")</f>
        <v/>
      </c>
      <c r="AB57">
        <f>HYPERLINK("https://klasma.github.io/Logging_0482/klagomålsmail/A 2203-2022 FSC-klagomål mail.docx", "A 2203-2022")</f>
        <v/>
      </c>
      <c r="AC57">
        <f>HYPERLINK("https://klasma.github.io/Logging_0482/tillsyn/A 2203-2022 tillsynsbegäran.docx", "A 2203-2022")</f>
        <v/>
      </c>
      <c r="AD57">
        <f>HYPERLINK("https://klasma.github.io/Logging_0482/tillsynsmail/A 2203-2022 tillsynsbegäran mail.docx", "A 2203-2022")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46279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31238-2022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44771</v>
      </c>
      <c r="E59" s="1" t="n">
        <v>46279</v>
      </c>
      <c r="F59" t="inlineStr">
        <is>
          <t>SÖDERMANLANDS LÄN</t>
        </is>
      </c>
      <c r="G59" t="inlineStr">
        <is>
          <t>FLEN</t>
        </is>
      </c>
      <c r="I59" t="n">
        <v>7.5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Svedjenäva
Svinrot
Skogsbräsma</t>
        </is>
      </c>
      <c r="W59">
        <f>HYPERLINK("https://klasma.github.io/Logging_0482/artfynd/A 31238-2022 artfynd.xlsx", "A 31238-2022")</f>
        <v/>
      </c>
      <c r="X59">
        <f>HYPERLINK("https://klasma.github.io/Logging_0482/kartor/A 31238-2022 karta.png", "A 31238-2022")</f>
        <v/>
      </c>
      <c r="Y59">
        <f>HYPERLINK("https://klasma.github.io/Logging_0482/kartor_geotiff/A 31238-2022 georefererad karta.tif", "A 31238-2022")</f>
        <v/>
      </c>
      <c r="AA59">
        <f>HYPERLINK("https://klasma.github.io/Logging_0482/klagomål/A 31238-2022 FSC-klagomål.docx", "A 31238-2022")</f>
        <v/>
      </c>
      <c r="AB59">
        <f>HYPERLINK("https://klasma.github.io/Logging_0482/klagomålsmail/A 31238-2022 FSC-klagomål mail.docx", "A 31238-2022")</f>
        <v/>
      </c>
      <c r="AC59">
        <f>HYPERLINK("https://klasma.github.io/Logging_0482/tillsyn/A 31238-2022 tillsynsbegäran.docx", "A 31238-2022")</f>
        <v/>
      </c>
      <c r="AD59">
        <f>HYPERLINK("https://klasma.github.io/Logging_0482/tillsynsmail/A 31238-2022 tillsynsbegäran mail.docx", "A 31238-2022")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46279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46279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46279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46279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46279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46279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46279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46279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46279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46279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46279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46279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46279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46279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46279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46279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46279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46279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46279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46279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46279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46279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Backstarr
Blåsippa</t>
        </is>
      </c>
      <c r="W81">
        <f>HYPERLINK("https://klasma.github.io/Logging_0482/artfynd/A 4330-2026 artfynd.xlsx", "A 4330-2026")</f>
        <v/>
      </c>
      <c r="X81">
        <f>HYPERLINK("https://klasma.github.io/Logging_0482/kartor/A 4330-2026 karta.png", "A 4330-2026")</f>
        <v/>
      </c>
      <c r="Y81">
        <f>HYPERLINK("https://klasma.github.io/Logging_0482/kartor_geotiff/A 4330-2026 georefererad karta.tif", "A 4330-2026")</f>
        <v/>
      </c>
      <c r="AA81">
        <f>HYPERLINK("https://klasma.github.io/Logging_0482/klagomål/A 4330-2026 FSC-klagomål.docx", "A 4330-2026")</f>
        <v/>
      </c>
      <c r="AB81">
        <f>HYPERLINK("https://klasma.github.io/Logging_0482/klagomålsmail/A 4330-2026 FSC-klagomål mail.docx", "A 4330-2026")</f>
        <v/>
      </c>
      <c r="AC81">
        <f>HYPERLINK("https://klasma.github.io/Logging_0482/tillsyn/A 4330-2026 tillsynsbegäran.docx", "A 4330-2026")</f>
        <v/>
      </c>
      <c r="AD81">
        <f>HYPERLINK("https://klasma.github.io/Logging_0482/tillsynsmail/A 4330-2026 tillsynsbegäran mail.docx", "A 4330-2026")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46279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22511-2026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46279</v>
      </c>
      <c r="F83" t="inlineStr">
        <is>
          <t>SÖDERMANLANDS LÄN</t>
        </is>
      </c>
      <c r="G83" t="inlineStr">
        <is>
          <t>FLEN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Ormbär
Skriftlav</t>
        </is>
      </c>
      <c r="W83">
        <f>HYPERLINK("https://klasma.github.io/Logging_0482/artfynd/A 22511-2026 artfynd.xlsx", "A 22511-2026")</f>
        <v/>
      </c>
      <c r="X83">
        <f>HYPERLINK("https://klasma.github.io/Logging_0482/kartor/A 22511-2026 karta.png", "A 22511-2026")</f>
        <v/>
      </c>
      <c r="Y83">
        <f>HYPERLINK("https://klasma.github.io/Logging_0482/kartor_geotiff/A 22511-2026 georefererad karta.tif", "A 22511-2026")</f>
        <v/>
      </c>
      <c r="AA83">
        <f>HYPERLINK("https://klasma.github.io/Logging_0482/klagomål/A 22511-2026 FSC-klagomål.docx", "A 22511-2026")</f>
        <v/>
      </c>
      <c r="AB83">
        <f>HYPERLINK("https://klasma.github.io/Logging_0482/klagomålsmail/A 22511-2026 FSC-klagomål mail.docx", "A 22511-2026")</f>
        <v/>
      </c>
      <c r="AC83">
        <f>HYPERLINK("https://klasma.github.io/Logging_0482/tillsyn/A 22511-2026 tillsynsbegäran.docx", "A 22511-2026")</f>
        <v/>
      </c>
      <c r="AD83">
        <f>HYPERLINK("https://klasma.github.io/Logging_0482/tillsynsmail/A 22511-2026 tillsynsbegäran mail.docx", "A 22511-2026")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46279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46279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46279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5852-2022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46279</v>
      </c>
      <c r="F87" t="inlineStr">
        <is>
          <t>SÖDERMANLANDS LÄN</t>
        </is>
      </c>
      <c r="G87" t="inlineStr">
        <is>
          <t>FLEN</t>
        </is>
      </c>
      <c r="I87" t="n">
        <v>2.6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Kamjordstjärna
Gullviva</t>
        </is>
      </c>
      <c r="W87">
        <f>HYPERLINK("https://klasma.github.io/Logging_0482/artfynd/A 5852-2022 artfynd.xlsx", "A 5852-2022")</f>
        <v/>
      </c>
      <c r="X87">
        <f>HYPERLINK("https://klasma.github.io/Logging_0482/kartor/A 5852-2022 karta.png", "A 5852-2022")</f>
        <v/>
      </c>
      <c r="Y87">
        <f>HYPERLINK("https://klasma.github.io/Logging_0482/kartor_geotiff/A 5852-2022 georefererad karta.tif", "A 5852-2022")</f>
        <v/>
      </c>
      <c r="AA87">
        <f>HYPERLINK("https://klasma.github.io/Logging_0482/klagomål/A 5852-2022 FSC-klagomål.docx", "A 5852-2022")</f>
        <v/>
      </c>
      <c r="AB87">
        <f>HYPERLINK("https://klasma.github.io/Logging_0482/klagomålsmail/A 5852-2022 FSC-klagomål mail.docx", "A 5852-2022")</f>
        <v/>
      </c>
      <c r="AC87">
        <f>HYPERLINK("https://klasma.github.io/Logging_0482/tillsyn/A 5852-2022 tillsynsbegäran.docx", "A 5852-2022")</f>
        <v/>
      </c>
      <c r="AD87">
        <f>HYPERLINK("https://klasma.github.io/Logging_0482/tillsynsmail/A 5852-2022 tillsynsbegäran mail.docx", "A 5852-2022")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46279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46279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34849-2026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46279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5</v>
      </c>
      <c r="U90" t="n">
        <v>0</v>
      </c>
      <c r="V90" s="2" t="inlineStr">
        <is>
          <t>Motaggsvamp
Vedskivlav</t>
        </is>
      </c>
      <c r="W90">
        <f>HYPERLINK("https://klasma.github.io/Logging_0482/artfynd/A 34849-2026 artfynd.xlsx", "A 34849-2026")</f>
        <v/>
      </c>
      <c r="X90">
        <f>HYPERLINK("https://klasma.github.io/Logging_0482/kartor/A 34849-2026 karta.png", "A 34849-2026")</f>
        <v/>
      </c>
      <c r="Y90">
        <f>HYPERLINK("https://klasma.github.io/Logging_0482/kartor_geotiff/A 34849-2026 georefererad karta.tif", "A 34849-2026")</f>
        <v/>
      </c>
      <c r="AA90">
        <f>HYPERLINK("https://klasma.github.io/Logging_0482/klagomål/A 34849-2026 FSC-klagomål.docx", "A 34849-2026")</f>
        <v/>
      </c>
      <c r="AB90">
        <f>HYPERLINK("https://klasma.github.io/Logging_0482/klagomålsmail/A 34849-2026 FSC-klagomål mail.docx", "A 34849-2026")</f>
        <v/>
      </c>
      <c r="AC90">
        <f>HYPERLINK("https://klasma.github.io/Logging_0482/tillsyn/A 34849-2026 tillsynsbegäran.docx", "A 34849-2026")</f>
        <v/>
      </c>
      <c r="AD90">
        <f>HYPERLINK("https://klasma.github.io/Logging_0482/tillsynsmail/A 34849-2026 tillsynsbegäran mail.docx", "A 34849-2026")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46279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46279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46279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46279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46279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46279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46279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46279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46279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46279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46279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46279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46279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46279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46279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46279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46279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46279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52579-2025 artfynd.xlsx", "A 52579-2025")</f>
        <v/>
      </c>
      <c r="X108">
        <f>HYPERLINK("https://klasma.github.io/Logging_0482/kartor/A 52579-2025 karta.png", "A 52579-2025")</f>
        <v/>
      </c>
      <c r="Y108">
        <f>HYPERLINK("https://klasma.github.io/Logging_0482/kartor_geotiff/A 52579-2025 georefererad karta.tif", "A 52579-2025")</f>
        <v/>
      </c>
      <c r="AA108">
        <f>HYPERLINK("https://klasma.github.io/Logging_0482/klagomål/A 52579-2025 FSC-klagomål.docx", "A 52579-2025")</f>
        <v/>
      </c>
      <c r="AB108">
        <f>HYPERLINK("https://klasma.github.io/Logging_0482/klagomålsmail/A 52579-2025 FSC-klagomål mail.docx", "A 52579-2025")</f>
        <v/>
      </c>
      <c r="AC108">
        <f>HYPERLINK("https://klasma.github.io/Logging_0482/tillsyn/A 52579-2025 tillsynsbegäran.docx", "A 52579-2025")</f>
        <v/>
      </c>
      <c r="AD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31972-2024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46279</v>
      </c>
      <c r="F109" t="inlineStr">
        <is>
          <t>SÖDERMANLANDS LÄN</t>
        </is>
      </c>
      <c r="G109" t="inlineStr">
        <is>
          <t>FLEN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Åkerrödtoppa</t>
        </is>
      </c>
      <c r="W109">
        <f>HYPERLINK("https://klasma.github.io/Logging_0482/artfynd/A 31972-2024 artfynd.xlsx", "A 31972-2024")</f>
        <v/>
      </c>
      <c r="X109">
        <f>HYPERLINK("https://klasma.github.io/Logging_0482/kartor/A 31972-2024 karta.png", "A 31972-2024")</f>
        <v/>
      </c>
      <c r="Y109">
        <f>HYPERLINK("https://klasma.github.io/Logging_0482/kartor_geotiff/A 31972-2024 georefererad karta.tif", "A 31972-2024")</f>
        <v/>
      </c>
      <c r="AA109">
        <f>HYPERLINK("https://klasma.github.io/Logging_0482/klagomål/A 31972-2024 FSC-klagomål.docx", "A 31972-2024")</f>
        <v/>
      </c>
      <c r="AB109">
        <f>HYPERLINK("https://klasma.github.io/Logging_0482/klagomålsmail/A 31972-2024 FSC-klagomål mail.docx", "A 31972-2024")</f>
        <v/>
      </c>
      <c r="AC109">
        <f>HYPERLINK("https://klasma.github.io/Logging_0482/tillsyn/A 31972-2024 tillsynsbegäran.docx", "A 31972-2024")</f>
        <v/>
      </c>
      <c r="AD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46279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46279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50202-2022 artfynd.xlsx", "A 50202-2022")</f>
        <v/>
      </c>
      <c r="X111">
        <f>HYPERLINK("https://klasma.github.io/Logging_0482/kartor/A 50202-2022 karta.png", "A 50202-2022")</f>
        <v/>
      </c>
      <c r="Y111">
        <f>HYPERLINK("https://klasma.github.io/Logging_0482/kartor_geotiff/A 50202-2022 georefererad karta.tif", "A 50202-2022")</f>
        <v/>
      </c>
      <c r="AA111">
        <f>HYPERLINK("https://klasma.github.io/Logging_0482/klagomål/A 50202-2022 FSC-klagomål.docx", "A 50202-2022")</f>
        <v/>
      </c>
      <c r="AB111">
        <f>HYPERLINK("https://klasma.github.io/Logging_0482/klagomålsmail/A 50202-2022 FSC-klagomål mail.docx", "A 50202-2022")</f>
        <v/>
      </c>
      <c r="AC111">
        <f>HYPERLINK("https://klasma.github.io/Logging_0482/tillsyn/A 50202-2022 tillsynsbegäran.docx", "A 50202-2022")</f>
        <v/>
      </c>
      <c r="AD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52563-2021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46279</v>
      </c>
      <c r="F112" t="inlineStr">
        <is>
          <t>SÖDERMANLANDS LÄN</t>
        </is>
      </c>
      <c r="G112" t="inlineStr">
        <is>
          <t>FLEN</t>
        </is>
      </c>
      <c r="I112" t="n">
        <v>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Gulsparv</t>
        </is>
      </c>
      <c r="W112">
        <f>HYPERLINK("https://klasma.github.io/Logging_0482/artfynd/A 52563-2021 artfynd.xlsx", "A 52563-2021")</f>
        <v/>
      </c>
      <c r="X112">
        <f>HYPERLINK("https://klasma.github.io/Logging_0482/kartor/A 52563-2021 karta.png", "A 52563-2021")</f>
        <v/>
      </c>
      <c r="Y112">
        <f>HYPERLINK("https://klasma.github.io/Logging_0482/kartor_geotiff/A 52563-2021 georefererad karta.tif", "A 52563-2021")</f>
        <v/>
      </c>
      <c r="AA112">
        <f>HYPERLINK("https://klasma.github.io/Logging_0482/klagomål/A 52563-2021 FSC-klagomål.docx", "A 52563-2021")</f>
        <v/>
      </c>
      <c r="AB112">
        <f>HYPERLINK("https://klasma.github.io/Logging_0482/klagomålsmail/A 52563-2021 FSC-klagomål mail.docx", "A 52563-2021")</f>
        <v/>
      </c>
      <c r="AC112">
        <f>HYPERLINK("https://klasma.github.io/Logging_0482/tillsyn/A 52563-2021 tillsynsbegäran.docx", "A 52563-2021")</f>
        <v/>
      </c>
      <c r="AD112">
        <f>HYPERLINK("https://klasma.github.io/Logging_0482/tillsynsmail/A 52563-2021 tillsynsbegäran mail.docx", "A 52563-2021")</f>
        <v/>
      </c>
      <c r="AE112">
        <f>HYPERLINK("https://klasma.github.io/Logging_0482/fåglar/A 52563-2021 prioriterade fågelarter.docx", "A 52563-2021")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46279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2043-2026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46279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2.1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Scharlakansvaxing</t>
        </is>
      </c>
      <c r="W114">
        <f>HYPERLINK("https://klasma.github.io/Logging_0482/artfynd/A 2043-2026 artfynd.xlsx", "A 2043-2026")</f>
        <v/>
      </c>
      <c r="X114">
        <f>HYPERLINK("https://klasma.github.io/Logging_0482/kartor/A 2043-2026 karta.png", "A 2043-2026")</f>
        <v/>
      </c>
      <c r="Y114">
        <f>HYPERLINK("https://klasma.github.io/Logging_0482/kartor_geotiff/A 2043-2026 georefererad karta.tif", "A 2043-2026")</f>
        <v/>
      </c>
      <c r="AA114">
        <f>HYPERLINK("https://klasma.github.io/Logging_0482/klagomål/A 2043-2026 FSC-klagomål.docx", "A 2043-2026")</f>
        <v/>
      </c>
      <c r="AB114">
        <f>HYPERLINK("https://klasma.github.io/Logging_0482/klagomålsmail/A 2043-2026 FSC-klagomål mail.docx", "A 2043-2026")</f>
        <v/>
      </c>
      <c r="AC114">
        <f>HYPERLINK("https://klasma.github.io/Logging_0482/tillsyn/A 2043-2026 tillsynsbegäran.docx", "A 2043-2026")</f>
        <v/>
      </c>
      <c r="AD114">
        <f>HYPERLINK("https://klasma.github.io/Logging_0482/tillsynsmail/A 2043-2026 tillsynsbegäran mail.docx", "A 2043-2026")</f>
        <v/>
      </c>
    </row>
    <row r="115" ht="15" customHeight="1">
      <c r="A115" t="inlineStr">
        <is>
          <t>A 2036-2026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46279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HYPERLINK("https://klasma.github.io/Logging_0482/artfynd/A 2036-2026 artfynd.xlsx", "A 2036-2026")</f>
        <v/>
      </c>
      <c r="X115">
        <f>HYPERLINK("https://klasma.github.io/Logging_0482/kartor/A 2036-2026 karta.png", "A 2036-2026")</f>
        <v/>
      </c>
      <c r="Y115">
        <f>HYPERLINK("https://klasma.github.io/Logging_0482/kartor_geotiff/A 2036-2026 georefererad karta.tif", "A 2036-2026")</f>
        <v/>
      </c>
      <c r="Z115">
        <f>HYPERLINK("https://klasma.github.io/Logging_0482/knärot/A 2036-2026 karta knärot.png", "A 2036-2026")</f>
        <v/>
      </c>
      <c r="AA115">
        <f>HYPERLINK("https://klasma.github.io/Logging_0482/klagomål/A 2036-2026 FSC-klagomål.docx", "A 2036-2026")</f>
        <v/>
      </c>
      <c r="AB115">
        <f>HYPERLINK("https://klasma.github.io/Logging_0482/klagomålsmail/A 2036-2026 FSC-klagomål mail.docx", "A 2036-2026")</f>
        <v/>
      </c>
      <c r="AC115">
        <f>HYPERLINK("https://klasma.github.io/Logging_0482/tillsyn/A 2036-2026 tillsynsbegäran.docx", "A 2036-2026")</f>
        <v/>
      </c>
      <c r="AD115">
        <f>HYPERLINK("https://klasma.github.io/Logging_0482/tillsynsmail/A 2036-2026 tillsynsbegäran mail.docx", "A 2036-2026")</f>
        <v/>
      </c>
    </row>
    <row r="116" ht="15" customHeight="1">
      <c r="A116" t="inlineStr">
        <is>
          <t>A 60562-2021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46279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60562-2021 artfynd.xlsx", "A 60562-2021")</f>
        <v/>
      </c>
      <c r="X116">
        <f>HYPERLINK("https://klasma.github.io/Logging_0482/kartor/A 60562-2021 karta.png", "A 60562-2021")</f>
        <v/>
      </c>
      <c r="Y116">
        <f>HYPERLINK("https://klasma.github.io/Logging_0482/kartor_geotiff/A 60562-2021 georefererad karta.tif", "A 60562-2021")</f>
        <v/>
      </c>
      <c r="AA116">
        <f>HYPERLINK("https://klasma.github.io/Logging_0482/klagomål/A 60562-2021 FSC-klagomål.docx", "A 60562-2021")</f>
        <v/>
      </c>
      <c r="AB116">
        <f>HYPERLINK("https://klasma.github.io/Logging_0482/klagomålsmail/A 60562-2021 FSC-klagomål mail.docx", "A 60562-2021")</f>
        <v/>
      </c>
      <c r="AC116">
        <f>HYPERLINK("https://klasma.github.io/Logging_0482/tillsyn/A 60562-2021 tillsynsbegäran.docx", "A 60562-2021")</f>
        <v/>
      </c>
      <c r="AD116">
        <f>HYPERLINK("https://klasma.github.io/Logging_0482/tillsynsmail/A 60562-2021 tillsynsbegäran mail.docx", "A 60562-2021")</f>
        <v/>
      </c>
    </row>
    <row r="117" ht="15" customHeight="1">
      <c r="A117" t="inlineStr">
        <is>
          <t>A 7525-2024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45348</v>
      </c>
      <c r="E117" s="1" t="n">
        <v>46279</v>
      </c>
      <c r="F117" t="inlineStr">
        <is>
          <t>SÖDERMANLANDS LÄN</t>
        </is>
      </c>
      <c r="G117" t="inlineStr">
        <is>
          <t>FLEN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Vanlig backsmörblomma</t>
        </is>
      </c>
      <c r="W117">
        <f>HYPERLINK("https://klasma.github.io/Logging_0482/artfynd/A 7525-2024 artfynd.xlsx", "A 7525-2024")</f>
        <v/>
      </c>
      <c r="X117">
        <f>HYPERLINK("https://klasma.github.io/Logging_0482/kartor/A 7525-2024 karta.png", "A 7525-2024")</f>
        <v/>
      </c>
      <c r="Y117">
        <f>HYPERLINK("https://klasma.github.io/Logging_0482/kartor_geotiff/A 7525-2024 georefererad karta.tif", "A 7525-2024")</f>
        <v/>
      </c>
      <c r="AA117">
        <f>HYPERLINK("https://klasma.github.io/Logging_0482/klagomål/A 7525-2024 FSC-klagomål.docx", "A 7525-2024")</f>
        <v/>
      </c>
      <c r="AB117">
        <f>HYPERLINK("https://klasma.github.io/Logging_0482/klagomålsmail/A 7525-2024 FSC-klagomål mail.docx", "A 7525-2024")</f>
        <v/>
      </c>
      <c r="AC117">
        <f>HYPERLINK("https://klasma.github.io/Logging_0482/tillsyn/A 7525-2024 tillsynsbegäran.docx", "A 7525-2024")</f>
        <v/>
      </c>
      <c r="AD117">
        <f>HYPERLINK("https://klasma.github.io/Logging_0482/tillsynsmail/A 7525-2024 tillsynsbegäran mail.docx", "A 7525-2024")</f>
        <v/>
      </c>
    </row>
    <row r="118" ht="15" customHeight="1">
      <c r="A118" t="inlineStr">
        <is>
          <t>A 6714-2026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46279</v>
      </c>
      <c r="F118" t="inlineStr">
        <is>
          <t>SÖDERMANLANDS LÄN</t>
        </is>
      </c>
      <c r="G118" t="inlineStr">
        <is>
          <t>FLEN</t>
        </is>
      </c>
      <c r="I118" t="n">
        <v>4.6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6714-2026 artfynd.xlsx", "A 6714-2026")</f>
        <v/>
      </c>
      <c r="X118">
        <f>HYPERLINK("https://klasma.github.io/Logging_0482/kartor/A 6714-2026 karta.png", "A 6714-2026")</f>
        <v/>
      </c>
      <c r="Y118">
        <f>HYPERLINK("https://klasma.github.io/Logging_0482/kartor_geotiff/A 6714-2026 georefererad karta.tif", "A 6714-2026")</f>
        <v/>
      </c>
      <c r="AA118">
        <f>HYPERLINK("https://klasma.github.io/Logging_0482/klagomål/A 6714-2026 FSC-klagomål.docx", "A 6714-2026")</f>
        <v/>
      </c>
      <c r="AB118">
        <f>HYPERLINK("https://klasma.github.io/Logging_0482/klagomålsmail/A 6714-2026 FSC-klagomål mail.docx", "A 6714-2026")</f>
        <v/>
      </c>
      <c r="AC118">
        <f>HYPERLINK("https://klasma.github.io/Logging_0482/tillsyn/A 6714-2026 tillsynsbegäran.docx", "A 6714-2026")</f>
        <v/>
      </c>
      <c r="AD118">
        <f>HYPERLINK("https://klasma.github.io/Logging_0482/tillsynsmail/A 6714-2026 tillsynsbegäran mail.docx", "A 6714-2026")</f>
        <v/>
      </c>
    </row>
    <row r="119" ht="15" customHeight="1">
      <c r="A119" t="inlineStr">
        <is>
          <t>A 13858-2023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46279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Svedjenäva</t>
        </is>
      </c>
      <c r="W119">
        <f>HYPERLINK("https://klasma.github.io/Logging_0482/artfynd/A 13858-2023 artfynd.xlsx", "A 13858-2023")</f>
        <v/>
      </c>
      <c r="X119">
        <f>HYPERLINK("https://klasma.github.io/Logging_0482/kartor/A 13858-2023 karta.png", "A 13858-2023")</f>
        <v/>
      </c>
      <c r="Y119">
        <f>HYPERLINK("https://klasma.github.io/Logging_0482/kartor_geotiff/A 13858-2023 georefererad karta.tif", "A 13858-2023")</f>
        <v/>
      </c>
      <c r="AA119">
        <f>HYPERLINK("https://klasma.github.io/Logging_0482/klagomål/A 13858-2023 FSC-klagomål.docx", "A 13858-2023")</f>
        <v/>
      </c>
      <c r="AB119">
        <f>HYPERLINK("https://klasma.github.io/Logging_0482/klagomålsmail/A 13858-2023 FSC-klagomål mail.docx", "A 13858-2023")</f>
        <v/>
      </c>
      <c r="AC119">
        <f>HYPERLINK("https://klasma.github.io/Logging_0482/tillsyn/A 13858-2023 tillsynsbegäran.docx", "A 13858-2023")</f>
        <v/>
      </c>
      <c r="AD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21704-2026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46149</v>
      </c>
      <c r="E120" s="1" t="n">
        <v>46279</v>
      </c>
      <c r="F120" t="inlineStr">
        <is>
          <t>SÖDERMANLANDS LÄN</t>
        </is>
      </c>
      <c r="G120" t="inlineStr">
        <is>
          <t>FLEN</t>
        </is>
      </c>
      <c r="I120" t="n">
        <v>10.2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Kandelabersvamp</t>
        </is>
      </c>
      <c r="W120">
        <f>HYPERLINK("https://klasma.github.io/Logging_0482/artfynd/A 21704-2026 artfynd.xlsx", "A 21704-2026")</f>
        <v/>
      </c>
      <c r="X120">
        <f>HYPERLINK("https://klasma.github.io/Logging_0482/kartor/A 21704-2026 karta.png", "A 21704-2026")</f>
        <v/>
      </c>
      <c r="Y120">
        <f>HYPERLINK("https://klasma.github.io/Logging_0482/kartor_geotiff/A 21704-2026 georefererad karta.tif", "A 21704-2026")</f>
        <v/>
      </c>
      <c r="AA120">
        <f>HYPERLINK("https://klasma.github.io/Logging_0482/klagomål/A 21704-2026 FSC-klagomål.docx", "A 21704-2026")</f>
        <v/>
      </c>
      <c r="AB120">
        <f>HYPERLINK("https://klasma.github.io/Logging_0482/klagomålsmail/A 21704-2026 FSC-klagomål mail.docx", "A 21704-2026")</f>
        <v/>
      </c>
      <c r="AC120">
        <f>HYPERLINK("https://klasma.github.io/Logging_0482/tillsyn/A 21704-2026 tillsynsbegäran.docx", "A 21704-2026")</f>
        <v/>
      </c>
      <c r="AD120">
        <f>HYPERLINK("https://klasma.github.io/Logging_0482/tillsynsmail/A 21704-2026 tillsynsbegäran mail.docx", "A 21704-2026")</f>
        <v/>
      </c>
    </row>
    <row r="121" ht="15" customHeight="1">
      <c r="A121" t="inlineStr">
        <is>
          <t>A 45107-2023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46279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Brudborste</t>
        </is>
      </c>
      <c r="W121">
        <f>HYPERLINK("https://klasma.github.io/Logging_0482/artfynd/A 45107-2023 artfynd.xlsx", "A 45107-2023")</f>
        <v/>
      </c>
      <c r="X121">
        <f>HYPERLINK("https://klasma.github.io/Logging_0482/kartor/A 45107-2023 karta.png", "A 45107-2023")</f>
        <v/>
      </c>
      <c r="Y121">
        <f>HYPERLINK("https://klasma.github.io/Logging_0482/kartor_geotiff/A 45107-2023 georefererad karta.tif", "A 45107-2023")</f>
        <v/>
      </c>
      <c r="AA121">
        <f>HYPERLINK("https://klasma.github.io/Logging_0482/klagomål/A 45107-2023 FSC-klagomål.docx", "A 45107-2023")</f>
        <v/>
      </c>
      <c r="AB121">
        <f>HYPERLINK("https://klasma.github.io/Logging_0482/klagomålsmail/A 45107-2023 FSC-klagomål mail.docx", "A 45107-2023")</f>
        <v/>
      </c>
      <c r="AC121">
        <f>HYPERLINK("https://klasma.github.io/Logging_0482/tillsyn/A 45107-2023 tillsynsbegäran.docx", "A 45107-2023")</f>
        <v/>
      </c>
      <c r="AD121">
        <f>HYPERLINK("https://klasma.github.io/Logging_0482/tillsynsmail/A 45107-2023 tillsynsbegäran mail.docx", "A 45107-2023")</f>
        <v/>
      </c>
    </row>
    <row r="122" ht="15" customHeight="1">
      <c r="A122" t="inlineStr">
        <is>
          <t>A 1242-2022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46279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Slåtterfibbla</t>
        </is>
      </c>
      <c r="W122">
        <f>HYPERLINK("https://klasma.github.io/Logging_0482/artfynd/A 1242-2022 artfynd.xlsx", "A 1242-2022")</f>
        <v/>
      </c>
      <c r="X122">
        <f>HYPERLINK("https://klasma.github.io/Logging_0482/kartor/A 1242-2022 karta.png", "A 1242-2022")</f>
        <v/>
      </c>
      <c r="Y122">
        <f>HYPERLINK("https://klasma.github.io/Logging_0482/kartor_geotiff/A 1242-2022 georefererad karta.tif", "A 1242-2022")</f>
        <v/>
      </c>
      <c r="AA122">
        <f>HYPERLINK("https://klasma.github.io/Logging_0482/klagomål/A 1242-2022 FSC-klagomål.docx", "A 1242-2022")</f>
        <v/>
      </c>
      <c r="AB122">
        <f>HYPERLINK("https://klasma.github.io/Logging_0482/klagomålsmail/A 1242-2022 FSC-klagomål mail.docx", "A 1242-2022")</f>
        <v/>
      </c>
      <c r="AC122">
        <f>HYPERLINK("https://klasma.github.io/Logging_0482/tillsyn/A 1242-2022 tillsynsbegäran.docx", "A 1242-2022")</f>
        <v/>
      </c>
      <c r="AD122">
        <f>HYPERLINK("https://klasma.github.io/Logging_0482/tillsynsmail/A 1242-2022 tillsynsbegäran mail.docx", "A 1242-2022")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46279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24179-2026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46279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24179-2026 artfynd.xlsx", "A 24179-2026")</f>
        <v/>
      </c>
      <c r="X124">
        <f>HYPERLINK("https://klasma.github.io/Logging_0482/kartor/A 24179-2026 karta.png", "A 24179-2026")</f>
        <v/>
      </c>
      <c r="Y124">
        <f>HYPERLINK("https://klasma.github.io/Logging_0482/kartor_geotiff/A 24179-2026 georefererad karta.tif", "A 24179-2026")</f>
        <v/>
      </c>
      <c r="AA124">
        <f>HYPERLINK("https://klasma.github.io/Logging_0482/klagomål/A 24179-2026 FSC-klagomål.docx", "A 24179-2026")</f>
        <v/>
      </c>
      <c r="AB124">
        <f>HYPERLINK("https://klasma.github.io/Logging_0482/klagomålsmail/A 24179-2026 FSC-klagomål mail.docx", "A 24179-2026")</f>
        <v/>
      </c>
      <c r="AC124">
        <f>HYPERLINK("https://klasma.github.io/Logging_0482/tillsyn/A 24179-2026 tillsynsbegäran.docx", "A 24179-2026")</f>
        <v/>
      </c>
      <c r="AD124">
        <f>HYPERLINK("https://klasma.github.io/Logging_0482/tillsynsmail/A 24179-2026 tillsynsbegäran mail.docx", "A 24179-2026")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46279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14113-2025 artfynd.xlsx", "A 14113-2025")</f>
        <v/>
      </c>
      <c r="X125">
        <f>HYPERLINK("https://klasma.github.io/Logging_0482/kartor/A 14113-2025 karta.png", "A 14113-2025")</f>
        <v/>
      </c>
      <c r="Y125">
        <f>HYPERLINK("https://klasma.github.io/Logging_0482/kartor_geotiff/A 14113-2025 georefererad karta.tif", "A 14113-2025")</f>
        <v/>
      </c>
      <c r="AA125">
        <f>HYPERLINK("https://klasma.github.io/Logging_0482/klagomål/A 14113-2025 FSC-klagomål.docx", "A 14113-2025")</f>
        <v/>
      </c>
      <c r="AB125">
        <f>HYPERLINK("https://klasma.github.io/Logging_0482/klagomålsmail/A 14113-2025 FSC-klagomål mail.docx", "A 14113-2025")</f>
        <v/>
      </c>
      <c r="AC125">
        <f>HYPERLINK("https://klasma.github.io/Logging_0482/tillsyn/A 14113-2025 tillsynsbegäran.docx", "A 14113-2025")</f>
        <v/>
      </c>
      <c r="AD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46279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31427-2022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46279</v>
      </c>
      <c r="F127" t="inlineStr">
        <is>
          <t>SÖDERMANLANDS LÄN</t>
        </is>
      </c>
      <c r="G127" t="inlineStr">
        <is>
          <t>FLEN</t>
        </is>
      </c>
      <c r="I127" t="n">
        <v>3.7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HYPERLINK("https://klasma.github.io/Logging_0482/artfynd/A 31427-2022 artfynd.xlsx", "A 31427-2022")</f>
        <v/>
      </c>
      <c r="X127">
        <f>HYPERLINK("https://klasma.github.io/Logging_0482/kartor/A 31427-2022 karta.png", "A 31427-2022")</f>
        <v/>
      </c>
      <c r="Y127">
        <f>HYPERLINK("https://klasma.github.io/Logging_0482/kartor_geotiff/A 31427-2022 georefererad karta.tif", "A 31427-2022")</f>
        <v/>
      </c>
      <c r="AA127">
        <f>HYPERLINK("https://klasma.github.io/Logging_0482/klagomål/A 31427-2022 FSC-klagomål.docx", "A 31427-2022")</f>
        <v/>
      </c>
      <c r="AB127">
        <f>HYPERLINK("https://klasma.github.io/Logging_0482/klagomålsmail/A 31427-2022 FSC-klagomål mail.docx", "A 31427-2022")</f>
        <v/>
      </c>
      <c r="AC127">
        <f>HYPERLINK("https://klasma.github.io/Logging_0482/tillsyn/A 31427-2022 tillsynsbegäran.docx", "A 31427-2022")</f>
        <v/>
      </c>
      <c r="AD127">
        <f>HYPERLINK("https://klasma.github.io/Logging_0482/tillsynsmail/A 31427-2022 tillsynsbegäran mail.docx", "A 31427-2022")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46279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26310-2026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46279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HYPERLINK("https://klasma.github.io/Logging_0482/artfynd/A 26310-2026 artfynd.xlsx", "A 26310-2026")</f>
        <v/>
      </c>
      <c r="X129">
        <f>HYPERLINK("https://klasma.github.io/Logging_0482/kartor/A 26310-2026 karta.png", "A 26310-2026")</f>
        <v/>
      </c>
      <c r="Y129">
        <f>HYPERLINK("https://klasma.github.io/Logging_0482/kartor_geotiff/A 26310-2026 georefererad karta.tif", "A 26310-2026")</f>
        <v/>
      </c>
      <c r="AA129">
        <f>HYPERLINK("https://klasma.github.io/Logging_0482/klagomål/A 26310-2026 FSC-klagomål.docx", "A 26310-2026")</f>
        <v/>
      </c>
      <c r="AB129">
        <f>HYPERLINK("https://klasma.github.io/Logging_0482/klagomålsmail/A 26310-2026 FSC-klagomål mail.docx", "A 26310-2026")</f>
        <v/>
      </c>
      <c r="AC129">
        <f>HYPERLINK("https://klasma.github.io/Logging_0482/tillsyn/A 26310-2026 tillsynsbegäran.docx", "A 26310-2026")</f>
        <v/>
      </c>
      <c r="AD129">
        <f>HYPERLINK("https://klasma.github.io/Logging_0482/tillsynsmail/A 26310-2026 tillsynsbegäran mail.docx", "A 26310-2026")</f>
        <v/>
      </c>
      <c r="AE129">
        <f>HYPERLINK("https://klasma.github.io/Logging_0482/fåglar/A 26310-2026 prioriterade fågelarter.docx", "A 26310-2026")</f>
        <v/>
      </c>
    </row>
    <row r="130" ht="15" customHeight="1">
      <c r="A130" t="inlineStr">
        <is>
          <t>A 26052-2026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46279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HYPERLINK("https://klasma.github.io/Logging_0482/artfynd/A 26052-2026 artfynd.xlsx", "A 26052-2026")</f>
        <v/>
      </c>
      <c r="X130">
        <f>HYPERLINK("https://klasma.github.io/Logging_0482/kartor/A 26052-2026 karta.png", "A 26052-2026")</f>
        <v/>
      </c>
      <c r="Y130">
        <f>HYPERLINK("https://klasma.github.io/Logging_0482/kartor_geotiff/A 26052-2026 georefererad karta.tif", "A 26052-2026")</f>
        <v/>
      </c>
      <c r="AA130">
        <f>HYPERLINK("https://klasma.github.io/Logging_0482/klagomål/A 26052-2026 FSC-klagomål.docx", "A 26052-2026")</f>
        <v/>
      </c>
      <c r="AB130">
        <f>HYPERLINK("https://klasma.github.io/Logging_0482/klagomålsmail/A 26052-2026 FSC-klagomål mail.docx", "A 26052-2026")</f>
        <v/>
      </c>
      <c r="AC130">
        <f>HYPERLINK("https://klasma.github.io/Logging_0482/tillsyn/A 26052-2026 tillsynsbegäran.docx", "A 26052-2026")</f>
        <v/>
      </c>
      <c r="AD130">
        <f>HYPERLINK("https://klasma.github.io/Logging_0482/tillsynsmail/A 26052-2026 tillsynsbegäran mail.docx", "A 26052-2026")</f>
        <v/>
      </c>
    </row>
    <row r="131" ht="15" customHeight="1">
      <c r="A131" t="inlineStr">
        <is>
          <t>A 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46279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HYPERLINK("https://klasma.github.io/Logging_0482/artfynd/A 6982-2024 artfynd.xlsx", "A 6982-2024")</f>
        <v/>
      </c>
      <c r="X131">
        <f>HYPERLINK("https://klasma.github.io/Logging_0482/kartor/A 6982-2024 karta.png", "A 6982-2024")</f>
        <v/>
      </c>
      <c r="Y131">
        <f>HYPERLINK("https://klasma.github.io/Logging_0482/kartor_geotiff/A 6982-2024 georefererad karta.tif", "A 6982-2024")</f>
        <v/>
      </c>
      <c r="AA131">
        <f>HYPERLINK("https://klasma.github.io/Logging_0482/klagomål/A 6982-2024 FSC-klagomål.docx", "A 6982-2024")</f>
        <v/>
      </c>
      <c r="AB131">
        <f>HYPERLINK("https://klasma.github.io/Logging_0482/klagomålsmail/A 6982-2024 FSC-klagomål mail.docx", "A 6982-2024")</f>
        <v/>
      </c>
      <c r="AC131">
        <f>HYPERLINK("https://klasma.github.io/Logging_0482/tillsyn/A 6982-2024 tillsynsbegäran.docx", "A 6982-2024")</f>
        <v/>
      </c>
      <c r="AD131">
        <f>HYPERLINK("https://klasma.github.io/Logging_0482/tillsynsmail/A 6982-2024 tillsynsbegäran mail.docx", "A 6982-2024")</f>
        <v/>
      </c>
    </row>
    <row r="132" ht="15" customHeight="1">
      <c r="A132" t="inlineStr">
        <is>
          <t>A 53339-2023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46279</v>
      </c>
      <c r="F132" t="inlineStr">
        <is>
          <t>SÖDERMANLANDS LÄN</t>
        </is>
      </c>
      <c r="G132" t="inlineStr">
        <is>
          <t>FLEN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53339-2023 artfynd.xlsx", "A 53339-2023")</f>
        <v/>
      </c>
      <c r="X132">
        <f>HYPERLINK("https://klasma.github.io/Logging_0482/kartor/A 53339-2023 karta.png", "A 53339-2023")</f>
        <v/>
      </c>
      <c r="Y132">
        <f>HYPERLINK("https://klasma.github.io/Logging_0482/kartor_geotiff/A 53339-2023 georefererad karta.tif", "A 53339-2023")</f>
        <v/>
      </c>
      <c r="AA132">
        <f>HYPERLINK("https://klasma.github.io/Logging_0482/klagomål/A 53339-2023 FSC-klagomål.docx", "A 53339-2023")</f>
        <v/>
      </c>
      <c r="AB132">
        <f>HYPERLINK("https://klasma.github.io/Logging_0482/klagomålsmail/A 53339-2023 FSC-klagomål mail.docx", "A 53339-2023")</f>
        <v/>
      </c>
      <c r="AC132">
        <f>HYPERLINK("https://klasma.github.io/Logging_0482/tillsyn/A 53339-2023 tillsynsbegäran.docx", "A 53339-2023")</f>
        <v/>
      </c>
      <c r="AD132">
        <f>HYPERLINK("https://klasma.github.io/Logging_0482/tillsynsmail/A 53339-2023 tillsynsbegäran mail.docx", "A 53339-2023")</f>
        <v/>
      </c>
    </row>
    <row r="133" ht="15" customHeight="1">
      <c r="A133" t="inlineStr">
        <is>
          <t>A 4259-2023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46279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4259-2023 artfynd.xlsx", "A 4259-2023")</f>
        <v/>
      </c>
      <c r="X133">
        <f>HYPERLINK("https://klasma.github.io/Logging_0482/kartor/A 4259-2023 karta.png", "A 4259-2023")</f>
        <v/>
      </c>
      <c r="Y133">
        <f>HYPERLINK("https://klasma.github.io/Logging_0482/kartor_geotiff/A 4259-2023 georefererad karta.tif", "A 4259-2023")</f>
        <v/>
      </c>
      <c r="AA133">
        <f>HYPERLINK("https://klasma.github.io/Logging_0482/klagomål/A 4259-2023 FSC-klagomål.docx", "A 4259-2023")</f>
        <v/>
      </c>
      <c r="AB133">
        <f>HYPERLINK("https://klasma.github.io/Logging_0482/klagomålsmail/A 4259-2023 FSC-klagomål mail.docx", "A 4259-2023")</f>
        <v/>
      </c>
      <c r="AC133">
        <f>HYPERLINK("https://klasma.github.io/Logging_0482/tillsyn/A 4259-2023 tillsynsbegäran.docx", "A 4259-2023")</f>
        <v/>
      </c>
      <c r="AD133">
        <f>HYPERLINK("https://klasma.github.io/Logging_0482/tillsynsmail/A 4259-2023 tillsynsbegäran mail.docx", "A 4259-2023")</f>
        <v/>
      </c>
    </row>
    <row r="134" ht="15" customHeight="1">
      <c r="A134" t="inlineStr">
        <is>
          <t>A 12306-2022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46279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Järnsparv</t>
        </is>
      </c>
      <c r="W134">
        <f>HYPERLINK("https://klasma.github.io/Logging_0482/artfynd/A 12306-2022 artfynd.xlsx", "A 12306-2022")</f>
        <v/>
      </c>
      <c r="X134">
        <f>HYPERLINK("https://klasma.github.io/Logging_0482/kartor/A 12306-2022 karta.png", "A 12306-2022")</f>
        <v/>
      </c>
      <c r="Y134">
        <f>HYPERLINK("https://klasma.github.io/Logging_0482/kartor_geotiff/A 12306-2022 georefererad karta.tif", "A 12306-2022")</f>
        <v/>
      </c>
      <c r="AA134">
        <f>HYPERLINK("https://klasma.github.io/Logging_0482/klagomål/A 12306-2022 FSC-klagomål.docx", "A 12306-2022")</f>
        <v/>
      </c>
      <c r="AB134">
        <f>HYPERLINK("https://klasma.github.io/Logging_0482/klagomålsmail/A 12306-2022 FSC-klagomål mail.docx", "A 12306-2022")</f>
        <v/>
      </c>
      <c r="AC134">
        <f>HYPERLINK("https://klasma.github.io/Logging_0482/tillsyn/A 12306-2022 tillsynsbegäran.docx", "A 12306-2022")</f>
        <v/>
      </c>
      <c r="AD134">
        <f>HYPERLINK("https://klasma.github.io/Logging_0482/tillsynsmail/A 12306-2022 tillsynsbegäran mail.docx", "A 12306-2022")</f>
        <v/>
      </c>
      <c r="AE134">
        <f>HYPERLINK("https://klasma.github.io/Logging_0482/fåglar/A 12306-2022 prioriterade fågelarter.docx", "A 12306-2022")</f>
        <v/>
      </c>
    </row>
    <row r="135" ht="15" customHeight="1">
      <c r="A135" t="inlineStr">
        <is>
          <t>A 46987-2024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46279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HYPERLINK("https://klasma.github.io/Logging_0482/artfynd/A 46987-2024 artfynd.xlsx", "A 46987-2024")</f>
        <v/>
      </c>
      <c r="X135">
        <f>HYPERLINK("https://klasma.github.io/Logging_0482/kartor/A 46987-2024 karta.png", "A 46987-2024")</f>
        <v/>
      </c>
      <c r="Y135">
        <f>HYPERLINK("https://klasma.github.io/Logging_0482/kartor_geotiff/A 46987-2024 georefererad karta.tif", "A 46987-2024")</f>
        <v/>
      </c>
      <c r="AA135">
        <f>HYPERLINK("https://klasma.github.io/Logging_0482/klagomål/A 46987-2024 FSC-klagomål.docx", "A 46987-2024")</f>
        <v/>
      </c>
      <c r="AB135">
        <f>HYPERLINK("https://klasma.github.io/Logging_0482/klagomålsmail/A 46987-2024 FSC-klagomål mail.docx", "A 46987-2024")</f>
        <v/>
      </c>
      <c r="AC135">
        <f>HYPERLINK("https://klasma.github.io/Logging_0482/tillsyn/A 46987-2024 tillsynsbegäran.docx", "A 46987-2024")</f>
        <v/>
      </c>
      <c r="AD135">
        <f>HYPERLINK("https://klasma.github.io/Logging_0482/tillsynsmail/A 46987-2024 tillsynsbegäran mail.docx", "A 46987-2024")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46279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66230-2021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46279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66230-2021 artfynd.xlsx", "A 66230-2021")</f>
        <v/>
      </c>
      <c r="X137">
        <f>HYPERLINK("https://klasma.github.io/Logging_0482/kartor/A 66230-2021 karta.png", "A 66230-2021")</f>
        <v/>
      </c>
      <c r="Y137">
        <f>HYPERLINK("https://klasma.github.io/Logging_0482/kartor_geotiff/A 66230-2021 georefererad karta.tif", "A 66230-2021")</f>
        <v/>
      </c>
      <c r="AA137">
        <f>HYPERLINK("https://klasma.github.io/Logging_0482/klagomål/A 66230-2021 FSC-klagomål.docx", "A 66230-2021")</f>
        <v/>
      </c>
      <c r="AB137">
        <f>HYPERLINK("https://klasma.github.io/Logging_0482/klagomålsmail/A 66230-2021 FSC-klagomål mail.docx", "A 66230-2021")</f>
        <v/>
      </c>
      <c r="AC137">
        <f>HYPERLINK("https://klasma.github.io/Logging_0482/tillsyn/A 66230-2021 tillsynsbegäran.docx", "A 66230-2021")</f>
        <v/>
      </c>
      <c r="AD137">
        <f>HYPERLINK("https://klasma.github.io/Logging_0482/tillsynsmail/A 66230-2021 tillsynsbegäran mail.docx", "A 66230-2021")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46279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34721-2023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46279</v>
      </c>
      <c r="F139" t="inlineStr">
        <is>
          <t>SÖDERMANLANDS LÄN</t>
        </is>
      </c>
      <c r="G139" t="inlineStr">
        <is>
          <t>FLEN</t>
        </is>
      </c>
      <c r="I139" t="n">
        <v>4.1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34721-2023 artfynd.xlsx", "A 34721-2023")</f>
        <v/>
      </c>
      <c r="X139">
        <f>HYPERLINK("https://klasma.github.io/Logging_0482/kartor/A 34721-2023 karta.png", "A 34721-2023")</f>
        <v/>
      </c>
      <c r="Y139">
        <f>HYPERLINK("https://klasma.github.io/Logging_0482/kartor_geotiff/A 34721-2023 georefererad karta.tif", "A 34721-2023")</f>
        <v/>
      </c>
      <c r="AA139">
        <f>HYPERLINK("https://klasma.github.io/Logging_0482/klagomål/A 34721-2023 FSC-klagomål.docx", "A 34721-2023")</f>
        <v/>
      </c>
      <c r="AB139">
        <f>HYPERLINK("https://klasma.github.io/Logging_0482/klagomålsmail/A 34721-2023 FSC-klagomål mail.docx", "A 34721-2023")</f>
        <v/>
      </c>
      <c r="AC139">
        <f>HYPERLINK("https://klasma.github.io/Logging_0482/tillsyn/A 34721-2023 tillsynsbegäran.docx", "A 34721-2023")</f>
        <v/>
      </c>
      <c r="AD139">
        <f>HYPERLINK("https://klasma.github.io/Logging_0482/tillsynsmail/A 34721-2023 tillsynsbegäran mail.docx", "A 34721-2023")</f>
        <v/>
      </c>
    </row>
    <row r="140" ht="15" customHeight="1">
      <c r="A140" t="inlineStr">
        <is>
          <t>A 60591-2022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46279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HYPERLINK("https://klasma.github.io/Logging_0482/artfynd/A 60591-2022 artfynd.xlsx", "A 60591-2022")</f>
        <v/>
      </c>
      <c r="X140">
        <f>HYPERLINK("https://klasma.github.io/Logging_0482/kartor/A 60591-2022 karta.png", "A 60591-2022")</f>
        <v/>
      </c>
      <c r="Y140">
        <f>HYPERLINK("https://klasma.github.io/Logging_0482/kartor_geotiff/A 60591-2022 georefererad karta.tif", "A 60591-2022")</f>
        <v/>
      </c>
      <c r="AA140">
        <f>HYPERLINK("https://klasma.github.io/Logging_0482/klagomål/A 60591-2022 FSC-klagomål.docx", "A 60591-2022")</f>
        <v/>
      </c>
      <c r="AB140">
        <f>HYPERLINK("https://klasma.github.io/Logging_0482/klagomålsmail/A 60591-2022 FSC-klagomål mail.docx", "A 60591-2022")</f>
        <v/>
      </c>
      <c r="AC140">
        <f>HYPERLINK("https://klasma.github.io/Logging_0482/tillsyn/A 60591-2022 tillsynsbegäran.docx", "A 60591-2022")</f>
        <v/>
      </c>
      <c r="AD140">
        <f>HYPERLINK("https://klasma.github.io/Logging_0482/tillsynsmail/A 60591-2022 tillsynsbegäran mail.docx", "A 60591-2022")</f>
        <v/>
      </c>
    </row>
    <row r="141" ht="15" customHeight="1">
      <c r="A141" t="inlineStr">
        <is>
          <t>A 34823-2023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46279</v>
      </c>
      <c r="F141" t="inlineStr">
        <is>
          <t>SÖDERMANLANDS LÄN</t>
        </is>
      </c>
      <c r="G141" t="inlineStr">
        <is>
          <t>FLEN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Mörk dunört</t>
        </is>
      </c>
      <c r="W141">
        <f>HYPERLINK("https://klasma.github.io/Logging_0482/artfynd/A 34823-2023 artfynd.xlsx", "A 34823-2023")</f>
        <v/>
      </c>
      <c r="X141">
        <f>HYPERLINK("https://klasma.github.io/Logging_0482/kartor/A 34823-2023 karta.png", "A 34823-2023")</f>
        <v/>
      </c>
      <c r="Y141">
        <f>HYPERLINK("https://klasma.github.io/Logging_0482/kartor_geotiff/A 34823-2023 georefererad karta.tif", "A 34823-2023")</f>
        <v/>
      </c>
      <c r="AA141">
        <f>HYPERLINK("https://klasma.github.io/Logging_0482/klagomål/A 34823-2023 FSC-klagomål.docx", "A 34823-2023")</f>
        <v/>
      </c>
      <c r="AB141">
        <f>HYPERLINK("https://klasma.github.io/Logging_0482/klagomålsmail/A 34823-2023 FSC-klagomål mail.docx", "A 34823-2023")</f>
        <v/>
      </c>
      <c r="AC141">
        <f>HYPERLINK("https://klasma.github.io/Logging_0482/tillsyn/A 34823-2023 tillsynsbegäran.docx", "A 34823-2023")</f>
        <v/>
      </c>
      <c r="AD141">
        <f>HYPERLINK("https://klasma.github.io/Logging_0482/tillsynsmail/A 34823-2023 tillsynsbegäran mail.docx", "A 34823-2023")</f>
        <v/>
      </c>
    </row>
    <row r="142" ht="15" customHeight="1">
      <c r="A142" t="inlineStr">
        <is>
          <t>A 60529-2024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46279</v>
      </c>
      <c r="F142" t="inlineStr">
        <is>
          <t>SÖDERMANLANDS LÄN</t>
        </is>
      </c>
      <c r="G142" t="inlineStr">
        <is>
          <t>FLEN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Skarp dropptaggsvamp</t>
        </is>
      </c>
      <c r="W142">
        <f>HYPERLINK("https://klasma.github.io/Logging_0482/artfynd/A 60529-2024 artfynd.xlsx", "A 60529-2024")</f>
        <v/>
      </c>
      <c r="X142">
        <f>HYPERLINK("https://klasma.github.io/Logging_0482/kartor/A 60529-2024 karta.png", "A 60529-2024")</f>
        <v/>
      </c>
      <c r="Y142">
        <f>HYPERLINK("https://klasma.github.io/Logging_0482/kartor_geotiff/A 60529-2024 georefererad karta.tif", "A 60529-2024")</f>
        <v/>
      </c>
      <c r="AA142">
        <f>HYPERLINK("https://klasma.github.io/Logging_0482/klagomål/A 60529-2024 FSC-klagomål.docx", "A 60529-2024")</f>
        <v/>
      </c>
      <c r="AB142">
        <f>HYPERLINK("https://klasma.github.io/Logging_0482/klagomålsmail/A 60529-2024 FSC-klagomål mail.docx", "A 60529-2024")</f>
        <v/>
      </c>
      <c r="AC142">
        <f>HYPERLINK("https://klasma.github.io/Logging_0482/tillsyn/A 60529-2024 tillsynsbegäran.docx", "A 60529-2024")</f>
        <v/>
      </c>
      <c r="AD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46279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37283-2024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46279</v>
      </c>
      <c r="F144" t="inlineStr">
        <is>
          <t>SÖDERMANLANDS LÄN</t>
        </is>
      </c>
      <c r="G144" t="inlineStr">
        <is>
          <t>FLEN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37283-2024 artfynd.xlsx", "A 37283-2024")</f>
        <v/>
      </c>
      <c r="X144">
        <f>HYPERLINK("https://klasma.github.io/Logging_0482/kartor/A 37283-2024 karta.png", "A 37283-2024")</f>
        <v/>
      </c>
      <c r="Y144">
        <f>HYPERLINK("https://klasma.github.io/Logging_0482/kartor_geotiff/A 37283-2024 georefererad karta.tif", "A 37283-2024")</f>
        <v/>
      </c>
      <c r="AA144">
        <f>HYPERLINK("https://klasma.github.io/Logging_0482/klagomål/A 37283-2024 FSC-klagomål.docx", "A 37283-2024")</f>
        <v/>
      </c>
      <c r="AB144">
        <f>HYPERLINK("https://klasma.github.io/Logging_0482/klagomålsmail/A 37283-2024 FSC-klagomål mail.docx", "A 37283-2024")</f>
        <v/>
      </c>
      <c r="AC144">
        <f>HYPERLINK("https://klasma.github.io/Logging_0482/tillsyn/A 37283-2024 tillsynsbegäran.docx", "A 37283-2024")</f>
        <v/>
      </c>
      <c r="AD144">
        <f>HYPERLINK("https://klasma.github.io/Logging_0482/tillsynsmail/A 37283-2024 tillsynsbegäran mail.docx", "A 37283-2024")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46279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43008-2023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46279</v>
      </c>
      <c r="F146" t="inlineStr">
        <is>
          <t>SÖDERMANLANDS LÄN</t>
        </is>
      </c>
      <c r="G146" t="inlineStr">
        <is>
          <t>FLEN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Gullklöver</t>
        </is>
      </c>
      <c r="W146">
        <f>HYPERLINK("https://klasma.github.io/Logging_0482/artfynd/A 43008-2023 artfynd.xlsx", "A 43008-2023")</f>
        <v/>
      </c>
      <c r="X146">
        <f>HYPERLINK("https://klasma.github.io/Logging_0482/kartor/A 43008-2023 karta.png", "A 43008-2023")</f>
        <v/>
      </c>
      <c r="Y146">
        <f>HYPERLINK("https://klasma.github.io/Logging_0482/kartor_geotiff/A 43008-2023 georefererad karta.tif", "A 43008-2023")</f>
        <v/>
      </c>
      <c r="AA146">
        <f>HYPERLINK("https://klasma.github.io/Logging_0482/klagomål/A 43008-2023 FSC-klagomål.docx", "A 43008-2023")</f>
        <v/>
      </c>
      <c r="AB146">
        <f>HYPERLINK("https://klasma.github.io/Logging_0482/klagomålsmail/A 43008-2023 FSC-klagomål mail.docx", "A 43008-2023")</f>
        <v/>
      </c>
      <c r="AC146">
        <f>HYPERLINK("https://klasma.github.io/Logging_0482/tillsyn/A 43008-2023 tillsynsbegäran.docx", "A 43008-2023")</f>
        <v/>
      </c>
      <c r="AD146">
        <f>HYPERLINK("https://klasma.github.io/Logging_0482/tillsynsmail/A 43008-2023 tillsynsbegäran mail.docx", "A 43008-2023")</f>
        <v/>
      </c>
    </row>
    <row r="147" ht="15" customHeight="1">
      <c r="A147" t="inlineStr">
        <is>
          <t>A 37317-2023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45156</v>
      </c>
      <c r="E147" s="1" t="n">
        <v>46279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5.1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Svavelriska</t>
        </is>
      </c>
      <c r="W147">
        <f>HYPERLINK("https://klasma.github.io/Logging_0482/artfynd/A 37317-2023 artfynd.xlsx", "A 37317-2023")</f>
        <v/>
      </c>
      <c r="X147">
        <f>HYPERLINK("https://klasma.github.io/Logging_0482/kartor/A 37317-2023 karta.png", "A 37317-2023")</f>
        <v/>
      </c>
      <c r="Y147">
        <f>HYPERLINK("https://klasma.github.io/Logging_0482/kartor_geotiff/A 37317-2023 georefererad karta.tif", "A 37317-2023")</f>
        <v/>
      </c>
      <c r="AA147">
        <f>HYPERLINK("https://klasma.github.io/Logging_0482/klagomål/A 37317-2023 FSC-klagomål.docx", "A 37317-2023")</f>
        <v/>
      </c>
      <c r="AB147">
        <f>HYPERLINK("https://klasma.github.io/Logging_0482/klagomålsmail/A 37317-2023 FSC-klagomål mail.docx", "A 37317-2023")</f>
        <v/>
      </c>
      <c r="AC147">
        <f>HYPERLINK("https://klasma.github.io/Logging_0482/tillsyn/A 37317-2023 tillsynsbegäran.docx", "A 37317-2023")</f>
        <v/>
      </c>
      <c r="AD147">
        <f>HYPERLINK("https://klasma.github.io/Logging_0482/tillsynsmail/A 37317-2023 tillsynsbegäran mail.docx", "A 37317-2023")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46279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46279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46279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46279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46279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46279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46279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46279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46279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46279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46279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46279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46279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46279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46279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46279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46279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46279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46279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46279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46279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46279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46279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46279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46279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46279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46279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46279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44770</v>
      </c>
      <c r="E176" s="1" t="n">
        <v>46279</v>
      </c>
      <c r="F176" t="inlineStr">
        <is>
          <t>SÖDERMANLANDS LÄN</t>
        </is>
      </c>
      <c r="G176" t="inlineStr">
        <is>
          <t>FLEN</t>
        </is>
      </c>
      <c r="H176" t="inlineStr">
        <is>
          <t>Övriga statliga verk och myndigheter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46279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44640</v>
      </c>
      <c r="E178" s="1" t="n">
        <v>46279</v>
      </c>
      <c r="F178" t="inlineStr">
        <is>
          <t>SÖDERMANLANDS LÄN</t>
        </is>
      </c>
      <c r="G178" t="inlineStr">
        <is>
          <t>FLEN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46279</v>
      </c>
      <c r="F179" t="inlineStr">
        <is>
          <t>SÖDERMANLANDS LÄN</t>
        </is>
      </c>
      <c r="G179" t="inlineStr">
        <is>
          <t>FLEN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44725</v>
      </c>
      <c r="E180" s="1" t="n">
        <v>46279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46279</v>
      </c>
      <c r="F181" t="inlineStr">
        <is>
          <t>SÖDERMANLANDS LÄN</t>
        </is>
      </c>
      <c r="G181" t="inlineStr">
        <is>
          <t>FLEN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54840-2021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46279</v>
      </c>
      <c r="F182" t="inlineStr">
        <is>
          <t>SÖDERMANLANDS LÄN</t>
        </is>
      </c>
      <c r="G182" t="inlineStr">
        <is>
          <t>FLEN</t>
        </is>
      </c>
      <c r="H182" t="inlineStr">
        <is>
          <t>Holmen skog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44778</v>
      </c>
      <c r="E183" s="1" t="n">
        <v>46279</v>
      </c>
      <c r="F183" t="inlineStr">
        <is>
          <t>SÖDERMANLANDS LÄN</t>
        </is>
      </c>
      <c r="G183" t="inlineStr">
        <is>
          <t>FLEN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46279</v>
      </c>
      <c r="F184" t="inlineStr">
        <is>
          <t>SÖDERMANLANDS LÄN</t>
        </is>
      </c>
      <c r="G184" t="inlineStr">
        <is>
          <t>FLEN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46279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46279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46279</v>
      </c>
      <c r="F187" t="inlineStr">
        <is>
          <t>SÖDERMANLANDS LÄN</t>
        </is>
      </c>
      <c r="G187" t="inlineStr">
        <is>
          <t>FLEN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46279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46279</v>
      </c>
      <c r="F189" t="inlineStr">
        <is>
          <t>SÖDERMANLANDS LÄN</t>
        </is>
      </c>
      <c r="G189" t="inlineStr">
        <is>
          <t>FLEN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46279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44769</v>
      </c>
      <c r="E191" s="1" t="n">
        <v>46279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46279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44636</v>
      </c>
      <c r="E193" s="1" t="n">
        <v>46279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44752</v>
      </c>
      <c r="E194" s="1" t="n">
        <v>46279</v>
      </c>
      <c r="F194" t="inlineStr">
        <is>
          <t>SÖDERMANLANDS LÄN</t>
        </is>
      </c>
      <c r="G194" t="inlineStr">
        <is>
          <t>FLEN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44752</v>
      </c>
      <c r="E195" s="1" t="n">
        <v>46279</v>
      </c>
      <c r="F195" t="inlineStr">
        <is>
          <t>SÖDERMANLANDS LÄN</t>
        </is>
      </c>
      <c r="G195" t="inlineStr">
        <is>
          <t>FLEN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44566</v>
      </c>
      <c r="E196" s="1" t="n">
        <v>46279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46279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44610</v>
      </c>
      <c r="E198" s="1" t="n">
        <v>46279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44643</v>
      </c>
      <c r="E199" s="1" t="n">
        <v>46279</v>
      </c>
      <c r="F199" t="inlineStr">
        <is>
          <t>SÖDERMANLANDS LÄN</t>
        </is>
      </c>
      <c r="G199" t="inlineStr">
        <is>
          <t>FLEN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46279</v>
      </c>
      <c r="F200" t="inlineStr">
        <is>
          <t>SÖDERMANLANDS LÄN</t>
        </is>
      </c>
      <c r="G200" t="inlineStr">
        <is>
          <t>FLEN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44705</v>
      </c>
      <c r="E201" s="1" t="n">
        <v>46279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46279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46279</v>
      </c>
      <c r="F203" t="inlineStr">
        <is>
          <t>SÖDERMANLANDS LÄN</t>
        </is>
      </c>
      <c r="G203" t="inlineStr">
        <is>
          <t>FLEN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46279</v>
      </c>
      <c r="F204" t="inlineStr">
        <is>
          <t>SÖDERMANLANDS LÄN</t>
        </is>
      </c>
      <c r="G204" t="inlineStr">
        <is>
          <t>FLEN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45311</v>
      </c>
      <c r="E205" s="1" t="n">
        <v>46279</v>
      </c>
      <c r="F205" t="inlineStr">
        <is>
          <t>SÖDERMANLANDS LÄN</t>
        </is>
      </c>
      <c r="G205" t="inlineStr">
        <is>
          <t>FLEN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46279</v>
      </c>
      <c r="F206" t="inlineStr">
        <is>
          <t>SÖDERMANLANDS LÄN</t>
        </is>
      </c>
      <c r="G206" t="inlineStr">
        <is>
          <t>FLEN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46279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46279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45228</v>
      </c>
      <c r="E209" s="1" t="n">
        <v>46279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46279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46279</v>
      </c>
      <c r="F211" t="inlineStr">
        <is>
          <t>SÖDERMANLANDS LÄN</t>
        </is>
      </c>
      <c r="G211" t="inlineStr">
        <is>
          <t>FLEN</t>
        </is>
      </c>
      <c r="H211" t="inlineStr">
        <is>
          <t>Övriga statliga verk och myndigheter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46279</v>
      </c>
      <c r="F212" t="inlineStr">
        <is>
          <t>SÖDERMANLANDS LÄN</t>
        </is>
      </c>
      <c r="G212" t="inlineStr">
        <is>
          <t>FLEN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46279</v>
      </c>
      <c r="F213" t="inlineStr">
        <is>
          <t>SÖDERMANLANDS LÄN</t>
        </is>
      </c>
      <c r="G213" t="inlineStr">
        <is>
          <t>FLEN</t>
        </is>
      </c>
      <c r="H213" t="inlineStr">
        <is>
          <t>Holmen skog AB</t>
        </is>
      </c>
      <c r="I213" t="n">
        <v>14.7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46279</v>
      </c>
      <c r="F214" t="inlineStr">
        <is>
          <t>SÖDERMANLANDS LÄN</t>
        </is>
      </c>
      <c r="G214" t="inlineStr">
        <is>
          <t>FLEN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46279</v>
      </c>
      <c r="F215" t="inlineStr">
        <is>
          <t>SÖDERMANLANDS LÄN</t>
        </is>
      </c>
      <c r="G215" t="inlineStr">
        <is>
          <t>FLEN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46279</v>
      </c>
      <c r="F216" t="inlineStr">
        <is>
          <t>SÖDERMANLANDS LÄN</t>
        </is>
      </c>
      <c r="G216" t="inlineStr">
        <is>
          <t>FLEN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46279</v>
      </c>
      <c r="F217" t="inlineStr">
        <is>
          <t>SÖDERMANLANDS LÄN</t>
        </is>
      </c>
      <c r="G217" t="inlineStr">
        <is>
          <t>FLEN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46279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46279</v>
      </c>
      <c r="F219" t="inlineStr">
        <is>
          <t>SÖDERMANLANDS LÄN</t>
        </is>
      </c>
      <c r="G219" t="inlineStr">
        <is>
          <t>FLEN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46279</v>
      </c>
      <c r="F220" t="inlineStr">
        <is>
          <t>SÖDERMANLANDS LÄN</t>
        </is>
      </c>
      <c r="G220" t="inlineStr">
        <is>
          <t>FLEN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46279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65869-2021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46279</v>
      </c>
      <c r="F222" t="inlineStr">
        <is>
          <t>SÖDERMANLANDS LÄN</t>
        </is>
      </c>
      <c r="G222" t="inlineStr">
        <is>
          <t>FLEN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45256</v>
      </c>
      <c r="E223" s="1" t="n">
        <v>46279</v>
      </c>
      <c r="F223" t="inlineStr">
        <is>
          <t>SÖDERMANLANDS LÄN</t>
        </is>
      </c>
      <c r="G223" t="inlineStr">
        <is>
          <t>FLEN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46279</v>
      </c>
      <c r="F224" t="inlineStr">
        <is>
          <t>SÖDERMANLANDS LÄN</t>
        </is>
      </c>
      <c r="G224" t="inlineStr">
        <is>
          <t>FLEN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46279</v>
      </c>
      <c r="F225" t="inlineStr">
        <is>
          <t>SÖDERMANLANDS LÄN</t>
        </is>
      </c>
      <c r="G225" t="inlineStr">
        <is>
          <t>FLEN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46279</v>
      </c>
      <c r="F226" t="inlineStr">
        <is>
          <t>SÖDERMANLANDS LÄN</t>
        </is>
      </c>
      <c r="G226" t="inlineStr">
        <is>
          <t>FLEN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46279</v>
      </c>
      <c r="F227" t="inlineStr">
        <is>
          <t>SÖDERMANLANDS LÄN</t>
        </is>
      </c>
      <c r="G227" t="inlineStr">
        <is>
          <t>FLEN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45176</v>
      </c>
      <c r="E228" s="1" t="n">
        <v>46279</v>
      </c>
      <c r="F228" t="inlineStr">
        <is>
          <t>SÖDERMANLANDS LÄN</t>
        </is>
      </c>
      <c r="G228" t="inlineStr">
        <is>
          <t>FLEN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46279</v>
      </c>
      <c r="F229" t="inlineStr">
        <is>
          <t>SÖDERMANLANDS LÄN</t>
        </is>
      </c>
      <c r="G229" t="inlineStr">
        <is>
          <t>FLEN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66979-2021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44522</v>
      </c>
      <c r="E230" s="1" t="n">
        <v>46279</v>
      </c>
      <c r="F230" t="inlineStr">
        <is>
          <t>SÖDERMANLANDS LÄN</t>
        </is>
      </c>
      <c r="G230" t="inlineStr">
        <is>
          <t>FLEN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46279</v>
      </c>
      <c r="F231" t="inlineStr">
        <is>
          <t>SÖDERMANLANDS LÄN</t>
        </is>
      </c>
      <c r="G231" t="inlineStr">
        <is>
          <t>FLEN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46279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46279</v>
      </c>
      <c r="F233" t="inlineStr">
        <is>
          <t>SÖDERMANLANDS LÄN</t>
        </is>
      </c>
      <c r="G233" t="inlineStr">
        <is>
          <t>FLEN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46279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46279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44616</v>
      </c>
      <c r="E236" s="1" t="n">
        <v>46279</v>
      </c>
      <c r="F236" t="inlineStr">
        <is>
          <t>SÖDERMANLANDS LÄN</t>
        </is>
      </c>
      <c r="G236" t="inlineStr">
        <is>
          <t>FLEN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46279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44588</v>
      </c>
      <c r="E238" s="1" t="n">
        <v>46279</v>
      </c>
      <c r="F238" t="inlineStr">
        <is>
          <t>SÖDERMANLANDS LÄN</t>
        </is>
      </c>
      <c r="G238" t="inlineStr">
        <is>
          <t>FLEN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44006-2022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46279</v>
      </c>
      <c r="F239" t="inlineStr">
        <is>
          <t>SÖDERMANLANDS LÄN</t>
        </is>
      </c>
      <c r="G239" t="inlineStr">
        <is>
          <t>FLEN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44958</v>
      </c>
      <c r="E240" s="1" t="n">
        <v>46279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46279</v>
      </c>
      <c r="F241" t="inlineStr">
        <is>
          <t>SÖDERMANLANDS LÄN</t>
        </is>
      </c>
      <c r="G241" t="inlineStr">
        <is>
          <t>FLEN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46279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46279</v>
      </c>
      <c r="F243" t="inlineStr">
        <is>
          <t>SÖDERMANLANDS LÄN</t>
        </is>
      </c>
      <c r="G243" t="inlineStr">
        <is>
          <t>FLEN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46279</v>
      </c>
      <c r="F244" t="inlineStr">
        <is>
          <t>SÖDERMANLANDS LÄN</t>
        </is>
      </c>
      <c r="G244" t="inlineStr">
        <is>
          <t>FLEN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46279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45830</v>
      </c>
      <c r="E246" s="1" t="n">
        <v>46279</v>
      </c>
      <c r="F246" t="inlineStr">
        <is>
          <t>SÖDERMANLANDS LÄN</t>
        </is>
      </c>
      <c r="G246" t="inlineStr">
        <is>
          <t>FLEN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45830</v>
      </c>
      <c r="E247" s="1" t="n">
        <v>46279</v>
      </c>
      <c r="F247" t="inlineStr">
        <is>
          <t>SÖDERMANLANDS LÄN</t>
        </is>
      </c>
      <c r="G247" t="inlineStr">
        <is>
          <t>FLEN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44524</v>
      </c>
      <c r="E248" s="1" t="n">
        <v>46279</v>
      </c>
      <c r="F248" t="inlineStr">
        <is>
          <t>SÖDERMANLANDS LÄN</t>
        </is>
      </c>
      <c r="G248" t="inlineStr">
        <is>
          <t>FLEN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46279</v>
      </c>
      <c r="F249" t="inlineStr">
        <is>
          <t>SÖDERMANLANDS LÄN</t>
        </is>
      </c>
      <c r="G249" t="inlineStr">
        <is>
          <t>FLEN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46279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46279</v>
      </c>
      <c r="F251" t="inlineStr">
        <is>
          <t>SÖDERMANLANDS LÄN</t>
        </is>
      </c>
      <c r="G251" t="inlineStr">
        <is>
          <t>FLEN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44986</v>
      </c>
      <c r="E252" s="1" t="n">
        <v>46279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46279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46279</v>
      </c>
      <c r="F254" t="inlineStr">
        <is>
          <t>SÖDERMANLANDS LÄN</t>
        </is>
      </c>
      <c r="G254" t="inlineStr">
        <is>
          <t>FLEN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46279</v>
      </c>
      <c r="F255" t="inlineStr">
        <is>
          <t>SÖDERMANLANDS LÄN</t>
        </is>
      </c>
      <c r="G255" t="inlineStr">
        <is>
          <t>FLEN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46279</v>
      </c>
      <c r="F256" t="inlineStr">
        <is>
          <t>SÖDERMANLANDS LÄN</t>
        </is>
      </c>
      <c r="G256" t="inlineStr">
        <is>
          <t>FLEN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46279</v>
      </c>
      <c r="F257" t="inlineStr">
        <is>
          <t>SÖDERMANLANDS LÄN</t>
        </is>
      </c>
      <c r="G257" t="inlineStr">
        <is>
          <t>FLEN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46279</v>
      </c>
      <c r="F258" t="inlineStr">
        <is>
          <t>SÖDERMANLANDS LÄN</t>
        </is>
      </c>
      <c r="G258" t="inlineStr">
        <is>
          <t>FLEN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46279</v>
      </c>
      <c r="F259" t="inlineStr">
        <is>
          <t>SÖDERMANLANDS LÄN</t>
        </is>
      </c>
      <c r="G259" t="inlineStr">
        <is>
          <t>FLEN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46279</v>
      </c>
      <c r="F260" t="inlineStr">
        <is>
          <t>SÖDERMANLANDS LÄN</t>
        </is>
      </c>
      <c r="G260" t="inlineStr">
        <is>
          <t>FLEN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44899</v>
      </c>
      <c r="E261" s="1" t="n">
        <v>46279</v>
      </c>
      <c r="F261" t="inlineStr">
        <is>
          <t>SÖDERMANLANDS LÄN</t>
        </is>
      </c>
      <c r="G261" t="inlineStr">
        <is>
          <t>FLEN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44911</v>
      </c>
      <c r="E262" s="1" t="n">
        <v>46279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46279</v>
      </c>
      <c r="F263" t="inlineStr">
        <is>
          <t>SÖDERMANLANDS LÄN</t>
        </is>
      </c>
      <c r="G263" t="inlineStr">
        <is>
          <t>FLEN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44761</v>
      </c>
      <c r="E264" s="1" t="n">
        <v>46279</v>
      </c>
      <c r="F264" t="inlineStr">
        <is>
          <t>SÖDERMANLANDS LÄN</t>
        </is>
      </c>
      <c r="G264" t="inlineStr">
        <is>
          <t>FLEN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46279</v>
      </c>
      <c r="F265" t="inlineStr">
        <is>
          <t>SÖDERMANLANDS LÄN</t>
        </is>
      </c>
      <c r="G265" t="inlineStr">
        <is>
          <t>FLEN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46279</v>
      </c>
      <c r="F266" t="inlineStr">
        <is>
          <t>SÖDERMANLANDS LÄN</t>
        </is>
      </c>
      <c r="G266" t="inlineStr">
        <is>
          <t>FLEN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46279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46279</v>
      </c>
      <c r="F268" t="inlineStr">
        <is>
          <t>SÖDERMANLANDS LÄN</t>
        </is>
      </c>
      <c r="G268" t="inlineStr">
        <is>
          <t>FLEN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46279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46279</v>
      </c>
      <c r="F270" t="inlineStr">
        <is>
          <t>SÖDERMANLANDS LÄN</t>
        </is>
      </c>
      <c r="G270" t="inlineStr">
        <is>
          <t>FLEN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44722</v>
      </c>
      <c r="E271" s="1" t="n">
        <v>46279</v>
      </c>
      <c r="F271" t="inlineStr">
        <is>
          <t>SÖDERMANLANDS LÄN</t>
        </is>
      </c>
      <c r="G271" t="inlineStr">
        <is>
          <t>FLEN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46279</v>
      </c>
      <c r="F272" t="inlineStr">
        <is>
          <t>SÖDERMANLANDS LÄN</t>
        </is>
      </c>
      <c r="G272" t="inlineStr">
        <is>
          <t>FLEN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46279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46279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46279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45932</v>
      </c>
      <c r="E276" s="1" t="n">
        <v>46279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46082</v>
      </c>
      <c r="E277" s="1" t="n">
        <v>46279</v>
      </c>
      <c r="F277" t="inlineStr">
        <is>
          <t>SÖDERMANLANDS LÄN</t>
        </is>
      </c>
      <c r="G277" t="inlineStr">
        <is>
          <t>FLEN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46279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46279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46279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46279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46279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46279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46279</v>
      </c>
      <c r="F284" t="inlineStr">
        <is>
          <t>SÖDERMANLANDS LÄN</t>
        </is>
      </c>
      <c r="G284" t="inlineStr">
        <is>
          <t>FLEN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46279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49775-2024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46279</v>
      </c>
      <c r="F286" t="inlineStr">
        <is>
          <t>SÖDERMANLANDS LÄN</t>
        </is>
      </c>
      <c r="G286" t="inlineStr">
        <is>
          <t>FLEN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46279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46279</v>
      </c>
      <c r="F288" t="inlineStr">
        <is>
          <t>SÖDERMANLANDS LÄN</t>
        </is>
      </c>
      <c r="G288" t="inlineStr">
        <is>
          <t>FLEN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46279</v>
      </c>
      <c r="F289" t="inlineStr">
        <is>
          <t>SÖDERMANLANDS LÄN</t>
        </is>
      </c>
      <c r="G289" t="inlineStr">
        <is>
          <t>FLEN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46279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46279</v>
      </c>
      <c r="F291" t="inlineStr">
        <is>
          <t>SÖDERMANLANDS LÄN</t>
        </is>
      </c>
      <c r="G291" t="inlineStr">
        <is>
          <t>FLEN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46279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45030</v>
      </c>
      <c r="E293" s="1" t="n">
        <v>46279</v>
      </c>
      <c r="F293" t="inlineStr">
        <is>
          <t>SÖDERMANLANDS LÄN</t>
        </is>
      </c>
      <c r="G293" t="inlineStr">
        <is>
          <t>FLEN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45713</v>
      </c>
      <c r="E294" s="1" t="n">
        <v>46279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45228</v>
      </c>
      <c r="E295" s="1" t="n">
        <v>46279</v>
      </c>
      <c r="F295" t="inlineStr">
        <is>
          <t>SÖDERMANLANDS LÄN</t>
        </is>
      </c>
      <c r="G295" t="inlineStr">
        <is>
          <t>FLEN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46279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46279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54283-2025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45964</v>
      </c>
      <c r="E298" s="1" t="n">
        <v>46279</v>
      </c>
      <c r="F298" t="inlineStr">
        <is>
          <t>SÖDERMANLANDS LÄN</t>
        </is>
      </c>
      <c r="G298" t="inlineStr">
        <is>
          <t>FLEN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46279</v>
      </c>
      <c r="F299" t="inlineStr">
        <is>
          <t>SÖDERMANLANDS LÄN</t>
        </is>
      </c>
      <c r="G299" t="inlineStr">
        <is>
          <t>FLEN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46279</v>
      </c>
      <c r="F300" t="inlineStr">
        <is>
          <t>SÖDERMANLANDS LÄN</t>
        </is>
      </c>
      <c r="G300" t="inlineStr">
        <is>
          <t>FLEN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66867-2021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44522</v>
      </c>
      <c r="E301" s="1" t="n">
        <v>46279</v>
      </c>
      <c r="F301" t="inlineStr">
        <is>
          <t>SÖDERMANLANDS LÄN</t>
        </is>
      </c>
      <c r="G301" t="inlineStr">
        <is>
          <t>FLEN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46279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46279</v>
      </c>
      <c r="F303" t="inlineStr">
        <is>
          <t>SÖDERMANLANDS LÄN</t>
        </is>
      </c>
      <c r="G303" t="inlineStr">
        <is>
          <t>FLEN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46279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46279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45007</v>
      </c>
      <c r="E306" s="1" t="n">
        <v>46279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45345</v>
      </c>
      <c r="E307" s="1" t="n">
        <v>46279</v>
      </c>
      <c r="F307" t="inlineStr">
        <is>
          <t>SÖDERMANLANDS LÄN</t>
        </is>
      </c>
      <c r="G307" t="inlineStr">
        <is>
          <t>FLEN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46279</v>
      </c>
      <c r="F308" t="inlineStr">
        <is>
          <t>SÖDERMANLANDS LÄN</t>
        </is>
      </c>
      <c r="G308" t="inlineStr">
        <is>
          <t>FLEN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44909</v>
      </c>
      <c r="E309" s="1" t="n">
        <v>46279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46279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18000-2026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46279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44979</v>
      </c>
      <c r="E312" s="1" t="n">
        <v>46279</v>
      </c>
      <c r="F312" t="inlineStr">
        <is>
          <t>SÖDERMANLANDS LÄN</t>
        </is>
      </c>
      <c r="G312" t="inlineStr">
        <is>
          <t>FLEN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45068</v>
      </c>
      <c r="E313" s="1" t="n">
        <v>46279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46279</v>
      </c>
      <c r="F314" t="inlineStr">
        <is>
          <t>SÖDERMANLANDS LÄN</t>
        </is>
      </c>
      <c r="G314" t="inlineStr">
        <is>
          <t>FLEN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46279</v>
      </c>
      <c r="F315" t="inlineStr">
        <is>
          <t>SÖDERMANLANDS LÄN</t>
        </is>
      </c>
      <c r="G315" t="inlineStr">
        <is>
          <t>FLEN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46279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46279</v>
      </c>
      <c r="F317" t="inlineStr">
        <is>
          <t>SÖDERMANLANDS LÄN</t>
        </is>
      </c>
      <c r="G317" t="inlineStr">
        <is>
          <t>FLEN</t>
        </is>
      </c>
      <c r="H317" t="inlineStr">
        <is>
          <t>Övriga statliga verk och myndigheter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46279</v>
      </c>
      <c r="F318" t="inlineStr">
        <is>
          <t>SÖDERMANLANDS LÄN</t>
        </is>
      </c>
      <c r="G318" t="inlineStr">
        <is>
          <t>FLEN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46279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46279</v>
      </c>
      <c r="F320" t="inlineStr">
        <is>
          <t>SÖDERMANLANDS LÄN</t>
        </is>
      </c>
      <c r="G320" t="inlineStr">
        <is>
          <t>FLEN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46279</v>
      </c>
      <c r="F321" t="inlineStr">
        <is>
          <t>SÖDERMANLANDS LÄN</t>
        </is>
      </c>
      <c r="G321" t="inlineStr">
        <is>
          <t>FLEN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46279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46279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46279</v>
      </c>
      <c r="F324" t="inlineStr">
        <is>
          <t>SÖDERMANLANDS LÄN</t>
        </is>
      </c>
      <c r="G324" t="inlineStr">
        <is>
          <t>FLEN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46279</v>
      </c>
      <c r="F325" t="inlineStr">
        <is>
          <t>SÖDERMANLANDS LÄN</t>
        </is>
      </c>
      <c r="G325" t="inlineStr">
        <is>
          <t>FLEN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46279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46279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46279</v>
      </c>
      <c r="F328" t="inlineStr">
        <is>
          <t>SÖDERMANLANDS LÄN</t>
        </is>
      </c>
      <c r="G328" t="inlineStr">
        <is>
          <t>FLEN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46279</v>
      </c>
      <c r="F329" t="inlineStr">
        <is>
          <t>SÖDERMANLANDS LÄN</t>
        </is>
      </c>
      <c r="G329" t="inlineStr">
        <is>
          <t>FLEN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46279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46279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46279</v>
      </c>
      <c r="F332" t="inlineStr">
        <is>
          <t>SÖDERMANLANDS LÄN</t>
        </is>
      </c>
      <c r="G332" t="inlineStr">
        <is>
          <t>FLEN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46279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44864</v>
      </c>
      <c r="E334" s="1" t="n">
        <v>46279</v>
      </c>
      <c r="F334" t="inlineStr">
        <is>
          <t>SÖDERMANLANDS LÄN</t>
        </is>
      </c>
      <c r="G334" t="inlineStr">
        <is>
          <t>FLEN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46279</v>
      </c>
      <c r="F335" t="inlineStr">
        <is>
          <t>SÖDERMANLANDS LÄN</t>
        </is>
      </c>
      <c r="G335" t="inlineStr">
        <is>
          <t>FLEN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46279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45216</v>
      </c>
      <c r="E337" s="1" t="n">
        <v>46279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46279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44466</v>
      </c>
      <c r="E339" s="1" t="n">
        <v>46279</v>
      </c>
      <c r="F339" t="inlineStr">
        <is>
          <t>SÖDERMANLANDS LÄN</t>
        </is>
      </c>
      <c r="G339" t="inlineStr">
        <is>
          <t>FLEN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46279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45260</v>
      </c>
      <c r="E341" s="1" t="n">
        <v>46279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46279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46279</v>
      </c>
      <c r="F343" t="inlineStr">
        <is>
          <t>SÖDERMANLANDS LÄN</t>
        </is>
      </c>
      <c r="G343" t="inlineStr">
        <is>
          <t>FLEN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46279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45034</v>
      </c>
      <c r="E345" s="1" t="n">
        <v>46279</v>
      </c>
      <c r="F345" t="inlineStr">
        <is>
          <t>SÖDERMANLANDS LÄN</t>
        </is>
      </c>
      <c r="G345" t="inlineStr">
        <is>
          <t>FLEN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46279</v>
      </c>
      <c r="F346" t="inlineStr">
        <is>
          <t>SÖDERMANLANDS LÄN</t>
        </is>
      </c>
      <c r="G346" t="inlineStr">
        <is>
          <t>FLEN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46279</v>
      </c>
      <c r="F347" t="inlineStr">
        <is>
          <t>SÖDERMANLANDS LÄN</t>
        </is>
      </c>
      <c r="G347" t="inlineStr">
        <is>
          <t>FLEN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44807</v>
      </c>
      <c r="E348" s="1" t="n">
        <v>46279</v>
      </c>
      <c r="F348" t="inlineStr">
        <is>
          <t>SÖDERMANLANDS LÄN</t>
        </is>
      </c>
      <c r="G348" t="inlineStr">
        <is>
          <t>FLEN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45081</v>
      </c>
      <c r="E349" s="1" t="n">
        <v>46279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45081</v>
      </c>
      <c r="E350" s="1" t="n">
        <v>46279</v>
      </c>
      <c r="F350" t="inlineStr">
        <is>
          <t>SÖDERMANLANDS LÄN</t>
        </is>
      </c>
      <c r="G350" t="inlineStr">
        <is>
          <t>FLEN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46279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46279</v>
      </c>
      <c r="F352" t="inlineStr">
        <is>
          <t>SÖDERMANLANDS LÄN</t>
        </is>
      </c>
      <c r="G352" t="inlineStr">
        <is>
          <t>FLEN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73923-2021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44553</v>
      </c>
      <c r="E353" s="1" t="n">
        <v>46279</v>
      </c>
      <c r="F353" t="inlineStr">
        <is>
          <t>SÖDERMANLANDS LÄN</t>
        </is>
      </c>
      <c r="G353" t="inlineStr">
        <is>
          <t>FLEN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46279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46279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45869</v>
      </c>
      <c r="E356" s="1" t="n">
        <v>46279</v>
      </c>
      <c r="F356" t="inlineStr">
        <is>
          <t>SÖDERMANLANDS LÄN</t>
        </is>
      </c>
      <c r="G356" t="inlineStr">
        <is>
          <t>FLEN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46279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46279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46279</v>
      </c>
      <c r="F359" t="inlineStr">
        <is>
          <t>SÖDERMANLANDS LÄN</t>
        </is>
      </c>
      <c r="G359" t="inlineStr">
        <is>
          <t>FLEN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46279</v>
      </c>
      <c r="F360" t="inlineStr">
        <is>
          <t>SÖDERMANLANDS LÄN</t>
        </is>
      </c>
      <c r="G360" t="inlineStr">
        <is>
          <t>FLEN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46279</v>
      </c>
      <c r="F361" t="inlineStr">
        <is>
          <t>SÖDERMANLANDS LÄN</t>
        </is>
      </c>
      <c r="G361" t="inlineStr">
        <is>
          <t>FLEN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45718</v>
      </c>
      <c r="E362" s="1" t="n">
        <v>46279</v>
      </c>
      <c r="F362" t="inlineStr">
        <is>
          <t>SÖDERMANLANDS LÄN</t>
        </is>
      </c>
      <c r="G362" t="inlineStr">
        <is>
          <t>FLEN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45163</v>
      </c>
      <c r="E363" s="1" t="n">
        <v>46279</v>
      </c>
      <c r="F363" t="inlineStr">
        <is>
          <t>SÖDERMANLANDS LÄN</t>
        </is>
      </c>
      <c r="G363" t="inlineStr">
        <is>
          <t>FLEN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46279</v>
      </c>
      <c r="F364" t="inlineStr">
        <is>
          <t>SÖDERMANLANDS LÄN</t>
        </is>
      </c>
      <c r="G364" t="inlineStr">
        <is>
          <t>FLEN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54666-2021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44473</v>
      </c>
      <c r="E365" s="1" t="n">
        <v>46279</v>
      </c>
      <c r="F365" t="inlineStr">
        <is>
          <t>SÖDERMANLANDS LÄN</t>
        </is>
      </c>
      <c r="G365" t="inlineStr">
        <is>
          <t>FLEN</t>
        </is>
      </c>
      <c r="I365" t="n">
        <v>10.1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10886-2023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44991</v>
      </c>
      <c r="E366" s="1" t="n">
        <v>46279</v>
      </c>
      <c r="F366" t="inlineStr">
        <is>
          <t>SÖDERMANLANDS LÄN</t>
        </is>
      </c>
      <c r="G366" t="inlineStr">
        <is>
          <t>FLEN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46279</v>
      </c>
      <c r="F367" t="inlineStr">
        <is>
          <t>SÖDERMANLANDS LÄN</t>
        </is>
      </c>
      <c r="G367" t="inlineStr">
        <is>
          <t>FLEN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44957</v>
      </c>
      <c r="E368" s="1" t="n">
        <v>46279</v>
      </c>
      <c r="F368" t="inlineStr">
        <is>
          <t>SÖDERMANLANDS LÄN</t>
        </is>
      </c>
      <c r="G368" t="inlineStr">
        <is>
          <t>FLEN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46279</v>
      </c>
      <c r="F369" t="inlineStr">
        <is>
          <t>SÖDERMANLANDS LÄN</t>
        </is>
      </c>
      <c r="G369" t="inlineStr">
        <is>
          <t>FLEN</t>
        </is>
      </c>
      <c r="H369" t="inlineStr">
        <is>
          <t>Övriga statliga verk och myndigheter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44614</v>
      </c>
      <c r="E370" s="1" t="n">
        <v>46279</v>
      </c>
      <c r="F370" t="inlineStr">
        <is>
          <t>SÖDERMANLANDS LÄN</t>
        </is>
      </c>
      <c r="G370" t="inlineStr">
        <is>
          <t>FLEN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46279</v>
      </c>
      <c r="F371" t="inlineStr">
        <is>
          <t>SÖDERMANLANDS LÄN</t>
        </is>
      </c>
      <c r="G371" t="inlineStr">
        <is>
          <t>FLEN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45528</v>
      </c>
      <c r="E372" s="1" t="n">
        <v>46279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72314-2021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44544</v>
      </c>
      <c r="E373" s="1" t="n">
        <v>46279</v>
      </c>
      <c r="F373" t="inlineStr">
        <is>
          <t>SÖDERMANLANDS LÄN</t>
        </is>
      </c>
      <c r="G373" t="inlineStr">
        <is>
          <t>FLEN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45175</v>
      </c>
      <c r="E374" s="1" t="n">
        <v>46279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46279</v>
      </c>
      <c r="F375" t="inlineStr">
        <is>
          <t>SÖDERMANLANDS LÄN</t>
        </is>
      </c>
      <c r="G375" t="inlineStr">
        <is>
          <t>FLEN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46279</v>
      </c>
      <c r="F376" t="inlineStr">
        <is>
          <t>SÖDERMANLANDS LÄN</t>
        </is>
      </c>
      <c r="G376" t="inlineStr">
        <is>
          <t>FLEN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60255-2021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46279</v>
      </c>
      <c r="F377" t="inlineStr">
        <is>
          <t>SÖDERMANLANDS LÄN</t>
        </is>
      </c>
      <c r="G377" t="inlineStr">
        <is>
          <t>FLEN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45327</v>
      </c>
      <c r="E378" s="1" t="n">
        <v>46279</v>
      </c>
      <c r="F378" t="inlineStr">
        <is>
          <t>SÖDERMANLANDS LÄN</t>
        </is>
      </c>
      <c r="G378" t="inlineStr">
        <is>
          <t>FLEN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46279</v>
      </c>
      <c r="F379" t="inlineStr">
        <is>
          <t>SÖDERMANLANDS LÄN</t>
        </is>
      </c>
      <c r="G379" t="inlineStr">
        <is>
          <t>FLEN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46279</v>
      </c>
      <c r="F380" t="inlineStr">
        <is>
          <t>SÖDERMANLANDS LÄN</t>
        </is>
      </c>
      <c r="G380" t="inlineStr">
        <is>
          <t>FLEN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44610</v>
      </c>
      <c r="E381" s="1" t="n">
        <v>46279</v>
      </c>
      <c r="F381" t="inlineStr">
        <is>
          <t>SÖDERMANLANDS LÄN</t>
        </is>
      </c>
      <c r="G381" t="inlineStr">
        <is>
          <t>FLEN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6725-2022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46279</v>
      </c>
      <c r="F382" t="inlineStr">
        <is>
          <t>SÖDERMANLANDS LÄN</t>
        </is>
      </c>
      <c r="G382" t="inlineStr">
        <is>
          <t>FLEN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46279</v>
      </c>
      <c r="F383" t="inlineStr">
        <is>
          <t>SÖDERMANLANDS LÄN</t>
        </is>
      </c>
      <c r="G383" t="inlineStr">
        <is>
          <t>FLEN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46279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45555</v>
      </c>
      <c r="E385" s="1" t="n">
        <v>46279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39335-2023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46279</v>
      </c>
      <c r="F386" t="inlineStr">
        <is>
          <t>SÖDERMANLANDS LÄN</t>
        </is>
      </c>
      <c r="G386" t="inlineStr">
        <is>
          <t>FLEN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45224</v>
      </c>
      <c r="E387" s="1" t="n">
        <v>46279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69588-2021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44531</v>
      </c>
      <c r="E388" s="1" t="n">
        <v>46279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46279</v>
      </c>
      <c r="F389" t="inlineStr">
        <is>
          <t>SÖDERMANLANDS LÄN</t>
        </is>
      </c>
      <c r="G389" t="inlineStr">
        <is>
          <t>FLEN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46279</v>
      </c>
      <c r="F390" t="inlineStr">
        <is>
          <t>SÖDERMANLANDS LÄN</t>
        </is>
      </c>
      <c r="G390" t="inlineStr">
        <is>
          <t>FLEN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46168</v>
      </c>
      <c r="E391" s="1" t="n">
        <v>46279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46279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46279</v>
      </c>
      <c r="F393" t="inlineStr">
        <is>
          <t>SÖDERMANLANDS LÄN</t>
        </is>
      </c>
      <c r="G393" t="inlineStr">
        <is>
          <t>FLEN</t>
        </is>
      </c>
      <c r="H393" t="inlineStr">
        <is>
          <t>Övriga statliga verk och myndigheter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46279</v>
      </c>
      <c r="F394" t="inlineStr">
        <is>
          <t>SÖDERMANLANDS LÄN</t>
        </is>
      </c>
      <c r="G394" t="inlineStr">
        <is>
          <t>FLEN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46279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46279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46279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46279</v>
      </c>
      <c r="F398" t="inlineStr">
        <is>
          <t>SÖDERMANLANDS LÄN</t>
        </is>
      </c>
      <c r="G398" t="inlineStr">
        <is>
          <t>FLEN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48858-2023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46279</v>
      </c>
      <c r="F399" t="inlineStr">
        <is>
          <t>SÖDERMANLANDS LÄN</t>
        </is>
      </c>
      <c r="G399" t="inlineStr">
        <is>
          <t>FLEN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46279</v>
      </c>
      <c r="F400" t="inlineStr">
        <is>
          <t>SÖDERMANLANDS LÄN</t>
        </is>
      </c>
      <c r="G400" t="inlineStr">
        <is>
          <t>FLEN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46279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46279</v>
      </c>
      <c r="F402" t="inlineStr">
        <is>
          <t>SÖDERMANLANDS LÄN</t>
        </is>
      </c>
      <c r="G402" t="inlineStr">
        <is>
          <t>FLEN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45454</v>
      </c>
      <c r="E403" s="1" t="n">
        <v>46279</v>
      </c>
      <c r="F403" t="inlineStr">
        <is>
          <t>SÖDERMANLANDS LÄN</t>
        </is>
      </c>
      <c r="G403" t="inlineStr">
        <is>
          <t>FLEN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54781-2024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45618</v>
      </c>
      <c r="E404" s="1" t="n">
        <v>46279</v>
      </c>
      <c r="F404" t="inlineStr">
        <is>
          <t>SÖDERMANLANDS LÄN</t>
        </is>
      </c>
      <c r="G404" t="inlineStr">
        <is>
          <t>FLEN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46279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  <c r="Z405">
        <f>HYPERLINK("https://klasma.github.io/Logging_0482/knärot/A 24450-2026 karta knärot.png", "A 24450-2026")</f>
        <v/>
      </c>
      <c r="AA405">
        <f>HYPERLINK("https://klasma.github.io/Logging_0482/klagomål/A 24450-2026 FSC-klagomål.docx", "A 24450-2026")</f>
        <v/>
      </c>
      <c r="AB405">
        <f>HYPERLINK("https://klasma.github.io/Logging_0482/klagomålsmail/A 24450-2026 FSC-klagomål mail.docx", "A 24450-2026")</f>
        <v/>
      </c>
      <c r="AC405">
        <f>HYPERLINK("https://klasma.github.io/Logging_0482/tillsyn/A 24450-2026 tillsynsbegäran.docx", "A 24450-2026")</f>
        <v/>
      </c>
      <c r="AD405">
        <f>HYPERLINK("https://klasma.github.io/Logging_0482/tillsynsmail/A 24450-2026 tillsynsbegäran mail.docx", "A 24450-2026")</f>
        <v/>
      </c>
    </row>
    <row r="406" ht="15" customHeight="1">
      <c r="A406" t="inlineStr">
        <is>
          <t>A 14106-2025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45740</v>
      </c>
      <c r="E406" s="1" t="n">
        <v>46279</v>
      </c>
      <c r="F406" t="inlineStr">
        <is>
          <t>SÖDERMANLANDS LÄN</t>
        </is>
      </c>
      <c r="G406" t="inlineStr">
        <is>
          <t>FLEN</t>
        </is>
      </c>
      <c r="H406" t="inlineStr">
        <is>
          <t>Övriga statliga verk och myndigheter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47872-2025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45932</v>
      </c>
      <c r="E407" s="1" t="n">
        <v>46279</v>
      </c>
      <c r="F407" t="inlineStr">
        <is>
          <t>SÖDERMANLANDS LÄN</t>
        </is>
      </c>
      <c r="G407" t="inlineStr">
        <is>
          <t>FLEN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46279</v>
      </c>
      <c r="F408" t="inlineStr">
        <is>
          <t>SÖDERMANLANDS LÄN</t>
        </is>
      </c>
      <c r="G408" t="inlineStr">
        <is>
          <t>FLEN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46279</v>
      </c>
      <c r="F409" t="inlineStr">
        <is>
          <t>SÖDERMANLANDS LÄN</t>
        </is>
      </c>
      <c r="G409" t="inlineStr">
        <is>
          <t>FLEN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44785</v>
      </c>
      <c r="E410" s="1" t="n">
        <v>46279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46279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44846</v>
      </c>
      <c r="E412" s="1" t="n">
        <v>46279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46279</v>
      </c>
      <c r="F413" t="inlineStr">
        <is>
          <t>SÖDERMANLANDS LÄN</t>
        </is>
      </c>
      <c r="G413" t="inlineStr">
        <is>
          <t>FLEN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46279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40286-2023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46279</v>
      </c>
      <c r="F415" t="inlineStr">
        <is>
          <t>SÖDERMANLANDS LÄN</t>
        </is>
      </c>
      <c r="G415" t="inlineStr">
        <is>
          <t>FLEN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46279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44733</v>
      </c>
      <c r="E417" s="1" t="n">
        <v>46279</v>
      </c>
      <c r="F417" t="inlineStr">
        <is>
          <t>SÖDERMANLANDS LÄN</t>
        </is>
      </c>
      <c r="G417" t="inlineStr">
        <is>
          <t>FLEN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46279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46279</v>
      </c>
      <c r="F419" t="inlineStr">
        <is>
          <t>SÖDERMANLANDS LÄN</t>
        </is>
      </c>
      <c r="G419" t="inlineStr">
        <is>
          <t>FLEN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46279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46279</v>
      </c>
      <c r="F421" t="inlineStr">
        <is>
          <t>SÖDERMANLANDS LÄN</t>
        </is>
      </c>
      <c r="G421" t="inlineStr">
        <is>
          <t>FLEN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46279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46279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44887</v>
      </c>
      <c r="E424" s="1" t="n">
        <v>46279</v>
      </c>
      <c r="F424" t="inlineStr">
        <is>
          <t>SÖDERMANLANDS LÄN</t>
        </is>
      </c>
      <c r="G424" t="inlineStr">
        <is>
          <t>FLEN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46279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46279</v>
      </c>
      <c r="F426" t="inlineStr">
        <is>
          <t>SÖDERMANLANDS LÄN</t>
        </is>
      </c>
      <c r="G426" t="inlineStr">
        <is>
          <t>FLEN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46279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46279</v>
      </c>
      <c r="F428" t="inlineStr">
        <is>
          <t>SÖDERMANLANDS LÄN</t>
        </is>
      </c>
      <c r="G428" t="inlineStr">
        <is>
          <t>FLEN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46279</v>
      </c>
      <c r="F429" t="inlineStr">
        <is>
          <t>SÖDERMANLANDS LÄN</t>
        </is>
      </c>
      <c r="G429" t="inlineStr">
        <is>
          <t>FLEN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46279</v>
      </c>
      <c r="F430" t="inlineStr">
        <is>
          <t>SÖDERMANLANDS LÄN</t>
        </is>
      </c>
      <c r="G430" t="inlineStr">
        <is>
          <t>FLEN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46279</v>
      </c>
      <c r="F431" t="inlineStr">
        <is>
          <t>SÖDERMANLANDS LÄN</t>
        </is>
      </c>
      <c r="G431" t="inlineStr">
        <is>
          <t>FLEN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46279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46279</v>
      </c>
      <c r="F433" t="inlineStr">
        <is>
          <t>SÖDERMANLANDS LÄN</t>
        </is>
      </c>
      <c r="G433" t="inlineStr">
        <is>
          <t>FLEN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27304-2026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46279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46279</v>
      </c>
      <c r="F435" t="inlineStr">
        <is>
          <t>SÖDERMANLANDS LÄN</t>
        </is>
      </c>
      <c r="G435" t="inlineStr">
        <is>
          <t>FLEN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46279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44958</v>
      </c>
      <c r="E437" s="1" t="n">
        <v>46279</v>
      </c>
      <c r="F437" t="inlineStr">
        <is>
          <t>SÖDERMANLANDS LÄN</t>
        </is>
      </c>
      <c r="G437" t="inlineStr">
        <is>
          <t>FLEN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51925-2022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44868</v>
      </c>
      <c r="E438" s="1" t="n">
        <v>46279</v>
      </c>
      <c r="F438" t="inlineStr">
        <is>
          <t>SÖDERMANLANDS LÄN</t>
        </is>
      </c>
      <c r="G438" t="inlineStr">
        <is>
          <t>FLEN</t>
        </is>
      </c>
      <c r="H438" t="inlineStr">
        <is>
          <t>Övriga statliga verk och myndigheter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44624</v>
      </c>
      <c r="E439" s="1" t="n">
        <v>46279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10828-2022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44624</v>
      </c>
      <c r="E440" s="1" t="n">
        <v>46279</v>
      </c>
      <c r="F440" t="inlineStr">
        <is>
          <t>SÖDERMANLANDS LÄN</t>
        </is>
      </c>
      <c r="G440" t="inlineStr">
        <is>
          <t>FLEN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16908-2024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45411</v>
      </c>
      <c r="E441" s="1" t="n">
        <v>46279</v>
      </c>
      <c r="F441" t="inlineStr">
        <is>
          <t>SÖDERMANLANDS LÄN</t>
        </is>
      </c>
      <c r="G441" t="inlineStr">
        <is>
          <t>FLEN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7163-2023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46279</v>
      </c>
      <c r="F442" t="inlineStr">
        <is>
          <t>SÖDERMANLANDS LÄN</t>
        </is>
      </c>
      <c r="G442" t="inlineStr">
        <is>
          <t>FLEN</t>
        </is>
      </c>
      <c r="H442" t="inlineStr">
        <is>
          <t>Kommuner</t>
        </is>
      </c>
      <c r="I442" t="n">
        <v>11.2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46279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45244</v>
      </c>
      <c r="E444" s="1" t="n">
        <v>46279</v>
      </c>
      <c r="F444" t="inlineStr">
        <is>
          <t>SÖDERMANLANDS LÄN</t>
        </is>
      </c>
      <c r="G444" t="inlineStr">
        <is>
          <t>FLEN</t>
        </is>
      </c>
      <c r="H444" t="inlineStr">
        <is>
          <t>Övriga statliga verk och myndigheter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46279</v>
      </c>
      <c r="F445" t="inlineStr">
        <is>
          <t>SÖDERMANLANDS LÄN</t>
        </is>
      </c>
      <c r="G445" t="inlineStr">
        <is>
          <t>FLEN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48826-2022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44859</v>
      </c>
      <c r="E446" s="1" t="n">
        <v>46279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45501</v>
      </c>
      <c r="E447" s="1" t="n">
        <v>46279</v>
      </c>
      <c r="F447" t="inlineStr">
        <is>
          <t>SÖDERMANLANDS LÄN</t>
        </is>
      </c>
      <c r="G447" t="inlineStr">
        <is>
          <t>FLEN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46279</v>
      </c>
      <c r="F448" t="inlineStr">
        <is>
          <t>SÖDERMANLANDS LÄN</t>
        </is>
      </c>
      <c r="G448" t="inlineStr">
        <is>
          <t>FLEN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46240</v>
      </c>
      <c r="E449" s="1" t="n">
        <v>46279</v>
      </c>
      <c r="F449" t="inlineStr">
        <is>
          <t>SÖDERMANLANDS LÄN</t>
        </is>
      </c>
      <c r="G449" t="inlineStr">
        <is>
          <t>FLEN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44566</v>
      </c>
      <c r="E450" s="1" t="n">
        <v>46279</v>
      </c>
      <c r="F450" t="inlineStr">
        <is>
          <t>SÖDERMANLANDS LÄN</t>
        </is>
      </c>
      <c r="G450" t="inlineStr">
        <is>
          <t>FLEN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46279</v>
      </c>
      <c r="F451" t="inlineStr">
        <is>
          <t>SÖDERMANLANDS LÄN</t>
        </is>
      </c>
      <c r="G451" t="inlineStr">
        <is>
          <t>FLEN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33000-2026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46279</v>
      </c>
      <c r="F452" t="inlineStr">
        <is>
          <t>SÖDERMANLANDS LÄN</t>
        </is>
      </c>
      <c r="G452" t="inlineStr">
        <is>
          <t>FLEN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44855</v>
      </c>
      <c r="E453" s="1" t="n">
        <v>46279</v>
      </c>
      <c r="F453" t="inlineStr">
        <is>
          <t>SÖDERMANLANDS LÄN</t>
        </is>
      </c>
      <c r="G453" t="inlineStr">
        <is>
          <t>FLEN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48774-2022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44855</v>
      </c>
      <c r="E454" s="1" t="n">
        <v>46279</v>
      </c>
      <c r="F454" t="inlineStr">
        <is>
          <t>SÖDERMANLANDS LÄN</t>
        </is>
      </c>
      <c r="G454" t="inlineStr">
        <is>
          <t>FLEN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45140</v>
      </c>
      <c r="E455" s="1" t="n">
        <v>46279</v>
      </c>
      <c r="F455" t="inlineStr">
        <is>
          <t>SÖDERMANLANDS LÄN</t>
        </is>
      </c>
      <c r="G455" t="inlineStr">
        <is>
          <t>FLEN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46279</v>
      </c>
      <c r="F456" t="inlineStr">
        <is>
          <t>SÖDERMANLANDS LÄN</t>
        </is>
      </c>
      <c r="G456" t="inlineStr">
        <is>
          <t>FLEN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22957-2023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45072</v>
      </c>
      <c r="E457" s="1" t="n">
        <v>46279</v>
      </c>
      <c r="F457" t="inlineStr">
        <is>
          <t>SÖDERMANLANDS LÄN</t>
        </is>
      </c>
      <c r="G457" t="inlineStr">
        <is>
          <t>FLEN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45482</v>
      </c>
      <c r="E458" s="1" t="n">
        <v>46279</v>
      </c>
      <c r="F458" t="inlineStr">
        <is>
          <t>SÖDERMANLANDS LÄN</t>
        </is>
      </c>
      <c r="G458" t="inlineStr">
        <is>
          <t>FLEN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45213</v>
      </c>
      <c r="E459" s="1" t="n">
        <v>46279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46279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33936-2026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46250</v>
      </c>
      <c r="E461" s="1" t="n">
        <v>46279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45510</v>
      </c>
      <c r="E462" s="1" t="n">
        <v>46279</v>
      </c>
      <c r="F462" t="inlineStr">
        <is>
          <t>SÖDERMANLANDS LÄN</t>
        </is>
      </c>
      <c r="G462" t="inlineStr">
        <is>
          <t>FLEN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46279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46279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60937-2022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44914</v>
      </c>
      <c r="E465" s="1" t="n">
        <v>46279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33103-2022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44785</v>
      </c>
      <c r="E466" s="1" t="n">
        <v>46279</v>
      </c>
      <c r="F466" t="inlineStr">
        <is>
          <t>SÖDERMANLANDS LÄN</t>
        </is>
      </c>
      <c r="G466" t="inlineStr">
        <is>
          <t>FLEN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13587-2022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44648</v>
      </c>
      <c r="E467" s="1" t="n">
        <v>46279</v>
      </c>
      <c r="F467" t="inlineStr">
        <is>
          <t>SÖDERMANLANDS LÄN</t>
        </is>
      </c>
      <c r="G467" t="inlineStr">
        <is>
          <t>FLEN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52541-2021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44463</v>
      </c>
      <c r="E468" s="1" t="n">
        <v>46279</v>
      </c>
      <c r="F468" t="inlineStr">
        <is>
          <t>SÖDERMANLANDS LÄN</t>
        </is>
      </c>
      <c r="G468" t="inlineStr">
        <is>
          <t>FLEN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46279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46279</v>
      </c>
      <c r="F470" t="inlineStr">
        <is>
          <t>SÖDERMANLANDS LÄN</t>
        </is>
      </c>
      <c r="G470" t="inlineStr">
        <is>
          <t>FLEN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46253</v>
      </c>
      <c r="E471" s="1" t="n">
        <v>46279</v>
      </c>
      <c r="F471" t="inlineStr">
        <is>
          <t>SÖDERMANLANDS LÄN</t>
        </is>
      </c>
      <c r="G471" t="inlineStr">
        <is>
          <t>FLEN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46279</v>
      </c>
      <c r="F472" t="inlineStr">
        <is>
          <t>SÖDERMANLANDS LÄN</t>
        </is>
      </c>
      <c r="G472" t="inlineStr">
        <is>
          <t>FLEN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46279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44769</v>
      </c>
      <c r="E474" s="1" t="n">
        <v>46279</v>
      </c>
      <c r="F474" t="inlineStr">
        <is>
          <t>SÖDERMANLANDS LÄN</t>
        </is>
      </c>
      <c r="G474" t="inlineStr">
        <is>
          <t>FLEN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46279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46279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46279</v>
      </c>
      <c r="F477" t="inlineStr">
        <is>
          <t>SÖDERMANLANDS LÄN</t>
        </is>
      </c>
      <c r="G477" t="inlineStr">
        <is>
          <t>FLEN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46279</v>
      </c>
      <c r="F478" t="inlineStr">
        <is>
          <t>SÖDERMANLANDS LÄN</t>
        </is>
      </c>
      <c r="G478" t="inlineStr">
        <is>
          <t>FLEN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44872</v>
      </c>
      <c r="E479" s="1" t="n">
        <v>46279</v>
      </c>
      <c r="F479" t="inlineStr">
        <is>
          <t>SÖDERMANLANDS LÄN</t>
        </is>
      </c>
      <c r="G479" t="inlineStr">
        <is>
          <t>FLEN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46252</v>
      </c>
      <c r="E480" s="1" t="n">
        <v>46279</v>
      </c>
      <c r="F480" t="inlineStr">
        <is>
          <t>SÖDERMANLANDS LÄN</t>
        </is>
      </c>
      <c r="G480" t="inlineStr">
        <is>
          <t>FLEN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46279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46279</v>
      </c>
      <c r="F482" t="inlineStr">
        <is>
          <t>SÖDERMANLANDS LÄN</t>
        </is>
      </c>
      <c r="G482" t="inlineStr">
        <is>
          <t>FLEN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46279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56996-2023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46279</v>
      </c>
      <c r="F484" t="inlineStr">
        <is>
          <t>SÖDERMANLANDS LÄN</t>
        </is>
      </c>
      <c r="G484" t="inlineStr">
        <is>
          <t>FLEN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46279</v>
      </c>
      <c r="F485" t="inlineStr">
        <is>
          <t>SÖDERMANLANDS LÄN</t>
        </is>
      </c>
      <c r="G485" t="inlineStr">
        <is>
          <t>FLEN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62579-2023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45270</v>
      </c>
      <c r="E486" s="1" t="n">
        <v>46279</v>
      </c>
      <c r="F486" t="inlineStr">
        <is>
          <t>SÖDERMANLANDS LÄN</t>
        </is>
      </c>
      <c r="G486" t="inlineStr">
        <is>
          <t>FLEN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46279</v>
      </c>
      <c r="F487" t="inlineStr">
        <is>
          <t>SÖDERMANLANDS LÄN</t>
        </is>
      </c>
      <c r="G487" t="inlineStr">
        <is>
          <t>FLEN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45518</v>
      </c>
      <c r="E488" s="1" t="n">
        <v>46279</v>
      </c>
      <c r="F488" t="inlineStr">
        <is>
          <t>SÖDERMANLANDS LÄN</t>
        </is>
      </c>
      <c r="G488" t="inlineStr">
        <is>
          <t>FLEN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45574</v>
      </c>
      <c r="E489" s="1" t="n">
        <v>46279</v>
      </c>
      <c r="F489" t="inlineStr">
        <is>
          <t>SÖDERMANLANDS LÄN</t>
        </is>
      </c>
      <c r="G489" t="inlineStr">
        <is>
          <t>FLEN</t>
        </is>
      </c>
      <c r="H489" t="inlineStr">
        <is>
          <t>Övriga statliga verk och myndigheter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46279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46279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46279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10256-2024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46279</v>
      </c>
      <c r="F493" t="inlineStr">
        <is>
          <t>SÖDERMANLANDS LÄN</t>
        </is>
      </c>
      <c r="G493" t="inlineStr">
        <is>
          <t>FLEN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45299</v>
      </c>
      <c r="E494" s="1" t="n">
        <v>46279</v>
      </c>
      <c r="F494" t="inlineStr">
        <is>
          <t>SÖDERMANLANDS LÄN</t>
        </is>
      </c>
      <c r="G494" t="inlineStr">
        <is>
          <t>FLEN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46279</v>
      </c>
      <c r="F495" t="inlineStr">
        <is>
          <t>SÖDERMANLANDS LÄN</t>
        </is>
      </c>
      <c r="G495" t="inlineStr">
        <is>
          <t>FLEN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45022</v>
      </c>
      <c r="E496" s="1" t="n">
        <v>46279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46279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36096-2023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45149</v>
      </c>
      <c r="E498" s="1" t="n">
        <v>46279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40408-2024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46279</v>
      </c>
      <c r="F499" t="inlineStr">
        <is>
          <t>SÖDERMANLANDS LÄN</t>
        </is>
      </c>
      <c r="G499" t="inlineStr">
        <is>
          <t>FLEN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46279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46279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45331</v>
      </c>
      <c r="E502" s="1" t="n">
        <v>46279</v>
      </c>
      <c r="F502" t="inlineStr">
        <is>
          <t>SÖDERMANLANDS LÄN</t>
        </is>
      </c>
      <c r="G502" t="inlineStr">
        <is>
          <t>FLEN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46229</v>
      </c>
      <c r="E503" s="1" t="n">
        <v>46279</v>
      </c>
      <c r="F503" t="inlineStr">
        <is>
          <t>SÖDERMANLANDS LÄN</t>
        </is>
      </c>
      <c r="G503" t="inlineStr">
        <is>
          <t>FLEN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34612-2023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46279</v>
      </c>
      <c r="F504" t="inlineStr">
        <is>
          <t>SÖDERMANLANDS LÄN</t>
        </is>
      </c>
      <c r="G504" t="inlineStr">
        <is>
          <t>FLEN</t>
        </is>
      </c>
      <c r="H504" t="inlineStr">
        <is>
          <t>Kyrkan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46249</v>
      </c>
      <c r="E505" s="1" t="n">
        <v>46279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46279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46279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46279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46279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46273</v>
      </c>
      <c r="E510" s="1" t="n">
        <v>46279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45066</v>
      </c>
      <c r="E511" s="1" t="n">
        <v>46279</v>
      </c>
      <c r="F511" t="inlineStr">
        <is>
          <t>SÖDERMANLANDS LÄN</t>
        </is>
      </c>
      <c r="G511" t="inlineStr">
        <is>
          <t>FLEN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46279</v>
      </c>
      <c r="F512" t="inlineStr">
        <is>
          <t>SÖDERMANLANDS LÄN</t>
        </is>
      </c>
      <c r="G512" t="inlineStr">
        <is>
          <t>FLEN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46273</v>
      </c>
      <c r="E513" s="1" t="n">
        <v>46279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46279</v>
      </c>
      <c r="F514" t="inlineStr">
        <is>
          <t>SÖDERMANLANDS LÄN</t>
        </is>
      </c>
      <c r="G514" t="inlineStr">
        <is>
          <t>FLEN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46279</v>
      </c>
      <c r="F515" t="inlineStr">
        <is>
          <t>SÖDERMANLANDS LÄN</t>
        </is>
      </c>
      <c r="G515" t="inlineStr">
        <is>
          <t>FLEN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45230</v>
      </c>
      <c r="E516" s="1" t="n">
        <v>46279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14599-2023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45013</v>
      </c>
      <c r="E517" s="1" t="n">
        <v>46279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42731-2024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45566</v>
      </c>
      <c r="E518" s="1" t="n">
        <v>46279</v>
      </c>
      <c r="F518" t="inlineStr">
        <is>
          <t>SÖDERMANLANDS LÄN</t>
        </is>
      </c>
      <c r="G518" t="inlineStr">
        <is>
          <t>FLEN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46279</v>
      </c>
      <c r="F519" t="inlineStr">
        <is>
          <t>SÖDERMANLANDS LÄN</t>
        </is>
      </c>
      <c r="G519" t="inlineStr">
        <is>
          <t>FLEN</t>
        </is>
      </c>
      <c r="H519" t="inlineStr">
        <is>
          <t>Övriga statliga verk och myndigheter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13233-2024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45386</v>
      </c>
      <c r="E520" s="1" t="n">
        <v>46279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20952-2025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45777</v>
      </c>
      <c r="E521" s="1" t="n">
        <v>46279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45350</v>
      </c>
      <c r="E522" s="1" t="n">
        <v>46279</v>
      </c>
      <c r="F522" t="inlineStr">
        <is>
          <t>SÖDERMANLANDS LÄN</t>
        </is>
      </c>
      <c r="G522" t="inlineStr">
        <is>
          <t>FLEN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45252</v>
      </c>
      <c r="E523" s="1" t="n">
        <v>46279</v>
      </c>
      <c r="F523" t="inlineStr">
        <is>
          <t>SÖDERMANLANDS LÄN</t>
        </is>
      </c>
      <c r="G523" t="inlineStr">
        <is>
          <t>FLEN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45008</v>
      </c>
      <c r="E524" s="1" t="n">
        <v>46279</v>
      </c>
      <c r="F524" t="inlineStr">
        <is>
          <t>SÖDERMANLANDS LÄN</t>
        </is>
      </c>
      <c r="G524" t="inlineStr">
        <is>
          <t>FLEN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47055-2022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44852</v>
      </c>
      <c r="E525" s="1" t="n">
        <v>46279</v>
      </c>
      <c r="F525" t="inlineStr">
        <is>
          <t>SÖDERMANLANDS LÄN</t>
        </is>
      </c>
      <c r="G525" t="inlineStr">
        <is>
          <t>FLEN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44883</v>
      </c>
      <c r="E526" s="1" t="n">
        <v>46279</v>
      </c>
      <c r="F526" t="inlineStr">
        <is>
          <t>SÖDERMANLANDS LÄN</t>
        </is>
      </c>
      <c r="G526" t="inlineStr">
        <is>
          <t>FLEN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46279</v>
      </c>
      <c r="F527" t="inlineStr">
        <is>
          <t>SÖDERMANLANDS LÄN</t>
        </is>
      </c>
      <c r="G527" t="inlineStr">
        <is>
          <t>FLEN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22989-2025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46279</v>
      </c>
      <c r="F528" t="inlineStr">
        <is>
          <t>SÖDERMANLANDS LÄN</t>
        </is>
      </c>
      <c r="G528" t="inlineStr">
        <is>
          <t>FLEN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46279</v>
      </c>
      <c r="F529" t="inlineStr">
        <is>
          <t>SÖDERMANLANDS LÄN</t>
        </is>
      </c>
      <c r="G529" t="inlineStr">
        <is>
          <t>FLEN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22998-2025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46279</v>
      </c>
      <c r="F530" t="inlineStr">
        <is>
          <t>SÖDERMANLANDS LÄN</t>
        </is>
      </c>
      <c r="G530" t="inlineStr">
        <is>
          <t>FLEN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45555</v>
      </c>
      <c r="E531" s="1" t="n">
        <v>46279</v>
      </c>
      <c r="F531" t="inlineStr">
        <is>
          <t>SÖDERMANLANDS LÄN</t>
        </is>
      </c>
      <c r="G531" t="inlineStr">
        <is>
          <t>FLEN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46279</v>
      </c>
      <c r="F532" t="inlineStr">
        <is>
          <t>SÖDERMANLANDS LÄN</t>
        </is>
      </c>
      <c r="G532" t="inlineStr">
        <is>
          <t>FLEN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45798</v>
      </c>
      <c r="E533" s="1" t="n">
        <v>46279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46279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46279</v>
      </c>
      <c r="F535" t="inlineStr">
        <is>
          <t>SÖDERMANLANDS LÄN</t>
        </is>
      </c>
      <c r="G535" t="inlineStr">
        <is>
          <t>FLEN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46279</v>
      </c>
      <c r="F536" t="inlineStr">
        <is>
          <t>SÖDERMANLANDS LÄN</t>
        </is>
      </c>
      <c r="G536" t="inlineStr">
        <is>
          <t>FLEN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46279</v>
      </c>
      <c r="F537" t="inlineStr">
        <is>
          <t>SÖDERMANLANDS LÄN</t>
        </is>
      </c>
      <c r="G537" t="inlineStr">
        <is>
          <t>FLEN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46279</v>
      </c>
      <c r="F538" t="inlineStr">
        <is>
          <t>SÖDERMANLANDS LÄN</t>
        </is>
      </c>
      <c r="G538" t="inlineStr">
        <is>
          <t>FLEN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45684</v>
      </c>
      <c r="E539" s="1" t="n">
        <v>46279</v>
      </c>
      <c r="F539" t="inlineStr">
        <is>
          <t>SÖDERMANLANDS LÄN</t>
        </is>
      </c>
      <c r="G539" t="inlineStr">
        <is>
          <t>FLEN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46279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46279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46279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46279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46279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46279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46279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46279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46279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2026-09-14T02:12:12Z</dcterms:created>
  <dcterms:modified xmlns:dcterms="http://purl.org/dc/terms/" xmlns:xsi="http://www.w3.org/2001/XMLSchema-instance" xsi:type="dcterms:W3CDTF">2026-09-14T02:12:13Z</dcterms:modified>
</cp:coreProperties>
</file>