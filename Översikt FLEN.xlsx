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46311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46311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46311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25</v>
      </c>
      <c r="U6" t="n">
        <v>21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46311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46311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46311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46311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46311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46311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16095-2026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46108</v>
      </c>
      <c r="E21" s="1" t="n">
        <v>46311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9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5</v>
      </c>
      <c r="V21" s="2" t="inlineStr">
        <is>
          <t>Bivråk
Brunag
Blåbär
Kärrviol
Missne
Stjärnstarr</t>
        </is>
      </c>
      <c r="W21">
        <f>HYPERLINK("https://klasma.github.io/Logging_0482/artfynd/A 16095-2026 artfynd.xlsx", "A 16095-2026")</f>
        <v/>
      </c>
      <c r="X21">
        <f>HYPERLINK("https://klasma.github.io/Logging_0482/kartor/A 16095-2026 karta.png", "A 16095-2026")</f>
        <v/>
      </c>
      <c r="Y21">
        <f>HYPERLINK("https://klasma.github.io/Logging_0482/kartor_geotiff/A 16095-2026 georefererad karta.tif", "A 16095-2026")</f>
        <v/>
      </c>
      <c r="AA21">
        <f>HYPERLINK("https://klasma.github.io/Logging_0482/klagomål/A 16095-2026 FSC-klagomål.docx", "A 16095-2026")</f>
        <v/>
      </c>
      <c r="AB21">
        <f>HYPERLINK("https://klasma.github.io/Logging_0482/klagomålsmail/A 16095-2026 FSC-klagomål mail.docx", "A 16095-2026")</f>
        <v/>
      </c>
      <c r="AC21">
        <f>HYPERLINK("https://klasma.github.io/Logging_0482/tillsyn/A 16095-2026 tillsynsbegäran.docx", "A 16095-2026")</f>
        <v/>
      </c>
      <c r="AD21">
        <f>HYPERLINK("https://klasma.github.io/Logging_0482/tillsynsmail/A 16095-2026 tillsynsbegäran mail.docx", "A 16095-2026")</f>
        <v/>
      </c>
      <c r="AE21">
        <f>HYPERLINK("https://klasma.github.io/Logging_0482/fåglar/A 16095-2026 prioriterade fågelarter.docx", "A 16095-2026")</f>
        <v/>
      </c>
    </row>
    <row r="22" ht="15" customHeight="1">
      <c r="A22" t="inlineStr">
        <is>
          <t>A 13230-2023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45002</v>
      </c>
      <c r="E22" s="1" t="n">
        <v>46311</v>
      </c>
      <c r="F22" t="inlineStr">
        <is>
          <t>SÖDERMANLANDS LÄN</t>
        </is>
      </c>
      <c r="G22" t="inlineStr">
        <is>
          <t>FLEN</t>
        </is>
      </c>
      <c r="H22" t="inlineStr">
        <is>
          <t>Kommuner</t>
        </is>
      </c>
      <c r="I22" t="n">
        <v>7.8</v>
      </c>
      <c r="J22" t="n">
        <v>1</v>
      </c>
      <c r="K22" t="n">
        <v>4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7</v>
      </c>
      <c r="U22" t="n">
        <v>4</v>
      </c>
      <c r="V22" s="2" t="inlineStr">
        <is>
          <t>Källpraktmossa
Stor aspticka
Thomsons trägnagare
Vågbandad barkbock
Blåsippa
Glansfläck</t>
        </is>
      </c>
      <c r="W22">
        <f>HYPERLINK("https://klasma.github.io/Logging_0482/artfynd/A 13230-2023 artfynd.xlsx", "A 13230-2023")</f>
        <v/>
      </c>
      <c r="X22">
        <f>HYPERLINK("https://klasma.github.io/Logging_0482/kartor/A 13230-2023 karta.png", "A 13230-2023")</f>
        <v/>
      </c>
      <c r="Y22">
        <f>HYPERLINK("https://klasma.github.io/Logging_0482/kartor_geotiff/A 13230-2023 georefererad karta.tif", "A 13230-2023")</f>
        <v/>
      </c>
      <c r="AA22">
        <f>HYPERLINK("https://klasma.github.io/Logging_0482/klagomål/A 13230-2023 FSC-klagomål.docx", "A 13230-2023")</f>
        <v/>
      </c>
      <c r="AB22">
        <f>HYPERLINK("https://klasma.github.io/Logging_0482/klagomålsmail/A 13230-2023 FSC-klagomål mail.docx", "A 13230-2023")</f>
        <v/>
      </c>
      <c r="AC22">
        <f>HYPERLINK("https://klasma.github.io/Logging_0482/tillsyn/A 13230-2023 tillsynsbegäran.docx", "A 13230-2023")</f>
        <v/>
      </c>
      <c r="AD22">
        <f>HYPERLINK("https://klasma.github.io/Logging_0482/tillsynsmail/A 13230-2023 tillsynsbegäran mail.docx", "A 13230-2023")</f>
        <v/>
      </c>
    </row>
    <row r="23" ht="15" customHeight="1">
      <c r="A23" t="inlineStr">
        <is>
          <t>A 2661-2026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46311</v>
      </c>
      <c r="F23" t="inlineStr">
        <is>
          <t>SÖDERMANLANDS LÄN</t>
        </is>
      </c>
      <c r="G23" t="inlineStr">
        <is>
          <t>FLEN</t>
        </is>
      </c>
      <c r="I23" t="n">
        <v>1.1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Blåsippa
Ekbräken
Hultbräken
Liljekonvalj
Majbräken
Grönvit nattviol</t>
        </is>
      </c>
      <c r="W23">
        <f>HYPERLINK("https://klasma.github.io/Logging_0482/artfynd/A 2661-2026 artfynd.xlsx", "A 2661-2026")</f>
        <v/>
      </c>
      <c r="X23">
        <f>HYPERLINK("https://klasma.github.io/Logging_0482/kartor/A 2661-2026 karta.png", "A 2661-2026")</f>
        <v/>
      </c>
      <c r="Y23">
        <f>HYPERLINK("https://klasma.github.io/Logging_0482/kartor_geotiff/A 2661-2026 georefererad karta.tif", "A 2661-2026")</f>
        <v/>
      </c>
      <c r="AA23">
        <f>HYPERLINK("https://klasma.github.io/Logging_0482/klagomål/A 2661-2026 FSC-klagomål.docx", "A 2661-2026")</f>
        <v/>
      </c>
      <c r="AB23">
        <f>HYPERLINK("https://klasma.github.io/Logging_0482/klagomålsmail/A 2661-2026 FSC-klagomål mail.docx", "A 2661-2026")</f>
        <v/>
      </c>
      <c r="AC23">
        <f>HYPERLINK("https://klasma.github.io/Logging_0482/tillsyn/A 2661-2026 tillsynsbegäran.docx", "A 2661-2026")</f>
        <v/>
      </c>
      <c r="AD23">
        <f>HYPERLINK("https://klasma.github.io/Logging_0482/tillsynsmail/A 2661-2026 tillsynsbegäran mail.docx", "A 2661-2026")</f>
        <v/>
      </c>
    </row>
    <row r="24" ht="15" customHeight="1">
      <c r="A24" t="inlineStr">
        <is>
          <t>A 11065-2026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46079</v>
      </c>
      <c r="E24" s="1" t="n">
        <v>46311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4.6</v>
      </c>
      <c r="J24" t="n">
        <v>2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7</v>
      </c>
      <c r="U24" t="n">
        <v>1</v>
      </c>
      <c r="V24" s="2" t="inlineStr">
        <is>
          <t>Gullklöver
Jungfrulin
Svinrot
Asphättemossa
Blåsippa
Gullviva</t>
        </is>
      </c>
      <c r="W24">
        <f>HYPERLINK("https://klasma.github.io/Logging_0482/artfynd/A 11065-2026 artfynd.xlsx", "A 11065-2026")</f>
        <v/>
      </c>
      <c r="X24">
        <f>HYPERLINK("https://klasma.github.io/Logging_0482/kartor/A 11065-2026 karta.png", "A 11065-2026")</f>
        <v/>
      </c>
      <c r="Y24">
        <f>HYPERLINK("https://klasma.github.io/Logging_0482/kartor_geotiff/A 11065-2026 georefererad karta.tif", "A 11065-2026")</f>
        <v/>
      </c>
      <c r="AA24">
        <f>HYPERLINK("https://klasma.github.io/Logging_0482/klagomål/A 11065-2026 FSC-klagomål.docx", "A 11065-2026")</f>
        <v/>
      </c>
      <c r="AB24">
        <f>HYPERLINK("https://klasma.github.io/Logging_0482/klagomålsmail/A 11065-2026 FSC-klagomål mail.docx", "A 11065-2026")</f>
        <v/>
      </c>
      <c r="AC24">
        <f>HYPERLINK("https://klasma.github.io/Logging_0482/tillsyn/A 11065-2026 tillsynsbegäran.docx", "A 11065-2026")</f>
        <v/>
      </c>
      <c r="AD24">
        <f>HYPERLINK("https://klasma.github.io/Logging_0482/tillsynsmail/A 11065-2026 tillsynsbegäran mail.docx", "A 11065-2026")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46311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46311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46311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50343-2024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45600</v>
      </c>
      <c r="E28" s="1" t="n">
        <v>46311</v>
      </c>
      <c r="F28" t="inlineStr">
        <is>
          <t>SÖDERMANLANDS LÄN</t>
        </is>
      </c>
      <c r="G28" t="inlineStr">
        <is>
          <t>FLEN</t>
        </is>
      </c>
      <c r="H28" t="inlineStr">
        <is>
          <t>Övriga statliga verk och myndigheter</t>
        </is>
      </c>
      <c r="I28" t="n">
        <v>3.6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5</v>
      </c>
      <c r="T28" t="n">
        <v>5</v>
      </c>
      <c r="U28" t="n">
        <v>5</v>
      </c>
      <c r="V28" s="2" t="inlineStr">
        <is>
          <t>Svartöra
Tallticka
Blåsippa
Liljekonvalj
Vildkaprifol</t>
        </is>
      </c>
      <c r="W28">
        <f>HYPERLINK("https://klasma.github.io/Logging_0482/artfynd/A 50343-2024 artfynd.xlsx", "A 50343-2024")</f>
        <v/>
      </c>
      <c r="X28">
        <f>HYPERLINK("https://klasma.github.io/Logging_0482/kartor/A 50343-2024 karta.png", "A 50343-2024")</f>
        <v/>
      </c>
      <c r="Y28">
        <f>HYPERLINK("https://klasma.github.io/Logging_0482/kartor_geotiff/A 50343-2024 georefererad karta.tif", "A 50343-2024")</f>
        <v/>
      </c>
      <c r="AA28">
        <f>HYPERLINK("https://klasma.github.io/Logging_0482/klagomål/A 50343-2024 FSC-klagomål.docx", "A 50343-2024")</f>
        <v/>
      </c>
      <c r="AB28">
        <f>HYPERLINK("https://klasma.github.io/Logging_0482/klagomålsmail/A 50343-2024 FSC-klagomål mail.docx", "A 50343-2024")</f>
        <v/>
      </c>
      <c r="AC28">
        <f>HYPERLINK("https://klasma.github.io/Logging_0482/tillsyn/A 50343-2024 tillsynsbegäran.docx", "A 50343-2024")</f>
        <v/>
      </c>
      <c r="AD28">
        <f>HYPERLINK("https://klasma.github.io/Logging_0482/tillsynsmail/A 50343-2024 tillsynsbegäran mail.docx", "A 50343-2024")</f>
        <v/>
      </c>
    </row>
    <row r="29" ht="15" customHeight="1">
      <c r="A29" t="inlineStr">
        <is>
          <t>A 70039-2021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44533</v>
      </c>
      <c r="E29" s="1" t="n">
        <v>46311</v>
      </c>
      <c r="F29" t="inlineStr">
        <is>
          <t>SÖDERMANLANDS LÄN</t>
        </is>
      </c>
      <c r="G29" t="inlineStr">
        <is>
          <t>FLEN</t>
        </is>
      </c>
      <c r="I29" t="n">
        <v>6.7</v>
      </c>
      <c r="J29" t="n">
        <v>1</v>
      </c>
      <c r="K29" t="n">
        <v>0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5</v>
      </c>
      <c r="U29" t="n">
        <v>3</v>
      </c>
      <c r="V29" s="2" t="inlineStr">
        <is>
          <t>Gullklöver
Slåtterfibbla
Svedjenäva
Svinrot
Blåsippa</t>
        </is>
      </c>
      <c r="W29">
        <f>HYPERLINK("https://klasma.github.io/Logging_0482/artfynd/A 70039-2021 artfynd.xlsx", "A 70039-2021")</f>
        <v/>
      </c>
      <c r="X29">
        <f>HYPERLINK("https://klasma.github.io/Logging_0482/kartor/A 70039-2021 karta.png", "A 70039-2021")</f>
        <v/>
      </c>
      <c r="Y29">
        <f>HYPERLINK("https://klasma.github.io/Logging_0482/kartor_geotiff/A 70039-2021 georefererad karta.tif", "A 70039-2021")</f>
        <v/>
      </c>
      <c r="AA29">
        <f>HYPERLINK("https://klasma.github.io/Logging_0482/klagomål/A 70039-2021 FSC-klagomål.docx", "A 70039-2021")</f>
        <v/>
      </c>
      <c r="AB29">
        <f>HYPERLINK("https://klasma.github.io/Logging_0482/klagomålsmail/A 70039-2021 FSC-klagomål mail.docx", "A 70039-2021")</f>
        <v/>
      </c>
      <c r="AC29">
        <f>HYPERLINK("https://klasma.github.io/Logging_0482/tillsyn/A 70039-2021 tillsynsbegäran.docx", "A 70039-2021")</f>
        <v/>
      </c>
      <c r="AD29">
        <f>HYPERLINK("https://klasma.github.io/Logging_0482/tillsynsmail/A 70039-2021 tillsynsbegäran mail.docx", "A 70039-2021")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46311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33219-2024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46311</v>
      </c>
      <c r="F31" t="inlineStr">
        <is>
          <t>SÖDERMANLANDS LÄN</t>
        </is>
      </c>
      <c r="G31" t="inlineStr">
        <is>
          <t>FLEN</t>
        </is>
      </c>
      <c r="I31" t="n">
        <v>2.5</v>
      </c>
      <c r="J31" t="n">
        <v>3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7</v>
      </c>
      <c r="U31" t="n">
        <v>7</v>
      </c>
      <c r="V31" s="2" t="inlineStr">
        <is>
          <t>Knärot
Svinrot
Zontaggsvamp
Blåsippa
Mattlummer</t>
        </is>
      </c>
      <c r="W31">
        <f>HYPERLINK("https://klasma.github.io/Logging_0482/artfynd/A 33219-2024 artfynd.xlsx", "A 33219-2024")</f>
        <v/>
      </c>
      <c r="X31">
        <f>HYPERLINK("https://klasma.github.io/Logging_0482/kartor/A 33219-2024 karta.png", "A 33219-2024")</f>
        <v/>
      </c>
      <c r="Y31">
        <f>HYPERLINK("https://klasma.github.io/Logging_0482/kartor_geotiff/A 33219-2024 georefererad karta.tif", "A 33219-2024")</f>
        <v/>
      </c>
      <c r="Z31">
        <f>HYPERLINK("https://klasma.github.io/Logging_0482/knärot/A 33219-2024 karta knärot.png", "A 33219-2024")</f>
        <v/>
      </c>
      <c r="AA31">
        <f>HYPERLINK("https://klasma.github.io/Logging_0482/klagomål/A 33219-2024 FSC-klagomål.docx", "A 33219-2024")</f>
        <v/>
      </c>
      <c r="AB31">
        <f>HYPERLINK("https://klasma.github.io/Logging_0482/klagomålsmail/A 33219-2024 FSC-klagomål mail.docx", "A 33219-2024")</f>
        <v/>
      </c>
      <c r="AC31">
        <f>HYPERLINK("https://klasma.github.io/Logging_0482/tillsyn/A 33219-2024 tillsynsbegäran.docx", "A 33219-2024")</f>
        <v/>
      </c>
      <c r="AD31">
        <f>HYPERLINK("https://klasma.github.io/Logging_0482/tillsynsmail/A 33219-2024 tillsynsbegäran mail.docx", "A 33219-2024")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46311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48952-2023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46311</v>
      </c>
      <c r="F33" t="inlineStr">
        <is>
          <t>SÖDERMANLANDS LÄN</t>
        </is>
      </c>
      <c r="G33" t="inlineStr">
        <is>
          <t>FLEN</t>
        </is>
      </c>
      <c r="H33" t="inlineStr">
        <is>
          <t>Holmen skog AB</t>
        </is>
      </c>
      <c r="I33" t="n">
        <v>12.8</v>
      </c>
      <c r="J33" t="n">
        <v>0</v>
      </c>
      <c r="K33" t="n">
        <v>2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5</v>
      </c>
      <c r="T33" t="n">
        <v>11</v>
      </c>
      <c r="U33" t="n">
        <v>0</v>
      </c>
      <c r="V33" s="2" t="inlineStr">
        <is>
          <t>Dropptaggsvamp
Tallticka
Vedskivlav
Blåmossa
Grovticka</t>
        </is>
      </c>
      <c r="W33">
        <f>HYPERLINK("https://klasma.github.io/Logging_0482/artfynd/A 48952-2023 artfynd.xlsx", "A 48952-2023")</f>
        <v/>
      </c>
      <c r="X33">
        <f>HYPERLINK("https://klasma.github.io/Logging_0482/kartor/A 48952-2023 karta.png", "A 48952-2023")</f>
        <v/>
      </c>
      <c r="Y33">
        <f>HYPERLINK("https://klasma.github.io/Logging_0482/kartor_geotiff/A 48952-2023 georefererad karta.tif", "A 48952-2023")</f>
        <v/>
      </c>
      <c r="AA33">
        <f>HYPERLINK("https://klasma.github.io/Logging_0482/klagomål/A 48952-2023 FSC-klagomål.docx", "A 48952-2023")</f>
        <v/>
      </c>
      <c r="AB33">
        <f>HYPERLINK("https://klasma.github.io/Logging_0482/klagomålsmail/A 48952-2023 FSC-klagomål mail.docx", "A 48952-2023")</f>
        <v/>
      </c>
      <c r="AC33">
        <f>HYPERLINK("https://klasma.github.io/Logging_0482/tillsyn/A 48952-2023 tillsynsbegäran.docx", "A 48952-2023")</f>
        <v/>
      </c>
      <c r="AD33">
        <f>HYPERLINK("https://klasma.github.io/Logging_0482/tillsynsmail/A 48952-2023 tillsynsbegäran mail.docx", "A 48952-2023")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46311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46311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33225-2024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46311</v>
      </c>
      <c r="F36" t="inlineStr">
        <is>
          <t>SÖDERMANLANDS LÄN</t>
        </is>
      </c>
      <c r="G36" t="inlineStr">
        <is>
          <t>FLEN</t>
        </is>
      </c>
      <c r="I36" t="n">
        <v>0.1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Skogsklocka
Svinrot
Vippärt
Grönvit nattviol</t>
        </is>
      </c>
      <c r="W36">
        <f>HYPERLINK("https://klasma.github.io/Logging_0482/artfynd/A 33225-2024 artfynd.xlsx", "A 33225-2024")</f>
        <v/>
      </c>
      <c r="X36">
        <f>HYPERLINK("https://klasma.github.io/Logging_0482/kartor/A 33225-2024 karta.png", "A 33225-2024")</f>
        <v/>
      </c>
      <c r="Y36">
        <f>HYPERLINK("https://klasma.github.io/Logging_0482/kartor_geotiff/A 33225-2024 georefererad karta.tif", "A 33225-2024")</f>
        <v/>
      </c>
      <c r="AA36">
        <f>HYPERLINK("https://klasma.github.io/Logging_0482/klagomål/A 33225-2024 FSC-klagomål.docx", "A 33225-2024")</f>
        <v/>
      </c>
      <c r="AB36">
        <f>HYPERLINK("https://klasma.github.io/Logging_0482/klagomålsmail/A 33225-2024 FSC-klagomål mail.docx", "A 33225-2024")</f>
        <v/>
      </c>
      <c r="AC36">
        <f>HYPERLINK("https://klasma.github.io/Logging_0482/tillsyn/A 33225-2024 tillsynsbegäran.docx", "A 33225-2024")</f>
        <v/>
      </c>
      <c r="AD36">
        <f>HYPERLINK("https://klasma.github.io/Logging_0482/tillsynsmail/A 33225-2024 tillsynsbegäran mail.docx", "A 33225-2024")</f>
        <v/>
      </c>
    </row>
    <row r="37" ht="15" customHeight="1">
      <c r="A37" t="inlineStr">
        <is>
          <t>A 16503-2026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46311</v>
      </c>
      <c r="F37" t="inlineStr">
        <is>
          <t>SÖDERMANLANDS LÄN</t>
        </is>
      </c>
      <c r="G37" t="inlineStr">
        <is>
          <t>FLEN</t>
        </is>
      </c>
      <c r="I37" t="n">
        <v>0.6</v>
      </c>
      <c r="J37" t="n">
        <v>0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4</v>
      </c>
      <c r="T37" t="n">
        <v>5</v>
      </c>
      <c r="U37" t="n">
        <v>1</v>
      </c>
      <c r="V37" s="2" t="inlineStr">
        <is>
          <t>Sexfläckig bastardsvärmare
Gullklöver
Jungfrulin
Svinrot</t>
        </is>
      </c>
      <c r="W37">
        <f>HYPERLINK("https://klasma.github.io/Logging_0482/artfynd/A 16503-2026 artfynd.xlsx", "A 16503-2026")</f>
        <v/>
      </c>
      <c r="X37">
        <f>HYPERLINK("https://klasma.github.io/Logging_0482/kartor/A 16503-2026 karta.png", "A 16503-2026")</f>
        <v/>
      </c>
      <c r="Y37">
        <f>HYPERLINK("https://klasma.github.io/Logging_0482/kartor_geotiff/A 16503-2026 georefererad karta.tif", "A 16503-2026")</f>
        <v/>
      </c>
      <c r="AA37">
        <f>HYPERLINK("https://klasma.github.io/Logging_0482/klagomål/A 16503-2026 FSC-klagomål.docx", "A 16503-2026")</f>
        <v/>
      </c>
      <c r="AB37">
        <f>HYPERLINK("https://klasma.github.io/Logging_0482/klagomålsmail/A 16503-2026 FSC-klagomål mail.docx", "A 16503-2026")</f>
        <v/>
      </c>
      <c r="AC37">
        <f>HYPERLINK("https://klasma.github.io/Logging_0482/tillsyn/A 16503-2026 tillsynsbegäran.docx", "A 16503-2026")</f>
        <v/>
      </c>
      <c r="AD37">
        <f>HYPERLINK("https://klasma.github.io/Logging_0482/tillsynsmail/A 16503-2026 tillsynsbegäran mail.docx", "A 16503-2026")</f>
        <v/>
      </c>
    </row>
    <row r="38" ht="15" customHeight="1">
      <c r="A38" t="inlineStr">
        <is>
          <t>A 11115-2026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46311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7.8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6</v>
      </c>
      <c r="V38" s="2" t="inlineStr">
        <is>
          <t>Dropptaggsvamp
Fönsterlav
Grå renlav
Gulvit renlav</t>
        </is>
      </c>
      <c r="W38">
        <f>HYPERLINK("https://klasma.github.io/Logging_0482/artfynd/A 11115-2026 artfynd.xlsx", "A 11115-2026")</f>
        <v/>
      </c>
      <c r="X38">
        <f>HYPERLINK("https://klasma.github.io/Logging_0482/kartor/A 11115-2026 karta.png", "A 11115-2026")</f>
        <v/>
      </c>
      <c r="Y38">
        <f>HYPERLINK("https://klasma.github.io/Logging_0482/kartor_geotiff/A 11115-2026 georefererad karta.tif", "A 11115-2026")</f>
        <v/>
      </c>
      <c r="AA38">
        <f>HYPERLINK("https://klasma.github.io/Logging_0482/klagomål/A 11115-2026 FSC-klagomål.docx", "A 11115-2026")</f>
        <v/>
      </c>
      <c r="AB38">
        <f>HYPERLINK("https://klasma.github.io/Logging_0482/klagomålsmail/A 11115-2026 FSC-klagomål mail.docx", "A 11115-2026")</f>
        <v/>
      </c>
      <c r="AC38">
        <f>HYPERLINK("https://klasma.github.io/Logging_0482/tillsyn/A 11115-2026 tillsynsbegäran.docx", "A 11115-2026")</f>
        <v/>
      </c>
      <c r="AD38">
        <f>HYPERLINK("https://klasma.github.io/Logging_0482/tillsynsmail/A 11115-2026 tillsynsbegäran mail.docx", "A 11115-2026")</f>
        <v/>
      </c>
    </row>
    <row r="39" ht="15" customHeight="1">
      <c r="A39" t="inlineStr">
        <is>
          <t>A 49808-2023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45212</v>
      </c>
      <c r="E39" s="1" t="n">
        <v>46311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12.3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1</v>
      </c>
      <c r="V39" s="2" t="inlineStr">
        <is>
          <t>Svedjenäva
Svinrot
Mattlummer
Fläcknycklar</t>
        </is>
      </c>
      <c r="W39">
        <f>HYPERLINK("https://klasma.github.io/Logging_0482/artfynd/A 49808-2023 artfynd.xlsx", "A 49808-2023")</f>
        <v/>
      </c>
      <c r="X39">
        <f>HYPERLINK("https://klasma.github.io/Logging_0482/kartor/A 49808-2023 karta.png", "A 49808-2023")</f>
        <v/>
      </c>
      <c r="Y39">
        <f>HYPERLINK("https://klasma.github.io/Logging_0482/kartor_geotiff/A 49808-2023 georefererad karta.tif", "A 49808-2023")</f>
        <v/>
      </c>
      <c r="AA39">
        <f>HYPERLINK("https://klasma.github.io/Logging_0482/klagomål/A 49808-2023 FSC-klagomål.docx", "A 49808-2023")</f>
        <v/>
      </c>
      <c r="AB39">
        <f>HYPERLINK("https://klasma.github.io/Logging_0482/klagomålsmail/A 49808-2023 FSC-klagomål mail.docx", "A 49808-2023")</f>
        <v/>
      </c>
      <c r="AC39">
        <f>HYPERLINK("https://klasma.github.io/Logging_0482/tillsyn/A 49808-2023 tillsynsbegäran.docx", "A 49808-2023")</f>
        <v/>
      </c>
      <c r="AD39">
        <f>HYPERLINK("https://klasma.github.io/Logging_0482/tillsynsmail/A 49808-2023 tillsynsbegäran mail.docx", "A 49808-2023")</f>
        <v/>
      </c>
    </row>
    <row r="40" ht="15" customHeight="1">
      <c r="A40" t="inlineStr">
        <is>
          <t>A 10107-2023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44986</v>
      </c>
      <c r="E40" s="1" t="n">
        <v>46311</v>
      </c>
      <c r="F40" t="inlineStr">
        <is>
          <t>SÖDERMANLANDS LÄN</t>
        </is>
      </c>
      <c r="G40" t="inlineStr">
        <is>
          <t>FLEN</t>
        </is>
      </c>
      <c r="I40" t="n">
        <v>21.1</v>
      </c>
      <c r="J40" t="n">
        <v>2</v>
      </c>
      <c r="K40" t="n">
        <v>1</v>
      </c>
      <c r="L40" t="n">
        <v>1</v>
      </c>
      <c r="M40" t="n">
        <v>0</v>
      </c>
      <c r="N40" t="n">
        <v>1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Bombmurkla
Svedjenäva
Blåmossa
Mattlummer</t>
        </is>
      </c>
      <c r="W40">
        <f>HYPERLINK("https://klasma.github.io/Logging_0482/artfynd/A 10107-2023 artfynd.xlsx", "A 10107-2023")</f>
        <v/>
      </c>
      <c r="X40">
        <f>HYPERLINK("https://klasma.github.io/Logging_0482/kartor/A 10107-2023 karta.png", "A 10107-2023")</f>
        <v/>
      </c>
      <c r="Y40">
        <f>HYPERLINK("https://klasma.github.io/Logging_0482/kartor_geotiff/A 10107-2023 georefererad karta.tif", "A 10107-2023")</f>
        <v/>
      </c>
      <c r="AA40">
        <f>HYPERLINK("https://klasma.github.io/Logging_0482/klagomål/A 10107-2023 FSC-klagomål.docx", "A 10107-2023")</f>
        <v/>
      </c>
      <c r="AB40">
        <f>HYPERLINK("https://klasma.github.io/Logging_0482/klagomålsmail/A 10107-2023 FSC-klagomål mail.docx", "A 10107-2023")</f>
        <v/>
      </c>
      <c r="AC40">
        <f>HYPERLINK("https://klasma.github.io/Logging_0482/tillsyn/A 10107-2023 tillsynsbegäran.docx", "A 10107-2023")</f>
        <v/>
      </c>
      <c r="AD40">
        <f>HYPERLINK("https://klasma.github.io/Logging_0482/tillsynsmail/A 10107-2023 tillsynsbegäran mail.docx", "A 10107-2023")</f>
        <v/>
      </c>
    </row>
    <row r="41" ht="15" customHeight="1">
      <c r="A41" t="inlineStr">
        <is>
          <t>A 21004-2025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46311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1.8</v>
      </c>
      <c r="J41" t="n">
        <v>0</v>
      </c>
      <c r="K41" t="n">
        <v>1</v>
      </c>
      <c r="L41" t="n">
        <v>2</v>
      </c>
      <c r="M41" t="n">
        <v>0</v>
      </c>
      <c r="N41" t="n">
        <v>1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0</v>
      </c>
      <c r="V41" s="2" t="inlineStr">
        <is>
          <t>Ask
Parknål
Tallticka
Brun nållav</t>
        </is>
      </c>
      <c r="W41">
        <f>HYPERLINK("https://klasma.github.io/Logging_0482/artfynd/A 21004-2025 artfynd.xlsx", "A 21004-2025")</f>
        <v/>
      </c>
      <c r="X41">
        <f>HYPERLINK("https://klasma.github.io/Logging_0482/kartor/A 21004-2025 karta.png", "A 21004-2025")</f>
        <v/>
      </c>
      <c r="Y41">
        <f>HYPERLINK("https://klasma.github.io/Logging_0482/kartor_geotiff/A 21004-2025 georefererad karta.tif", "A 21004-2025")</f>
        <v/>
      </c>
      <c r="AA41">
        <f>HYPERLINK("https://klasma.github.io/Logging_0482/klagomål/A 21004-2025 FSC-klagomål.docx", "A 21004-2025")</f>
        <v/>
      </c>
      <c r="AB41">
        <f>HYPERLINK("https://klasma.github.io/Logging_0482/klagomålsmail/A 21004-2025 FSC-klagomål mail.docx", "A 21004-2025")</f>
        <v/>
      </c>
      <c r="AC41">
        <f>HYPERLINK("https://klasma.github.io/Logging_0482/tillsyn/A 21004-2025 tillsynsbegäran.docx", "A 21004-2025")</f>
        <v/>
      </c>
      <c r="AD41">
        <f>HYPERLINK("https://klasma.github.io/Logging_0482/tillsynsmail/A 21004-2025 tillsynsbegäran mail.docx", "A 21004-2025")</f>
        <v/>
      </c>
    </row>
    <row r="42" ht="15" customHeight="1">
      <c r="A42" t="inlineStr">
        <is>
          <t>A 4290-2026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46044</v>
      </c>
      <c r="E42" s="1" t="n">
        <v>46311</v>
      </c>
      <c r="F42" t="inlineStr">
        <is>
          <t>SÖDERMANLANDS LÄN</t>
        </is>
      </c>
      <c r="G42" t="inlineStr">
        <is>
          <t>FLEN</t>
        </is>
      </c>
      <c r="H42" t="inlineStr">
        <is>
          <t>Övriga statliga verk och myndigheter</t>
        </is>
      </c>
      <c r="I42" t="n">
        <v>3.4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Jungfrulin
Vanlig backsmörblomma
Mindre vattensalamander
Gullviva</t>
        </is>
      </c>
      <c r="W42">
        <f>HYPERLINK("https://klasma.github.io/Logging_0482/artfynd/A 4290-2026 artfynd.xlsx", "A 4290-2026")</f>
        <v/>
      </c>
      <c r="X42">
        <f>HYPERLINK("https://klasma.github.io/Logging_0482/kartor/A 4290-2026 karta.png", "A 4290-2026")</f>
        <v/>
      </c>
      <c r="Y42">
        <f>HYPERLINK("https://klasma.github.io/Logging_0482/kartor_geotiff/A 4290-2026 georefererad karta.tif", "A 4290-2026")</f>
        <v/>
      </c>
      <c r="AA42">
        <f>HYPERLINK("https://klasma.github.io/Logging_0482/klagomål/A 4290-2026 FSC-klagomål.docx", "A 4290-2026")</f>
        <v/>
      </c>
      <c r="AB42">
        <f>HYPERLINK("https://klasma.github.io/Logging_0482/klagomålsmail/A 4290-2026 FSC-klagomål mail.docx", "A 4290-2026")</f>
        <v/>
      </c>
      <c r="AC42">
        <f>HYPERLINK("https://klasma.github.io/Logging_0482/tillsyn/A 4290-2026 tillsynsbegäran.docx", "A 4290-2026")</f>
        <v/>
      </c>
      <c r="AD42">
        <f>HYPERLINK("https://klasma.github.io/Logging_0482/tillsynsmail/A 4290-2026 tillsynsbegäran mail.docx", "A 4290-2026")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46311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2203-2022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46311</v>
      </c>
      <c r="F44" t="inlineStr">
        <is>
          <t>SÖDERMANLANDS LÄN</t>
        </is>
      </c>
      <c r="G44" t="inlineStr">
        <is>
          <t>FLEN</t>
        </is>
      </c>
      <c r="H44" t="inlineStr">
        <is>
          <t>Övriga statliga verk och myndigheter</t>
        </is>
      </c>
      <c r="I44" t="n">
        <v>2.9</v>
      </c>
      <c r="J44" t="n">
        <v>2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Knärot
Grönpyrola
Revlummer</t>
        </is>
      </c>
      <c r="W44">
        <f>HYPERLINK("https://klasma.github.io/Logging_0482/artfynd/A 2203-2022 artfynd.xlsx", "A 2203-2022")</f>
        <v/>
      </c>
      <c r="X44">
        <f>HYPERLINK("https://klasma.github.io/Logging_0482/kartor/A 2203-2022 karta.png", "A 2203-2022")</f>
        <v/>
      </c>
      <c r="Y44">
        <f>HYPERLINK("https://klasma.github.io/Logging_0482/kartor_geotiff/A 2203-2022 georefererad karta.tif", "A 2203-2022")</f>
        <v/>
      </c>
      <c r="Z44">
        <f>HYPERLINK("https://klasma.github.io/Logging_0482/knärot/A 2203-2022 karta knärot.png", "A 2203-2022")</f>
        <v/>
      </c>
      <c r="AA44">
        <f>HYPERLINK("https://klasma.github.io/Logging_0482/klagomål/A 2203-2022 FSC-klagomål.docx", "A 2203-2022")</f>
        <v/>
      </c>
      <c r="AB44">
        <f>HYPERLINK("https://klasma.github.io/Logging_0482/klagomålsmail/A 2203-2022 FSC-klagomål mail.docx", "A 2203-2022")</f>
        <v/>
      </c>
      <c r="AC44">
        <f>HYPERLINK("https://klasma.github.io/Logging_0482/tillsyn/A 2203-2022 tillsynsbegäran.docx", "A 2203-2022")</f>
        <v/>
      </c>
      <c r="AD44">
        <f>HYPERLINK("https://klasma.github.io/Logging_0482/tillsynsmail/A 2203-2022 tillsynsbegäran mail.docx", "A 2203-2022")</f>
        <v/>
      </c>
    </row>
    <row r="45" ht="15" customHeight="1">
      <c r="A45" t="inlineStr">
        <is>
          <t>A 22839-2025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45789</v>
      </c>
      <c r="E45" s="1" t="n">
        <v>46311</v>
      </c>
      <c r="F45" t="inlineStr">
        <is>
          <t>SÖDERMANLANDS LÄN</t>
        </is>
      </c>
      <c r="G45" t="inlineStr">
        <is>
          <t>FLEN</t>
        </is>
      </c>
      <c r="I45" t="n">
        <v>4.5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Blåsippa
Ekbräken
Missne</t>
        </is>
      </c>
      <c r="W45">
        <f>HYPERLINK("https://klasma.github.io/Logging_0482/artfynd/A 22839-2025 artfynd.xlsx", "A 22839-2025")</f>
        <v/>
      </c>
      <c r="X45">
        <f>HYPERLINK("https://klasma.github.io/Logging_0482/kartor/A 22839-2025 karta.png", "A 22839-2025")</f>
        <v/>
      </c>
      <c r="Y45">
        <f>HYPERLINK("https://klasma.github.io/Logging_0482/kartor_geotiff/A 22839-2025 georefererad karta.tif", "A 22839-2025")</f>
        <v/>
      </c>
      <c r="AA45">
        <f>HYPERLINK("https://klasma.github.io/Logging_0482/klagomål/A 22839-2025 FSC-klagomål.docx", "A 22839-2025")</f>
        <v/>
      </c>
      <c r="AB45">
        <f>HYPERLINK("https://klasma.github.io/Logging_0482/klagomålsmail/A 22839-2025 FSC-klagomål mail.docx", "A 22839-2025")</f>
        <v/>
      </c>
      <c r="AC45">
        <f>HYPERLINK("https://klasma.github.io/Logging_0482/tillsyn/A 22839-2025 tillsynsbegäran.docx", "A 22839-2025")</f>
        <v/>
      </c>
      <c r="AD45">
        <f>HYPERLINK("https://klasma.github.io/Logging_0482/tillsynsmail/A 22839-2025 tillsynsbegäran mail.docx", "A 22839-2025")</f>
        <v/>
      </c>
    </row>
    <row r="46" ht="15" customHeight="1">
      <c r="A46" t="inlineStr">
        <is>
          <t>A 63185-2023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45272</v>
      </c>
      <c r="E46" s="1" t="n">
        <v>46311</v>
      </c>
      <c r="F46" t="inlineStr">
        <is>
          <t>SÖDERMANLANDS LÄN</t>
        </is>
      </c>
      <c r="G46" t="inlineStr">
        <is>
          <t>FLEN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4</v>
      </c>
      <c r="U46" t="n">
        <v>3</v>
      </c>
      <c r="V46" s="2" t="inlineStr">
        <is>
          <t>Gullklöver
Majbräken
Sälg</t>
        </is>
      </c>
      <c r="W46">
        <f>HYPERLINK("https://klasma.github.io/Logging_0482/artfynd/A 63185-2023 artfynd.xlsx", "A 63185-2023")</f>
        <v/>
      </c>
      <c r="X46">
        <f>HYPERLINK("https://klasma.github.io/Logging_0482/kartor/A 63185-2023 karta.png", "A 63185-2023")</f>
        <v/>
      </c>
      <c r="Y46">
        <f>HYPERLINK("https://klasma.github.io/Logging_0482/kartor_geotiff/A 63185-2023 georefererad karta.tif", "A 63185-2023")</f>
        <v/>
      </c>
      <c r="AA46">
        <f>HYPERLINK("https://klasma.github.io/Logging_0482/klagomål/A 63185-2023 FSC-klagomål.docx", "A 63185-2023")</f>
        <v/>
      </c>
      <c r="AB46">
        <f>HYPERLINK("https://klasma.github.io/Logging_0482/klagomålsmail/A 63185-2023 FSC-klagomål mail.docx", "A 63185-2023")</f>
        <v/>
      </c>
      <c r="AC46">
        <f>HYPERLINK("https://klasma.github.io/Logging_0482/tillsyn/A 63185-2023 tillsynsbegäran.docx", "A 63185-2023")</f>
        <v/>
      </c>
      <c r="AD46">
        <f>HYPERLINK("https://klasma.github.io/Logging_0482/tillsynsmail/A 63185-2023 tillsynsbegäran mail.docx", "A 63185-2023")</f>
        <v/>
      </c>
    </row>
    <row r="47" ht="15" customHeight="1">
      <c r="A47" t="inlineStr">
        <is>
          <t>A 1149-2025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46311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5.1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Tallkötticka
Grönpyrola
Kamjordstjärna</t>
        </is>
      </c>
      <c r="W47">
        <f>HYPERLINK("https://klasma.github.io/Logging_0482/artfynd/A 1149-2025 artfynd.xlsx", "A 1149-2025")</f>
        <v/>
      </c>
      <c r="X47">
        <f>HYPERLINK("https://klasma.github.io/Logging_0482/kartor/A 1149-2025 karta.png", "A 1149-2025")</f>
        <v/>
      </c>
      <c r="Y47">
        <f>HYPERLINK("https://klasma.github.io/Logging_0482/kartor_geotiff/A 1149-2025 georefererad karta.tif", "A 1149-2025")</f>
        <v/>
      </c>
      <c r="AA47">
        <f>HYPERLINK("https://klasma.github.io/Logging_0482/klagomål/A 1149-2025 FSC-klagomål.docx", "A 1149-2025")</f>
        <v/>
      </c>
      <c r="AB47">
        <f>HYPERLINK("https://klasma.github.io/Logging_0482/klagomålsmail/A 1149-2025 FSC-klagomål mail.docx", "A 1149-2025")</f>
        <v/>
      </c>
      <c r="AC47">
        <f>HYPERLINK("https://klasma.github.io/Logging_0482/tillsyn/A 1149-2025 tillsynsbegäran.docx", "A 1149-2025")</f>
        <v/>
      </c>
      <c r="AD47">
        <f>HYPERLINK("https://klasma.github.io/Logging_0482/tillsynsmail/A 1149-2025 tillsynsbegäran mail.docx", "A 1149-2025")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46311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54302-2025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46311</v>
      </c>
      <c r="F49" t="inlineStr">
        <is>
          <t>SÖDERMANLANDS LÄN</t>
        </is>
      </c>
      <c r="G49" t="inlineStr">
        <is>
          <t>FLEN</t>
        </is>
      </c>
      <c r="I49" t="n">
        <v>12.6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2</v>
      </c>
      <c r="V49" s="2" t="inlineStr">
        <is>
          <t>Dofttaggsvamp
Svinrot
Mattlummer</t>
        </is>
      </c>
      <c r="W49">
        <f>HYPERLINK("https://klasma.github.io/Logging_0482/artfynd/A 54302-2025 artfynd.xlsx", "A 54302-2025")</f>
        <v/>
      </c>
      <c r="X49">
        <f>HYPERLINK("https://klasma.github.io/Logging_0482/kartor/A 54302-2025 karta.png", "A 54302-2025")</f>
        <v/>
      </c>
      <c r="Y49">
        <f>HYPERLINK("https://klasma.github.io/Logging_0482/kartor_geotiff/A 54302-2025 georefererad karta.tif", "A 54302-2025")</f>
        <v/>
      </c>
      <c r="AA49">
        <f>HYPERLINK("https://klasma.github.io/Logging_0482/klagomål/A 54302-2025 FSC-klagomål.docx", "A 54302-2025")</f>
        <v/>
      </c>
      <c r="AB49">
        <f>HYPERLINK("https://klasma.github.io/Logging_0482/klagomålsmail/A 54302-2025 FSC-klagomål mail.docx", "A 54302-2025")</f>
        <v/>
      </c>
      <c r="AC49">
        <f>HYPERLINK("https://klasma.github.io/Logging_0482/tillsyn/A 54302-2025 tillsynsbegäran.docx", "A 54302-2025")</f>
        <v/>
      </c>
      <c r="AD49">
        <f>HYPERLINK("https://klasma.github.io/Logging_0482/tillsynsmail/A 54302-2025 tillsynsbegäran mail.docx", "A 54302-2025")</f>
        <v/>
      </c>
    </row>
    <row r="50" ht="15" customHeight="1">
      <c r="A50" t="inlineStr">
        <is>
          <t>A 33853-2022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44790</v>
      </c>
      <c r="E50" s="1" t="n">
        <v>46311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1.9</v>
      </c>
      <c r="J50" t="n">
        <v>1</v>
      </c>
      <c r="K50" t="n">
        <v>1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1</v>
      </c>
      <c r="V50" s="2" t="inlineStr">
        <is>
          <t>Gullklöver
Sädesärla
Svart trolldruva</t>
        </is>
      </c>
      <c r="W50">
        <f>HYPERLINK("https://klasma.github.io/Logging_0482/artfynd/A 33853-2022 artfynd.xlsx", "A 33853-2022")</f>
        <v/>
      </c>
      <c r="X50">
        <f>HYPERLINK("https://klasma.github.io/Logging_0482/kartor/A 33853-2022 karta.png", "A 33853-2022")</f>
        <v/>
      </c>
      <c r="Y50">
        <f>HYPERLINK("https://klasma.github.io/Logging_0482/kartor_geotiff/A 33853-2022 georefererad karta.tif", "A 33853-2022")</f>
        <v/>
      </c>
      <c r="AA50">
        <f>HYPERLINK("https://klasma.github.io/Logging_0482/klagomål/A 33853-2022 FSC-klagomål.docx", "A 33853-2022")</f>
        <v/>
      </c>
      <c r="AB50">
        <f>HYPERLINK("https://klasma.github.io/Logging_0482/klagomålsmail/A 33853-2022 FSC-klagomål mail.docx", "A 33853-2022")</f>
        <v/>
      </c>
      <c r="AC50">
        <f>HYPERLINK("https://klasma.github.io/Logging_0482/tillsyn/A 33853-2022 tillsynsbegäran.docx", "A 33853-2022")</f>
        <v/>
      </c>
      <c r="AD50">
        <f>HYPERLINK("https://klasma.github.io/Logging_0482/tillsynsmail/A 33853-2022 tillsynsbegäran mail.docx", "A 33853-2022")</f>
        <v/>
      </c>
      <c r="AE50">
        <f>HYPERLINK("https://klasma.github.io/Logging_0482/fåglar/A 33853-2022 prioriterade fågelarter.docx", "A 33853-2022")</f>
        <v/>
      </c>
    </row>
    <row r="51" ht="15" customHeight="1">
      <c r="A51" t="inlineStr">
        <is>
          <t>A 34985-2023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46311</v>
      </c>
      <c r="F51" t="inlineStr">
        <is>
          <t>SÖDERMANLANDS LÄN</t>
        </is>
      </c>
      <c r="G51" t="inlineStr">
        <is>
          <t>FLEN</t>
        </is>
      </c>
      <c r="H51" t="inlineStr">
        <is>
          <t>Övriga statliga verk och myndigheter</t>
        </is>
      </c>
      <c r="I51" t="n">
        <v>2.8</v>
      </c>
      <c r="J51" t="n">
        <v>2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Knärot
Grönpyrola
Revlummer</t>
        </is>
      </c>
      <c r="W51">
        <f>HYPERLINK("https://klasma.github.io/Logging_0482/artfynd/A 34985-2023 artfynd.xlsx", "A 34985-2023")</f>
        <v/>
      </c>
      <c r="X51">
        <f>HYPERLINK("https://klasma.github.io/Logging_0482/kartor/A 34985-2023 karta.png", "A 34985-2023")</f>
        <v/>
      </c>
      <c r="Y51">
        <f>HYPERLINK("https://klasma.github.io/Logging_0482/kartor_geotiff/A 34985-2023 georefererad karta.tif", "A 34985-2023")</f>
        <v/>
      </c>
      <c r="Z51">
        <f>HYPERLINK("https://klasma.github.io/Logging_0482/knärot/A 34985-2023 karta knärot.png", "A 34985-2023")</f>
        <v/>
      </c>
      <c r="AA51">
        <f>HYPERLINK("https://klasma.github.io/Logging_0482/klagomål/A 34985-2023 FSC-klagomål.docx", "A 34985-2023")</f>
        <v/>
      </c>
      <c r="AB51">
        <f>HYPERLINK("https://klasma.github.io/Logging_0482/klagomålsmail/A 34985-2023 FSC-klagomål mail.docx", "A 34985-2023")</f>
        <v/>
      </c>
      <c r="AC51">
        <f>HYPERLINK("https://klasma.github.io/Logging_0482/tillsyn/A 34985-2023 tillsynsbegäran.docx", "A 34985-2023")</f>
        <v/>
      </c>
      <c r="AD51">
        <f>HYPERLINK("https://klasma.github.io/Logging_0482/tillsynsmail/A 34985-2023 tillsynsbegäran mail.docx", "A 34985-2023")</f>
        <v/>
      </c>
    </row>
    <row r="52" ht="15" customHeight="1">
      <c r="A52" t="inlineStr">
        <is>
          <t>A 29895-2026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46311</v>
      </c>
      <c r="F52" t="inlineStr">
        <is>
          <t>SÖDERMANLANDS LÄN</t>
        </is>
      </c>
      <c r="G52" t="inlineStr">
        <is>
          <t>FLEN</t>
        </is>
      </c>
      <c r="I52" t="n">
        <v>0.7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Gullklöver
Svinrot
Revlummer</t>
        </is>
      </c>
      <c r="W52">
        <f>HYPERLINK("https://klasma.github.io/Logging_0482/artfynd/A 29895-2026 artfynd.xlsx", "A 29895-2026")</f>
        <v/>
      </c>
      <c r="X52">
        <f>HYPERLINK("https://klasma.github.io/Logging_0482/kartor/A 29895-2026 karta.png", "A 29895-2026")</f>
        <v/>
      </c>
      <c r="Y52">
        <f>HYPERLINK("https://klasma.github.io/Logging_0482/kartor_geotiff/A 29895-2026 georefererad karta.tif", "A 29895-2026")</f>
        <v/>
      </c>
      <c r="AA52">
        <f>HYPERLINK("https://klasma.github.io/Logging_0482/klagomål/A 29895-2026 FSC-klagomål.docx", "A 29895-2026")</f>
        <v/>
      </c>
      <c r="AB52">
        <f>HYPERLINK("https://klasma.github.io/Logging_0482/klagomålsmail/A 29895-2026 FSC-klagomål mail.docx", "A 29895-2026")</f>
        <v/>
      </c>
      <c r="AC52">
        <f>HYPERLINK("https://klasma.github.io/Logging_0482/tillsyn/A 29895-2026 tillsynsbegäran.docx", "A 29895-2026")</f>
        <v/>
      </c>
      <c r="AD52">
        <f>HYPERLINK("https://klasma.github.io/Logging_0482/tillsynsmail/A 29895-2026 tillsynsbegäran mail.docx", "A 29895-2026")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46311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46311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9539-2026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46311</v>
      </c>
      <c r="F55" t="inlineStr">
        <is>
          <t>SÖDERMANLANDS LÄN</t>
        </is>
      </c>
      <c r="G55" t="inlineStr">
        <is>
          <t>FLEN</t>
        </is>
      </c>
      <c r="I55" t="n">
        <v>7.6</v>
      </c>
      <c r="J55" t="n">
        <v>1</v>
      </c>
      <c r="K55" t="n">
        <v>0</v>
      </c>
      <c r="L55" t="n">
        <v>1</v>
      </c>
      <c r="M55" t="n">
        <v>0</v>
      </c>
      <c r="N55" t="n">
        <v>1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Ask
Slåtterfibbla
Blåsippa</t>
        </is>
      </c>
      <c r="W55">
        <f>HYPERLINK("https://klasma.github.io/Logging_0482/artfynd/A 9539-2026 artfynd.xlsx", "A 9539-2026")</f>
        <v/>
      </c>
      <c r="X55">
        <f>HYPERLINK("https://klasma.github.io/Logging_0482/kartor/A 9539-2026 karta.png", "A 9539-2026")</f>
        <v/>
      </c>
      <c r="Y55">
        <f>HYPERLINK("https://klasma.github.io/Logging_0482/kartor_geotiff/A 9539-2026 georefererad karta.tif", "A 9539-2026")</f>
        <v/>
      </c>
      <c r="AA55">
        <f>HYPERLINK("https://klasma.github.io/Logging_0482/klagomål/A 9539-2026 FSC-klagomål.docx", "A 9539-2026")</f>
        <v/>
      </c>
      <c r="AB55">
        <f>HYPERLINK("https://klasma.github.io/Logging_0482/klagomålsmail/A 9539-2026 FSC-klagomål mail.docx", "A 9539-2026")</f>
        <v/>
      </c>
      <c r="AC55">
        <f>HYPERLINK("https://klasma.github.io/Logging_0482/tillsyn/A 9539-2026 tillsynsbegäran.docx", "A 9539-2026")</f>
        <v/>
      </c>
      <c r="AD55">
        <f>HYPERLINK("https://klasma.github.io/Logging_0482/tillsynsmail/A 9539-2026 tillsynsbegäran mail.docx", "A 9539-2026")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46311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46311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46311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46311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46311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46311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50215-2022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46311</v>
      </c>
      <c r="F62" t="inlineStr">
        <is>
          <t>SÖDERMANLANDS LÄN</t>
        </is>
      </c>
      <c r="G62" t="inlineStr">
        <is>
          <t>FLEN</t>
        </is>
      </c>
      <c r="H62" t="inlineStr">
        <is>
          <t>Kyrkan</t>
        </is>
      </c>
      <c r="I62" t="n">
        <v>2.2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1</v>
      </c>
      <c r="V62" s="2" t="inlineStr">
        <is>
          <t>Knärot
Äkta lopplummer</t>
        </is>
      </c>
      <c r="W62">
        <f>HYPERLINK("https://klasma.github.io/Logging_0482/artfynd/A 50215-2022 artfynd.xlsx", "A 50215-2022")</f>
        <v/>
      </c>
      <c r="X62">
        <f>HYPERLINK("https://klasma.github.io/Logging_0482/kartor/A 50215-2022 karta.png", "A 50215-2022")</f>
        <v/>
      </c>
      <c r="Y62">
        <f>HYPERLINK("https://klasma.github.io/Logging_0482/kartor_geotiff/A 50215-2022 georefererad karta.tif", "A 50215-2022")</f>
        <v/>
      </c>
      <c r="Z62">
        <f>HYPERLINK("https://klasma.github.io/Logging_0482/knärot/A 50215-2022 karta knärot.png", "A 50215-2022")</f>
        <v/>
      </c>
      <c r="AA62">
        <f>HYPERLINK("https://klasma.github.io/Logging_0482/klagomål/A 50215-2022 FSC-klagomål.docx", "A 50215-2022")</f>
        <v/>
      </c>
      <c r="AB62">
        <f>HYPERLINK("https://klasma.github.io/Logging_0482/klagomålsmail/A 50215-2022 FSC-klagomål mail.docx", "A 50215-2022")</f>
        <v/>
      </c>
      <c r="AC62">
        <f>HYPERLINK("https://klasma.github.io/Logging_0482/tillsyn/A 50215-2022 tillsynsbegäran.docx", "A 50215-2022")</f>
        <v/>
      </c>
      <c r="AD62">
        <f>HYPERLINK("https://klasma.github.io/Logging_0482/tillsynsmail/A 50215-2022 tillsynsbegäran mail.docx", "A 50215-2022")</f>
        <v/>
      </c>
    </row>
    <row r="63" ht="15" customHeight="1">
      <c r="A63" t="inlineStr">
        <is>
          <t>A 15452-2024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46311</v>
      </c>
      <c r="F63" t="inlineStr">
        <is>
          <t>SÖDERMANLANDS LÄN</t>
        </is>
      </c>
      <c r="G63" t="inlineStr">
        <is>
          <t>FLEN</t>
        </is>
      </c>
      <c r="I63" t="n">
        <v>3.5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Svinrot
Älg</t>
        </is>
      </c>
      <c r="W63">
        <f>HYPERLINK("https://klasma.github.io/Logging_0482/artfynd/A 15452-2024 artfynd.xlsx", "A 15452-2024")</f>
        <v/>
      </c>
      <c r="X63">
        <f>HYPERLINK("https://klasma.github.io/Logging_0482/kartor/A 15452-2024 karta.png", "A 15452-2024")</f>
        <v/>
      </c>
      <c r="Y63">
        <f>HYPERLINK("https://klasma.github.io/Logging_0482/kartor_geotiff/A 15452-2024 georefererad karta.tif", "A 15452-2024")</f>
        <v/>
      </c>
      <c r="AA63">
        <f>HYPERLINK("https://klasma.github.io/Logging_0482/klagomål/A 15452-2024 FSC-klagomål.docx", "A 15452-2024")</f>
        <v/>
      </c>
      <c r="AB63">
        <f>HYPERLINK("https://klasma.github.io/Logging_0482/klagomålsmail/A 15452-2024 FSC-klagomål mail.docx", "A 15452-2024")</f>
        <v/>
      </c>
      <c r="AC63">
        <f>HYPERLINK("https://klasma.github.io/Logging_0482/tillsyn/A 15452-2024 tillsynsbegäran.docx", "A 15452-2024")</f>
        <v/>
      </c>
      <c r="AD63">
        <f>HYPERLINK("https://klasma.github.io/Logging_0482/tillsynsmail/A 15452-2024 tillsynsbegäran mail.docx", "A 15452-2024")</f>
        <v/>
      </c>
    </row>
    <row r="64" ht="15" customHeight="1">
      <c r="A64" t="inlineStr">
        <is>
          <t>A 47194-2022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44848</v>
      </c>
      <c r="E64" s="1" t="n">
        <v>46311</v>
      </c>
      <c r="F64" t="inlineStr">
        <is>
          <t>SÖDERMANLANDS LÄN</t>
        </is>
      </c>
      <c r="G64" t="inlineStr">
        <is>
          <t>FLEN</t>
        </is>
      </c>
      <c r="H64" t="inlineStr">
        <is>
          <t>Övriga statliga verk och myndigheter</t>
        </is>
      </c>
      <c r="I64" t="n">
        <v>2.3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3</v>
      </c>
      <c r="U64" t="n">
        <v>3</v>
      </c>
      <c r="V64" s="2" t="inlineStr">
        <is>
          <t>Gullklöver
Svinrot</t>
        </is>
      </c>
      <c r="W64">
        <f>HYPERLINK("https://klasma.github.io/Logging_0482/artfynd/A 47194-2022 artfynd.xlsx", "A 47194-2022")</f>
        <v/>
      </c>
      <c r="X64">
        <f>HYPERLINK("https://klasma.github.io/Logging_0482/kartor/A 47194-2022 karta.png", "A 47194-2022")</f>
        <v/>
      </c>
      <c r="Y64">
        <f>HYPERLINK("https://klasma.github.io/Logging_0482/kartor_geotiff/A 47194-2022 georefererad karta.tif", "A 47194-2022")</f>
        <v/>
      </c>
      <c r="AA64">
        <f>HYPERLINK("https://klasma.github.io/Logging_0482/klagomål/A 47194-2022 FSC-klagomål.docx", "A 47194-2022")</f>
        <v/>
      </c>
      <c r="AB64">
        <f>HYPERLINK("https://klasma.github.io/Logging_0482/klagomålsmail/A 47194-2022 FSC-klagomål mail.docx", "A 47194-2022")</f>
        <v/>
      </c>
      <c r="AC64">
        <f>HYPERLINK("https://klasma.github.io/Logging_0482/tillsyn/A 47194-2022 tillsynsbegäran.docx", "A 47194-2022")</f>
        <v/>
      </c>
      <c r="AD64">
        <f>HYPERLINK("https://klasma.github.io/Logging_0482/tillsynsmail/A 47194-2022 tillsynsbegäran mail.docx", "A 47194-2022")</f>
        <v/>
      </c>
    </row>
    <row r="65" ht="15" customHeight="1">
      <c r="A65" t="inlineStr">
        <is>
          <t>A 7506-2023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46311</v>
      </c>
      <c r="F65" t="inlineStr">
        <is>
          <t>SÖDERMANLANDS LÄN</t>
        </is>
      </c>
      <c r="G65" t="inlineStr">
        <is>
          <t>FLEN</t>
        </is>
      </c>
      <c r="I65" t="n">
        <v>3.3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Slåtterfibbla
Svinrot</t>
        </is>
      </c>
      <c r="W65">
        <f>HYPERLINK("https://klasma.github.io/Logging_0482/artfynd/A 7506-2023 artfynd.xlsx", "A 7506-2023")</f>
        <v/>
      </c>
      <c r="X65">
        <f>HYPERLINK("https://klasma.github.io/Logging_0482/kartor/A 7506-2023 karta.png", "A 7506-2023")</f>
        <v/>
      </c>
      <c r="Y65">
        <f>HYPERLINK("https://klasma.github.io/Logging_0482/kartor_geotiff/A 7506-2023 georefererad karta.tif", "A 7506-2023")</f>
        <v/>
      </c>
      <c r="AA65">
        <f>HYPERLINK("https://klasma.github.io/Logging_0482/klagomål/A 7506-2023 FSC-klagomål.docx", "A 7506-2023")</f>
        <v/>
      </c>
      <c r="AB65">
        <f>HYPERLINK("https://klasma.github.io/Logging_0482/klagomålsmail/A 7506-2023 FSC-klagomål mail.docx", "A 7506-2023")</f>
        <v/>
      </c>
      <c r="AC65">
        <f>HYPERLINK("https://klasma.github.io/Logging_0482/tillsyn/A 7506-2023 tillsynsbegäran.docx", "A 7506-2023")</f>
        <v/>
      </c>
      <c r="AD65">
        <f>HYPERLINK("https://klasma.github.io/Logging_0482/tillsynsmail/A 7506-2023 tillsynsbegäran mail.docx", "A 7506-2023")</f>
        <v/>
      </c>
    </row>
    <row r="66" ht="15" customHeight="1">
      <c r="A66" t="inlineStr">
        <is>
          <t>A 22101-2023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46311</v>
      </c>
      <c r="F66" t="inlineStr">
        <is>
          <t>SÖDERMANLANDS LÄN</t>
        </is>
      </c>
      <c r="G66" t="inlineStr">
        <is>
          <t>FLEN</t>
        </is>
      </c>
      <c r="I66" t="n">
        <v>2.7</v>
      </c>
      <c r="J66" t="n">
        <v>2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Bombmurkla
Blåsippa</t>
        </is>
      </c>
      <c r="W66">
        <f>HYPERLINK("https://klasma.github.io/Logging_0482/artfynd/A 22101-2023 artfynd.xlsx", "A 22101-2023")</f>
        <v/>
      </c>
      <c r="X66">
        <f>HYPERLINK("https://klasma.github.io/Logging_0482/kartor/A 22101-2023 karta.png", "A 22101-2023")</f>
        <v/>
      </c>
      <c r="Y66">
        <f>HYPERLINK("https://klasma.github.io/Logging_0482/kartor_geotiff/A 22101-2023 georefererad karta.tif", "A 22101-2023")</f>
        <v/>
      </c>
      <c r="AA66">
        <f>HYPERLINK("https://klasma.github.io/Logging_0482/klagomål/A 22101-2023 FSC-klagomål.docx", "A 22101-2023")</f>
        <v/>
      </c>
      <c r="AB66">
        <f>HYPERLINK("https://klasma.github.io/Logging_0482/klagomålsmail/A 22101-2023 FSC-klagomål mail.docx", "A 22101-2023")</f>
        <v/>
      </c>
      <c r="AC66">
        <f>HYPERLINK("https://klasma.github.io/Logging_0482/tillsyn/A 22101-2023 tillsynsbegäran.docx", "A 22101-2023")</f>
        <v/>
      </c>
      <c r="AD66">
        <f>HYPERLINK("https://klasma.github.io/Logging_0482/tillsynsmail/A 22101-2023 tillsynsbegäran mail.docx", "A 22101-2023")</f>
        <v/>
      </c>
    </row>
    <row r="67" ht="15" customHeight="1">
      <c r="A67" t="inlineStr">
        <is>
          <t>A 49816-2023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45211</v>
      </c>
      <c r="E67" s="1" t="n">
        <v>46311</v>
      </c>
      <c r="F67" t="inlineStr">
        <is>
          <t>SÖDERMANLANDS LÄN</t>
        </is>
      </c>
      <c r="G67" t="inlineStr">
        <is>
          <t>FLEN</t>
        </is>
      </c>
      <c r="I67" t="n">
        <v>4.6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Reliktbock
Tallticka</t>
        </is>
      </c>
      <c r="W67">
        <f>HYPERLINK("https://klasma.github.io/Logging_0482/artfynd/A 49816-2023 artfynd.xlsx", "A 49816-2023")</f>
        <v/>
      </c>
      <c r="X67">
        <f>HYPERLINK("https://klasma.github.io/Logging_0482/kartor/A 49816-2023 karta.png", "A 49816-2023")</f>
        <v/>
      </c>
      <c r="Y67">
        <f>HYPERLINK("https://klasma.github.io/Logging_0482/kartor_geotiff/A 49816-2023 georefererad karta.tif", "A 49816-2023")</f>
        <v/>
      </c>
      <c r="AA67">
        <f>HYPERLINK("https://klasma.github.io/Logging_0482/klagomål/A 49816-2023 FSC-klagomål.docx", "A 49816-2023")</f>
        <v/>
      </c>
      <c r="AB67">
        <f>HYPERLINK("https://klasma.github.io/Logging_0482/klagomålsmail/A 49816-2023 FSC-klagomål mail.docx", "A 49816-2023")</f>
        <v/>
      </c>
      <c r="AC67">
        <f>HYPERLINK("https://klasma.github.io/Logging_0482/tillsyn/A 49816-2023 tillsynsbegäran.docx", "A 49816-2023")</f>
        <v/>
      </c>
      <c r="AD67">
        <f>HYPERLINK("https://klasma.github.io/Logging_0482/tillsynsmail/A 49816-2023 tillsynsbegäran mail.docx", "A 49816-2023")</f>
        <v/>
      </c>
    </row>
    <row r="68" ht="15" customHeight="1">
      <c r="A68" t="inlineStr">
        <is>
          <t>A 39240-2023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45166</v>
      </c>
      <c r="E68" s="1" t="n">
        <v>46311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4.6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Motaggsvamp
Blodticka</t>
        </is>
      </c>
      <c r="W68">
        <f>HYPERLINK("https://klasma.github.io/Logging_0482/artfynd/A 39240-2023 artfynd.xlsx", "A 39240-2023")</f>
        <v/>
      </c>
      <c r="X68">
        <f>HYPERLINK("https://klasma.github.io/Logging_0482/kartor/A 39240-2023 karta.png", "A 39240-2023")</f>
        <v/>
      </c>
      <c r="Y68">
        <f>HYPERLINK("https://klasma.github.io/Logging_0482/kartor_geotiff/A 39240-2023 georefererad karta.tif", "A 39240-2023")</f>
        <v/>
      </c>
      <c r="AA68">
        <f>HYPERLINK("https://klasma.github.io/Logging_0482/klagomål/A 39240-2023 FSC-klagomål.docx", "A 39240-2023")</f>
        <v/>
      </c>
      <c r="AB68">
        <f>HYPERLINK("https://klasma.github.io/Logging_0482/klagomålsmail/A 39240-2023 FSC-klagomål mail.docx", "A 39240-2023")</f>
        <v/>
      </c>
      <c r="AC68">
        <f>HYPERLINK("https://klasma.github.io/Logging_0482/tillsyn/A 39240-2023 tillsynsbegäran.docx", "A 39240-2023")</f>
        <v/>
      </c>
      <c r="AD68">
        <f>HYPERLINK("https://klasma.github.io/Logging_0482/tillsynsmail/A 39240-2023 tillsynsbegäran mail.docx", "A 39240-2023")</f>
        <v/>
      </c>
    </row>
    <row r="69" ht="15" customHeight="1">
      <c r="A69" t="inlineStr">
        <is>
          <t>A 41435-2022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46311</v>
      </c>
      <c r="F69" t="inlineStr">
        <is>
          <t>SÖDERMANLANDS LÄN</t>
        </is>
      </c>
      <c r="G69" t="inlineStr">
        <is>
          <t>FLEN</t>
        </is>
      </c>
      <c r="I69" t="n">
        <v>1.1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Vitsippa
Gullviva</t>
        </is>
      </c>
      <c r="W69">
        <f>HYPERLINK("https://klasma.github.io/Logging_0482/artfynd/A 41435-2022 artfynd.xlsx", "A 41435-2022")</f>
        <v/>
      </c>
      <c r="X69">
        <f>HYPERLINK("https://klasma.github.io/Logging_0482/kartor/A 41435-2022 karta.png", "A 41435-2022")</f>
        <v/>
      </c>
      <c r="Y69">
        <f>HYPERLINK("https://klasma.github.io/Logging_0482/kartor_geotiff/A 41435-2022 georefererad karta.tif", "A 41435-2022")</f>
        <v/>
      </c>
      <c r="AA69">
        <f>HYPERLINK("https://klasma.github.io/Logging_0482/klagomål/A 41435-2022 FSC-klagomål.docx", "A 41435-2022")</f>
        <v/>
      </c>
      <c r="AB69">
        <f>HYPERLINK("https://klasma.github.io/Logging_0482/klagomålsmail/A 41435-2022 FSC-klagomål mail.docx", "A 41435-2022")</f>
        <v/>
      </c>
      <c r="AC69">
        <f>HYPERLINK("https://klasma.github.io/Logging_0482/tillsyn/A 41435-2022 tillsynsbegäran.docx", "A 41435-2022")</f>
        <v/>
      </c>
      <c r="AD69">
        <f>HYPERLINK("https://klasma.github.io/Logging_0482/tillsynsmail/A 41435-2022 tillsynsbegäran mail.docx", "A 41435-2022")</f>
        <v/>
      </c>
    </row>
    <row r="70" ht="15" customHeight="1">
      <c r="A70" t="inlineStr">
        <is>
          <t>A 52858-2023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45219</v>
      </c>
      <c r="E70" s="1" t="n">
        <v>46311</v>
      </c>
      <c r="F70" t="inlineStr">
        <is>
          <t>SÖDERMANLANDS LÄN</t>
        </is>
      </c>
      <c r="G70" t="inlineStr">
        <is>
          <t>FLEN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1</v>
      </c>
      <c r="V70" s="2" t="inlineStr">
        <is>
          <t>Mindre hackspett
Tallticka</t>
        </is>
      </c>
      <c r="W70">
        <f>HYPERLINK("https://klasma.github.io/Logging_0482/artfynd/A 52858-2023 artfynd.xlsx", "A 52858-2023")</f>
        <v/>
      </c>
      <c r="X70">
        <f>HYPERLINK("https://klasma.github.io/Logging_0482/kartor/A 52858-2023 karta.png", "A 52858-2023")</f>
        <v/>
      </c>
      <c r="Y70">
        <f>HYPERLINK("https://klasma.github.io/Logging_0482/kartor_geotiff/A 52858-2023 georefererad karta.tif", "A 52858-2023")</f>
        <v/>
      </c>
      <c r="AA70">
        <f>HYPERLINK("https://klasma.github.io/Logging_0482/klagomål/A 52858-2023 FSC-klagomål.docx", "A 52858-2023")</f>
        <v/>
      </c>
      <c r="AB70">
        <f>HYPERLINK("https://klasma.github.io/Logging_0482/klagomålsmail/A 52858-2023 FSC-klagomål mail.docx", "A 52858-2023")</f>
        <v/>
      </c>
      <c r="AC70">
        <f>HYPERLINK("https://klasma.github.io/Logging_0482/tillsyn/A 52858-2023 tillsynsbegäran.docx", "A 52858-2023")</f>
        <v/>
      </c>
      <c r="AD70">
        <f>HYPERLINK("https://klasma.github.io/Logging_0482/tillsynsmail/A 52858-2023 tillsynsbegäran mail.docx", "A 52858-2023")</f>
        <v/>
      </c>
      <c r="AE70">
        <f>HYPERLINK("https://klasma.github.io/Logging_0482/fåglar/A 52858-2023 prioriterade fågelarter.docx", "A 52858-2023")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46311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59607-2022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44907</v>
      </c>
      <c r="E72" s="1" t="n">
        <v>46311</v>
      </c>
      <c r="F72" t="inlineStr">
        <is>
          <t>SÖDERMANLANDS LÄN</t>
        </is>
      </c>
      <c r="G72" t="inlineStr">
        <is>
          <t>FLEN</t>
        </is>
      </c>
      <c r="I72" t="n">
        <v>1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Jungfrulin
Svinrot</t>
        </is>
      </c>
      <c r="W72">
        <f>HYPERLINK("https://klasma.github.io/Logging_0482/artfynd/A 59607-2022 artfynd.xlsx", "A 59607-2022")</f>
        <v/>
      </c>
      <c r="X72">
        <f>HYPERLINK("https://klasma.github.io/Logging_0482/kartor/A 59607-2022 karta.png", "A 59607-2022")</f>
        <v/>
      </c>
      <c r="Y72">
        <f>HYPERLINK("https://klasma.github.io/Logging_0482/kartor_geotiff/A 59607-2022 georefererad karta.tif", "A 59607-2022")</f>
        <v/>
      </c>
      <c r="AA72">
        <f>HYPERLINK("https://klasma.github.io/Logging_0482/klagomål/A 59607-2022 FSC-klagomål.docx", "A 59607-2022")</f>
        <v/>
      </c>
      <c r="AB72">
        <f>HYPERLINK("https://klasma.github.io/Logging_0482/klagomålsmail/A 59607-2022 FSC-klagomål mail.docx", "A 59607-2022")</f>
        <v/>
      </c>
      <c r="AC72">
        <f>HYPERLINK("https://klasma.github.io/Logging_0482/tillsyn/A 59607-2022 tillsynsbegäran.docx", "A 59607-2022")</f>
        <v/>
      </c>
      <c r="AD72">
        <f>HYPERLINK("https://klasma.github.io/Logging_0482/tillsynsmail/A 59607-2022 tillsynsbegäran mail.docx", "A 59607-2022")</f>
        <v/>
      </c>
    </row>
    <row r="73" ht="15" customHeight="1">
      <c r="A73" t="inlineStr">
        <is>
          <t>A 10825-2022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44624</v>
      </c>
      <c r="E73" s="1" t="n">
        <v>46311</v>
      </c>
      <c r="F73" t="inlineStr">
        <is>
          <t>SÖDERMANLANDS LÄN</t>
        </is>
      </c>
      <c r="G73" t="inlineStr">
        <is>
          <t>FLEN</t>
        </is>
      </c>
      <c r="I73" t="n">
        <v>4.7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Svinrot
Vanlig backsmörblomma</t>
        </is>
      </c>
      <c r="W73">
        <f>HYPERLINK("https://klasma.github.io/Logging_0482/artfynd/A 10825-2022 artfynd.xlsx", "A 10825-2022")</f>
        <v/>
      </c>
      <c r="X73">
        <f>HYPERLINK("https://klasma.github.io/Logging_0482/kartor/A 10825-2022 karta.png", "A 10825-2022")</f>
        <v/>
      </c>
      <c r="Y73">
        <f>HYPERLINK("https://klasma.github.io/Logging_0482/kartor_geotiff/A 10825-2022 georefererad karta.tif", "A 10825-2022")</f>
        <v/>
      </c>
      <c r="AA73">
        <f>HYPERLINK("https://klasma.github.io/Logging_0482/klagomål/A 10825-2022 FSC-klagomål.docx", "A 10825-2022")</f>
        <v/>
      </c>
      <c r="AB73">
        <f>HYPERLINK("https://klasma.github.io/Logging_0482/klagomålsmail/A 10825-2022 FSC-klagomål mail.docx", "A 10825-2022")</f>
        <v/>
      </c>
      <c r="AC73">
        <f>HYPERLINK("https://klasma.github.io/Logging_0482/tillsyn/A 10825-2022 tillsynsbegäran.docx", "A 10825-2022")</f>
        <v/>
      </c>
      <c r="AD73">
        <f>HYPERLINK("https://klasma.github.io/Logging_0482/tillsynsmail/A 10825-2022 tillsynsbegäran mail.docx", "A 10825-2022")</f>
        <v/>
      </c>
    </row>
    <row r="74" ht="15" customHeight="1">
      <c r="A74" t="inlineStr">
        <is>
          <t>A 5852-2022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46311</v>
      </c>
      <c r="F74" t="inlineStr">
        <is>
          <t>SÖDERMANLANDS LÄN</t>
        </is>
      </c>
      <c r="G74" t="inlineStr">
        <is>
          <t>FLEN</t>
        </is>
      </c>
      <c r="I74" t="n">
        <v>2.6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Kamjordstjärna
Gullviva</t>
        </is>
      </c>
      <c r="W74">
        <f>HYPERLINK("https://klasma.github.io/Logging_0482/artfynd/A 5852-2022 artfynd.xlsx", "A 5852-2022")</f>
        <v/>
      </c>
      <c r="X74">
        <f>HYPERLINK("https://klasma.github.io/Logging_0482/kartor/A 5852-2022 karta.png", "A 5852-2022")</f>
        <v/>
      </c>
      <c r="Y74">
        <f>HYPERLINK("https://klasma.github.io/Logging_0482/kartor_geotiff/A 5852-2022 georefererad karta.tif", "A 5852-2022")</f>
        <v/>
      </c>
      <c r="AA74">
        <f>HYPERLINK("https://klasma.github.io/Logging_0482/klagomål/A 5852-2022 FSC-klagomål.docx", "A 5852-2022")</f>
        <v/>
      </c>
      <c r="AB74">
        <f>HYPERLINK("https://klasma.github.io/Logging_0482/klagomålsmail/A 5852-2022 FSC-klagomål mail.docx", "A 5852-2022")</f>
        <v/>
      </c>
      <c r="AC74">
        <f>HYPERLINK("https://klasma.github.io/Logging_0482/tillsyn/A 5852-2022 tillsynsbegäran.docx", "A 5852-2022")</f>
        <v/>
      </c>
      <c r="AD74">
        <f>HYPERLINK("https://klasma.github.io/Logging_0482/tillsynsmail/A 5852-2022 tillsynsbegäran mail.docx", "A 5852-2022")</f>
        <v/>
      </c>
    </row>
    <row r="75" ht="15" customHeight="1">
      <c r="A75" t="inlineStr">
        <is>
          <t>A 33107-2022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44785</v>
      </c>
      <c r="E75" s="1" t="n">
        <v>46311</v>
      </c>
      <c r="F75" t="inlineStr">
        <is>
          <t>SÖDERMANLANDS LÄN</t>
        </is>
      </c>
      <c r="G75" t="inlineStr">
        <is>
          <t>FLEN</t>
        </is>
      </c>
      <c r="I75" t="n">
        <v>5.9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Fjällig taggsvamp s.str.
Gullklöver</t>
        </is>
      </c>
      <c r="W75">
        <f>HYPERLINK("https://klasma.github.io/Logging_0482/artfynd/A 33107-2022 artfynd.xlsx", "A 33107-2022")</f>
        <v/>
      </c>
      <c r="X75">
        <f>HYPERLINK("https://klasma.github.io/Logging_0482/kartor/A 33107-2022 karta.png", "A 33107-2022")</f>
        <v/>
      </c>
      <c r="Y75">
        <f>HYPERLINK("https://klasma.github.io/Logging_0482/kartor_geotiff/A 33107-2022 georefererad karta.tif", "A 33107-2022")</f>
        <v/>
      </c>
      <c r="AA75">
        <f>HYPERLINK("https://klasma.github.io/Logging_0482/klagomål/A 33107-2022 FSC-klagomål.docx", "A 33107-2022")</f>
        <v/>
      </c>
      <c r="AB75">
        <f>HYPERLINK("https://klasma.github.io/Logging_0482/klagomålsmail/A 33107-2022 FSC-klagomål mail.docx", "A 33107-2022")</f>
        <v/>
      </c>
      <c r="AC75">
        <f>HYPERLINK("https://klasma.github.io/Logging_0482/tillsyn/A 33107-2022 tillsynsbegäran.docx", "A 33107-2022")</f>
        <v/>
      </c>
      <c r="AD75">
        <f>HYPERLINK("https://klasma.github.io/Logging_0482/tillsynsmail/A 33107-2022 tillsynsbegäran mail.docx", "A 33107-2022")</f>
        <v/>
      </c>
    </row>
    <row r="76" ht="15" customHeight="1">
      <c r="A76" t="inlineStr">
        <is>
          <t>A 11103-2023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44986</v>
      </c>
      <c r="E76" s="1" t="n">
        <v>46311</v>
      </c>
      <c r="F76" t="inlineStr">
        <is>
          <t>SÖDERMANLANDS LÄN</t>
        </is>
      </c>
      <c r="G76" t="inlineStr">
        <is>
          <t>FLEN</t>
        </is>
      </c>
      <c r="I76" t="n">
        <v>8.9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Ask
Blåmossa</t>
        </is>
      </c>
      <c r="W76">
        <f>HYPERLINK("https://klasma.github.io/Logging_0482/artfynd/A 11103-2023 artfynd.xlsx", "A 11103-2023")</f>
        <v/>
      </c>
      <c r="X76">
        <f>HYPERLINK("https://klasma.github.io/Logging_0482/kartor/A 11103-2023 karta.png", "A 11103-2023")</f>
        <v/>
      </c>
      <c r="Y76">
        <f>HYPERLINK("https://klasma.github.io/Logging_0482/kartor_geotiff/A 11103-2023 georefererad karta.tif", "A 11103-2023")</f>
        <v/>
      </c>
      <c r="AA76">
        <f>HYPERLINK("https://klasma.github.io/Logging_0482/klagomål/A 11103-2023 FSC-klagomål.docx", "A 11103-2023")</f>
        <v/>
      </c>
      <c r="AB76">
        <f>HYPERLINK("https://klasma.github.io/Logging_0482/klagomålsmail/A 11103-2023 FSC-klagomål mail.docx", "A 11103-2023")</f>
        <v/>
      </c>
      <c r="AC76">
        <f>HYPERLINK("https://klasma.github.io/Logging_0482/tillsyn/A 11103-2023 tillsynsbegäran.docx", "A 11103-2023")</f>
        <v/>
      </c>
      <c r="AD76">
        <f>HYPERLINK("https://klasma.github.io/Logging_0482/tillsynsmail/A 11103-2023 tillsynsbegäran mail.docx", "A 11103-2023")</f>
        <v/>
      </c>
    </row>
    <row r="77" ht="15" customHeight="1">
      <c r="A77" t="inlineStr">
        <is>
          <t>A 32744-2025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45838</v>
      </c>
      <c r="E77" s="1" t="n">
        <v>46311</v>
      </c>
      <c r="F77" t="inlineStr">
        <is>
          <t>SÖDERMANLANDS LÄN</t>
        </is>
      </c>
      <c r="G77" t="inlineStr">
        <is>
          <t>FLEN</t>
        </is>
      </c>
      <c r="I77" t="n">
        <v>1.8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Ekticka
Klasefibbla</t>
        </is>
      </c>
      <c r="W77">
        <f>HYPERLINK("https://klasma.github.io/Logging_0482/artfynd/A 32744-2025 artfynd.xlsx", "A 32744-2025")</f>
        <v/>
      </c>
      <c r="X77">
        <f>HYPERLINK("https://klasma.github.io/Logging_0482/kartor/A 32744-2025 karta.png", "A 32744-2025")</f>
        <v/>
      </c>
      <c r="Y77">
        <f>HYPERLINK("https://klasma.github.io/Logging_0482/kartor_geotiff/A 32744-2025 georefererad karta.tif", "A 32744-2025")</f>
        <v/>
      </c>
      <c r="AA77">
        <f>HYPERLINK("https://klasma.github.io/Logging_0482/klagomål/A 32744-2025 FSC-klagomål.docx", "A 32744-2025")</f>
        <v/>
      </c>
      <c r="AB77">
        <f>HYPERLINK("https://klasma.github.io/Logging_0482/klagomålsmail/A 32744-2025 FSC-klagomål mail.docx", "A 32744-2025")</f>
        <v/>
      </c>
      <c r="AC77">
        <f>HYPERLINK("https://klasma.github.io/Logging_0482/tillsyn/A 32744-2025 tillsynsbegäran.docx", "A 32744-2025")</f>
        <v/>
      </c>
      <c r="AD77">
        <f>HYPERLINK("https://klasma.github.io/Logging_0482/tillsynsmail/A 32744-2025 tillsynsbegäran mail.docx", "A 32744-2025")</f>
        <v/>
      </c>
    </row>
    <row r="78" ht="15" customHeight="1">
      <c r="A78" t="inlineStr">
        <is>
          <t>A 22511-2026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46311</v>
      </c>
      <c r="F78" t="inlineStr">
        <is>
          <t>SÖDERMANLANDS LÄN</t>
        </is>
      </c>
      <c r="G78" t="inlineStr">
        <is>
          <t>FLEN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Ormbär
Skriftlav</t>
        </is>
      </c>
      <c r="W78">
        <f>HYPERLINK("https://klasma.github.io/Logging_0482/artfynd/A 22511-2026 artfynd.xlsx", "A 22511-2026")</f>
        <v/>
      </c>
      <c r="X78">
        <f>HYPERLINK("https://klasma.github.io/Logging_0482/kartor/A 22511-2026 karta.png", "A 22511-2026")</f>
        <v/>
      </c>
      <c r="Y78">
        <f>HYPERLINK("https://klasma.github.io/Logging_0482/kartor_geotiff/A 22511-2026 georefererad karta.tif", "A 22511-2026")</f>
        <v/>
      </c>
      <c r="AA78">
        <f>HYPERLINK("https://klasma.github.io/Logging_0482/klagomål/A 22511-2026 FSC-klagomål.docx", "A 22511-2026")</f>
        <v/>
      </c>
      <c r="AB78">
        <f>HYPERLINK("https://klasma.github.io/Logging_0482/klagomålsmail/A 22511-2026 FSC-klagomål mail.docx", "A 22511-2026")</f>
        <v/>
      </c>
      <c r="AC78">
        <f>HYPERLINK("https://klasma.github.io/Logging_0482/tillsyn/A 22511-2026 tillsynsbegäran.docx", "A 22511-2026")</f>
        <v/>
      </c>
      <c r="AD78">
        <f>HYPERLINK("https://klasma.github.io/Logging_0482/tillsynsmail/A 22511-2026 tillsynsbegäran mail.docx", "A 22511-2026")</f>
        <v/>
      </c>
    </row>
    <row r="79" ht="15" customHeight="1">
      <c r="A79" t="inlineStr">
        <is>
          <t>A 34849-2026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46258</v>
      </c>
      <c r="E79" s="1" t="n">
        <v>46311</v>
      </c>
      <c r="F79" t="inlineStr">
        <is>
          <t>SÖDERMANLANDS LÄN</t>
        </is>
      </c>
      <c r="G79" t="inlineStr">
        <is>
          <t>FLEN</t>
        </is>
      </c>
      <c r="H79" t="inlineStr">
        <is>
          <t>Holmen skog AB</t>
        </is>
      </c>
      <c r="I79" t="n">
        <v>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5</v>
      </c>
      <c r="U79" t="n">
        <v>0</v>
      </c>
      <c r="V79" s="2" t="inlineStr">
        <is>
          <t>Motaggsvamp
Vedskivlav</t>
        </is>
      </c>
      <c r="W79">
        <f>HYPERLINK("https://klasma.github.io/Logging_0482/artfynd/A 34849-2026 artfynd.xlsx", "A 34849-2026")</f>
        <v/>
      </c>
      <c r="X79">
        <f>HYPERLINK("https://klasma.github.io/Logging_0482/kartor/A 34849-2026 karta.png", "A 34849-2026")</f>
        <v/>
      </c>
      <c r="Y79">
        <f>HYPERLINK("https://klasma.github.io/Logging_0482/kartor_geotiff/A 34849-2026 georefererad karta.tif", "A 34849-2026")</f>
        <v/>
      </c>
      <c r="AA79">
        <f>HYPERLINK("https://klasma.github.io/Logging_0482/klagomål/A 34849-2026 FSC-klagomål.docx", "A 34849-2026")</f>
        <v/>
      </c>
      <c r="AB79">
        <f>HYPERLINK("https://klasma.github.io/Logging_0482/klagomålsmail/A 34849-2026 FSC-klagomål mail.docx", "A 34849-2026")</f>
        <v/>
      </c>
      <c r="AC79">
        <f>HYPERLINK("https://klasma.github.io/Logging_0482/tillsyn/A 34849-2026 tillsynsbegäran.docx", "A 34849-2026")</f>
        <v/>
      </c>
      <c r="AD79">
        <f>HYPERLINK("https://klasma.github.io/Logging_0482/tillsynsmail/A 34849-2026 tillsynsbegäran mail.docx", "A 34849-2026")</f>
        <v/>
      </c>
    </row>
    <row r="80" ht="15" customHeight="1">
      <c r="A80" t="inlineStr">
        <is>
          <t>A 24464-2025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45798</v>
      </c>
      <c r="E80" s="1" t="n">
        <v>46311</v>
      </c>
      <c r="F80" t="inlineStr">
        <is>
          <t>SÖDERMANLANDS LÄN</t>
        </is>
      </c>
      <c r="G80" t="inlineStr">
        <is>
          <t>FLEN</t>
        </is>
      </c>
      <c r="H80" t="inlineStr">
        <is>
          <t>Holmen skog AB</t>
        </is>
      </c>
      <c r="I80" t="n">
        <v>1.1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Motaggsvamp
Vedskivlav</t>
        </is>
      </c>
      <c r="W80">
        <f>HYPERLINK("https://klasma.github.io/Logging_0482/artfynd/A 24464-2025 artfynd.xlsx", "A 24464-2025")</f>
        <v/>
      </c>
      <c r="X80">
        <f>HYPERLINK("https://klasma.github.io/Logging_0482/kartor/A 24464-2025 karta.png", "A 24464-2025")</f>
        <v/>
      </c>
      <c r="Y80">
        <f>HYPERLINK("https://klasma.github.io/Logging_0482/kartor_geotiff/A 24464-2025 georefererad karta.tif", "A 24464-2025")</f>
        <v/>
      </c>
      <c r="AA80">
        <f>HYPERLINK("https://klasma.github.io/Logging_0482/klagomål/A 24464-2025 FSC-klagomål.docx", "A 24464-2025")</f>
        <v/>
      </c>
      <c r="AB80">
        <f>HYPERLINK("https://klasma.github.io/Logging_0482/klagomålsmail/A 24464-2025 FSC-klagomål mail.docx", "A 24464-2025")</f>
        <v/>
      </c>
      <c r="AC80">
        <f>HYPERLINK("https://klasma.github.io/Logging_0482/tillsyn/A 24464-2025 tillsynsbegäran.docx", "A 24464-2025")</f>
        <v/>
      </c>
      <c r="AD80">
        <f>HYPERLINK("https://klasma.github.io/Logging_0482/tillsynsmail/A 24464-2025 tillsynsbegäran mail.docx", "A 24464-2025")</f>
        <v/>
      </c>
    </row>
    <row r="81" ht="15" customHeight="1">
      <c r="A81" t="inlineStr">
        <is>
          <t>A 4330-2026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46311</v>
      </c>
      <c r="F81" t="inlineStr">
        <is>
          <t>SÖDERMANLANDS LÄN</t>
        </is>
      </c>
      <c r="G81" t="inlineStr">
        <is>
          <t>FLEN</t>
        </is>
      </c>
      <c r="H81" t="inlineStr">
        <is>
          <t>Övriga statliga verk och myndigheter</t>
        </is>
      </c>
      <c r="I81" t="n">
        <v>4.9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Backstarr
Blåsippa</t>
        </is>
      </c>
      <c r="W81">
        <f>HYPERLINK("https://klasma.github.io/Logging_0482/artfynd/A 4330-2026 artfynd.xlsx", "A 4330-2026")</f>
        <v/>
      </c>
      <c r="X81">
        <f>HYPERLINK("https://klasma.github.io/Logging_0482/kartor/A 4330-2026 karta.png", "A 4330-2026")</f>
        <v/>
      </c>
      <c r="Y81">
        <f>HYPERLINK("https://klasma.github.io/Logging_0482/kartor_geotiff/A 4330-2026 georefererad karta.tif", "A 4330-2026")</f>
        <v/>
      </c>
      <c r="AA81">
        <f>HYPERLINK("https://klasma.github.io/Logging_0482/klagomål/A 4330-2026 FSC-klagomål.docx", "A 4330-2026")</f>
        <v/>
      </c>
      <c r="AB81">
        <f>HYPERLINK("https://klasma.github.io/Logging_0482/klagomålsmail/A 4330-2026 FSC-klagomål mail.docx", "A 4330-2026")</f>
        <v/>
      </c>
      <c r="AC81">
        <f>HYPERLINK("https://klasma.github.io/Logging_0482/tillsyn/A 4330-2026 tillsynsbegäran.docx", "A 4330-2026")</f>
        <v/>
      </c>
      <c r="AD81">
        <f>HYPERLINK("https://klasma.github.io/Logging_0482/tillsynsmail/A 4330-2026 tillsynsbegäran mail.docx", "A 4330-2026")</f>
        <v/>
      </c>
    </row>
    <row r="82" ht="15" customHeight="1">
      <c r="A82" t="inlineStr">
        <is>
          <t>A 8887-2026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46068</v>
      </c>
      <c r="E82" s="1" t="n">
        <v>46311</v>
      </c>
      <c r="F82" t="inlineStr">
        <is>
          <t>SÖDERMANLANDS LÄN</t>
        </is>
      </c>
      <c r="G82" t="inlineStr">
        <is>
          <t>FLEN</t>
        </is>
      </c>
      <c r="I82" t="n">
        <v>2.1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Större vattensalamander
Mindre vattensalamander</t>
        </is>
      </c>
      <c r="W82">
        <f>HYPERLINK("https://klasma.github.io/Logging_0482/artfynd/A 8887-2026 artfynd.xlsx", "A 8887-2026")</f>
        <v/>
      </c>
      <c r="X82">
        <f>HYPERLINK("https://klasma.github.io/Logging_0482/kartor/A 8887-2026 karta.png", "A 8887-2026")</f>
        <v/>
      </c>
      <c r="Y82">
        <f>HYPERLINK("https://klasma.github.io/Logging_0482/kartor_geotiff/A 8887-2026 georefererad karta.tif", "A 8887-2026")</f>
        <v/>
      </c>
      <c r="AA82">
        <f>HYPERLINK("https://klasma.github.io/Logging_0482/klagomål/A 8887-2026 FSC-klagomål.docx", "A 8887-2026")</f>
        <v/>
      </c>
      <c r="AB82">
        <f>HYPERLINK("https://klasma.github.io/Logging_0482/klagomålsmail/A 8887-2026 FSC-klagomål mail.docx", "A 8887-2026")</f>
        <v/>
      </c>
      <c r="AC82">
        <f>HYPERLINK("https://klasma.github.io/Logging_0482/tillsyn/A 8887-2026 tillsynsbegäran.docx", "A 8887-2026")</f>
        <v/>
      </c>
      <c r="AD82">
        <f>HYPERLINK("https://klasma.github.io/Logging_0482/tillsynsmail/A 8887-2026 tillsynsbegäran mail.docx", "A 8887-2026")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46311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46311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46311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46311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46311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46311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62535-2021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46311</v>
      </c>
      <c r="F89" t="inlineStr">
        <is>
          <t>SÖDERMANLANDS LÄN</t>
        </is>
      </c>
      <c r="G89" t="inlineStr">
        <is>
          <t>FLEN</t>
        </is>
      </c>
      <c r="I89" t="n">
        <v>0.6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HYPERLINK("https://klasma.github.io/Logging_0482/artfynd/A 62535-2021 artfynd.xlsx", "A 62535-2021")</f>
        <v/>
      </c>
      <c r="X89">
        <f>HYPERLINK("https://klasma.github.io/Logging_0482/kartor/A 62535-2021 karta.png", "A 62535-2021")</f>
        <v/>
      </c>
      <c r="Y89">
        <f>HYPERLINK("https://klasma.github.io/Logging_0482/kartor_geotiff/A 62535-2021 georefererad karta.tif", "A 62535-2021")</f>
        <v/>
      </c>
      <c r="AA89">
        <f>HYPERLINK("https://klasma.github.io/Logging_0482/klagomål/A 62535-2021 FSC-klagomål.docx", "A 62535-2021")</f>
        <v/>
      </c>
      <c r="AB89">
        <f>HYPERLINK("https://klasma.github.io/Logging_0482/klagomålsmail/A 62535-2021 FSC-klagomål mail.docx", "A 62535-2021")</f>
        <v/>
      </c>
      <c r="AC89">
        <f>HYPERLINK("https://klasma.github.io/Logging_0482/tillsyn/A 62535-2021 tillsynsbegäran.docx", "A 62535-2021")</f>
        <v/>
      </c>
      <c r="AD89">
        <f>HYPERLINK("https://klasma.github.io/Logging_0482/tillsynsmail/A 62535-2021 tillsynsbegäran mail.docx", "A 62535-2021")</f>
        <v/>
      </c>
    </row>
    <row r="90" ht="15" customHeight="1">
      <c r="A90" t="inlineStr">
        <is>
          <t>A 50202-2022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44865</v>
      </c>
      <c r="E90" s="1" t="n">
        <v>46311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5.8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Gullklöver</t>
        </is>
      </c>
      <c r="W90">
        <f>HYPERLINK("https://klasma.github.io/Logging_0482/artfynd/A 50202-2022 artfynd.xlsx", "A 50202-2022")</f>
        <v/>
      </c>
      <c r="X90">
        <f>HYPERLINK("https://klasma.github.io/Logging_0482/kartor/A 50202-2022 karta.png", "A 50202-2022")</f>
        <v/>
      </c>
      <c r="Y90">
        <f>HYPERLINK("https://klasma.github.io/Logging_0482/kartor_geotiff/A 50202-2022 georefererad karta.tif", "A 50202-2022")</f>
        <v/>
      </c>
      <c r="AA90">
        <f>HYPERLINK("https://klasma.github.io/Logging_0482/klagomål/A 50202-2022 FSC-klagomål.docx", "A 50202-2022")</f>
        <v/>
      </c>
      <c r="AB90">
        <f>HYPERLINK("https://klasma.github.io/Logging_0482/klagomålsmail/A 50202-2022 FSC-klagomål mail.docx", "A 50202-2022")</f>
        <v/>
      </c>
      <c r="AC90">
        <f>HYPERLINK("https://klasma.github.io/Logging_0482/tillsyn/A 50202-2022 tillsynsbegäran.docx", "A 50202-2022")</f>
        <v/>
      </c>
      <c r="AD90">
        <f>HYPERLINK("https://klasma.github.io/Logging_0482/tillsynsmail/A 50202-2022 tillsynsbegäran mail.docx", "A 50202-2022")</f>
        <v/>
      </c>
    </row>
    <row r="91" ht="15" customHeight="1">
      <c r="A91" t="inlineStr">
        <is>
          <t>A 14101-2025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45740</v>
      </c>
      <c r="E91" s="1" t="n">
        <v>46311</v>
      </c>
      <c r="F91" t="inlineStr">
        <is>
          <t>SÖDERMANLANDS LÄN</t>
        </is>
      </c>
      <c r="G91" t="inlineStr">
        <is>
          <t>FLEN</t>
        </is>
      </c>
      <c r="H91" t="inlineStr">
        <is>
          <t>Övriga statliga verk och myndigheter</t>
        </is>
      </c>
      <c r="I91" t="n">
        <v>1.3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Motaggsvamp</t>
        </is>
      </c>
      <c r="W91">
        <f>HYPERLINK("https://klasma.github.io/Logging_0482/artfynd/A 14101-2025 artfynd.xlsx", "A 14101-2025")</f>
        <v/>
      </c>
      <c r="X91">
        <f>HYPERLINK("https://klasma.github.io/Logging_0482/kartor/A 14101-2025 karta.png", "A 14101-2025")</f>
        <v/>
      </c>
      <c r="Y91">
        <f>HYPERLINK("https://klasma.github.io/Logging_0482/kartor_geotiff/A 14101-2025 georefererad karta.tif", "A 14101-2025")</f>
        <v/>
      </c>
      <c r="AA91">
        <f>HYPERLINK("https://klasma.github.io/Logging_0482/klagomål/A 14101-2025 FSC-klagomål.docx", "A 14101-2025")</f>
        <v/>
      </c>
      <c r="AB91">
        <f>HYPERLINK("https://klasma.github.io/Logging_0482/klagomålsmail/A 14101-2025 FSC-klagomål mail.docx", "A 14101-2025")</f>
        <v/>
      </c>
      <c r="AC91">
        <f>HYPERLINK("https://klasma.github.io/Logging_0482/tillsyn/A 14101-2025 tillsynsbegäran.docx", "A 14101-2025")</f>
        <v/>
      </c>
      <c r="AD91">
        <f>HYPERLINK("https://klasma.github.io/Logging_0482/tillsynsmail/A 14101-2025 tillsynsbegäran mail.docx", "A 14101-2025")</f>
        <v/>
      </c>
    </row>
    <row r="92" ht="15" customHeight="1">
      <c r="A92" t="inlineStr">
        <is>
          <t>A 54737-2022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44881</v>
      </c>
      <c r="E92" s="1" t="n">
        <v>46311</v>
      </c>
      <c r="F92" t="inlineStr">
        <is>
          <t>SÖDERMANLANDS LÄN</t>
        </is>
      </c>
      <c r="G92" t="inlineStr">
        <is>
          <t>FLEN</t>
        </is>
      </c>
      <c r="I92" t="n">
        <v>5.7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Gullklöver</t>
        </is>
      </c>
      <c r="W92">
        <f>HYPERLINK("https://klasma.github.io/Logging_0482/artfynd/A 54737-2022 artfynd.xlsx", "A 54737-2022")</f>
        <v/>
      </c>
      <c r="X92">
        <f>HYPERLINK("https://klasma.github.io/Logging_0482/kartor/A 54737-2022 karta.png", "A 54737-2022")</f>
        <v/>
      </c>
      <c r="Y92">
        <f>HYPERLINK("https://klasma.github.io/Logging_0482/kartor_geotiff/A 54737-2022 georefererad karta.tif", "A 54737-2022")</f>
        <v/>
      </c>
      <c r="AA92">
        <f>HYPERLINK("https://klasma.github.io/Logging_0482/klagomål/A 54737-2022 FSC-klagomål.docx", "A 54737-2022")</f>
        <v/>
      </c>
      <c r="AB92">
        <f>HYPERLINK("https://klasma.github.io/Logging_0482/klagomålsmail/A 54737-2022 FSC-klagomål mail.docx", "A 54737-2022")</f>
        <v/>
      </c>
      <c r="AC92">
        <f>HYPERLINK("https://klasma.github.io/Logging_0482/tillsyn/A 54737-2022 tillsynsbegäran.docx", "A 54737-2022")</f>
        <v/>
      </c>
      <c r="AD92">
        <f>HYPERLINK("https://klasma.github.io/Logging_0482/tillsynsmail/A 54737-2022 tillsynsbegäran mail.docx", "A 54737-2022")</f>
        <v/>
      </c>
    </row>
    <row r="93" ht="15" customHeight="1">
      <c r="A93" t="inlineStr">
        <is>
          <t>A 60562-2021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44495</v>
      </c>
      <c r="E93" s="1" t="n">
        <v>46311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1.3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Gullklöver</t>
        </is>
      </c>
      <c r="W93">
        <f>HYPERLINK("https://klasma.github.io/Logging_0482/artfynd/A 60562-2021 artfynd.xlsx", "A 60562-2021")</f>
        <v/>
      </c>
      <c r="X93">
        <f>HYPERLINK("https://klasma.github.io/Logging_0482/kartor/A 60562-2021 karta.png", "A 60562-2021")</f>
        <v/>
      </c>
      <c r="Y93">
        <f>HYPERLINK("https://klasma.github.io/Logging_0482/kartor_geotiff/A 60562-2021 georefererad karta.tif", "A 60562-2021")</f>
        <v/>
      </c>
      <c r="AA93">
        <f>HYPERLINK("https://klasma.github.io/Logging_0482/klagomål/A 60562-2021 FSC-klagomål.docx", "A 60562-2021")</f>
        <v/>
      </c>
      <c r="AB93">
        <f>HYPERLINK("https://klasma.github.io/Logging_0482/klagomålsmail/A 60562-2021 FSC-klagomål mail.docx", "A 60562-2021")</f>
        <v/>
      </c>
      <c r="AC93">
        <f>HYPERLINK("https://klasma.github.io/Logging_0482/tillsyn/A 60562-2021 tillsynsbegäran.docx", "A 60562-2021")</f>
        <v/>
      </c>
      <c r="AD93">
        <f>HYPERLINK("https://klasma.github.io/Logging_0482/tillsynsmail/A 60562-2021 tillsynsbegäran mail.docx", "A 60562-2021")</f>
        <v/>
      </c>
    </row>
    <row r="94" ht="15" customHeight="1">
      <c r="A94" t="inlineStr">
        <is>
          <t>A 12056-2024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45377</v>
      </c>
      <c r="E94" s="1" t="n">
        <v>46311</v>
      </c>
      <c r="F94" t="inlineStr">
        <is>
          <t>SÖDERMANLANDS LÄN</t>
        </is>
      </c>
      <c r="G94" t="inlineStr">
        <is>
          <t>FLEN</t>
        </is>
      </c>
      <c r="I94" t="n">
        <v>8.4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Fjällig taggsvamp s.str.</t>
        </is>
      </c>
      <c r="W94">
        <f>HYPERLINK("https://klasma.github.io/Logging_0482/artfynd/A 12056-2024 artfynd.xlsx", "A 12056-2024")</f>
        <v/>
      </c>
      <c r="X94">
        <f>HYPERLINK("https://klasma.github.io/Logging_0482/kartor/A 12056-2024 karta.png", "A 12056-2024")</f>
        <v/>
      </c>
      <c r="Y94">
        <f>HYPERLINK("https://klasma.github.io/Logging_0482/kartor_geotiff/A 12056-2024 georefererad karta.tif", "A 12056-2024")</f>
        <v/>
      </c>
      <c r="AA94">
        <f>HYPERLINK("https://klasma.github.io/Logging_0482/klagomål/A 12056-2024 FSC-klagomål.docx", "A 12056-2024")</f>
        <v/>
      </c>
      <c r="AB94">
        <f>HYPERLINK("https://klasma.github.io/Logging_0482/klagomålsmail/A 12056-2024 FSC-klagomål mail.docx", "A 12056-2024")</f>
        <v/>
      </c>
      <c r="AC94">
        <f>HYPERLINK("https://klasma.github.io/Logging_0482/tillsyn/A 12056-2024 tillsynsbegäran.docx", "A 12056-2024")</f>
        <v/>
      </c>
      <c r="AD94">
        <f>HYPERLINK("https://klasma.github.io/Logging_0482/tillsynsmail/A 12056-2024 tillsynsbegäran mail.docx", "A 12056-2024")</f>
        <v/>
      </c>
    </row>
    <row r="95" ht="15" customHeight="1">
      <c r="A95" t="inlineStr">
        <is>
          <t>A 7525-2024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45348</v>
      </c>
      <c r="E95" s="1" t="n">
        <v>46311</v>
      </c>
      <c r="F95" t="inlineStr">
        <is>
          <t>SÖDERMANLANDS LÄN</t>
        </is>
      </c>
      <c r="G95" t="inlineStr">
        <is>
          <t>FLEN</t>
        </is>
      </c>
      <c r="I95" t="n">
        <v>2.3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Vanlig backsmörblomma</t>
        </is>
      </c>
      <c r="W95">
        <f>HYPERLINK("https://klasma.github.io/Logging_0482/artfynd/A 7525-2024 artfynd.xlsx", "A 7525-2024")</f>
        <v/>
      </c>
      <c r="X95">
        <f>HYPERLINK("https://klasma.github.io/Logging_0482/kartor/A 7525-2024 karta.png", "A 7525-2024")</f>
        <v/>
      </c>
      <c r="Y95">
        <f>HYPERLINK("https://klasma.github.io/Logging_0482/kartor_geotiff/A 7525-2024 georefererad karta.tif", "A 7525-2024")</f>
        <v/>
      </c>
      <c r="AA95">
        <f>HYPERLINK("https://klasma.github.io/Logging_0482/klagomål/A 7525-2024 FSC-klagomål.docx", "A 7525-2024")</f>
        <v/>
      </c>
      <c r="AB95">
        <f>HYPERLINK("https://klasma.github.io/Logging_0482/klagomålsmail/A 7525-2024 FSC-klagomål mail.docx", "A 7525-2024")</f>
        <v/>
      </c>
      <c r="AC95">
        <f>HYPERLINK("https://klasma.github.io/Logging_0482/tillsyn/A 7525-2024 tillsynsbegäran.docx", "A 7525-2024")</f>
        <v/>
      </c>
      <c r="AD95">
        <f>HYPERLINK("https://klasma.github.io/Logging_0482/tillsynsmail/A 7525-2024 tillsynsbegäran mail.docx", "A 7525-2024")</f>
        <v/>
      </c>
    </row>
    <row r="96" ht="15" customHeight="1">
      <c r="A96" t="inlineStr">
        <is>
          <t>A 10770-2022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44624</v>
      </c>
      <c r="E96" s="1" t="n">
        <v>46311</v>
      </c>
      <c r="F96" t="inlineStr">
        <is>
          <t>SÖDERMANLANDS LÄN</t>
        </is>
      </c>
      <c r="G96" t="inlineStr">
        <is>
          <t>FLEN</t>
        </is>
      </c>
      <c r="I96" t="n">
        <v>2.3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Svinrot</t>
        </is>
      </c>
      <c r="W96">
        <f>HYPERLINK("https://klasma.github.io/Logging_0482/artfynd/A 10770-2022 artfynd.xlsx", "A 10770-2022")</f>
        <v/>
      </c>
      <c r="X96">
        <f>HYPERLINK("https://klasma.github.io/Logging_0482/kartor/A 10770-2022 karta.png", "A 10770-2022")</f>
        <v/>
      </c>
      <c r="Y96">
        <f>HYPERLINK("https://klasma.github.io/Logging_0482/kartor_geotiff/A 10770-2022 georefererad karta.tif", "A 10770-2022")</f>
        <v/>
      </c>
      <c r="AA96">
        <f>HYPERLINK("https://klasma.github.io/Logging_0482/klagomål/A 10770-2022 FSC-klagomål.docx", "A 10770-2022")</f>
        <v/>
      </c>
      <c r="AB96">
        <f>HYPERLINK("https://klasma.github.io/Logging_0482/klagomålsmail/A 10770-2022 FSC-klagomål mail.docx", "A 10770-2022")</f>
        <v/>
      </c>
      <c r="AC96">
        <f>HYPERLINK("https://klasma.github.io/Logging_0482/tillsyn/A 10770-2022 tillsynsbegäran.docx", "A 10770-2022")</f>
        <v/>
      </c>
      <c r="AD96">
        <f>HYPERLINK("https://klasma.github.io/Logging_0482/tillsynsmail/A 10770-2022 tillsynsbegäran mail.docx", "A 10770-2022")</f>
        <v/>
      </c>
    </row>
    <row r="97" ht="15" customHeight="1">
      <c r="A97" t="inlineStr">
        <is>
          <t>A 13858-2023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45007</v>
      </c>
      <c r="E97" s="1" t="n">
        <v>46311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0.8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Svedjenäva</t>
        </is>
      </c>
      <c r="W97">
        <f>HYPERLINK("https://klasma.github.io/Logging_0482/artfynd/A 13858-2023 artfynd.xlsx", "A 13858-2023")</f>
        <v/>
      </c>
      <c r="X97">
        <f>HYPERLINK("https://klasma.github.io/Logging_0482/kartor/A 13858-2023 karta.png", "A 13858-2023")</f>
        <v/>
      </c>
      <c r="Y97">
        <f>HYPERLINK("https://klasma.github.io/Logging_0482/kartor_geotiff/A 13858-2023 georefererad karta.tif", "A 13858-2023")</f>
        <v/>
      </c>
      <c r="AA97">
        <f>HYPERLINK("https://klasma.github.io/Logging_0482/klagomål/A 13858-2023 FSC-klagomål.docx", "A 13858-2023")</f>
        <v/>
      </c>
      <c r="AB97">
        <f>HYPERLINK("https://klasma.github.io/Logging_0482/klagomålsmail/A 13858-2023 FSC-klagomål mail.docx", "A 13858-2023")</f>
        <v/>
      </c>
      <c r="AC97">
        <f>HYPERLINK("https://klasma.github.io/Logging_0482/tillsyn/A 13858-2023 tillsynsbegäran.docx", "A 13858-2023")</f>
        <v/>
      </c>
      <c r="AD97">
        <f>HYPERLINK("https://klasma.github.io/Logging_0482/tillsynsmail/A 13858-2023 tillsynsbegäran mail.docx", "A 13858-2023")</f>
        <v/>
      </c>
    </row>
    <row r="98" ht="15" customHeight="1">
      <c r="A98" t="inlineStr">
        <is>
          <t>A 14273-2025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46311</v>
      </c>
      <c r="F98" t="inlineStr">
        <is>
          <t>SÖDERMANLANDS LÄN</t>
        </is>
      </c>
      <c r="G98" t="inlineStr">
        <is>
          <t>FLEN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Vedskivlav</t>
        </is>
      </c>
      <c r="W98">
        <f>HYPERLINK("https://klasma.github.io/Logging_0482/artfynd/A 14273-2025 artfynd.xlsx", "A 14273-2025")</f>
        <v/>
      </c>
      <c r="X98">
        <f>HYPERLINK("https://klasma.github.io/Logging_0482/kartor/A 14273-2025 karta.png", "A 14273-2025")</f>
        <v/>
      </c>
      <c r="Y98">
        <f>HYPERLINK("https://klasma.github.io/Logging_0482/kartor_geotiff/A 14273-2025 georefererad karta.tif", "A 14273-2025")</f>
        <v/>
      </c>
      <c r="AA98">
        <f>HYPERLINK("https://klasma.github.io/Logging_0482/klagomål/A 14273-2025 FSC-klagomål.docx", "A 14273-2025")</f>
        <v/>
      </c>
      <c r="AB98">
        <f>HYPERLINK("https://klasma.github.io/Logging_0482/klagomålsmail/A 14273-2025 FSC-klagomål mail.docx", "A 14273-2025")</f>
        <v/>
      </c>
      <c r="AC98">
        <f>HYPERLINK("https://klasma.github.io/Logging_0482/tillsyn/A 14273-2025 tillsynsbegäran.docx", "A 14273-2025")</f>
        <v/>
      </c>
      <c r="AD98">
        <f>HYPERLINK("https://klasma.github.io/Logging_0482/tillsynsmail/A 14273-2025 tillsynsbegäran mail.docx", "A 14273-2025")</f>
        <v/>
      </c>
    </row>
    <row r="99" ht="15" customHeight="1">
      <c r="A99" t="inlineStr">
        <is>
          <t>A 45107-2023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45191</v>
      </c>
      <c r="E99" s="1" t="n">
        <v>46311</v>
      </c>
      <c r="F99" t="inlineStr">
        <is>
          <t>SÖDERMANLANDS LÄN</t>
        </is>
      </c>
      <c r="G99" t="inlineStr">
        <is>
          <t>FLEN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Brudborste</t>
        </is>
      </c>
      <c r="W99">
        <f>HYPERLINK("https://klasma.github.io/Logging_0482/artfynd/A 45107-2023 artfynd.xlsx", "A 45107-2023")</f>
        <v/>
      </c>
      <c r="X99">
        <f>HYPERLINK("https://klasma.github.io/Logging_0482/kartor/A 45107-2023 karta.png", "A 45107-2023")</f>
        <v/>
      </c>
      <c r="Y99">
        <f>HYPERLINK("https://klasma.github.io/Logging_0482/kartor_geotiff/A 45107-2023 georefererad karta.tif", "A 45107-2023")</f>
        <v/>
      </c>
      <c r="AA99">
        <f>HYPERLINK("https://klasma.github.io/Logging_0482/klagomål/A 45107-2023 FSC-klagomål.docx", "A 45107-2023")</f>
        <v/>
      </c>
      <c r="AB99">
        <f>HYPERLINK("https://klasma.github.io/Logging_0482/klagomålsmail/A 45107-2023 FSC-klagomål mail.docx", "A 45107-2023")</f>
        <v/>
      </c>
      <c r="AC99">
        <f>HYPERLINK("https://klasma.github.io/Logging_0482/tillsyn/A 45107-2023 tillsynsbegäran.docx", "A 45107-2023")</f>
        <v/>
      </c>
      <c r="AD99">
        <f>HYPERLINK("https://klasma.github.io/Logging_0482/tillsynsmail/A 45107-2023 tillsynsbegäran mail.docx", "A 45107-2023")</f>
        <v/>
      </c>
    </row>
    <row r="100" ht="15" customHeight="1">
      <c r="A100" t="inlineStr">
        <is>
          <t>A 1242-2022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44572</v>
      </c>
      <c r="E100" s="1" t="n">
        <v>46311</v>
      </c>
      <c r="F100" t="inlineStr">
        <is>
          <t>SÖDERMANLANDS LÄN</t>
        </is>
      </c>
      <c r="G100" t="inlineStr">
        <is>
          <t>FLEN</t>
        </is>
      </c>
      <c r="H100" t="inlineStr">
        <is>
          <t>Övriga statliga verk och myndigheter</t>
        </is>
      </c>
      <c r="I100" t="n">
        <v>9.300000000000001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Slåtterfibbla</t>
        </is>
      </c>
      <c r="W100">
        <f>HYPERLINK("https://klasma.github.io/Logging_0482/artfynd/A 1242-2022 artfynd.xlsx", "A 1242-2022")</f>
        <v/>
      </c>
      <c r="X100">
        <f>HYPERLINK("https://klasma.github.io/Logging_0482/kartor/A 1242-2022 karta.png", "A 1242-2022")</f>
        <v/>
      </c>
      <c r="Y100">
        <f>HYPERLINK("https://klasma.github.io/Logging_0482/kartor_geotiff/A 1242-2022 georefererad karta.tif", "A 1242-2022")</f>
        <v/>
      </c>
      <c r="AA100">
        <f>HYPERLINK("https://klasma.github.io/Logging_0482/klagomål/A 1242-2022 FSC-klagomål.docx", "A 1242-2022")</f>
        <v/>
      </c>
      <c r="AB100">
        <f>HYPERLINK("https://klasma.github.io/Logging_0482/klagomålsmail/A 1242-2022 FSC-klagomål mail.docx", "A 1242-2022")</f>
        <v/>
      </c>
      <c r="AC100">
        <f>HYPERLINK("https://klasma.github.io/Logging_0482/tillsyn/A 1242-2022 tillsynsbegäran.docx", "A 1242-2022")</f>
        <v/>
      </c>
      <c r="AD100">
        <f>HYPERLINK("https://klasma.github.io/Logging_0482/tillsynsmail/A 1242-2022 tillsynsbegäran mail.docx", "A 1242-2022")</f>
        <v/>
      </c>
    </row>
    <row r="101" ht="15" customHeight="1">
      <c r="A101" t="inlineStr">
        <is>
          <t>A 12371-2022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44637</v>
      </c>
      <c r="E101" s="1" t="n">
        <v>46311</v>
      </c>
      <c r="F101" t="inlineStr">
        <is>
          <t>SÖDERMANLANDS LÄN</t>
        </is>
      </c>
      <c r="G101" t="inlineStr">
        <is>
          <t>FLEN</t>
        </is>
      </c>
      <c r="H101" t="inlineStr">
        <is>
          <t>Kommuner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12371-2022 artfynd.xlsx", "A 12371-2022")</f>
        <v/>
      </c>
      <c r="X101">
        <f>HYPERLINK("https://klasma.github.io/Logging_0482/kartor/A 12371-2022 karta.png", "A 12371-2022")</f>
        <v/>
      </c>
      <c r="Y101">
        <f>HYPERLINK("https://klasma.github.io/Logging_0482/kartor_geotiff/A 12371-2022 georefererad karta.tif", "A 12371-2022")</f>
        <v/>
      </c>
      <c r="AA101">
        <f>HYPERLINK("https://klasma.github.io/Logging_0482/klagomål/A 12371-2022 FSC-klagomål.docx", "A 12371-2022")</f>
        <v/>
      </c>
      <c r="AB101">
        <f>HYPERLINK("https://klasma.github.io/Logging_0482/klagomålsmail/A 12371-2022 FSC-klagomål mail.docx", "A 12371-2022")</f>
        <v/>
      </c>
      <c r="AC101">
        <f>HYPERLINK("https://klasma.github.io/Logging_0482/tillsyn/A 12371-2022 tillsynsbegäran.docx", "A 12371-2022")</f>
        <v/>
      </c>
      <c r="AD101">
        <f>HYPERLINK("https://klasma.github.io/Logging_0482/tillsynsmail/A 12371-2022 tillsynsbegäran mail.docx", "A 12371-2022")</f>
        <v/>
      </c>
    </row>
    <row r="102" ht="15" customHeight="1">
      <c r="A102" t="inlineStr">
        <is>
          <t>A 14113-2025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46311</v>
      </c>
      <c r="F102" t="inlineStr">
        <is>
          <t>SÖDERMANLANDS LÄN</t>
        </is>
      </c>
      <c r="G102" t="inlineStr">
        <is>
          <t>FLEN</t>
        </is>
      </c>
      <c r="H102" t="inlineStr">
        <is>
          <t>Övriga statliga verk och myndigheter</t>
        </is>
      </c>
      <c r="I102" t="n">
        <v>3.6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Blåsippa</t>
        </is>
      </c>
      <c r="W102">
        <f>HYPERLINK("https://klasma.github.io/Logging_0482/artfynd/A 14113-2025 artfynd.xlsx", "A 14113-2025")</f>
        <v/>
      </c>
      <c r="X102">
        <f>HYPERLINK("https://klasma.github.io/Logging_0482/kartor/A 14113-2025 karta.png", "A 14113-2025")</f>
        <v/>
      </c>
      <c r="Y102">
        <f>HYPERLINK("https://klasma.github.io/Logging_0482/kartor_geotiff/A 14113-2025 georefererad karta.tif", "A 14113-2025")</f>
        <v/>
      </c>
      <c r="AA102">
        <f>HYPERLINK("https://klasma.github.io/Logging_0482/klagomål/A 14113-2025 FSC-klagomål.docx", "A 14113-2025")</f>
        <v/>
      </c>
      <c r="AB102">
        <f>HYPERLINK("https://klasma.github.io/Logging_0482/klagomålsmail/A 14113-2025 FSC-klagomål mail.docx", "A 14113-2025")</f>
        <v/>
      </c>
      <c r="AC102">
        <f>HYPERLINK("https://klasma.github.io/Logging_0482/tillsyn/A 14113-2025 tillsynsbegäran.docx", "A 14113-2025")</f>
        <v/>
      </c>
      <c r="AD102">
        <f>HYPERLINK("https://klasma.github.io/Logging_0482/tillsynsmail/A 14113-2025 tillsynsbegäran mail.docx", "A 14113-2025")</f>
        <v/>
      </c>
    </row>
    <row r="103" ht="15" customHeight="1">
      <c r="A103" t="inlineStr">
        <is>
          <t>A 39036-2023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46311</v>
      </c>
      <c r="F103" t="inlineStr">
        <is>
          <t>SÖDERMANLANDS LÄN</t>
        </is>
      </c>
      <c r="G103" t="inlineStr">
        <is>
          <t>FLEN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1</v>
      </c>
      <c r="V103" s="2" t="inlineStr">
        <is>
          <t>Igelkott</t>
        </is>
      </c>
      <c r="W103">
        <f>HYPERLINK("https://klasma.github.io/Logging_0482/artfynd/A 39036-2023 artfynd.xlsx", "A 39036-2023")</f>
        <v/>
      </c>
      <c r="X103">
        <f>HYPERLINK("https://klasma.github.io/Logging_0482/kartor/A 39036-2023 karta.png", "A 39036-2023")</f>
        <v/>
      </c>
      <c r="Y103">
        <f>HYPERLINK("https://klasma.github.io/Logging_0482/kartor_geotiff/A 39036-2023 georefererad karta.tif", "A 39036-2023")</f>
        <v/>
      </c>
      <c r="AA103">
        <f>HYPERLINK("https://klasma.github.io/Logging_0482/klagomål/A 39036-2023 FSC-klagomål.docx", "A 39036-2023")</f>
        <v/>
      </c>
      <c r="AB103">
        <f>HYPERLINK("https://klasma.github.io/Logging_0482/klagomålsmail/A 39036-2023 FSC-klagomål mail.docx", "A 39036-2023")</f>
        <v/>
      </c>
      <c r="AC103">
        <f>HYPERLINK("https://klasma.github.io/Logging_0482/tillsyn/A 39036-2023 tillsynsbegäran.docx", "A 39036-2023")</f>
        <v/>
      </c>
      <c r="AD103">
        <f>HYPERLINK("https://klasma.github.io/Logging_0482/tillsynsmail/A 39036-2023 tillsynsbegäran mail.docx", "A 39036-2023")</f>
        <v/>
      </c>
    </row>
    <row r="104" ht="15" customHeight="1">
      <c r="A104" t="inlineStr">
        <is>
          <t>A 33024-2022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44785</v>
      </c>
      <c r="E104" s="1" t="n">
        <v>46311</v>
      </c>
      <c r="F104" t="inlineStr">
        <is>
          <t>SÖDERMANLANDS LÄN</t>
        </is>
      </c>
      <c r="G104" t="inlineStr">
        <is>
          <t>FLEN</t>
        </is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Blåsippa</t>
        </is>
      </c>
      <c r="W104">
        <f>HYPERLINK("https://klasma.github.io/Logging_0482/artfynd/A 33024-2022 artfynd.xlsx", "A 33024-2022")</f>
        <v/>
      </c>
      <c r="X104">
        <f>HYPERLINK("https://klasma.github.io/Logging_0482/kartor/A 33024-2022 karta.png", "A 33024-2022")</f>
        <v/>
      </c>
      <c r="Y104">
        <f>HYPERLINK("https://klasma.github.io/Logging_0482/kartor_geotiff/A 33024-2022 georefererad karta.tif", "A 33024-2022")</f>
        <v/>
      </c>
      <c r="AA104">
        <f>HYPERLINK("https://klasma.github.io/Logging_0482/klagomål/A 33024-2022 FSC-klagomål.docx", "A 33024-2022")</f>
        <v/>
      </c>
      <c r="AB104">
        <f>HYPERLINK("https://klasma.github.io/Logging_0482/klagomålsmail/A 33024-2022 FSC-klagomål mail.docx", "A 33024-2022")</f>
        <v/>
      </c>
      <c r="AC104">
        <f>HYPERLINK("https://klasma.github.io/Logging_0482/tillsyn/A 33024-2022 tillsynsbegäran.docx", "A 33024-2022")</f>
        <v/>
      </c>
      <c r="AD104">
        <f>HYPERLINK("https://klasma.github.io/Logging_0482/tillsynsmail/A 33024-2022 tillsynsbegäran mail.docx", "A 33024-2022")</f>
        <v/>
      </c>
    </row>
    <row r="105" ht="15" customHeight="1">
      <c r="A105" t="inlineStr">
        <is>
          <t>A 31427-2022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44774</v>
      </c>
      <c r="E105" s="1" t="n">
        <v>46311</v>
      </c>
      <c r="F105" t="inlineStr">
        <is>
          <t>SÖDERMANLANDS LÄN</t>
        </is>
      </c>
      <c r="G105" t="inlineStr">
        <is>
          <t>FLEN</t>
        </is>
      </c>
      <c r="I105" t="n">
        <v>3.7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Älg</t>
        </is>
      </c>
      <c r="W105">
        <f>HYPERLINK("https://klasma.github.io/Logging_0482/artfynd/A 31427-2022 artfynd.xlsx", "A 31427-2022")</f>
        <v/>
      </c>
      <c r="X105">
        <f>HYPERLINK("https://klasma.github.io/Logging_0482/kartor/A 31427-2022 karta.png", "A 31427-2022")</f>
        <v/>
      </c>
      <c r="Y105">
        <f>HYPERLINK("https://klasma.github.io/Logging_0482/kartor_geotiff/A 31427-2022 georefererad karta.tif", "A 31427-2022")</f>
        <v/>
      </c>
      <c r="AA105">
        <f>HYPERLINK("https://klasma.github.io/Logging_0482/klagomål/A 31427-2022 FSC-klagomål.docx", "A 31427-2022")</f>
        <v/>
      </c>
      <c r="AB105">
        <f>HYPERLINK("https://klasma.github.io/Logging_0482/klagomålsmail/A 31427-2022 FSC-klagomål mail.docx", "A 31427-2022")</f>
        <v/>
      </c>
      <c r="AC105">
        <f>HYPERLINK("https://klasma.github.io/Logging_0482/tillsyn/A 31427-2022 tillsynsbegäran.docx", "A 31427-2022")</f>
        <v/>
      </c>
      <c r="AD105">
        <f>HYPERLINK("https://klasma.github.io/Logging_0482/tillsynsmail/A 31427-2022 tillsynsbegäran mail.docx", "A 31427-2022")</f>
        <v/>
      </c>
    </row>
    <row r="106" ht="15" customHeight="1">
      <c r="A106" t="inlineStr">
        <is>
          <t>A 47756-2022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44854</v>
      </c>
      <c r="E106" s="1" t="n">
        <v>46311</v>
      </c>
      <c r="F106" t="inlineStr">
        <is>
          <t>SÖDERMANLANDS LÄN</t>
        </is>
      </c>
      <c r="G106" t="inlineStr">
        <is>
          <t>FLEN</t>
        </is>
      </c>
      <c r="I106" t="n">
        <v>2.4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47756-2022 artfynd.xlsx", "A 47756-2022")</f>
        <v/>
      </c>
      <c r="X106">
        <f>HYPERLINK("https://klasma.github.io/Logging_0482/kartor/A 47756-2022 karta.png", "A 47756-2022")</f>
        <v/>
      </c>
      <c r="Y106">
        <f>HYPERLINK("https://klasma.github.io/Logging_0482/kartor_geotiff/A 47756-2022 georefererad karta.tif", "A 47756-2022")</f>
        <v/>
      </c>
      <c r="AA106">
        <f>HYPERLINK("https://klasma.github.io/Logging_0482/klagomål/A 47756-2022 FSC-klagomål.docx", "A 47756-2022")</f>
        <v/>
      </c>
      <c r="AB106">
        <f>HYPERLINK("https://klasma.github.io/Logging_0482/klagomålsmail/A 47756-2022 FSC-klagomål mail.docx", "A 47756-2022")</f>
        <v/>
      </c>
      <c r="AC106">
        <f>HYPERLINK("https://klasma.github.io/Logging_0482/tillsyn/A 47756-2022 tillsynsbegäran.docx", "A 47756-2022")</f>
        <v/>
      </c>
      <c r="AD106">
        <f>HYPERLINK("https://klasma.github.io/Logging_0482/tillsynsmail/A 47756-2022 tillsynsbegäran mail.docx", "A 47756-2022")</f>
        <v/>
      </c>
    </row>
    <row r="107" ht="15" customHeight="1">
      <c r="A107" t="inlineStr">
        <is>
          <t>A 31972-2024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45510</v>
      </c>
      <c r="E107" s="1" t="n">
        <v>46311</v>
      </c>
      <c r="F107" t="inlineStr">
        <is>
          <t>SÖDERMANLANDS LÄN</t>
        </is>
      </c>
      <c r="G107" t="inlineStr">
        <is>
          <t>FLEN</t>
        </is>
      </c>
      <c r="I107" t="n">
        <v>3.4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Åkerrödtoppa</t>
        </is>
      </c>
      <c r="W107">
        <f>HYPERLINK("https://klasma.github.io/Logging_0482/artfynd/A 31972-2024 artfynd.xlsx", "A 31972-2024")</f>
        <v/>
      </c>
      <c r="X107">
        <f>HYPERLINK("https://klasma.github.io/Logging_0482/kartor/A 31972-2024 karta.png", "A 31972-2024")</f>
        <v/>
      </c>
      <c r="Y107">
        <f>HYPERLINK("https://klasma.github.io/Logging_0482/kartor_geotiff/A 31972-2024 georefererad karta.tif", "A 31972-2024")</f>
        <v/>
      </c>
      <c r="AA107">
        <f>HYPERLINK("https://klasma.github.io/Logging_0482/klagomål/A 31972-2024 FSC-klagomål.docx", "A 31972-2024")</f>
        <v/>
      </c>
      <c r="AB107">
        <f>HYPERLINK("https://klasma.github.io/Logging_0482/klagomålsmail/A 31972-2024 FSC-klagomål mail.docx", "A 31972-2024")</f>
        <v/>
      </c>
      <c r="AC107">
        <f>HYPERLINK("https://klasma.github.io/Logging_0482/tillsyn/A 31972-2024 tillsynsbegäran.docx", "A 31972-2024")</f>
        <v/>
      </c>
      <c r="AD107">
        <f>HYPERLINK("https://klasma.github.io/Logging_0482/tillsynsmail/A 31972-2024 tillsynsbegäran mail.docx", "A 31972-2024")</f>
        <v/>
      </c>
    </row>
    <row r="108" ht="15" customHeight="1">
      <c r="A108" t="inlineStr">
        <is>
          <t>A 24179-2026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46168</v>
      </c>
      <c r="E108" s="1" t="n">
        <v>46311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Gullklöver</t>
        </is>
      </c>
      <c r="W108">
        <f>HYPERLINK("https://klasma.github.io/Logging_0482/artfynd/A 24179-2026 artfynd.xlsx", "A 24179-2026")</f>
        <v/>
      </c>
      <c r="X108">
        <f>HYPERLINK("https://klasma.github.io/Logging_0482/kartor/A 24179-2026 karta.png", "A 24179-2026")</f>
        <v/>
      </c>
      <c r="Y108">
        <f>HYPERLINK("https://klasma.github.io/Logging_0482/kartor_geotiff/A 24179-2026 georefererad karta.tif", "A 24179-2026")</f>
        <v/>
      </c>
      <c r="AA108">
        <f>HYPERLINK("https://klasma.github.io/Logging_0482/klagomål/A 24179-2026 FSC-klagomål.docx", "A 24179-2026")</f>
        <v/>
      </c>
      <c r="AB108">
        <f>HYPERLINK("https://klasma.github.io/Logging_0482/klagomålsmail/A 24179-2026 FSC-klagomål mail.docx", "A 24179-2026")</f>
        <v/>
      </c>
      <c r="AC108">
        <f>HYPERLINK("https://klasma.github.io/Logging_0482/tillsyn/A 24179-2026 tillsynsbegäran.docx", "A 24179-2026")</f>
        <v/>
      </c>
      <c r="AD108">
        <f>HYPERLINK("https://klasma.github.io/Logging_0482/tillsynsmail/A 24179-2026 tillsynsbegäran mail.docx", "A 24179-2026")</f>
        <v/>
      </c>
    </row>
    <row r="109" ht="15" customHeight="1">
      <c r="A109" t="inlineStr">
        <is>
          <t>A 6982-2024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46311</v>
      </c>
      <c r="F109" t="inlineStr">
        <is>
          <t>SÖDERMANLANDS LÄN</t>
        </is>
      </c>
      <c r="G109" t="inlineStr">
        <is>
          <t>FLEN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Fläcknycklar</t>
        </is>
      </c>
      <c r="W109">
        <f>HYPERLINK("https://klasma.github.io/Logging_0482/artfynd/A 6982-2024 artfynd.xlsx", "A 6982-2024")</f>
        <v/>
      </c>
      <c r="X109">
        <f>HYPERLINK("https://klasma.github.io/Logging_0482/kartor/A 6982-2024 karta.png", "A 6982-2024")</f>
        <v/>
      </c>
      <c r="Y109">
        <f>HYPERLINK("https://klasma.github.io/Logging_0482/kartor_geotiff/A 6982-2024 georefererad karta.tif", "A 6982-2024")</f>
        <v/>
      </c>
      <c r="AA109">
        <f>HYPERLINK("https://klasma.github.io/Logging_0482/klagomål/A 6982-2024 FSC-klagomål.docx", "A 6982-2024")</f>
        <v/>
      </c>
      <c r="AB109">
        <f>HYPERLINK("https://klasma.github.io/Logging_0482/klagomålsmail/A 6982-2024 FSC-klagomål mail.docx", "A 6982-2024")</f>
        <v/>
      </c>
      <c r="AC109">
        <f>HYPERLINK("https://klasma.github.io/Logging_0482/tillsyn/A 6982-2024 tillsynsbegäran.docx", "A 6982-2024")</f>
        <v/>
      </c>
      <c r="AD109">
        <f>HYPERLINK("https://klasma.github.io/Logging_0482/tillsynsmail/A 6982-2024 tillsynsbegäran mail.docx", "A 6982-2024")</f>
        <v/>
      </c>
    </row>
    <row r="110" ht="15" customHeight="1">
      <c r="A110" t="inlineStr">
        <is>
          <t>A 53339-2023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46311</v>
      </c>
      <c r="F110" t="inlineStr">
        <is>
          <t>SÖDERMANLANDS LÄN</t>
        </is>
      </c>
      <c r="G110" t="inlineStr">
        <is>
          <t>FLEN</t>
        </is>
      </c>
      <c r="I110" t="n">
        <v>1.1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Blåsippa</t>
        </is>
      </c>
      <c r="W110">
        <f>HYPERLINK("https://klasma.github.io/Logging_0482/artfynd/A 53339-2023 artfynd.xlsx", "A 53339-2023")</f>
        <v/>
      </c>
      <c r="X110">
        <f>HYPERLINK("https://klasma.github.io/Logging_0482/kartor/A 53339-2023 karta.png", "A 53339-2023")</f>
        <v/>
      </c>
      <c r="Y110">
        <f>HYPERLINK("https://klasma.github.io/Logging_0482/kartor_geotiff/A 53339-2023 georefererad karta.tif", "A 53339-2023")</f>
        <v/>
      </c>
      <c r="AA110">
        <f>HYPERLINK("https://klasma.github.io/Logging_0482/klagomål/A 53339-2023 FSC-klagomål.docx", "A 53339-2023")</f>
        <v/>
      </c>
      <c r="AB110">
        <f>HYPERLINK("https://klasma.github.io/Logging_0482/klagomålsmail/A 53339-2023 FSC-klagomål mail.docx", "A 53339-2023")</f>
        <v/>
      </c>
      <c r="AC110">
        <f>HYPERLINK("https://klasma.github.io/Logging_0482/tillsyn/A 53339-2023 tillsynsbegäran.docx", "A 53339-2023")</f>
        <v/>
      </c>
      <c r="AD110">
        <f>HYPERLINK("https://klasma.github.io/Logging_0482/tillsynsmail/A 53339-2023 tillsynsbegäran mail.docx", "A 53339-2023")</f>
        <v/>
      </c>
    </row>
    <row r="111" ht="15" customHeight="1">
      <c r="A111" t="inlineStr">
        <is>
          <t>A 47581-2025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46311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47581-2025 artfynd.xlsx", "A 47581-2025")</f>
        <v/>
      </c>
      <c r="X111">
        <f>HYPERLINK("https://klasma.github.io/Logging_0482/kartor/A 47581-2025 karta.png", "A 47581-2025")</f>
        <v/>
      </c>
      <c r="Y111">
        <f>HYPERLINK("https://klasma.github.io/Logging_0482/kartor_geotiff/A 47581-2025 georefererad karta.tif", "A 47581-2025")</f>
        <v/>
      </c>
      <c r="AA111">
        <f>HYPERLINK("https://klasma.github.io/Logging_0482/klagomål/A 47581-2025 FSC-klagomål.docx", "A 47581-2025")</f>
        <v/>
      </c>
      <c r="AB111">
        <f>HYPERLINK("https://klasma.github.io/Logging_0482/klagomålsmail/A 47581-2025 FSC-klagomål mail.docx", "A 47581-2025")</f>
        <v/>
      </c>
      <c r="AC111">
        <f>HYPERLINK("https://klasma.github.io/Logging_0482/tillsyn/A 47581-2025 tillsynsbegäran.docx", "A 47581-2025")</f>
        <v/>
      </c>
      <c r="AD111">
        <f>HYPERLINK("https://klasma.github.io/Logging_0482/tillsynsmail/A 47581-2025 tillsynsbegäran mail.docx", "A 47581-2025")</f>
        <v/>
      </c>
    </row>
    <row r="112" ht="15" customHeight="1">
      <c r="A112" t="inlineStr">
        <is>
          <t>A 4259-2023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44953</v>
      </c>
      <c r="E112" s="1" t="n">
        <v>46311</v>
      </c>
      <c r="F112" t="inlineStr">
        <is>
          <t>SÖDERMANLANDS LÄN</t>
        </is>
      </c>
      <c r="G112" t="inlineStr">
        <is>
          <t>FLEN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Blåsippa</t>
        </is>
      </c>
      <c r="W112">
        <f>HYPERLINK("https://klasma.github.io/Logging_0482/artfynd/A 4259-2023 artfynd.xlsx", "A 4259-2023")</f>
        <v/>
      </c>
      <c r="X112">
        <f>HYPERLINK("https://klasma.github.io/Logging_0482/kartor/A 4259-2023 karta.png", "A 4259-2023")</f>
        <v/>
      </c>
      <c r="Y112">
        <f>HYPERLINK("https://klasma.github.io/Logging_0482/kartor_geotiff/A 4259-2023 georefererad karta.tif", "A 4259-2023")</f>
        <v/>
      </c>
      <c r="AA112">
        <f>HYPERLINK("https://klasma.github.io/Logging_0482/klagomål/A 4259-2023 FSC-klagomål.docx", "A 4259-2023")</f>
        <v/>
      </c>
      <c r="AB112">
        <f>HYPERLINK("https://klasma.github.io/Logging_0482/klagomålsmail/A 4259-2023 FSC-klagomål mail.docx", "A 4259-2023")</f>
        <v/>
      </c>
      <c r="AC112">
        <f>HYPERLINK("https://klasma.github.io/Logging_0482/tillsyn/A 4259-2023 tillsynsbegäran.docx", "A 4259-2023")</f>
        <v/>
      </c>
      <c r="AD112">
        <f>HYPERLINK("https://klasma.github.io/Logging_0482/tillsynsmail/A 4259-2023 tillsynsbegäran mail.docx", "A 4259-2023")</f>
        <v/>
      </c>
    </row>
    <row r="113" ht="15" customHeight="1">
      <c r="A113" t="inlineStr">
        <is>
          <t>A 26310-2026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46311</v>
      </c>
      <c r="F113" t="inlineStr">
        <is>
          <t>SÖDERMANLANDS LÄN</t>
        </is>
      </c>
      <c r="G113" t="inlineStr">
        <is>
          <t>FLEN</t>
        </is>
      </c>
      <c r="I113" t="n">
        <v>1.2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Spillkråka</t>
        </is>
      </c>
      <c r="W113">
        <f>HYPERLINK("https://klasma.github.io/Logging_0482/artfynd/A 26310-2026 artfynd.xlsx", "A 26310-2026")</f>
        <v/>
      </c>
      <c r="X113">
        <f>HYPERLINK("https://klasma.github.io/Logging_0482/kartor/A 26310-2026 karta.png", "A 26310-2026")</f>
        <v/>
      </c>
      <c r="Y113">
        <f>HYPERLINK("https://klasma.github.io/Logging_0482/kartor_geotiff/A 26310-2026 georefererad karta.tif", "A 26310-2026")</f>
        <v/>
      </c>
      <c r="AA113">
        <f>HYPERLINK("https://klasma.github.io/Logging_0482/klagomål/A 26310-2026 FSC-klagomål.docx", "A 26310-2026")</f>
        <v/>
      </c>
      <c r="AB113">
        <f>HYPERLINK("https://klasma.github.io/Logging_0482/klagomålsmail/A 26310-2026 FSC-klagomål mail.docx", "A 26310-2026")</f>
        <v/>
      </c>
      <c r="AC113">
        <f>HYPERLINK("https://klasma.github.io/Logging_0482/tillsyn/A 26310-2026 tillsynsbegäran.docx", "A 26310-2026")</f>
        <v/>
      </c>
      <c r="AD113">
        <f>HYPERLINK("https://klasma.github.io/Logging_0482/tillsynsmail/A 26310-2026 tillsynsbegäran mail.docx", "A 26310-2026")</f>
        <v/>
      </c>
      <c r="AE113">
        <f>HYPERLINK("https://klasma.github.io/Logging_0482/fåglar/A 26310-2026 prioriterade fågelarter.docx", "A 26310-2026")</f>
        <v/>
      </c>
    </row>
    <row r="114" ht="15" customHeight="1">
      <c r="A114" t="inlineStr">
        <is>
          <t>A 26052-2026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46181</v>
      </c>
      <c r="E114" s="1" t="n">
        <v>46311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HYPERLINK("https://klasma.github.io/Logging_0482/artfynd/A 26052-2026 artfynd.xlsx", "A 26052-2026")</f>
        <v/>
      </c>
      <c r="X114">
        <f>HYPERLINK("https://klasma.github.io/Logging_0482/kartor/A 26052-2026 karta.png", "A 26052-2026")</f>
        <v/>
      </c>
      <c r="Y114">
        <f>HYPERLINK("https://klasma.github.io/Logging_0482/kartor_geotiff/A 26052-2026 georefererad karta.tif", "A 26052-2026")</f>
        <v/>
      </c>
      <c r="AA114">
        <f>HYPERLINK("https://klasma.github.io/Logging_0482/klagomål/A 26052-2026 FSC-klagomål.docx", "A 26052-2026")</f>
        <v/>
      </c>
      <c r="AB114">
        <f>HYPERLINK("https://klasma.github.io/Logging_0482/klagomålsmail/A 26052-2026 FSC-klagomål mail.docx", "A 26052-2026")</f>
        <v/>
      </c>
      <c r="AC114">
        <f>HYPERLINK("https://klasma.github.io/Logging_0482/tillsyn/A 26052-2026 tillsynsbegäran.docx", "A 26052-2026")</f>
        <v/>
      </c>
      <c r="AD114">
        <f>HYPERLINK("https://klasma.github.io/Logging_0482/tillsynsmail/A 26052-2026 tillsynsbegäran mail.docx", "A 26052-2026")</f>
        <v/>
      </c>
    </row>
    <row r="115" ht="15" customHeight="1">
      <c r="A115" t="inlineStr">
        <is>
          <t>A 12306-2022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44637</v>
      </c>
      <c r="E115" s="1" t="n">
        <v>46311</v>
      </c>
      <c r="F115" t="inlineStr">
        <is>
          <t>SÖDERMANLANDS LÄN</t>
        </is>
      </c>
      <c r="G115" t="inlineStr">
        <is>
          <t>FLEN</t>
        </is>
      </c>
      <c r="I115" t="n">
        <v>3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Järnsparv</t>
        </is>
      </c>
      <c r="W115">
        <f>HYPERLINK("https://klasma.github.io/Logging_0482/artfynd/A 12306-2022 artfynd.xlsx", "A 12306-2022")</f>
        <v/>
      </c>
      <c r="X115">
        <f>HYPERLINK("https://klasma.github.io/Logging_0482/kartor/A 12306-2022 karta.png", "A 12306-2022")</f>
        <v/>
      </c>
      <c r="Y115">
        <f>HYPERLINK("https://klasma.github.io/Logging_0482/kartor_geotiff/A 12306-2022 georefererad karta.tif", "A 12306-2022")</f>
        <v/>
      </c>
      <c r="AA115">
        <f>HYPERLINK("https://klasma.github.io/Logging_0482/klagomål/A 12306-2022 FSC-klagomål.docx", "A 12306-2022")</f>
        <v/>
      </c>
      <c r="AB115">
        <f>HYPERLINK("https://klasma.github.io/Logging_0482/klagomålsmail/A 12306-2022 FSC-klagomål mail.docx", "A 12306-2022")</f>
        <v/>
      </c>
      <c r="AC115">
        <f>HYPERLINK("https://klasma.github.io/Logging_0482/tillsyn/A 12306-2022 tillsynsbegäran.docx", "A 12306-2022")</f>
        <v/>
      </c>
      <c r="AD115">
        <f>HYPERLINK("https://klasma.github.io/Logging_0482/tillsynsmail/A 12306-2022 tillsynsbegäran mail.docx", "A 12306-2022")</f>
        <v/>
      </c>
      <c r="AE115">
        <f>HYPERLINK("https://klasma.github.io/Logging_0482/fåglar/A 12306-2022 prioriterade fågelarter.docx", "A 12306-2022")</f>
        <v/>
      </c>
    </row>
    <row r="116" ht="15" customHeight="1">
      <c r="A116" t="inlineStr">
        <is>
          <t>A 46987-2024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46311</v>
      </c>
      <c r="F116" t="inlineStr">
        <is>
          <t>SÖDERMANLANDS LÄN</t>
        </is>
      </c>
      <c r="G116" t="inlineStr">
        <is>
          <t>FLEN</t>
        </is>
      </c>
      <c r="I116" t="n">
        <v>1.2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Svinrot</t>
        </is>
      </c>
      <c r="W116">
        <f>HYPERLINK("https://klasma.github.io/Logging_0482/artfynd/A 46987-2024 artfynd.xlsx", "A 46987-2024")</f>
        <v/>
      </c>
      <c r="X116">
        <f>HYPERLINK("https://klasma.github.io/Logging_0482/kartor/A 46987-2024 karta.png", "A 46987-2024")</f>
        <v/>
      </c>
      <c r="Y116">
        <f>HYPERLINK("https://klasma.github.io/Logging_0482/kartor_geotiff/A 46987-2024 georefererad karta.tif", "A 46987-2024")</f>
        <v/>
      </c>
      <c r="AA116">
        <f>HYPERLINK("https://klasma.github.io/Logging_0482/klagomål/A 46987-2024 FSC-klagomål.docx", "A 46987-2024")</f>
        <v/>
      </c>
      <c r="AB116">
        <f>HYPERLINK("https://klasma.github.io/Logging_0482/klagomålsmail/A 46987-2024 FSC-klagomål mail.docx", "A 46987-2024")</f>
        <v/>
      </c>
      <c r="AC116">
        <f>HYPERLINK("https://klasma.github.io/Logging_0482/tillsyn/A 46987-2024 tillsynsbegäran.docx", "A 46987-2024")</f>
        <v/>
      </c>
      <c r="AD116">
        <f>HYPERLINK("https://klasma.github.io/Logging_0482/tillsynsmail/A 46987-2024 tillsynsbegäran mail.docx", "A 46987-2024")</f>
        <v/>
      </c>
    </row>
    <row r="117" ht="15" customHeight="1">
      <c r="A117" t="inlineStr">
        <is>
          <t>A 66230-2021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44518</v>
      </c>
      <c r="E117" s="1" t="n">
        <v>46311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HYPERLINK("https://klasma.github.io/Logging_0482/artfynd/A 66230-2021 artfynd.xlsx", "A 66230-2021")</f>
        <v/>
      </c>
      <c r="X117">
        <f>HYPERLINK("https://klasma.github.io/Logging_0482/kartor/A 66230-2021 karta.png", "A 66230-2021")</f>
        <v/>
      </c>
      <c r="Y117">
        <f>HYPERLINK("https://klasma.github.io/Logging_0482/kartor_geotiff/A 66230-2021 georefererad karta.tif", "A 66230-2021")</f>
        <v/>
      </c>
      <c r="AA117">
        <f>HYPERLINK("https://klasma.github.io/Logging_0482/klagomål/A 66230-2021 FSC-klagomål.docx", "A 66230-2021")</f>
        <v/>
      </c>
      <c r="AB117">
        <f>HYPERLINK("https://klasma.github.io/Logging_0482/klagomålsmail/A 66230-2021 FSC-klagomål mail.docx", "A 66230-2021")</f>
        <v/>
      </c>
      <c r="AC117">
        <f>HYPERLINK("https://klasma.github.io/Logging_0482/tillsyn/A 66230-2021 tillsynsbegäran.docx", "A 66230-2021")</f>
        <v/>
      </c>
      <c r="AD117">
        <f>HYPERLINK("https://klasma.github.io/Logging_0482/tillsynsmail/A 66230-2021 tillsynsbegäran mail.docx", "A 66230-2021")</f>
        <v/>
      </c>
    </row>
    <row r="118" ht="15" customHeight="1">
      <c r="A118" t="inlineStr">
        <is>
          <t>A 29195-2023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45105</v>
      </c>
      <c r="E118" s="1" t="n">
        <v>46311</v>
      </c>
      <c r="F118" t="inlineStr">
        <is>
          <t>SÖDERMANLANDS LÄN</t>
        </is>
      </c>
      <c r="G118" t="inlineStr">
        <is>
          <t>FLEN</t>
        </is>
      </c>
      <c r="H118" t="inlineStr">
        <is>
          <t>Övriga statliga verk och myndigheter</t>
        </is>
      </c>
      <c r="I118" t="n">
        <v>3.9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Plattlummer</t>
        </is>
      </c>
      <c r="W118">
        <f>HYPERLINK("https://klasma.github.io/Logging_0482/artfynd/A 29195-2023 artfynd.xlsx", "A 29195-2023")</f>
        <v/>
      </c>
      <c r="X118">
        <f>HYPERLINK("https://klasma.github.io/Logging_0482/kartor/A 29195-2023 karta.png", "A 29195-2023")</f>
        <v/>
      </c>
      <c r="Y118">
        <f>HYPERLINK("https://klasma.github.io/Logging_0482/kartor_geotiff/A 29195-2023 georefererad karta.tif", "A 29195-2023")</f>
        <v/>
      </c>
      <c r="AA118">
        <f>HYPERLINK("https://klasma.github.io/Logging_0482/klagomål/A 29195-2023 FSC-klagomål.docx", "A 29195-2023")</f>
        <v/>
      </c>
      <c r="AB118">
        <f>HYPERLINK("https://klasma.github.io/Logging_0482/klagomålsmail/A 29195-2023 FSC-klagomål mail.docx", "A 29195-2023")</f>
        <v/>
      </c>
      <c r="AC118">
        <f>HYPERLINK("https://klasma.github.io/Logging_0482/tillsyn/A 29195-2023 tillsynsbegäran.docx", "A 29195-2023")</f>
        <v/>
      </c>
      <c r="AD118">
        <f>HYPERLINK("https://klasma.github.io/Logging_0482/tillsynsmail/A 29195-2023 tillsynsbegäran mail.docx", "A 29195-2023")</f>
        <v/>
      </c>
    </row>
    <row r="119" ht="15" customHeight="1">
      <c r="A119" t="inlineStr">
        <is>
          <t>A 34721-2023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46311</v>
      </c>
      <c r="F119" t="inlineStr">
        <is>
          <t>SÖDERMANLANDS LÄN</t>
        </is>
      </c>
      <c r="G119" t="inlineStr">
        <is>
          <t>FLEN</t>
        </is>
      </c>
      <c r="I119" t="n">
        <v>4.1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34721-2023 artfynd.xlsx", "A 34721-2023")</f>
        <v/>
      </c>
      <c r="X119">
        <f>HYPERLINK("https://klasma.github.io/Logging_0482/kartor/A 34721-2023 karta.png", "A 34721-2023")</f>
        <v/>
      </c>
      <c r="Y119">
        <f>HYPERLINK("https://klasma.github.io/Logging_0482/kartor_geotiff/A 34721-2023 georefererad karta.tif", "A 34721-2023")</f>
        <v/>
      </c>
      <c r="AA119">
        <f>HYPERLINK("https://klasma.github.io/Logging_0482/klagomål/A 34721-2023 FSC-klagomål.docx", "A 34721-2023")</f>
        <v/>
      </c>
      <c r="AB119">
        <f>HYPERLINK("https://klasma.github.io/Logging_0482/klagomålsmail/A 34721-2023 FSC-klagomål mail.docx", "A 34721-2023")</f>
        <v/>
      </c>
      <c r="AC119">
        <f>HYPERLINK("https://klasma.github.io/Logging_0482/tillsyn/A 34721-2023 tillsynsbegäran.docx", "A 34721-2023")</f>
        <v/>
      </c>
      <c r="AD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30406-2026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46209</v>
      </c>
      <c r="E120" s="1" t="n">
        <v>46311</v>
      </c>
      <c r="F120" t="inlineStr">
        <is>
          <t>SÖDERMANLANDS LÄN</t>
        </is>
      </c>
      <c r="G120" t="inlineStr">
        <is>
          <t>FLEN</t>
        </is>
      </c>
      <c r="H120" t="inlineStr">
        <is>
          <t>Holmen skog AB</t>
        </is>
      </c>
      <c r="I120" t="n">
        <v>1.1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Ullticka</t>
        </is>
      </c>
      <c r="W120">
        <f>HYPERLINK("https://klasma.github.io/Logging_0482/artfynd/A 30406-2026 artfynd.xlsx", "A 30406-2026")</f>
        <v/>
      </c>
      <c r="X120">
        <f>HYPERLINK("https://klasma.github.io/Logging_0482/kartor/A 30406-2026 karta.png", "A 30406-2026")</f>
        <v/>
      </c>
      <c r="Y120">
        <f>HYPERLINK("https://klasma.github.io/Logging_0482/kartor_geotiff/A 30406-2026 georefererad karta.tif", "A 30406-2026")</f>
        <v/>
      </c>
      <c r="AA120">
        <f>HYPERLINK("https://klasma.github.io/Logging_0482/klagomål/A 30406-2026 FSC-klagomål.docx", "A 30406-2026")</f>
        <v/>
      </c>
      <c r="AB120">
        <f>HYPERLINK("https://klasma.github.io/Logging_0482/klagomålsmail/A 30406-2026 FSC-klagomål mail.docx", "A 30406-2026")</f>
        <v/>
      </c>
      <c r="AC120">
        <f>HYPERLINK("https://klasma.github.io/Logging_0482/tillsyn/A 30406-2026 tillsynsbegäran.docx", "A 30406-2026")</f>
        <v/>
      </c>
      <c r="AD120">
        <f>HYPERLINK("https://klasma.github.io/Logging_0482/tillsynsmail/A 30406-2026 tillsynsbegäran mail.docx", "A 30406-2026")</f>
        <v/>
      </c>
    </row>
    <row r="121" ht="15" customHeight="1">
      <c r="A121" t="inlineStr">
        <is>
          <t>A 52579-2025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45954</v>
      </c>
      <c r="E121" s="1" t="n">
        <v>46311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4.5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52579-2025 artfynd.xlsx", "A 52579-2025")</f>
        <v/>
      </c>
      <c r="X121">
        <f>HYPERLINK("https://klasma.github.io/Logging_0482/kartor/A 52579-2025 karta.png", "A 52579-2025")</f>
        <v/>
      </c>
      <c r="Y121">
        <f>HYPERLINK("https://klasma.github.io/Logging_0482/kartor_geotiff/A 52579-2025 georefererad karta.tif", "A 52579-2025")</f>
        <v/>
      </c>
      <c r="AA121">
        <f>HYPERLINK("https://klasma.github.io/Logging_0482/klagomål/A 52579-2025 FSC-klagomål.docx", "A 52579-2025")</f>
        <v/>
      </c>
      <c r="AB121">
        <f>HYPERLINK("https://klasma.github.io/Logging_0482/klagomålsmail/A 52579-2025 FSC-klagomål mail.docx", "A 52579-2025")</f>
        <v/>
      </c>
      <c r="AC121">
        <f>HYPERLINK("https://klasma.github.io/Logging_0482/tillsyn/A 52579-2025 tillsynsbegäran.docx", "A 52579-2025")</f>
        <v/>
      </c>
      <c r="AD121">
        <f>HYPERLINK("https://klasma.github.io/Logging_0482/tillsynsmail/A 52579-2025 tillsynsbegäran mail.docx", "A 52579-2025")</f>
        <v/>
      </c>
    </row>
    <row r="122" ht="15" customHeight="1">
      <c r="A122" t="inlineStr">
        <is>
          <t>A 60591-2022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44911</v>
      </c>
      <c r="E122" s="1" t="n">
        <v>46311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1.3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Grönpyrola</t>
        </is>
      </c>
      <c r="W122">
        <f>HYPERLINK("https://klasma.github.io/Logging_0482/artfynd/A 60591-2022 artfynd.xlsx", "A 60591-2022")</f>
        <v/>
      </c>
      <c r="X122">
        <f>HYPERLINK("https://klasma.github.io/Logging_0482/kartor/A 60591-2022 karta.png", "A 60591-2022")</f>
        <v/>
      </c>
      <c r="Y122">
        <f>HYPERLINK("https://klasma.github.io/Logging_0482/kartor_geotiff/A 60591-2022 georefererad karta.tif", "A 60591-2022")</f>
        <v/>
      </c>
      <c r="AA122">
        <f>HYPERLINK("https://klasma.github.io/Logging_0482/klagomål/A 60591-2022 FSC-klagomål.docx", "A 60591-2022")</f>
        <v/>
      </c>
      <c r="AB122">
        <f>HYPERLINK("https://klasma.github.io/Logging_0482/klagomålsmail/A 60591-2022 FSC-klagomål mail.docx", "A 60591-2022")</f>
        <v/>
      </c>
      <c r="AC122">
        <f>HYPERLINK("https://klasma.github.io/Logging_0482/tillsyn/A 60591-2022 tillsynsbegäran.docx", "A 60591-2022")</f>
        <v/>
      </c>
      <c r="AD122">
        <f>HYPERLINK("https://klasma.github.io/Logging_0482/tillsynsmail/A 60591-2022 tillsynsbegäran mail.docx", "A 60591-2022")</f>
        <v/>
      </c>
    </row>
    <row r="123" ht="15" customHeight="1">
      <c r="A123" t="inlineStr">
        <is>
          <t>A 34823-2023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45140</v>
      </c>
      <c r="E123" s="1" t="n">
        <v>46311</v>
      </c>
      <c r="F123" t="inlineStr">
        <is>
          <t>SÖDERMANLANDS LÄN</t>
        </is>
      </c>
      <c r="G123" t="inlineStr">
        <is>
          <t>FLEN</t>
        </is>
      </c>
      <c r="I123" t="n">
        <v>1.3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Mörk dunört</t>
        </is>
      </c>
      <c r="W123">
        <f>HYPERLINK("https://klasma.github.io/Logging_0482/artfynd/A 34823-2023 artfynd.xlsx", "A 34823-2023")</f>
        <v/>
      </c>
      <c r="X123">
        <f>HYPERLINK("https://klasma.github.io/Logging_0482/kartor/A 34823-2023 karta.png", "A 34823-2023")</f>
        <v/>
      </c>
      <c r="Y123">
        <f>HYPERLINK("https://klasma.github.io/Logging_0482/kartor_geotiff/A 34823-2023 georefererad karta.tif", "A 34823-2023")</f>
        <v/>
      </c>
      <c r="AA123">
        <f>HYPERLINK("https://klasma.github.io/Logging_0482/klagomål/A 34823-2023 FSC-klagomål.docx", "A 34823-2023")</f>
        <v/>
      </c>
      <c r="AB123">
        <f>HYPERLINK("https://klasma.github.io/Logging_0482/klagomålsmail/A 34823-2023 FSC-klagomål mail.docx", "A 34823-2023")</f>
        <v/>
      </c>
      <c r="AC123">
        <f>HYPERLINK("https://klasma.github.io/Logging_0482/tillsyn/A 34823-2023 tillsynsbegäran.docx", "A 34823-2023")</f>
        <v/>
      </c>
      <c r="AD123">
        <f>HYPERLINK("https://klasma.github.io/Logging_0482/tillsynsmail/A 34823-2023 tillsynsbegäran mail.docx", "A 34823-2023")</f>
        <v/>
      </c>
    </row>
    <row r="124" ht="15" customHeight="1">
      <c r="A124" t="inlineStr">
        <is>
          <t>A 60529-2024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46311</v>
      </c>
      <c r="F124" t="inlineStr">
        <is>
          <t>SÖDERMANLANDS LÄN</t>
        </is>
      </c>
      <c r="G124" t="inlineStr">
        <is>
          <t>FLEN</t>
        </is>
      </c>
      <c r="I124" t="n">
        <v>2.5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Skarp dropptaggsvamp</t>
        </is>
      </c>
      <c r="W124">
        <f>HYPERLINK("https://klasma.github.io/Logging_0482/artfynd/A 60529-2024 artfynd.xlsx", "A 60529-2024")</f>
        <v/>
      </c>
      <c r="X124">
        <f>HYPERLINK("https://klasma.github.io/Logging_0482/kartor/A 60529-2024 karta.png", "A 60529-2024")</f>
        <v/>
      </c>
      <c r="Y124">
        <f>HYPERLINK("https://klasma.github.io/Logging_0482/kartor_geotiff/A 60529-2024 georefererad karta.tif", "A 60529-2024")</f>
        <v/>
      </c>
      <c r="AA124">
        <f>HYPERLINK("https://klasma.github.io/Logging_0482/klagomål/A 60529-2024 FSC-klagomål.docx", "A 60529-2024")</f>
        <v/>
      </c>
      <c r="AB124">
        <f>HYPERLINK("https://klasma.github.io/Logging_0482/klagomålsmail/A 60529-2024 FSC-klagomål mail.docx", "A 60529-2024")</f>
        <v/>
      </c>
      <c r="AC124">
        <f>HYPERLINK("https://klasma.github.io/Logging_0482/tillsyn/A 60529-2024 tillsynsbegäran.docx", "A 60529-2024")</f>
        <v/>
      </c>
      <c r="AD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49820-2023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45211</v>
      </c>
      <c r="E125" s="1" t="n">
        <v>46311</v>
      </c>
      <c r="F125" t="inlineStr">
        <is>
          <t>SÖDERMANLANDS LÄN</t>
        </is>
      </c>
      <c r="G125" t="inlineStr">
        <is>
          <t>FLEN</t>
        </is>
      </c>
      <c r="I125" t="n">
        <v>3.2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Gullviva</t>
        </is>
      </c>
      <c r="W125">
        <f>HYPERLINK("https://klasma.github.io/Logging_0482/artfynd/A 49820-2023 artfynd.xlsx", "A 49820-2023")</f>
        <v/>
      </c>
      <c r="X125">
        <f>HYPERLINK("https://klasma.github.io/Logging_0482/kartor/A 49820-2023 karta.png", "A 49820-2023")</f>
        <v/>
      </c>
      <c r="Y125">
        <f>HYPERLINK("https://klasma.github.io/Logging_0482/kartor_geotiff/A 49820-2023 georefererad karta.tif", "A 49820-2023")</f>
        <v/>
      </c>
      <c r="AA125">
        <f>HYPERLINK("https://klasma.github.io/Logging_0482/klagomål/A 49820-2023 FSC-klagomål.docx", "A 49820-2023")</f>
        <v/>
      </c>
      <c r="AB125">
        <f>HYPERLINK("https://klasma.github.io/Logging_0482/klagomålsmail/A 49820-2023 FSC-klagomål mail.docx", "A 49820-2023")</f>
        <v/>
      </c>
      <c r="AC125">
        <f>HYPERLINK("https://klasma.github.io/Logging_0482/tillsyn/A 49820-2023 tillsynsbegäran.docx", "A 49820-2023")</f>
        <v/>
      </c>
      <c r="AD125">
        <f>HYPERLINK("https://klasma.github.io/Logging_0482/tillsynsmail/A 49820-2023 tillsynsbegäran mail.docx", "A 49820-2023")</f>
        <v/>
      </c>
    </row>
    <row r="126" ht="15" customHeight="1">
      <c r="A126" t="inlineStr">
        <is>
          <t>A 37283-2024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45540</v>
      </c>
      <c r="E126" s="1" t="n">
        <v>46311</v>
      </c>
      <c r="F126" t="inlineStr">
        <is>
          <t>SÖDERMANLANDS LÄN</t>
        </is>
      </c>
      <c r="G126" t="inlineStr">
        <is>
          <t>FLEN</t>
        </is>
      </c>
      <c r="I126" t="n">
        <v>1.5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Gullklöver</t>
        </is>
      </c>
      <c r="W126">
        <f>HYPERLINK("https://klasma.github.io/Logging_0482/artfynd/A 37283-2024 artfynd.xlsx", "A 37283-2024")</f>
        <v/>
      </c>
      <c r="X126">
        <f>HYPERLINK("https://klasma.github.io/Logging_0482/kartor/A 37283-2024 karta.png", "A 37283-2024")</f>
        <v/>
      </c>
      <c r="Y126">
        <f>HYPERLINK("https://klasma.github.io/Logging_0482/kartor_geotiff/A 37283-2024 georefererad karta.tif", "A 37283-2024")</f>
        <v/>
      </c>
      <c r="AA126">
        <f>HYPERLINK("https://klasma.github.io/Logging_0482/klagomål/A 37283-2024 FSC-klagomål.docx", "A 37283-2024")</f>
        <v/>
      </c>
      <c r="AB126">
        <f>HYPERLINK("https://klasma.github.io/Logging_0482/klagomålsmail/A 37283-2024 FSC-klagomål mail.docx", "A 37283-2024")</f>
        <v/>
      </c>
      <c r="AC126">
        <f>HYPERLINK("https://klasma.github.io/Logging_0482/tillsyn/A 37283-2024 tillsynsbegäran.docx", "A 37283-2024")</f>
        <v/>
      </c>
      <c r="AD126">
        <f>HYPERLINK("https://klasma.github.io/Logging_0482/tillsynsmail/A 37283-2024 tillsynsbegäran mail.docx", "A 37283-2024")</f>
        <v/>
      </c>
    </row>
    <row r="127" ht="15" customHeight="1">
      <c r="A127" t="inlineStr">
        <is>
          <t>A 7973-2024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46311</v>
      </c>
      <c r="F127" t="inlineStr">
        <is>
          <t>SÖDERMANLANDS LÄN</t>
        </is>
      </c>
      <c r="G127" t="inlineStr">
        <is>
          <t>FLEN</t>
        </is>
      </c>
      <c r="I127" t="n">
        <v>0.9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Vippärt</t>
        </is>
      </c>
      <c r="W127">
        <f>HYPERLINK("https://klasma.github.io/Logging_0482/artfynd/A 7973-2024 artfynd.xlsx", "A 7973-2024")</f>
        <v/>
      </c>
      <c r="X127">
        <f>HYPERLINK("https://klasma.github.io/Logging_0482/kartor/A 7973-2024 karta.png", "A 7973-2024")</f>
        <v/>
      </c>
      <c r="Y127">
        <f>HYPERLINK("https://klasma.github.io/Logging_0482/kartor_geotiff/A 7973-2024 georefererad karta.tif", "A 7973-2024")</f>
        <v/>
      </c>
      <c r="AA127">
        <f>HYPERLINK("https://klasma.github.io/Logging_0482/klagomål/A 7973-2024 FSC-klagomål.docx", "A 7973-2024")</f>
        <v/>
      </c>
      <c r="AB127">
        <f>HYPERLINK("https://klasma.github.io/Logging_0482/klagomålsmail/A 7973-2024 FSC-klagomål mail.docx", "A 7973-2024")</f>
        <v/>
      </c>
      <c r="AC127">
        <f>HYPERLINK("https://klasma.github.io/Logging_0482/tillsyn/A 7973-2024 tillsynsbegäran.docx", "A 7973-2024")</f>
        <v/>
      </c>
      <c r="AD127">
        <f>HYPERLINK("https://klasma.github.io/Logging_0482/tillsynsmail/A 7973-2024 tillsynsbegäran mail.docx", "A 7973-2024")</f>
        <v/>
      </c>
    </row>
    <row r="128" ht="15" customHeight="1">
      <c r="A128" t="inlineStr">
        <is>
          <t>A 43008-2023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45182</v>
      </c>
      <c r="E128" s="1" t="n">
        <v>46311</v>
      </c>
      <c r="F128" t="inlineStr">
        <is>
          <t>SÖDERMANLANDS LÄN</t>
        </is>
      </c>
      <c r="G128" t="inlineStr">
        <is>
          <t>FLEN</t>
        </is>
      </c>
      <c r="I128" t="n">
        <v>1.5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Gullklöver</t>
        </is>
      </c>
      <c r="W128">
        <f>HYPERLINK("https://klasma.github.io/Logging_0482/artfynd/A 43008-2023 artfynd.xlsx", "A 43008-2023")</f>
        <v/>
      </c>
      <c r="X128">
        <f>HYPERLINK("https://klasma.github.io/Logging_0482/kartor/A 43008-2023 karta.png", "A 43008-2023")</f>
        <v/>
      </c>
      <c r="Y128">
        <f>HYPERLINK("https://klasma.github.io/Logging_0482/kartor_geotiff/A 43008-2023 georefererad karta.tif", "A 43008-2023")</f>
        <v/>
      </c>
      <c r="AA128">
        <f>HYPERLINK("https://klasma.github.io/Logging_0482/klagomål/A 43008-2023 FSC-klagomål.docx", "A 43008-2023")</f>
        <v/>
      </c>
      <c r="AB128">
        <f>HYPERLINK("https://klasma.github.io/Logging_0482/klagomålsmail/A 43008-2023 FSC-klagomål mail.docx", "A 43008-2023")</f>
        <v/>
      </c>
      <c r="AC128">
        <f>HYPERLINK("https://klasma.github.io/Logging_0482/tillsyn/A 43008-2023 tillsynsbegäran.docx", "A 43008-2023")</f>
        <v/>
      </c>
      <c r="AD128">
        <f>HYPERLINK("https://klasma.github.io/Logging_0482/tillsynsmail/A 43008-2023 tillsynsbegäran mail.docx", "A 43008-2023")</f>
        <v/>
      </c>
    </row>
    <row r="129" ht="15" customHeight="1">
      <c r="A129" t="inlineStr">
        <is>
          <t>A 37317-2023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45156</v>
      </c>
      <c r="E129" s="1" t="n">
        <v>46311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5.1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Svavelriska</t>
        </is>
      </c>
      <c r="W129">
        <f>HYPERLINK("https://klasma.github.io/Logging_0482/artfynd/A 37317-2023 artfynd.xlsx", "A 37317-2023")</f>
        <v/>
      </c>
      <c r="X129">
        <f>HYPERLINK("https://klasma.github.io/Logging_0482/kartor/A 37317-2023 karta.png", "A 37317-2023")</f>
        <v/>
      </c>
      <c r="Y129">
        <f>HYPERLINK("https://klasma.github.io/Logging_0482/kartor_geotiff/A 37317-2023 georefererad karta.tif", "A 37317-2023")</f>
        <v/>
      </c>
      <c r="AA129">
        <f>HYPERLINK("https://klasma.github.io/Logging_0482/klagomål/A 37317-2023 FSC-klagomål.docx", "A 37317-2023")</f>
        <v/>
      </c>
      <c r="AB129">
        <f>HYPERLINK("https://klasma.github.io/Logging_0482/klagomålsmail/A 37317-2023 FSC-klagomål mail.docx", "A 37317-2023")</f>
        <v/>
      </c>
      <c r="AC129">
        <f>HYPERLINK("https://klasma.github.io/Logging_0482/tillsyn/A 37317-2023 tillsynsbegäran.docx", "A 37317-2023")</f>
        <v/>
      </c>
      <c r="AD129">
        <f>HYPERLINK("https://klasma.github.io/Logging_0482/tillsynsmail/A 37317-2023 tillsynsbegäran mail.docx", "A 37317-2023")</f>
        <v/>
      </c>
    </row>
    <row r="130" ht="15" customHeight="1">
      <c r="A130" t="inlineStr">
        <is>
          <t>A 40333-2026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46294</v>
      </c>
      <c r="E130" s="1" t="n">
        <v>46311</v>
      </c>
      <c r="F130" t="inlineStr">
        <is>
          <t>SÖDERMANLANDS LÄN</t>
        </is>
      </c>
      <c r="G130" t="inlineStr">
        <is>
          <t>FLEN</t>
        </is>
      </c>
      <c r="I130" t="n">
        <v>1.3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Gullviva</t>
        </is>
      </c>
      <c r="W130">
        <f>HYPERLINK("https://klasma.github.io/Logging_0482/artfynd/A 40333-2026 artfynd.xlsx", "A 40333-2026")</f>
        <v/>
      </c>
      <c r="X130">
        <f>HYPERLINK("https://klasma.github.io/Logging_0482/kartor/A 40333-2026 karta.png", "A 40333-2026")</f>
        <v/>
      </c>
      <c r="Y130">
        <f>HYPERLINK("https://klasma.github.io/Logging_0482/kartor_geotiff/A 40333-2026 georefererad karta.tif", "A 40333-2026")</f>
        <v/>
      </c>
      <c r="AA130">
        <f>HYPERLINK("https://klasma.github.io/Logging_0482/klagomål/A 40333-2026 FSC-klagomål.docx", "A 40333-2026")</f>
        <v/>
      </c>
      <c r="AB130">
        <f>HYPERLINK("https://klasma.github.io/Logging_0482/klagomålsmail/A 40333-2026 FSC-klagomål mail.docx", "A 40333-2026")</f>
        <v/>
      </c>
      <c r="AC130">
        <f>HYPERLINK("https://klasma.github.io/Logging_0482/tillsyn/A 40333-2026 tillsynsbegäran.docx", "A 40333-2026")</f>
        <v/>
      </c>
      <c r="AD130">
        <f>HYPERLINK("https://klasma.github.io/Logging_0482/tillsynsmail/A 40333-2026 tillsynsbegäran mail.docx", "A 40333-2026")</f>
        <v/>
      </c>
    </row>
    <row r="131" ht="15" customHeight="1">
      <c r="A131" t="inlineStr">
        <is>
          <t>A 46115-2023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45196</v>
      </c>
      <c r="E131" s="1" t="n">
        <v>46311</v>
      </c>
      <c r="F131" t="inlineStr">
        <is>
          <t>SÖDERMANLANDS LÄN</t>
        </is>
      </c>
      <c r="G131" t="inlineStr">
        <is>
          <t>FLEN</t>
        </is>
      </c>
      <c r="H131" t="inlineStr">
        <is>
          <t>Kyrkan</t>
        </is>
      </c>
      <c r="I131" t="n">
        <v>3.3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Ullticka</t>
        </is>
      </c>
      <c r="W131">
        <f>HYPERLINK("https://klasma.github.io/Logging_0482/artfynd/A 46115-2023 artfynd.xlsx", "A 46115-2023")</f>
        <v/>
      </c>
      <c r="X131">
        <f>HYPERLINK("https://klasma.github.io/Logging_0482/kartor/A 46115-2023 karta.png", "A 46115-2023")</f>
        <v/>
      </c>
      <c r="Y131">
        <f>HYPERLINK("https://klasma.github.io/Logging_0482/kartor_geotiff/A 46115-2023 georefererad karta.tif", "A 46115-2023")</f>
        <v/>
      </c>
      <c r="AA131">
        <f>HYPERLINK("https://klasma.github.io/Logging_0482/klagomål/A 46115-2023 FSC-klagomål.docx", "A 46115-2023")</f>
        <v/>
      </c>
      <c r="AB131">
        <f>HYPERLINK("https://klasma.github.io/Logging_0482/klagomålsmail/A 46115-2023 FSC-klagomål mail.docx", "A 46115-2023")</f>
        <v/>
      </c>
      <c r="AC131">
        <f>HYPERLINK("https://klasma.github.io/Logging_0482/tillsyn/A 46115-2023 tillsynsbegäran.docx", "A 46115-2023")</f>
        <v/>
      </c>
      <c r="AD131">
        <f>HYPERLINK("https://klasma.github.io/Logging_0482/tillsynsmail/A 46115-2023 tillsynsbegäran mail.docx", "A 46115-2023")</f>
        <v/>
      </c>
    </row>
    <row r="132" ht="15" customHeight="1">
      <c r="A132" t="inlineStr">
        <is>
          <t>A 56308-2024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45624</v>
      </c>
      <c r="E132" s="1" t="n">
        <v>46311</v>
      </c>
      <c r="F132" t="inlineStr">
        <is>
          <t>SÖDERMANLANDS LÄN</t>
        </is>
      </c>
      <c r="G132" t="inlineStr">
        <is>
          <t>FLEN</t>
        </is>
      </c>
      <c r="I132" t="n">
        <v>2.1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Gullklöver</t>
        </is>
      </c>
      <c r="W132">
        <f>HYPERLINK("https://klasma.github.io/Logging_0482/artfynd/A 56308-2024 artfynd.xlsx", "A 56308-2024")</f>
        <v/>
      </c>
      <c r="X132">
        <f>HYPERLINK("https://klasma.github.io/Logging_0482/kartor/A 56308-2024 karta.png", "A 56308-2024")</f>
        <v/>
      </c>
      <c r="Y132">
        <f>HYPERLINK("https://klasma.github.io/Logging_0482/kartor_geotiff/A 56308-2024 georefererad karta.tif", "A 56308-2024")</f>
        <v/>
      </c>
      <c r="AA132">
        <f>HYPERLINK("https://klasma.github.io/Logging_0482/klagomål/A 56308-2024 FSC-klagomål.docx", "A 56308-2024")</f>
        <v/>
      </c>
      <c r="AB132">
        <f>HYPERLINK("https://klasma.github.io/Logging_0482/klagomålsmail/A 56308-2024 FSC-klagomål mail.docx", "A 56308-2024")</f>
        <v/>
      </c>
      <c r="AC132">
        <f>HYPERLINK("https://klasma.github.io/Logging_0482/tillsyn/A 56308-2024 tillsynsbegäran.docx", "A 56308-2024")</f>
        <v/>
      </c>
      <c r="AD132">
        <f>HYPERLINK("https://klasma.github.io/Logging_0482/tillsynsmail/A 56308-2024 tillsynsbegäran mail.docx", "A 56308-2024")</f>
        <v/>
      </c>
    </row>
    <row r="133" ht="15" customHeight="1">
      <c r="A133" t="inlineStr">
        <is>
          <t>A 2043-2026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46311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2.1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Scharlakansvaxing</t>
        </is>
      </c>
      <c r="W133">
        <f>HYPERLINK("https://klasma.github.io/Logging_0482/artfynd/A 2043-2026 artfynd.xlsx", "A 2043-2026")</f>
        <v/>
      </c>
      <c r="X133">
        <f>HYPERLINK("https://klasma.github.io/Logging_0482/kartor/A 2043-2026 karta.png", "A 2043-2026")</f>
        <v/>
      </c>
      <c r="Y133">
        <f>HYPERLINK("https://klasma.github.io/Logging_0482/kartor_geotiff/A 2043-2026 georefererad karta.tif", "A 2043-2026")</f>
        <v/>
      </c>
      <c r="AA133">
        <f>HYPERLINK("https://klasma.github.io/Logging_0482/klagomål/A 2043-2026 FSC-klagomål.docx", "A 2043-2026")</f>
        <v/>
      </c>
      <c r="AB133">
        <f>HYPERLINK("https://klasma.github.io/Logging_0482/klagomålsmail/A 2043-2026 FSC-klagomål mail.docx", "A 2043-2026")</f>
        <v/>
      </c>
      <c r="AC133">
        <f>HYPERLINK("https://klasma.github.io/Logging_0482/tillsyn/A 2043-2026 tillsynsbegäran.docx", "A 2043-2026")</f>
        <v/>
      </c>
      <c r="AD133">
        <f>HYPERLINK("https://klasma.github.io/Logging_0482/tillsynsmail/A 2043-2026 tillsynsbegäran mail.docx", "A 2043-2026")</f>
        <v/>
      </c>
    </row>
    <row r="134" ht="15" customHeight="1">
      <c r="A134" t="inlineStr">
        <is>
          <t>A 2036-2026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46035</v>
      </c>
      <c r="E134" s="1" t="n">
        <v>46311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0.6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1</v>
      </c>
      <c r="U134" t="n">
        <v>0</v>
      </c>
      <c r="V134" s="2" t="inlineStr">
        <is>
          <t>Knärot</t>
        </is>
      </c>
      <c r="W134">
        <f>HYPERLINK("https://klasma.github.io/Logging_0482/artfynd/A 2036-2026 artfynd.xlsx", "A 2036-2026")</f>
        <v/>
      </c>
      <c r="X134">
        <f>HYPERLINK("https://klasma.github.io/Logging_0482/kartor/A 2036-2026 karta.png", "A 2036-2026")</f>
        <v/>
      </c>
      <c r="Y134">
        <f>HYPERLINK("https://klasma.github.io/Logging_0482/kartor_geotiff/A 2036-2026 georefererad karta.tif", "A 2036-2026")</f>
        <v/>
      </c>
      <c r="Z134">
        <f>HYPERLINK("https://klasma.github.io/Logging_0482/knärot/A 2036-2026 karta knärot.png", "A 2036-2026")</f>
        <v/>
      </c>
      <c r="AA134">
        <f>HYPERLINK("https://klasma.github.io/Logging_0482/klagomål/A 2036-2026 FSC-klagomål.docx", "A 2036-2026")</f>
        <v/>
      </c>
      <c r="AB134">
        <f>HYPERLINK("https://klasma.github.io/Logging_0482/klagomålsmail/A 2036-2026 FSC-klagomål mail.docx", "A 2036-2026")</f>
        <v/>
      </c>
      <c r="AC134">
        <f>HYPERLINK("https://klasma.github.io/Logging_0482/tillsyn/A 2036-2026 tillsynsbegäran.docx", "A 2036-2026")</f>
        <v/>
      </c>
      <c r="AD134">
        <f>HYPERLINK("https://klasma.github.io/Logging_0482/tillsynsmail/A 2036-2026 tillsynsbegäran mail.docx", "A 2036-2026")</f>
        <v/>
      </c>
    </row>
    <row r="135" ht="15" customHeight="1">
      <c r="A135" t="inlineStr">
        <is>
          <t>A 21704-2026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46149</v>
      </c>
      <c r="E135" s="1" t="n">
        <v>46311</v>
      </c>
      <c r="F135" t="inlineStr">
        <is>
          <t>SÖDERMANLANDS LÄN</t>
        </is>
      </c>
      <c r="G135" t="inlineStr">
        <is>
          <t>FLEN</t>
        </is>
      </c>
      <c r="I135" t="n">
        <v>10.2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Kandelabersvamp</t>
        </is>
      </c>
      <c r="W135">
        <f>HYPERLINK("https://klasma.github.io/Logging_0482/artfynd/A 21704-2026 artfynd.xlsx", "A 21704-2026")</f>
        <v/>
      </c>
      <c r="X135">
        <f>HYPERLINK("https://klasma.github.io/Logging_0482/kartor/A 21704-2026 karta.png", "A 21704-2026")</f>
        <v/>
      </c>
      <c r="Y135">
        <f>HYPERLINK("https://klasma.github.io/Logging_0482/kartor_geotiff/A 21704-2026 georefererad karta.tif", "A 21704-2026")</f>
        <v/>
      </c>
      <c r="AA135">
        <f>HYPERLINK("https://klasma.github.io/Logging_0482/klagomål/A 21704-2026 FSC-klagomål.docx", "A 21704-2026")</f>
        <v/>
      </c>
      <c r="AB135">
        <f>HYPERLINK("https://klasma.github.io/Logging_0482/klagomålsmail/A 21704-2026 FSC-klagomål mail.docx", "A 21704-2026")</f>
        <v/>
      </c>
      <c r="AC135">
        <f>HYPERLINK("https://klasma.github.io/Logging_0482/tillsyn/A 21704-2026 tillsynsbegäran.docx", "A 21704-2026")</f>
        <v/>
      </c>
      <c r="AD135">
        <f>HYPERLINK("https://klasma.github.io/Logging_0482/tillsynsmail/A 21704-2026 tillsynsbegäran mail.docx", "A 21704-2026")</f>
        <v/>
      </c>
    </row>
    <row r="136" ht="15" customHeight="1">
      <c r="A136" t="inlineStr">
        <is>
          <t>A 6714-2026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46311</v>
      </c>
      <c r="F136" t="inlineStr">
        <is>
          <t>SÖDERMANLANDS LÄN</t>
        </is>
      </c>
      <c r="G136" t="inlineStr">
        <is>
          <t>FLEN</t>
        </is>
      </c>
      <c r="I136" t="n">
        <v>4.6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6714-2026 artfynd.xlsx", "A 6714-2026")</f>
        <v/>
      </c>
      <c r="X136">
        <f>HYPERLINK("https://klasma.github.io/Logging_0482/kartor/A 6714-2026 karta.png", "A 6714-2026")</f>
        <v/>
      </c>
      <c r="Y136">
        <f>HYPERLINK("https://klasma.github.io/Logging_0482/kartor_geotiff/A 6714-2026 georefererad karta.tif", "A 6714-2026")</f>
        <v/>
      </c>
      <c r="AA136">
        <f>HYPERLINK("https://klasma.github.io/Logging_0482/klagomål/A 6714-2026 FSC-klagomål.docx", "A 6714-2026")</f>
        <v/>
      </c>
      <c r="AB136">
        <f>HYPERLINK("https://klasma.github.io/Logging_0482/klagomålsmail/A 6714-2026 FSC-klagomål mail.docx", "A 6714-2026")</f>
        <v/>
      </c>
      <c r="AC136">
        <f>HYPERLINK("https://klasma.github.io/Logging_0482/tillsyn/A 6714-2026 tillsynsbegäran.docx", "A 6714-2026")</f>
        <v/>
      </c>
      <c r="AD136">
        <f>HYPERLINK("https://klasma.github.io/Logging_0482/tillsynsmail/A 6714-2026 tillsynsbegäran mail.docx", "A 6714-2026")</f>
        <v/>
      </c>
    </row>
    <row r="137" ht="15" customHeight="1">
      <c r="A137" t="inlineStr">
        <is>
          <t>A 9446-2026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46071</v>
      </c>
      <c r="E137" s="1" t="n">
        <v>46311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0.8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HYPERLINK("https://klasma.github.io/Logging_0482/artfynd/A 9446-2026 artfynd.xlsx", "A 9446-2026")</f>
        <v/>
      </c>
      <c r="X137">
        <f>HYPERLINK("https://klasma.github.io/Logging_0482/kartor/A 9446-2026 karta.png", "A 9446-2026")</f>
        <v/>
      </c>
      <c r="Y137">
        <f>HYPERLINK("https://klasma.github.io/Logging_0482/kartor_geotiff/A 9446-2026 georefererad karta.tif", "A 9446-2026")</f>
        <v/>
      </c>
      <c r="AA137">
        <f>HYPERLINK("https://klasma.github.io/Logging_0482/klagomål/A 9446-2026 FSC-klagomål.docx", "A 9446-2026")</f>
        <v/>
      </c>
      <c r="AB137">
        <f>HYPERLINK("https://klasma.github.io/Logging_0482/klagomålsmail/A 9446-2026 FSC-klagomål mail.docx", "A 9446-2026")</f>
        <v/>
      </c>
      <c r="AC137">
        <f>HYPERLINK("https://klasma.github.io/Logging_0482/tillsyn/A 9446-2026 tillsynsbegäran.docx", "A 9446-2026")</f>
        <v/>
      </c>
      <c r="AD137">
        <f>HYPERLINK("https://klasma.github.io/Logging_0482/tillsynsmail/A 9446-2026 tillsynsbegäran mail.docx", "A 9446-2026")</f>
        <v/>
      </c>
    </row>
    <row r="138" ht="15" customHeight="1">
      <c r="A138" t="inlineStr">
        <is>
          <t>A 10999-2026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46079</v>
      </c>
      <c r="E138" s="1" t="n">
        <v>46311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3.6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HYPERLINK("https://klasma.github.io/Logging_0482/artfynd/A 10999-2026 artfynd.xlsx", "A 10999-2026")</f>
        <v/>
      </c>
      <c r="X138">
        <f>HYPERLINK("https://klasma.github.io/Logging_0482/kartor/A 10999-2026 karta.png", "A 10999-2026")</f>
        <v/>
      </c>
      <c r="Y138">
        <f>HYPERLINK("https://klasma.github.io/Logging_0482/kartor_geotiff/A 10999-2026 georefererad karta.tif", "A 10999-2026")</f>
        <v/>
      </c>
      <c r="AA138">
        <f>HYPERLINK("https://klasma.github.io/Logging_0482/klagomål/A 10999-2026 FSC-klagomål.docx", "A 10999-2026")</f>
        <v/>
      </c>
      <c r="AB138">
        <f>HYPERLINK("https://klasma.github.io/Logging_0482/klagomålsmail/A 10999-2026 FSC-klagomål mail.docx", "A 10999-2026")</f>
        <v/>
      </c>
      <c r="AC138">
        <f>HYPERLINK("https://klasma.github.io/Logging_0482/tillsyn/A 10999-2026 tillsynsbegäran.docx", "A 10999-2026")</f>
        <v/>
      </c>
      <c r="AD138">
        <f>HYPERLINK("https://klasma.github.io/Logging_0482/tillsynsmail/A 10999-2026 tillsynsbegäran mail.docx", "A 10999-2026")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46311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46311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46311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46311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46311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46311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46311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46311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46311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46311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46311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46311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46311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46311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46311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46311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46311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46311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46311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46311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46311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24212-2022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44725</v>
      </c>
      <c r="E160" s="1" t="n">
        <v>46311</v>
      </c>
      <c r="F160" t="inlineStr">
        <is>
          <t>SÖDERMANLANDS LÄN</t>
        </is>
      </c>
      <c r="G160" t="inlineStr">
        <is>
          <t>FLEN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44830</v>
      </c>
      <c r="E161" s="1" t="n">
        <v>46311</v>
      </c>
      <c r="F161" t="inlineStr">
        <is>
          <t>SÖDERMANLANDS LÄN</t>
        </is>
      </c>
      <c r="G161" t="inlineStr">
        <is>
          <t>FLEN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46311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44588</v>
      </c>
      <c r="E163" s="1" t="n">
        <v>46311</v>
      </c>
      <c r="F163" t="inlineStr">
        <is>
          <t>SÖDERMANLANDS LÄN</t>
        </is>
      </c>
      <c r="G163" t="inlineStr">
        <is>
          <t>FLEN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32098-2022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44778</v>
      </c>
      <c r="E164" s="1" t="n">
        <v>46311</v>
      </c>
      <c r="F164" t="inlineStr">
        <is>
          <t>SÖDERMANLANDS LÄN</t>
        </is>
      </c>
      <c r="G164" t="inlineStr">
        <is>
          <t>FLEN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46311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46311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46311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46311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46311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46311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46311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46311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8301-2022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44610</v>
      </c>
      <c r="E173" s="1" t="n">
        <v>46311</v>
      </c>
      <c r="F173" t="inlineStr">
        <is>
          <t>SÖDERMANLANDS LÄN</t>
        </is>
      </c>
      <c r="G173" t="inlineStr">
        <is>
          <t>FLEN</t>
        </is>
      </c>
      <c r="H173" t="inlineStr">
        <is>
          <t>Övriga statliga verk och myndigheter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44643</v>
      </c>
      <c r="E174" s="1" t="n">
        <v>46311</v>
      </c>
      <c r="F174" t="inlineStr">
        <is>
          <t>SÖDERMANLANDS LÄN</t>
        </is>
      </c>
      <c r="G174" t="inlineStr">
        <is>
          <t>FLEN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45702</v>
      </c>
      <c r="E175" s="1" t="n">
        <v>46311</v>
      </c>
      <c r="F175" t="inlineStr">
        <is>
          <t>SÖDERMANLANDS LÄN</t>
        </is>
      </c>
      <c r="G175" t="inlineStr">
        <is>
          <t>FLEN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44636</v>
      </c>
      <c r="E176" s="1" t="n">
        <v>46311</v>
      </c>
      <c r="F176" t="inlineStr">
        <is>
          <t>SÖDERMANLANDS LÄN</t>
        </is>
      </c>
      <c r="G176" t="inlineStr">
        <is>
          <t>FLEN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44752</v>
      </c>
      <c r="E177" s="1" t="n">
        <v>46311</v>
      </c>
      <c r="F177" t="inlineStr">
        <is>
          <t>SÖDERMANLANDS LÄN</t>
        </is>
      </c>
      <c r="G177" t="inlineStr">
        <is>
          <t>FLEN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29384-2022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44752</v>
      </c>
      <c r="E178" s="1" t="n">
        <v>46311</v>
      </c>
      <c r="F178" t="inlineStr">
        <is>
          <t>SÖDERMANLANDS LÄN</t>
        </is>
      </c>
      <c r="G178" t="inlineStr">
        <is>
          <t>FLEN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44636</v>
      </c>
      <c r="E179" s="1" t="n">
        <v>46311</v>
      </c>
      <c r="F179" t="inlineStr">
        <is>
          <t>SÖDERMANLANDS LÄN</t>
        </is>
      </c>
      <c r="G179" t="inlineStr">
        <is>
          <t>FLEN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46311</v>
      </c>
      <c r="F180" t="inlineStr">
        <is>
          <t>SÖDERMANLANDS LÄN</t>
        </is>
      </c>
      <c r="G180" t="inlineStr">
        <is>
          <t>FLEN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44705</v>
      </c>
      <c r="E181" s="1" t="n">
        <v>46311</v>
      </c>
      <c r="F181" t="inlineStr">
        <is>
          <t>SÖDERMANLANDS LÄN</t>
        </is>
      </c>
      <c r="G181" t="inlineStr">
        <is>
          <t>FLEN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19150-2023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45048</v>
      </c>
      <c r="E182" s="1" t="n">
        <v>46311</v>
      </c>
      <c r="F182" t="inlineStr">
        <is>
          <t>SÖDERMANLANDS LÄN</t>
        </is>
      </c>
      <c r="G182" t="inlineStr">
        <is>
          <t>FLEN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44566</v>
      </c>
      <c r="E183" s="1" t="n">
        <v>46311</v>
      </c>
      <c r="F183" t="inlineStr">
        <is>
          <t>SÖDERMANLANDS LÄN</t>
        </is>
      </c>
      <c r="G183" t="inlineStr">
        <is>
          <t>FLEN</t>
        </is>
      </c>
      <c r="H183" t="inlineStr">
        <is>
          <t>Kyrkan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39673-2022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44818</v>
      </c>
      <c r="E184" s="1" t="n">
        <v>46311</v>
      </c>
      <c r="F184" t="inlineStr">
        <is>
          <t>SÖDERMANLANDS LÄN</t>
        </is>
      </c>
      <c r="G184" t="inlineStr">
        <is>
          <t>FLEN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1899-2025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45671</v>
      </c>
      <c r="E185" s="1" t="n">
        <v>46311</v>
      </c>
      <c r="F185" t="inlineStr">
        <is>
          <t>SÖDERMANLANDS LÄN</t>
        </is>
      </c>
      <c r="G185" t="inlineStr">
        <is>
          <t>FLEN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13824-2023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45007</v>
      </c>
      <c r="E186" s="1" t="n">
        <v>46311</v>
      </c>
      <c r="F186" t="inlineStr">
        <is>
          <t>SÖDERMANLANDS LÄN</t>
        </is>
      </c>
      <c r="G186" t="inlineStr">
        <is>
          <t>FLEN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7381-2024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46311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45720</v>
      </c>
      <c r="E188" s="1" t="n">
        <v>46311</v>
      </c>
      <c r="F188" t="inlineStr">
        <is>
          <t>SÖDERMANLANDS LÄN</t>
        </is>
      </c>
      <c r="G188" t="inlineStr">
        <is>
          <t>FLEN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24348-2023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46311</v>
      </c>
      <c r="F189" t="inlineStr">
        <is>
          <t>SÖDERMANLANDS LÄN</t>
        </is>
      </c>
      <c r="G189" t="inlineStr">
        <is>
          <t>FLEN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60150-2022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44909</v>
      </c>
      <c r="E190" s="1" t="n">
        <v>46311</v>
      </c>
      <c r="F190" t="inlineStr">
        <is>
          <t>SÖDERMANLANDS LÄN</t>
        </is>
      </c>
      <c r="G190" t="inlineStr">
        <is>
          <t>FLEN</t>
        </is>
      </c>
      <c r="H190" t="inlineStr">
        <is>
          <t>Holmen skog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18511-2023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45041</v>
      </c>
      <c r="E191" s="1" t="n">
        <v>46311</v>
      </c>
      <c r="F191" t="inlineStr">
        <is>
          <t>SÖDERMANLANDS LÄN</t>
        </is>
      </c>
      <c r="G191" t="inlineStr">
        <is>
          <t>FLEN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53517-2023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45230</v>
      </c>
      <c r="E192" s="1" t="n">
        <v>46311</v>
      </c>
      <c r="F192" t="inlineStr">
        <is>
          <t>SÖDERMANLANDS LÄN</t>
        </is>
      </c>
      <c r="G192" t="inlineStr">
        <is>
          <t>FLEN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45311</v>
      </c>
      <c r="E193" s="1" t="n">
        <v>46311</v>
      </c>
      <c r="F193" t="inlineStr">
        <is>
          <t>SÖDERMANLANDS LÄN</t>
        </is>
      </c>
      <c r="G193" t="inlineStr">
        <is>
          <t>FLEN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9147-2024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45358</v>
      </c>
      <c r="E194" s="1" t="n">
        <v>46311</v>
      </c>
      <c r="F194" t="inlineStr">
        <is>
          <t>SÖDERMANLANDS LÄN</t>
        </is>
      </c>
      <c r="G194" t="inlineStr">
        <is>
          <t>FLEN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50731-2022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46311</v>
      </c>
      <c r="F195" t="inlineStr">
        <is>
          <t>SÖDERMANLANDS LÄN</t>
        </is>
      </c>
      <c r="G195" t="inlineStr">
        <is>
          <t>FLEN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27146-2022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44741</v>
      </c>
      <c r="E196" s="1" t="n">
        <v>46311</v>
      </c>
      <c r="F196" t="inlineStr">
        <is>
          <t>SÖDERMANLANDS LÄN</t>
        </is>
      </c>
      <c r="G196" t="inlineStr">
        <is>
          <t>FLEN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8883-2023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44979</v>
      </c>
      <c r="E197" s="1" t="n">
        <v>46311</v>
      </c>
      <c r="F197" t="inlineStr">
        <is>
          <t>SÖDERMANLANDS LÄN</t>
        </is>
      </c>
      <c r="G197" t="inlineStr">
        <is>
          <t>FLEN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53121-2023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45228</v>
      </c>
      <c r="E198" s="1" t="n">
        <v>46311</v>
      </c>
      <c r="F198" t="inlineStr">
        <is>
          <t>SÖDERMANLANDS LÄN</t>
        </is>
      </c>
      <c r="G198" t="inlineStr">
        <is>
          <t>FLEN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46311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21822-2023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45068</v>
      </c>
      <c r="E200" s="1" t="n">
        <v>46311</v>
      </c>
      <c r="F200" t="inlineStr">
        <is>
          <t>SÖDERMANLANDS LÄN</t>
        </is>
      </c>
      <c r="G200" t="inlineStr">
        <is>
          <t>FLEN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45684</v>
      </c>
      <c r="E201" s="1" t="n">
        <v>46311</v>
      </c>
      <c r="F201" t="inlineStr">
        <is>
          <t>SÖDERMANLANDS LÄN</t>
        </is>
      </c>
      <c r="G201" t="inlineStr">
        <is>
          <t>FLEN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44848</v>
      </c>
      <c r="E202" s="1" t="n">
        <v>46311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27827-2025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45817</v>
      </c>
      <c r="E203" s="1" t="n">
        <v>46311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51768-2023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46311</v>
      </c>
      <c r="F204" t="inlineStr">
        <is>
          <t>SÖDERMANLANDS LÄN</t>
        </is>
      </c>
      <c r="G204" t="inlineStr">
        <is>
          <t>FLEN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45225</v>
      </c>
      <c r="E205" s="1" t="n">
        <v>46311</v>
      </c>
      <c r="F205" t="inlineStr">
        <is>
          <t>SÖDERMANLANDS LÄN</t>
        </is>
      </c>
      <c r="G205" t="inlineStr">
        <is>
          <t>FLEN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5194-2024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45330</v>
      </c>
      <c r="E206" s="1" t="n">
        <v>46311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58926-2023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46311</v>
      </c>
      <c r="F207" t="inlineStr">
        <is>
          <t>SÖDERMANLANDS LÄN</t>
        </is>
      </c>
      <c r="G207" t="inlineStr">
        <is>
          <t>FLEN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58267-2023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45250</v>
      </c>
      <c r="E208" s="1" t="n">
        <v>46311</v>
      </c>
      <c r="F208" t="inlineStr">
        <is>
          <t>SÖDERMANLANDS LÄN</t>
        </is>
      </c>
      <c r="G208" t="inlineStr">
        <is>
          <t>FLEN</t>
        </is>
      </c>
      <c r="H208" t="inlineStr">
        <is>
          <t>Holmen skog AB</t>
        </is>
      </c>
      <c r="I208" t="n">
        <v>14.7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14859-2024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45398</v>
      </c>
      <c r="E209" s="1" t="n">
        <v>46311</v>
      </c>
      <c r="F209" t="inlineStr">
        <is>
          <t>SÖDERMANLANDS LÄN</t>
        </is>
      </c>
      <c r="G209" t="inlineStr">
        <is>
          <t>FLEN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50898-2022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44864</v>
      </c>
      <c r="E210" s="1" t="n">
        <v>46311</v>
      </c>
      <c r="F210" t="inlineStr">
        <is>
          <t>SÖDERMANLANDS LÄN</t>
        </is>
      </c>
      <c r="G210" t="inlineStr">
        <is>
          <t>FLEN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21476-2024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45441</v>
      </c>
      <c r="E211" s="1" t="n">
        <v>46311</v>
      </c>
      <c r="F211" t="inlineStr">
        <is>
          <t>SÖDERMANLANDS LÄN</t>
        </is>
      </c>
      <c r="G211" t="inlineStr">
        <is>
          <t>FLEN</t>
        </is>
      </c>
      <c r="I211" t="n">
        <v>4.3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45830</v>
      </c>
      <c r="E212" s="1" t="n">
        <v>46311</v>
      </c>
      <c r="F212" t="inlineStr">
        <is>
          <t>SÖDERMANLANDS LÄN</t>
        </is>
      </c>
      <c r="G212" t="inlineStr">
        <is>
          <t>FLEN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34817-2022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46311</v>
      </c>
      <c r="F213" t="inlineStr">
        <is>
          <t>SÖDERMANLANDS LÄN</t>
        </is>
      </c>
      <c r="G213" t="inlineStr">
        <is>
          <t>FLEN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45830</v>
      </c>
      <c r="E214" s="1" t="n">
        <v>46311</v>
      </c>
      <c r="F214" t="inlineStr">
        <is>
          <t>SÖDERMANLANDS LÄN</t>
        </is>
      </c>
      <c r="G214" t="inlineStr">
        <is>
          <t>FLEN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50358-2023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45216</v>
      </c>
      <c r="E215" s="1" t="n">
        <v>46311</v>
      </c>
      <c r="F215" t="inlineStr">
        <is>
          <t>SÖDERMANLANDS LÄN</t>
        </is>
      </c>
      <c r="G215" t="inlineStr">
        <is>
          <t>FLEN</t>
        </is>
      </c>
      <c r="H215" t="inlineStr">
        <is>
          <t>Holmen skog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45555</v>
      </c>
      <c r="E216" s="1" t="n">
        <v>46311</v>
      </c>
      <c r="F216" t="inlineStr">
        <is>
          <t>SÖDERMANLANDS LÄN</t>
        </is>
      </c>
      <c r="G216" t="inlineStr">
        <is>
          <t>FLEN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31214-2023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45114</v>
      </c>
      <c r="E217" s="1" t="n">
        <v>46311</v>
      </c>
      <c r="F217" t="inlineStr">
        <is>
          <t>SÖDERMANLANDS LÄN</t>
        </is>
      </c>
      <c r="G217" t="inlineStr">
        <is>
          <t>FLEN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59779-2023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46311</v>
      </c>
      <c r="F218" t="inlineStr">
        <is>
          <t>SÖDERMANLANDS LÄN</t>
        </is>
      </c>
      <c r="G218" t="inlineStr">
        <is>
          <t>FLEN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14260-2025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46311</v>
      </c>
      <c r="F219" t="inlineStr">
        <is>
          <t>SÖDERMANLANDS LÄN</t>
        </is>
      </c>
      <c r="G219" t="inlineStr">
        <is>
          <t>FLEN</t>
        </is>
      </c>
      <c r="H219" t="inlineStr">
        <is>
          <t>Holmen skog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33742-2023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45119</v>
      </c>
      <c r="E220" s="1" t="n">
        <v>46311</v>
      </c>
      <c r="F220" t="inlineStr">
        <is>
          <t>SÖDERMANLANDS LÄN</t>
        </is>
      </c>
      <c r="G220" t="inlineStr">
        <is>
          <t>FLEN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44887</v>
      </c>
      <c r="E221" s="1" t="n">
        <v>46311</v>
      </c>
      <c r="F221" t="inlineStr">
        <is>
          <t>SÖDERMANLANDS LÄN</t>
        </is>
      </c>
      <c r="G221" t="inlineStr">
        <is>
          <t>FLEN</t>
        </is>
      </c>
      <c r="I221" t="n">
        <v>11.3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60613-2023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45260</v>
      </c>
      <c r="E222" s="1" t="n">
        <v>46311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46311</v>
      </c>
      <c r="F223" t="inlineStr">
        <is>
          <t>SÖDERMANLANDS LÄN</t>
        </is>
      </c>
      <c r="G223" t="inlineStr">
        <is>
          <t>FLEN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28529-2023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45103</v>
      </c>
      <c r="E224" s="1" t="n">
        <v>46311</v>
      </c>
      <c r="F224" t="inlineStr">
        <is>
          <t>SÖDERMANLANDS LÄN</t>
        </is>
      </c>
      <c r="G224" t="inlineStr">
        <is>
          <t>FLEN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65869-2021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46311</v>
      </c>
      <c r="F225" t="inlineStr">
        <is>
          <t>SÖDERMANLANDS LÄN</t>
        </is>
      </c>
      <c r="G225" t="inlineStr">
        <is>
          <t>FLEN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45322</v>
      </c>
      <c r="E226" s="1" t="n">
        <v>46311</v>
      </c>
      <c r="F226" t="inlineStr">
        <is>
          <t>SÖDERMANLANDS LÄN</t>
        </is>
      </c>
      <c r="G226" t="inlineStr">
        <is>
          <t>FLEN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15897-2023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45022</v>
      </c>
      <c r="E227" s="1" t="n">
        <v>46311</v>
      </c>
      <c r="F227" t="inlineStr">
        <is>
          <t>SÖDERMANLANDS LÄN</t>
        </is>
      </c>
      <c r="G227" t="inlineStr">
        <is>
          <t>FLEN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45034</v>
      </c>
      <c r="E228" s="1" t="n">
        <v>46311</v>
      </c>
      <c r="F228" t="inlineStr">
        <is>
          <t>SÖDERMANLANDS LÄN</t>
        </is>
      </c>
      <c r="G228" t="inlineStr">
        <is>
          <t>FLEN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28938-2023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45104</v>
      </c>
      <c r="E229" s="1" t="n">
        <v>46311</v>
      </c>
      <c r="F229" t="inlineStr">
        <is>
          <t>SÖDERMANLANDS LÄN</t>
        </is>
      </c>
      <c r="G229" t="inlineStr">
        <is>
          <t>FLEN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59690-2023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45256</v>
      </c>
      <c r="E230" s="1" t="n">
        <v>46311</v>
      </c>
      <c r="F230" t="inlineStr">
        <is>
          <t>SÖDERMANLANDS LÄN</t>
        </is>
      </c>
      <c r="G230" t="inlineStr">
        <is>
          <t>FLEN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7312-2025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46311</v>
      </c>
      <c r="F231" t="inlineStr">
        <is>
          <t>SÖDERMANLANDS LÄN</t>
        </is>
      </c>
      <c r="G231" t="inlineStr">
        <is>
          <t>FLEN</t>
        </is>
      </c>
      <c r="I231" t="n">
        <v>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25467-2023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45081</v>
      </c>
      <c r="E232" s="1" t="n">
        <v>46311</v>
      </c>
      <c r="F232" t="inlineStr">
        <is>
          <t>SÖDERMANLANDS LÄN</t>
        </is>
      </c>
      <c r="G232" t="inlineStr">
        <is>
          <t>FLEN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45081</v>
      </c>
      <c r="E233" s="1" t="n">
        <v>46311</v>
      </c>
      <c r="F233" t="inlineStr">
        <is>
          <t>SÖDERMANLANDS LÄN</t>
        </is>
      </c>
      <c r="G233" t="inlineStr">
        <is>
          <t>FLEN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45001</v>
      </c>
      <c r="E234" s="1" t="n">
        <v>46311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12295-2025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45729</v>
      </c>
      <c r="E235" s="1" t="n">
        <v>46311</v>
      </c>
      <c r="F235" t="inlineStr">
        <is>
          <t>SÖDERMANLANDS LÄN</t>
        </is>
      </c>
      <c r="G235" t="inlineStr">
        <is>
          <t>FLEN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35600-2023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45147</v>
      </c>
      <c r="E236" s="1" t="n">
        <v>46311</v>
      </c>
      <c r="F236" t="inlineStr">
        <is>
          <t>SÖDERMANLANDS LÄN</t>
        </is>
      </c>
      <c r="G236" t="inlineStr">
        <is>
          <t>FLEN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57863-2022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44899</v>
      </c>
      <c r="E237" s="1" t="n">
        <v>46311</v>
      </c>
      <c r="F237" t="inlineStr">
        <is>
          <t>SÖDERMANLANDS LÄN</t>
        </is>
      </c>
      <c r="G237" t="inlineStr">
        <is>
          <t>FLEN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73923-2021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44553</v>
      </c>
      <c r="E238" s="1" t="n">
        <v>46311</v>
      </c>
      <c r="F238" t="inlineStr">
        <is>
          <t>SÖDERMANLANDS LÄN</t>
        </is>
      </c>
      <c r="G238" t="inlineStr">
        <is>
          <t>FLEN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44909</v>
      </c>
      <c r="E239" s="1" t="n">
        <v>46311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56497-2022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44887</v>
      </c>
      <c r="E240" s="1" t="n">
        <v>46311</v>
      </c>
      <c r="F240" t="inlineStr">
        <is>
          <t>SÖDERMANLANDS LÄN</t>
        </is>
      </c>
      <c r="G240" t="inlineStr">
        <is>
          <t>FLEN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58364-2023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45250</v>
      </c>
      <c r="E241" s="1" t="n">
        <v>46311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38209-2023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45161</v>
      </c>
      <c r="E242" s="1" t="n">
        <v>46311</v>
      </c>
      <c r="F242" t="inlineStr">
        <is>
          <t>SÖDERMANLANDS LÄN</t>
        </is>
      </c>
      <c r="G242" t="inlineStr">
        <is>
          <t>FLEN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28768-2024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45478</v>
      </c>
      <c r="E243" s="1" t="n">
        <v>46311</v>
      </c>
      <c r="F243" t="inlineStr">
        <is>
          <t>SÖDERMANLANDS LÄN</t>
        </is>
      </c>
      <c r="G243" t="inlineStr">
        <is>
          <t>FLEN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58631-2024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45632</v>
      </c>
      <c r="E244" s="1" t="n">
        <v>46311</v>
      </c>
      <c r="F244" t="inlineStr">
        <is>
          <t>SÖDERMANLANDS LÄN</t>
        </is>
      </c>
      <c r="G244" t="inlineStr">
        <is>
          <t>FLEN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45163</v>
      </c>
      <c r="E245" s="1" t="n">
        <v>46311</v>
      </c>
      <c r="F245" t="inlineStr">
        <is>
          <t>SÖDERMANLANDS LÄN</t>
        </is>
      </c>
      <c r="G245" t="inlineStr">
        <is>
          <t>FLEN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41806-2023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46311</v>
      </c>
      <c r="F246" t="inlineStr">
        <is>
          <t>SÖDERMANLANDS LÄN</t>
        </is>
      </c>
      <c r="G246" t="inlineStr">
        <is>
          <t>FLEN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37775-2025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46311</v>
      </c>
      <c r="F247" t="inlineStr">
        <is>
          <t>SÖDERMANLANDS LÄN</t>
        </is>
      </c>
      <c r="G247" t="inlineStr">
        <is>
          <t>FLEN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66979-2021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44522</v>
      </c>
      <c r="E248" s="1" t="n">
        <v>46311</v>
      </c>
      <c r="F248" t="inlineStr">
        <is>
          <t>SÖDERMANLANDS LÄN</t>
        </is>
      </c>
      <c r="G248" t="inlineStr">
        <is>
          <t>FLEN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9257-2023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44980</v>
      </c>
      <c r="E249" s="1" t="n">
        <v>46311</v>
      </c>
      <c r="F249" t="inlineStr">
        <is>
          <t>SÖDERMANLANDS LÄN</t>
        </is>
      </c>
      <c r="G249" t="inlineStr">
        <is>
          <t>FLEN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37286-2024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45540</v>
      </c>
      <c r="E250" s="1" t="n">
        <v>46311</v>
      </c>
      <c r="F250" t="inlineStr">
        <is>
          <t>SÖDERMANLANDS LÄN</t>
        </is>
      </c>
      <c r="G250" t="inlineStr">
        <is>
          <t>FLEN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38217-2023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46311</v>
      </c>
      <c r="F251" t="inlineStr">
        <is>
          <t>SÖDERMANLANDS LÄN</t>
        </is>
      </c>
      <c r="G251" t="inlineStr">
        <is>
          <t>FLEN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12172-2022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44636</v>
      </c>
      <c r="E252" s="1" t="n">
        <v>46311</v>
      </c>
      <c r="F252" t="inlineStr">
        <is>
          <t>SÖDERMANLANDS LÄN</t>
        </is>
      </c>
      <c r="G252" t="inlineStr">
        <is>
          <t>FLEN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48785-2022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44859</v>
      </c>
      <c r="E253" s="1" t="n">
        <v>46311</v>
      </c>
      <c r="F253" t="inlineStr">
        <is>
          <t>SÖDERMANLANDS LÄN</t>
        </is>
      </c>
      <c r="G253" t="inlineStr">
        <is>
          <t>FLEN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44991</v>
      </c>
      <c r="E254" s="1" t="n">
        <v>46311</v>
      </c>
      <c r="F254" t="inlineStr">
        <is>
          <t>SÖDERMANLANDS LÄN</t>
        </is>
      </c>
      <c r="G254" t="inlineStr">
        <is>
          <t>FLEN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64480-2023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46311</v>
      </c>
      <c r="F255" t="inlineStr">
        <is>
          <t>SÖDERMANLANDS LÄN</t>
        </is>
      </c>
      <c r="G255" t="inlineStr">
        <is>
          <t>FLEN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44957</v>
      </c>
      <c r="E256" s="1" t="n">
        <v>46311</v>
      </c>
      <c r="F256" t="inlineStr">
        <is>
          <t>SÖDERMANLANDS LÄN</t>
        </is>
      </c>
      <c r="G256" t="inlineStr">
        <is>
          <t>FLEN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8793-2022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44614</v>
      </c>
      <c r="E257" s="1" t="n">
        <v>46311</v>
      </c>
      <c r="F257" t="inlineStr">
        <is>
          <t>SÖDERMANLANDS LÄN</t>
        </is>
      </c>
      <c r="G257" t="inlineStr">
        <is>
          <t>FLEN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42388-2023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45180</v>
      </c>
      <c r="E258" s="1" t="n">
        <v>46311</v>
      </c>
      <c r="F258" t="inlineStr">
        <is>
          <t>SÖDERMANLANDS LÄN</t>
        </is>
      </c>
      <c r="G258" t="inlineStr">
        <is>
          <t>FLEN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35118-2024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45528</v>
      </c>
      <c r="E259" s="1" t="n">
        <v>46311</v>
      </c>
      <c r="F259" t="inlineStr">
        <is>
          <t>SÖDERMANLANDS LÄN</t>
        </is>
      </c>
      <c r="G259" t="inlineStr">
        <is>
          <t>FLEN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72314-2021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44544</v>
      </c>
      <c r="E260" s="1" t="n">
        <v>46311</v>
      </c>
      <c r="F260" t="inlineStr">
        <is>
          <t>SÖDERMANLANDS LÄN</t>
        </is>
      </c>
      <c r="G260" t="inlineStr">
        <is>
          <t>FLEN</t>
        </is>
      </c>
      <c r="I260" t="n">
        <v>13.8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41630-2023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45175</v>
      </c>
      <c r="E261" s="1" t="n">
        <v>46311</v>
      </c>
      <c r="F261" t="inlineStr">
        <is>
          <t>SÖDERMANLANDS LÄN</t>
        </is>
      </c>
      <c r="G261" t="inlineStr">
        <is>
          <t>FLEN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38753-2023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45163</v>
      </c>
      <c r="E262" s="1" t="n">
        <v>46311</v>
      </c>
      <c r="F262" t="inlineStr">
        <is>
          <t>SÖDERMANLANDS LÄN</t>
        </is>
      </c>
      <c r="G262" t="inlineStr">
        <is>
          <t>FLEN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60255-2021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44495</v>
      </c>
      <c r="E263" s="1" t="n">
        <v>46311</v>
      </c>
      <c r="F263" t="inlineStr">
        <is>
          <t>SÖDERMANLANDS LÄN</t>
        </is>
      </c>
      <c r="G263" t="inlineStr">
        <is>
          <t>FLEN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57353-2022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46311</v>
      </c>
      <c r="F264" t="inlineStr">
        <is>
          <t>SÖDERMANLANDS LÄN</t>
        </is>
      </c>
      <c r="G264" t="inlineStr">
        <is>
          <t>FLEN</t>
        </is>
      </c>
      <c r="H264" t="inlineStr">
        <is>
          <t>Övriga statliga verk och myndigheter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9431-2022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44616</v>
      </c>
      <c r="E265" s="1" t="n">
        <v>46311</v>
      </c>
      <c r="F265" t="inlineStr">
        <is>
          <t>SÖDERMANLANDS LÄN</t>
        </is>
      </c>
      <c r="G265" t="inlineStr">
        <is>
          <t>FLEN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14755-2023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45014</v>
      </c>
      <c r="E266" s="1" t="n">
        <v>46311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45327</v>
      </c>
      <c r="E267" s="1" t="n">
        <v>46311</v>
      </c>
      <c r="F267" t="inlineStr">
        <is>
          <t>SÖDERMANLANDS LÄN</t>
        </is>
      </c>
      <c r="G267" t="inlineStr">
        <is>
          <t>FLEN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4216-2022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44588</v>
      </c>
      <c r="E268" s="1" t="n">
        <v>46311</v>
      </c>
      <c r="F268" t="inlineStr">
        <is>
          <t>SÖDERMANLANDS LÄN</t>
        </is>
      </c>
      <c r="G268" t="inlineStr">
        <is>
          <t>FLEN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44006-2022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44838</v>
      </c>
      <c r="E269" s="1" t="n">
        <v>46311</v>
      </c>
      <c r="F269" t="inlineStr">
        <is>
          <t>SÖDERMANLANDS LÄN</t>
        </is>
      </c>
      <c r="G269" t="inlineStr">
        <is>
          <t>FLEN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4899-2023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44958</v>
      </c>
      <c r="E270" s="1" t="n">
        <v>46311</v>
      </c>
      <c r="F270" t="inlineStr">
        <is>
          <t>SÖDERMANLANDS LÄN</t>
        </is>
      </c>
      <c r="G270" t="inlineStr">
        <is>
          <t>FLEN</t>
        </is>
      </c>
      <c r="H270" t="inlineStr">
        <is>
          <t>Kyrkan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16052-2026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46108</v>
      </c>
      <c r="E271" s="1" t="n">
        <v>46311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8.300000000000001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46112</v>
      </c>
      <c r="E272" s="1" t="n">
        <v>46311</v>
      </c>
      <c r="F272" t="inlineStr">
        <is>
          <t>SÖDERMANLANDS LÄN</t>
        </is>
      </c>
      <c r="G272" t="inlineStr">
        <is>
          <t>FLEN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16803-2026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46113</v>
      </c>
      <c r="E273" s="1" t="n">
        <v>46311</v>
      </c>
      <c r="F273" t="inlineStr">
        <is>
          <t>SÖDERMANLANDS LÄN</t>
        </is>
      </c>
      <c r="G273" t="inlineStr">
        <is>
          <t>FLEN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52980-2023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45226</v>
      </c>
      <c r="E274" s="1" t="n">
        <v>46311</v>
      </c>
      <c r="F274" t="inlineStr">
        <is>
          <t>SÖDERMANLANDS LÄN</t>
        </is>
      </c>
      <c r="G274" t="inlineStr">
        <is>
          <t>FLEN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38331-2023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45161</v>
      </c>
      <c r="E275" s="1" t="n">
        <v>46311</v>
      </c>
      <c r="F275" t="inlineStr">
        <is>
          <t>SÖDERMANLANDS LÄN</t>
        </is>
      </c>
      <c r="G275" t="inlineStr">
        <is>
          <t>FLEN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56991-2023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46311</v>
      </c>
      <c r="F276" t="inlineStr">
        <is>
          <t>SÖDERMANLANDS LÄN</t>
        </is>
      </c>
      <c r="G276" t="inlineStr">
        <is>
          <t>FLEN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46311</v>
      </c>
      <c r="F277" t="inlineStr">
        <is>
          <t>SÖDERMANLANDS LÄN</t>
        </is>
      </c>
      <c r="G277" t="inlineStr">
        <is>
          <t>FLEN</t>
        </is>
      </c>
      <c r="H277" t="inlineStr">
        <is>
          <t>Holmen skog AB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39226-2023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45166</v>
      </c>
      <c r="E278" s="1" t="n">
        <v>46311</v>
      </c>
      <c r="F278" t="inlineStr">
        <is>
          <t>SÖDERMANLANDS LÄN</t>
        </is>
      </c>
      <c r="G278" t="inlineStr">
        <is>
          <t>FLEN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9894-2023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44979</v>
      </c>
      <c r="E279" s="1" t="n">
        <v>46311</v>
      </c>
      <c r="F279" t="inlineStr">
        <is>
          <t>SÖDERMANLANDS LÄN</t>
        </is>
      </c>
      <c r="G279" t="inlineStr">
        <is>
          <t>FLEN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18499-2026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46311</v>
      </c>
      <c r="F280" t="inlineStr">
        <is>
          <t>SÖDERMANLANDS LÄN</t>
        </is>
      </c>
      <c r="G280" t="inlineStr">
        <is>
          <t>FLEN</t>
        </is>
      </c>
      <c r="I280" t="n">
        <v>7.9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18508-2026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46126</v>
      </c>
      <c r="E281" s="1" t="n">
        <v>46311</v>
      </c>
      <c r="F281" t="inlineStr">
        <is>
          <t>SÖDERMANLANDS LÄN</t>
        </is>
      </c>
      <c r="G281" t="inlineStr">
        <is>
          <t>FLEN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18918-2026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46129</v>
      </c>
      <c r="E282" s="1" t="n">
        <v>46311</v>
      </c>
      <c r="F282" t="inlineStr">
        <is>
          <t>SÖDERMANLANDS LÄN</t>
        </is>
      </c>
      <c r="G282" t="inlineStr">
        <is>
          <t>FLEN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19102-2026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46132</v>
      </c>
      <c r="E283" s="1" t="n">
        <v>46311</v>
      </c>
      <c r="F283" t="inlineStr">
        <is>
          <t>SÖDERMANLANDS LÄN</t>
        </is>
      </c>
      <c r="G283" t="inlineStr">
        <is>
          <t>FLEN</t>
        </is>
      </c>
      <c r="H283" t="inlineStr">
        <is>
          <t>Holmen skog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67464-2021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44524</v>
      </c>
      <c r="E284" s="1" t="n">
        <v>46311</v>
      </c>
      <c r="F284" t="inlineStr">
        <is>
          <t>SÖDERMANLANDS LÄN</t>
        </is>
      </c>
      <c r="G284" t="inlineStr">
        <is>
          <t>FLEN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59258-2022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44897</v>
      </c>
      <c r="E285" s="1" t="n">
        <v>46311</v>
      </c>
      <c r="F285" t="inlineStr">
        <is>
          <t>SÖDERMANLANDS LÄN</t>
        </is>
      </c>
      <c r="G285" t="inlineStr">
        <is>
          <t>FLEN</t>
        </is>
      </c>
      <c r="H285" t="inlineStr">
        <is>
          <t>Övriga statliga verk och myndigheter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17840-2026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46311</v>
      </c>
      <c r="F286" t="inlineStr">
        <is>
          <t>SÖDERMANLANDS LÄN</t>
        </is>
      </c>
      <c r="G286" t="inlineStr">
        <is>
          <t>FLEN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46121</v>
      </c>
      <c r="E287" s="1" t="n">
        <v>46311</v>
      </c>
      <c r="F287" t="inlineStr">
        <is>
          <t>SÖDERMANLANDS LÄN</t>
        </is>
      </c>
      <c r="G287" t="inlineStr">
        <is>
          <t>FLEN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17848-2026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46311</v>
      </c>
      <c r="F288" t="inlineStr">
        <is>
          <t>SÖDERMANLANDS LÄN</t>
        </is>
      </c>
      <c r="G288" t="inlineStr">
        <is>
          <t>FLEN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19072-2026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46311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8293-2022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44610</v>
      </c>
      <c r="E290" s="1" t="n">
        <v>46311</v>
      </c>
      <c r="F290" t="inlineStr">
        <is>
          <t>SÖDERMANLANDS LÄN</t>
        </is>
      </c>
      <c r="G290" t="inlineStr">
        <is>
          <t>FLEN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45209</v>
      </c>
      <c r="E291" s="1" t="n">
        <v>46311</v>
      </c>
      <c r="F291" t="inlineStr">
        <is>
          <t>SÖDERMANLANDS LÄN</t>
        </is>
      </c>
      <c r="G291" t="inlineStr">
        <is>
          <t>FLEN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44986</v>
      </c>
      <c r="E292" s="1" t="n">
        <v>46311</v>
      </c>
      <c r="F292" t="inlineStr">
        <is>
          <t>SÖDERMANLANDS LÄN</t>
        </is>
      </c>
      <c r="G292" t="inlineStr">
        <is>
          <t>FLEN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44602</v>
      </c>
      <c r="E293" s="1" t="n">
        <v>46311</v>
      </c>
      <c r="F293" t="inlineStr">
        <is>
          <t>SÖDERMANLANDS LÄN</t>
        </is>
      </c>
      <c r="G293" t="inlineStr">
        <is>
          <t>FLEN</t>
        </is>
      </c>
      <c r="I293" t="n">
        <v>5.9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26253-2025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45805</v>
      </c>
      <c r="E294" s="1" t="n">
        <v>46311</v>
      </c>
      <c r="F294" t="inlineStr">
        <is>
          <t>SÖDERMANLANDS LÄN</t>
        </is>
      </c>
      <c r="G294" t="inlineStr">
        <is>
          <t>FLEN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31352-2023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46311</v>
      </c>
      <c r="F295" t="inlineStr">
        <is>
          <t>SÖDERMANLANDS LÄN</t>
        </is>
      </c>
      <c r="G295" t="inlineStr">
        <is>
          <t>FLEN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45328</v>
      </c>
      <c r="E296" s="1" t="n">
        <v>46311</v>
      </c>
      <c r="F296" t="inlineStr">
        <is>
          <t>SÖDERMANLANDS LÄN</t>
        </is>
      </c>
      <c r="G296" t="inlineStr">
        <is>
          <t>FLEN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45555</v>
      </c>
      <c r="E297" s="1" t="n">
        <v>46311</v>
      </c>
      <c r="F297" t="inlineStr">
        <is>
          <t>SÖDERMANLANDS LÄN</t>
        </is>
      </c>
      <c r="G297" t="inlineStr">
        <is>
          <t>FLEN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10565-2023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44988</v>
      </c>
      <c r="E298" s="1" t="n">
        <v>46311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32023-2022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44778</v>
      </c>
      <c r="E299" s="1" t="n">
        <v>46311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25605-2023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45089</v>
      </c>
      <c r="E300" s="1" t="n">
        <v>46311</v>
      </c>
      <c r="F300" t="inlineStr">
        <is>
          <t>SÖDERMANLANDS LÄN</t>
        </is>
      </c>
      <c r="G300" t="inlineStr">
        <is>
          <t>FLEN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22827-2024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45448</v>
      </c>
      <c r="E301" s="1" t="n">
        <v>46311</v>
      </c>
      <c r="F301" t="inlineStr">
        <is>
          <t>SÖDERMANLANDS LÄN</t>
        </is>
      </c>
      <c r="G301" t="inlineStr">
        <is>
          <t>FLEN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39335-2023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46311</v>
      </c>
      <c r="F302" t="inlineStr">
        <is>
          <t>SÖDERMANLANDS LÄN</t>
        </is>
      </c>
      <c r="G302" t="inlineStr">
        <is>
          <t>FLEN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39821-2024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45553</v>
      </c>
      <c r="E303" s="1" t="n">
        <v>46311</v>
      </c>
      <c r="F303" t="inlineStr">
        <is>
          <t>SÖDERMANLANDS LÄN</t>
        </is>
      </c>
      <c r="G303" t="inlineStr">
        <is>
          <t>FLEN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40439-2025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46311</v>
      </c>
      <c r="F304" t="inlineStr">
        <is>
          <t>SÖDERMANLANDS LÄN</t>
        </is>
      </c>
      <c r="G304" t="inlineStr">
        <is>
          <t>FLEN</t>
        </is>
      </c>
      <c r="I304" t="n">
        <v>7.1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37256-2022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44807</v>
      </c>
      <c r="E305" s="1" t="n">
        <v>46311</v>
      </c>
      <c r="F305" t="inlineStr">
        <is>
          <t>SÖDERMANLANDS LÄN</t>
        </is>
      </c>
      <c r="G305" t="inlineStr">
        <is>
          <t>FLEN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69588-2021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44531</v>
      </c>
      <c r="E306" s="1" t="n">
        <v>46311</v>
      </c>
      <c r="F306" t="inlineStr">
        <is>
          <t>SÖDERMANLANDS LÄN</t>
        </is>
      </c>
      <c r="G306" t="inlineStr">
        <is>
          <t>FLEN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60609-2022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44911</v>
      </c>
      <c r="E307" s="1" t="n">
        <v>46311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46106-2024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45581</v>
      </c>
      <c r="E308" s="1" t="n">
        <v>46311</v>
      </c>
      <c r="F308" t="inlineStr">
        <is>
          <t>SÖDERMANLANDS LÄN</t>
        </is>
      </c>
      <c r="G308" t="inlineStr">
        <is>
          <t>FLEN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30423-2022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44761</v>
      </c>
      <c r="E309" s="1" t="n">
        <v>46311</v>
      </c>
      <c r="F309" t="inlineStr">
        <is>
          <t>SÖDERMANLANDS LÄN</t>
        </is>
      </c>
      <c r="G309" t="inlineStr">
        <is>
          <t>FLEN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58834-2024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45636</v>
      </c>
      <c r="E310" s="1" t="n">
        <v>46311</v>
      </c>
      <c r="F310" t="inlineStr">
        <is>
          <t>SÖDERMANLANDS LÄN</t>
        </is>
      </c>
      <c r="G310" t="inlineStr">
        <is>
          <t>FLEN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11747-2022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44634</v>
      </c>
      <c r="E311" s="1" t="n">
        <v>46311</v>
      </c>
      <c r="F311" t="inlineStr">
        <is>
          <t>SÖDERMANLANDS LÄN</t>
        </is>
      </c>
      <c r="G311" t="inlineStr">
        <is>
          <t>FLEN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36453-2025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45869</v>
      </c>
      <c r="E312" s="1" t="n">
        <v>46311</v>
      </c>
      <c r="F312" t="inlineStr">
        <is>
          <t>SÖDERMANLANDS LÄN</t>
        </is>
      </c>
      <c r="G312" t="inlineStr">
        <is>
          <t>FLEN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46311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45923-2023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46311</v>
      </c>
      <c r="F314" t="inlineStr">
        <is>
          <t>SÖDERMANLANDS LÄN</t>
        </is>
      </c>
      <c r="G314" t="inlineStr">
        <is>
          <t>FLEN</t>
        </is>
      </c>
      <c r="H314" t="inlineStr">
        <is>
          <t>Övriga statliga verk och myndigheter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56229-2025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45974</v>
      </c>
      <c r="E315" s="1" t="n">
        <v>46311</v>
      </c>
      <c r="F315" t="inlineStr">
        <is>
          <t>SÖDERMANLANDS LÄN</t>
        </is>
      </c>
      <c r="G315" t="inlineStr">
        <is>
          <t>FLEN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44970</v>
      </c>
      <c r="E316" s="1" t="n">
        <v>46311</v>
      </c>
      <c r="F316" t="inlineStr">
        <is>
          <t>SÖDERMANLANDS LÄN</t>
        </is>
      </c>
      <c r="G316" t="inlineStr">
        <is>
          <t>FLEN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9979-2025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45718</v>
      </c>
      <c r="E317" s="1" t="n">
        <v>46311</v>
      </c>
      <c r="F317" t="inlineStr">
        <is>
          <t>SÖDERMANLANDS LÄN</t>
        </is>
      </c>
      <c r="G317" t="inlineStr">
        <is>
          <t>FLEN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23835-2022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46311</v>
      </c>
      <c r="F318" t="inlineStr">
        <is>
          <t>SÖDERMANLANDS LÄN</t>
        </is>
      </c>
      <c r="G318" t="inlineStr">
        <is>
          <t>FLEN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23859-2022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44722</v>
      </c>
      <c r="E319" s="1" t="n">
        <v>46311</v>
      </c>
      <c r="F319" t="inlineStr">
        <is>
          <t>SÖDERMANLANDS LÄN</t>
        </is>
      </c>
      <c r="G319" t="inlineStr">
        <is>
          <t>FLEN</t>
        </is>
      </c>
      <c r="I319" t="n">
        <v>7.1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48858-2023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45209</v>
      </c>
      <c r="E320" s="1" t="n">
        <v>46311</v>
      </c>
      <c r="F320" t="inlineStr">
        <is>
          <t>SÖDERMANLANDS LÄN</t>
        </is>
      </c>
      <c r="G320" t="inlineStr">
        <is>
          <t>FLEN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8903-2022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44614</v>
      </c>
      <c r="E321" s="1" t="n">
        <v>46311</v>
      </c>
      <c r="F321" t="inlineStr">
        <is>
          <t>SÖDERMANLANDS LÄN</t>
        </is>
      </c>
      <c r="G321" t="inlineStr">
        <is>
          <t>FLEN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16937-2022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44676</v>
      </c>
      <c r="E322" s="1" t="n">
        <v>46311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23716-2024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45454</v>
      </c>
      <c r="E323" s="1" t="n">
        <v>46311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14412-2023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45012</v>
      </c>
      <c r="E324" s="1" t="n">
        <v>46311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46311</v>
      </c>
      <c r="F325" t="inlineStr">
        <is>
          <t>SÖDERMANLANDS LÄN</t>
        </is>
      </c>
      <c r="G325" t="inlineStr">
        <is>
          <t>FLEN</t>
        </is>
      </c>
      <c r="H325" t="inlineStr">
        <is>
          <t>Övriga statliga verk och myndigheter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45713</v>
      </c>
      <c r="E326" s="1" t="n">
        <v>46311</v>
      </c>
      <c r="F326" t="inlineStr">
        <is>
          <t>SÖDERMANLANDS LÄN</t>
        </is>
      </c>
      <c r="G326" t="inlineStr">
        <is>
          <t>FLEN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23216-2025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45791</v>
      </c>
      <c r="E327" s="1" t="n">
        <v>46311</v>
      </c>
      <c r="F327" t="inlineStr">
        <is>
          <t>SÖDERMANLANDS LÄN</t>
        </is>
      </c>
      <c r="G327" t="inlineStr">
        <is>
          <t>FLEN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53509-2023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45230</v>
      </c>
      <c r="E328" s="1" t="n">
        <v>46311</v>
      </c>
      <c r="F328" t="inlineStr">
        <is>
          <t>SÖDERMANLANDS LÄN</t>
        </is>
      </c>
      <c r="G328" t="inlineStr">
        <is>
          <t>FLEN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46401-2022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44846</v>
      </c>
      <c r="E329" s="1" t="n">
        <v>46311</v>
      </c>
      <c r="F329" t="inlineStr">
        <is>
          <t>SÖDERMANLANDS LÄN</t>
        </is>
      </c>
      <c r="G329" t="inlineStr">
        <is>
          <t>FLEN</t>
        </is>
      </c>
      <c r="H329" t="inlineStr">
        <is>
          <t>Kyrkan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44819</v>
      </c>
      <c r="E330" s="1" t="n">
        <v>46311</v>
      </c>
      <c r="F330" t="inlineStr">
        <is>
          <t>SÖDERMANLANDS LÄN</t>
        </is>
      </c>
      <c r="G330" t="inlineStr">
        <is>
          <t>FLEN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45597</v>
      </c>
      <c r="E331" s="1" t="n">
        <v>46311</v>
      </c>
      <c r="F331" t="inlineStr">
        <is>
          <t>SÖDERMANLANDS LÄN</t>
        </is>
      </c>
      <c r="G331" t="inlineStr">
        <is>
          <t>FLEN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58635-2024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45632</v>
      </c>
      <c r="E332" s="1" t="n">
        <v>46311</v>
      </c>
      <c r="F332" t="inlineStr">
        <is>
          <t>SÖDERMANLANDS LÄN</t>
        </is>
      </c>
      <c r="G332" t="inlineStr">
        <is>
          <t>FLEN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59891-2025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45993</v>
      </c>
      <c r="E333" s="1" t="n">
        <v>46311</v>
      </c>
      <c r="F333" t="inlineStr">
        <is>
          <t>SÖDERMANLANDS LÄN</t>
        </is>
      </c>
      <c r="G333" t="inlineStr">
        <is>
          <t>FLEN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21167-2023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45057</v>
      </c>
      <c r="E334" s="1" t="n">
        <v>46311</v>
      </c>
      <c r="F334" t="inlineStr">
        <is>
          <t>SÖDERMANLANDS LÄN</t>
        </is>
      </c>
      <c r="G334" t="inlineStr">
        <is>
          <t>FLEN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40286-2023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45169</v>
      </c>
      <c r="E335" s="1" t="n">
        <v>46311</v>
      </c>
      <c r="F335" t="inlineStr">
        <is>
          <t>SÖDERMANLANDS LÄN</t>
        </is>
      </c>
      <c r="G335" t="inlineStr">
        <is>
          <t>FLEN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52472-2023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45225</v>
      </c>
      <c r="E336" s="1" t="n">
        <v>46311</v>
      </c>
      <c r="F336" t="inlineStr">
        <is>
          <t>SÖDERMANLANDS LÄN</t>
        </is>
      </c>
      <c r="G336" t="inlineStr">
        <is>
          <t>FLEN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25823-2022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44733</v>
      </c>
      <c r="E337" s="1" t="n">
        <v>46311</v>
      </c>
      <c r="F337" t="inlineStr">
        <is>
          <t>SÖDERMANLANDS LÄN</t>
        </is>
      </c>
      <c r="G337" t="inlineStr">
        <is>
          <t>FLEN</t>
        </is>
      </c>
      <c r="I337" t="n">
        <v>8.699999999999999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59599-2022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44907</v>
      </c>
      <c r="E338" s="1" t="n">
        <v>46311</v>
      </c>
      <c r="F338" t="inlineStr">
        <is>
          <t>SÖDERMANLANDS LÄN</t>
        </is>
      </c>
      <c r="G338" t="inlineStr">
        <is>
          <t>FLEN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52481-2023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45225</v>
      </c>
      <c r="E339" s="1" t="n">
        <v>46311</v>
      </c>
      <c r="F339" t="inlineStr">
        <is>
          <t>SÖDERMANLANDS LÄN</t>
        </is>
      </c>
      <c r="G339" t="inlineStr">
        <is>
          <t>FLEN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16580-2023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45030</v>
      </c>
      <c r="E340" s="1" t="n">
        <v>46311</v>
      </c>
      <c r="F340" t="inlineStr">
        <is>
          <t>SÖDERMANLANDS LÄN</t>
        </is>
      </c>
      <c r="G340" t="inlineStr">
        <is>
          <t>FLEN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9074-2025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45713</v>
      </c>
      <c r="E341" s="1" t="n">
        <v>46311</v>
      </c>
      <c r="F341" t="inlineStr">
        <is>
          <t>SÖDERMANLANDS LÄN</t>
        </is>
      </c>
      <c r="G341" t="inlineStr">
        <is>
          <t>FLEN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2901-2024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45315</v>
      </c>
      <c r="E342" s="1" t="n">
        <v>46311</v>
      </c>
      <c r="F342" t="inlineStr">
        <is>
          <t>SÖDERMANLANDS LÄN</t>
        </is>
      </c>
      <c r="G342" t="inlineStr">
        <is>
          <t>FLEN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55445-2022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44887</v>
      </c>
      <c r="E343" s="1" t="n">
        <v>46311</v>
      </c>
      <c r="F343" t="inlineStr">
        <is>
          <t>SÖDERMANLANDS LÄN</t>
        </is>
      </c>
      <c r="G343" t="inlineStr">
        <is>
          <t>FLEN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12277-2024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45378</v>
      </c>
      <c r="E344" s="1" t="n">
        <v>46311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53119-2023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45228</v>
      </c>
      <c r="E345" s="1" t="n">
        <v>46311</v>
      </c>
      <c r="F345" t="inlineStr">
        <is>
          <t>SÖDERMANLANDS LÄN</t>
        </is>
      </c>
      <c r="G345" t="inlineStr">
        <is>
          <t>FLEN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39053-2023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45163</v>
      </c>
      <c r="E346" s="1" t="n">
        <v>46311</v>
      </c>
      <c r="F346" t="inlineStr">
        <is>
          <t>SÖDERMANLANDS LÄN</t>
        </is>
      </c>
      <c r="G346" t="inlineStr">
        <is>
          <t>FLEN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66867-2021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44522</v>
      </c>
      <c r="E347" s="1" t="n">
        <v>46311</v>
      </c>
      <c r="F347" t="inlineStr">
        <is>
          <t>SÖDERMANLANDS LÄN</t>
        </is>
      </c>
      <c r="G347" t="inlineStr">
        <is>
          <t>FLEN</t>
        </is>
      </c>
      <c r="H347" t="inlineStr">
        <is>
          <t>Kyrkan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45250</v>
      </c>
      <c r="E348" s="1" t="n">
        <v>46311</v>
      </c>
      <c r="F348" t="inlineStr">
        <is>
          <t>SÖDERMANLANDS LÄN</t>
        </is>
      </c>
      <c r="G348" t="inlineStr">
        <is>
          <t>FLEN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52353-2023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45224</v>
      </c>
      <c r="E349" s="1" t="n">
        <v>46311</v>
      </c>
      <c r="F349" t="inlineStr">
        <is>
          <t>SÖDERMANLANDS LÄN</t>
        </is>
      </c>
      <c r="G349" t="inlineStr">
        <is>
          <t>FLEN</t>
        </is>
      </c>
      <c r="H349" t="inlineStr">
        <is>
          <t>Kyrkan</t>
        </is>
      </c>
      <c r="I349" t="n">
        <v>8.199999999999999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45321</v>
      </c>
      <c r="E350" s="1" t="n">
        <v>46311</v>
      </c>
      <c r="F350" t="inlineStr">
        <is>
          <t>SÖDERMANLANDS LÄN</t>
        </is>
      </c>
      <c r="G350" t="inlineStr">
        <is>
          <t>FLEN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59817-2022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44900</v>
      </c>
      <c r="E351" s="1" t="n">
        <v>46311</v>
      </c>
      <c r="F351" t="inlineStr">
        <is>
          <t>SÖDERMANLANDS LÄN</t>
        </is>
      </c>
      <c r="G351" t="inlineStr">
        <is>
          <t>FLEN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45924</v>
      </c>
      <c r="E352" s="1" t="n">
        <v>46311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45309</v>
      </c>
      <c r="E353" s="1" t="n">
        <v>46311</v>
      </c>
      <c r="F353" t="inlineStr">
        <is>
          <t>SÖDERMANLANDS LÄN</t>
        </is>
      </c>
      <c r="G353" t="inlineStr">
        <is>
          <t>FLEN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44958</v>
      </c>
      <c r="E354" s="1" t="n">
        <v>46311</v>
      </c>
      <c r="F354" t="inlineStr">
        <is>
          <t>SÖDERMANLANDS LÄN</t>
        </is>
      </c>
      <c r="G354" t="inlineStr">
        <is>
          <t>FLEN</t>
        </is>
      </c>
      <c r="I354" t="n">
        <v>7.5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51925-2022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44868</v>
      </c>
      <c r="E355" s="1" t="n">
        <v>46311</v>
      </c>
      <c r="F355" t="inlineStr">
        <is>
          <t>SÖDERMANLANDS LÄN</t>
        </is>
      </c>
      <c r="G355" t="inlineStr">
        <is>
          <t>FLEN</t>
        </is>
      </c>
      <c r="H355" t="inlineStr">
        <is>
          <t>Övriga statliga verk och myndigheter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24157-2026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46311</v>
      </c>
      <c r="F356" t="inlineStr">
        <is>
          <t>SÖDERMANLANDS LÄN</t>
        </is>
      </c>
      <c r="G356" t="inlineStr">
        <is>
          <t>FLEN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24151-2026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46311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46662-2025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45926</v>
      </c>
      <c r="E358" s="1" t="n">
        <v>46311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11.5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24155-2026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46168</v>
      </c>
      <c r="E359" s="1" t="n">
        <v>46311</v>
      </c>
      <c r="F359" t="inlineStr">
        <is>
          <t>SÖDERMANLANDS LÄN</t>
        </is>
      </c>
      <c r="G359" t="inlineStr">
        <is>
          <t>FLEN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24163-2026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46168</v>
      </c>
      <c r="E360" s="1" t="n">
        <v>46311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10771-2022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44624</v>
      </c>
      <c r="E361" s="1" t="n">
        <v>46311</v>
      </c>
      <c r="F361" t="inlineStr">
        <is>
          <t>SÖDERMANLANDS LÄN</t>
        </is>
      </c>
      <c r="G361" t="inlineStr">
        <is>
          <t>FLEN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10828-2022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44624</v>
      </c>
      <c r="E362" s="1" t="n">
        <v>46311</v>
      </c>
      <c r="F362" t="inlineStr">
        <is>
          <t>SÖDERMANLANDS LÄN</t>
        </is>
      </c>
      <c r="G362" t="inlineStr">
        <is>
          <t>FLEN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16908-2024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45411</v>
      </c>
      <c r="E363" s="1" t="n">
        <v>46311</v>
      </c>
      <c r="F363" t="inlineStr">
        <is>
          <t>SÖDERMANLANDS LÄN</t>
        </is>
      </c>
      <c r="G363" t="inlineStr">
        <is>
          <t>FLEN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24223-2026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46168</v>
      </c>
      <c r="E364" s="1" t="n">
        <v>46311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7163-2023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44970</v>
      </c>
      <c r="E365" s="1" t="n">
        <v>46311</v>
      </c>
      <c r="F365" t="inlineStr">
        <is>
          <t>SÖDERMANLANDS LÄN</t>
        </is>
      </c>
      <c r="G365" t="inlineStr">
        <is>
          <t>FLEN</t>
        </is>
      </c>
      <c r="H365" t="inlineStr">
        <is>
          <t>Kommuner</t>
        </is>
      </c>
      <c r="I365" t="n">
        <v>11.2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24116-2026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46168</v>
      </c>
      <c r="E366" s="1" t="n">
        <v>46311</v>
      </c>
      <c r="F366" t="inlineStr">
        <is>
          <t>SÖDERMANLANDS LÄN</t>
        </is>
      </c>
      <c r="G366" t="inlineStr">
        <is>
          <t>FLEN</t>
        </is>
      </c>
      <c r="H366" t="inlineStr">
        <is>
          <t>Holmen skog AB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57356-2022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44896</v>
      </c>
      <c r="E367" s="1" t="n">
        <v>46311</v>
      </c>
      <c r="F367" t="inlineStr">
        <is>
          <t>SÖDERMANLANDS LÄN</t>
        </is>
      </c>
      <c r="G367" t="inlineStr">
        <is>
          <t>FLEN</t>
        </is>
      </c>
      <c r="H367" t="inlineStr">
        <is>
          <t>Övriga statliga verk och myndigheter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57046-2023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45244</v>
      </c>
      <c r="E368" s="1" t="n">
        <v>46311</v>
      </c>
      <c r="F368" t="inlineStr">
        <is>
          <t>SÖDERMANLANDS LÄN</t>
        </is>
      </c>
      <c r="G368" t="inlineStr">
        <is>
          <t>FLEN</t>
        </is>
      </c>
      <c r="H368" t="inlineStr">
        <is>
          <t>Övriga statliga verk och myndigheter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17838-2026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46121</v>
      </c>
      <c r="E369" s="1" t="n">
        <v>46311</v>
      </c>
      <c r="F369" t="inlineStr">
        <is>
          <t>SÖDERMANLANDS LÄN</t>
        </is>
      </c>
      <c r="G369" t="inlineStr">
        <is>
          <t>FLEN</t>
        </is>
      </c>
      <c r="I369" t="n">
        <v>3.2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54781-2024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45618</v>
      </c>
      <c r="E370" s="1" t="n">
        <v>46311</v>
      </c>
      <c r="F370" t="inlineStr">
        <is>
          <t>SÖDERMANLANDS LÄN</t>
        </is>
      </c>
      <c r="G370" t="inlineStr">
        <is>
          <t>FLEN</t>
        </is>
      </c>
      <c r="I370" t="n">
        <v>10.3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46170</v>
      </c>
      <c r="E371" s="1" t="n">
        <v>46311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  <c r="Z371">
        <f>HYPERLINK("https://klasma.github.io/Logging_0482/knärot/A 24450-2026 karta knärot.png", "A 24450-2026")</f>
        <v/>
      </c>
      <c r="AA371">
        <f>HYPERLINK("https://klasma.github.io/Logging_0482/klagomål/A 24450-2026 FSC-klagomål.docx", "A 24450-2026")</f>
        <v/>
      </c>
      <c r="AB371">
        <f>HYPERLINK("https://klasma.github.io/Logging_0482/klagomålsmail/A 24450-2026 FSC-klagomål mail.docx", "A 24450-2026")</f>
        <v/>
      </c>
      <c r="AC371">
        <f>HYPERLINK("https://klasma.github.io/Logging_0482/tillsyn/A 24450-2026 tillsynsbegäran.docx", "A 24450-2026")</f>
        <v/>
      </c>
      <c r="AD371">
        <f>HYPERLINK("https://klasma.github.io/Logging_0482/tillsynsmail/A 24450-2026 tillsynsbegäran mail.docx", "A 24450-2026")</f>
        <v/>
      </c>
    </row>
    <row r="372" ht="15" customHeight="1">
      <c r="A372" t="inlineStr">
        <is>
          <t>A 35507-2024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45531</v>
      </c>
      <c r="E372" s="1" t="n">
        <v>46311</v>
      </c>
      <c r="F372" t="inlineStr">
        <is>
          <t>SÖDERMANLANDS LÄN</t>
        </is>
      </c>
      <c r="G372" t="inlineStr">
        <is>
          <t>FLEN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48826-2022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44859</v>
      </c>
      <c r="E373" s="1" t="n">
        <v>46311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31028-2024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45501</v>
      </c>
      <c r="E374" s="1" t="n">
        <v>46311</v>
      </c>
      <c r="F374" t="inlineStr">
        <is>
          <t>SÖDERMANLANDS LÄN</t>
        </is>
      </c>
      <c r="G374" t="inlineStr">
        <is>
          <t>FLEN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47872-2025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45932</v>
      </c>
      <c r="E375" s="1" t="n">
        <v>46311</v>
      </c>
      <c r="F375" t="inlineStr">
        <is>
          <t>SÖDERMANLANDS LÄN</t>
        </is>
      </c>
      <c r="G375" t="inlineStr">
        <is>
          <t>FLEN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46311</v>
      </c>
      <c r="F376" t="inlineStr">
        <is>
          <t>SÖDERMANLANDS LÄN</t>
        </is>
      </c>
      <c r="G376" t="inlineStr">
        <is>
          <t>FLEN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47989-2025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45932</v>
      </c>
      <c r="E377" s="1" t="n">
        <v>46311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46311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44566</v>
      </c>
      <c r="E379" s="1" t="n">
        <v>46311</v>
      </c>
      <c r="F379" t="inlineStr">
        <is>
          <t>SÖDERMANLANDS LÄN</t>
        </is>
      </c>
      <c r="G379" t="inlineStr">
        <is>
          <t>FLEN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5582-2023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44960</v>
      </c>
      <c r="E380" s="1" t="n">
        <v>46311</v>
      </c>
      <c r="F380" t="inlineStr">
        <is>
          <t>SÖDERMANLANDS LÄN</t>
        </is>
      </c>
      <c r="G380" t="inlineStr">
        <is>
          <t>FLEN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26326-2026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46311</v>
      </c>
      <c r="F381" t="inlineStr">
        <is>
          <t>SÖDERMANLANDS LÄN</t>
        </is>
      </c>
      <c r="G381" t="inlineStr">
        <is>
          <t>FLEN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26318-2026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46181</v>
      </c>
      <c r="E382" s="1" t="n">
        <v>46311</v>
      </c>
      <c r="F382" t="inlineStr">
        <is>
          <t>SÖDERMANLANDS LÄN</t>
        </is>
      </c>
      <c r="G382" t="inlineStr">
        <is>
          <t>FLEN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48749-2022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44855</v>
      </c>
      <c r="E383" s="1" t="n">
        <v>46311</v>
      </c>
      <c r="F383" t="inlineStr">
        <is>
          <t>SÖDERMANLANDS LÄN</t>
        </is>
      </c>
      <c r="G383" t="inlineStr">
        <is>
          <t>FLEN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48774-2022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44855</v>
      </c>
      <c r="E384" s="1" t="n">
        <v>46311</v>
      </c>
      <c r="F384" t="inlineStr">
        <is>
          <t>SÖDERMANLANDS LÄN</t>
        </is>
      </c>
      <c r="G384" t="inlineStr">
        <is>
          <t>FLEN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46311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26444-2026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46183</v>
      </c>
      <c r="E386" s="1" t="n">
        <v>46311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24455-2026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46311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34783-2023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46311</v>
      </c>
      <c r="F388" t="inlineStr">
        <is>
          <t>SÖDERMANLANDS LÄN</t>
        </is>
      </c>
      <c r="G388" t="inlineStr">
        <is>
          <t>FLEN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46311</v>
      </c>
      <c r="F389" t="inlineStr">
        <is>
          <t>SÖDERMANLANDS LÄN</t>
        </is>
      </c>
      <c r="G389" t="inlineStr">
        <is>
          <t>FLEN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46311</v>
      </c>
      <c r="F390" t="inlineStr">
        <is>
          <t>SÖDERMANLANDS LÄN</t>
        </is>
      </c>
      <c r="G390" t="inlineStr">
        <is>
          <t>FLEN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27328-2026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46311</v>
      </c>
      <c r="F391" t="inlineStr">
        <is>
          <t>SÖDERMANLANDS LÄN</t>
        </is>
      </c>
      <c r="G391" t="inlineStr">
        <is>
          <t>FLEN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22957-2023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45072</v>
      </c>
      <c r="E392" s="1" t="n">
        <v>46311</v>
      </c>
      <c r="F392" t="inlineStr">
        <is>
          <t>SÖDERMANLANDS LÄN</t>
        </is>
      </c>
      <c r="G392" t="inlineStr">
        <is>
          <t>FLEN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29148-2024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45482</v>
      </c>
      <c r="E393" s="1" t="n">
        <v>46311</v>
      </c>
      <c r="F393" t="inlineStr">
        <is>
          <t>SÖDERMANLANDS LÄN</t>
        </is>
      </c>
      <c r="G393" t="inlineStr">
        <is>
          <t>FLEN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49891-2023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45213</v>
      </c>
      <c r="E394" s="1" t="n">
        <v>46311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31965-2024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45510</v>
      </c>
      <c r="E395" s="1" t="n">
        <v>46311</v>
      </c>
      <c r="F395" t="inlineStr">
        <is>
          <t>SÖDERMANLANDS LÄN</t>
        </is>
      </c>
      <c r="G395" t="inlineStr">
        <is>
          <t>FLEN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28316-2026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46311</v>
      </c>
      <c r="F396" t="inlineStr">
        <is>
          <t>SÖDERMANLANDS LÄN</t>
        </is>
      </c>
      <c r="G396" t="inlineStr">
        <is>
          <t>FLEN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60937-2022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44914</v>
      </c>
      <c r="E397" s="1" t="n">
        <v>46311</v>
      </c>
      <c r="F397" t="inlineStr">
        <is>
          <t>SÖDERMANLANDS LÄN</t>
        </is>
      </c>
      <c r="G397" t="inlineStr">
        <is>
          <t>FLEN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33103-2022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44785</v>
      </c>
      <c r="E398" s="1" t="n">
        <v>46311</v>
      </c>
      <c r="F398" t="inlineStr">
        <is>
          <t>SÖDERMANLANDS LÄN</t>
        </is>
      </c>
      <c r="G398" t="inlineStr">
        <is>
          <t>FLEN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13587-2022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44648</v>
      </c>
      <c r="E399" s="1" t="n">
        <v>46311</v>
      </c>
      <c r="F399" t="inlineStr">
        <is>
          <t>SÖDERMANLANDS LÄN</t>
        </is>
      </c>
      <c r="G399" t="inlineStr">
        <is>
          <t>FLEN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9892-2023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44979</v>
      </c>
      <c r="E400" s="1" t="n">
        <v>46311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20980-2023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46311</v>
      </c>
      <c r="F401" t="inlineStr">
        <is>
          <t>SÖDERMANLANDS LÄN</t>
        </is>
      </c>
      <c r="G401" t="inlineStr">
        <is>
          <t>FLEN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50727-2025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46311</v>
      </c>
      <c r="F402" t="inlineStr">
        <is>
          <t>SÖDERMANLANDS LÄN</t>
        </is>
      </c>
      <c r="G402" t="inlineStr">
        <is>
          <t>FLEN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26663-2022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44739</v>
      </c>
      <c r="E403" s="1" t="n">
        <v>46311</v>
      </c>
      <c r="F403" t="inlineStr">
        <is>
          <t>SÖDERMANLANDS LÄN</t>
        </is>
      </c>
      <c r="G403" t="inlineStr">
        <is>
          <t>FLEN</t>
        </is>
      </c>
      <c r="I403" t="n">
        <v>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31083-2022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44769</v>
      </c>
      <c r="E404" s="1" t="n">
        <v>46311</v>
      </c>
      <c r="F404" t="inlineStr">
        <is>
          <t>SÖDERMANLANDS LÄN</t>
        </is>
      </c>
      <c r="G404" t="inlineStr">
        <is>
          <t>FLEN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17654-2023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45036</v>
      </c>
      <c r="E405" s="1" t="n">
        <v>46311</v>
      </c>
      <c r="F405" t="inlineStr">
        <is>
          <t>SÖDERMANLANDS LÄN</t>
        </is>
      </c>
      <c r="G405" t="inlineStr">
        <is>
          <t>FLEN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51872-2022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44872</v>
      </c>
      <c r="E406" s="1" t="n">
        <v>46311</v>
      </c>
      <c r="F406" t="inlineStr">
        <is>
          <t>SÖDERMANLANDS LÄN</t>
        </is>
      </c>
      <c r="G406" t="inlineStr">
        <is>
          <t>FLEN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31762-2026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46229</v>
      </c>
      <c r="E407" s="1" t="n">
        <v>46311</v>
      </c>
      <c r="F407" t="inlineStr">
        <is>
          <t>SÖDERMANLANDS LÄN</t>
        </is>
      </c>
      <c r="G407" t="inlineStr">
        <is>
          <t>FLEN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45239</v>
      </c>
      <c r="E408" s="1" t="n">
        <v>46311</v>
      </c>
      <c r="F408" t="inlineStr">
        <is>
          <t>SÖDERMANLANDS LÄN</t>
        </is>
      </c>
      <c r="G408" t="inlineStr">
        <is>
          <t>FLEN</t>
        </is>
      </c>
      <c r="H408" t="inlineStr">
        <is>
          <t>Övriga statliga verk och myndigheter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56996-2023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46311</v>
      </c>
      <c r="F409" t="inlineStr">
        <is>
          <t>SÖDERMANLANDS LÄN</t>
        </is>
      </c>
      <c r="G409" t="inlineStr">
        <is>
          <t>FLEN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20791-2022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44701</v>
      </c>
      <c r="E410" s="1" t="n">
        <v>46311</v>
      </c>
      <c r="F410" t="inlineStr">
        <is>
          <t>SÖDERMANLANDS LÄN</t>
        </is>
      </c>
      <c r="G410" t="inlineStr">
        <is>
          <t>FLEN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36990-2026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46273</v>
      </c>
      <c r="E411" s="1" t="n">
        <v>46311</v>
      </c>
      <c r="F411" t="inlineStr">
        <is>
          <t>SÖDERMANLANDS LÄN</t>
        </is>
      </c>
      <c r="G411" t="inlineStr">
        <is>
          <t>FLEN</t>
        </is>
      </c>
      <c r="H411" t="inlineStr">
        <is>
          <t>Holmen skog AB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62579-2023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45270</v>
      </c>
      <c r="E412" s="1" t="n">
        <v>46311</v>
      </c>
      <c r="F412" t="inlineStr">
        <is>
          <t>SÖDERMANLANDS LÄN</t>
        </is>
      </c>
      <c r="G412" t="inlineStr">
        <is>
          <t>FLEN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46273</v>
      </c>
      <c r="E413" s="1" t="n">
        <v>46311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46273</v>
      </c>
      <c r="E414" s="1" t="n">
        <v>46311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38135-2023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45161</v>
      </c>
      <c r="E415" s="1" t="n">
        <v>46311</v>
      </c>
      <c r="F415" t="inlineStr">
        <is>
          <t>SÖDERMANLANDS LÄN</t>
        </is>
      </c>
      <c r="G415" t="inlineStr">
        <is>
          <t>FLEN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33228-2024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45518</v>
      </c>
      <c r="E416" s="1" t="n">
        <v>46311</v>
      </c>
      <c r="F416" t="inlineStr">
        <is>
          <t>SÖDERMANLANDS LÄN</t>
        </is>
      </c>
      <c r="G416" t="inlineStr">
        <is>
          <t>FLEN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54282-2025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45964</v>
      </c>
      <c r="E417" s="1" t="n">
        <v>46311</v>
      </c>
      <c r="F417" t="inlineStr">
        <is>
          <t>SÖDERMANLANDS LÄN</t>
        </is>
      </c>
      <c r="G417" t="inlineStr">
        <is>
          <t>FLEN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54283-2025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45964</v>
      </c>
      <c r="E418" s="1" t="n">
        <v>46311</v>
      </c>
      <c r="F418" t="inlineStr">
        <is>
          <t>SÖDERMANLANDS LÄN</t>
        </is>
      </c>
      <c r="G418" t="inlineStr">
        <is>
          <t>FLEN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44561-2024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45574</v>
      </c>
      <c r="E419" s="1" t="n">
        <v>46311</v>
      </c>
      <c r="F419" t="inlineStr">
        <is>
          <t>SÖDERMANLANDS LÄN</t>
        </is>
      </c>
      <c r="G419" t="inlineStr">
        <is>
          <t>FLEN</t>
        </is>
      </c>
      <c r="H419" t="inlineStr">
        <is>
          <t>Övriga statliga verk och myndigheter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10256-2024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45365</v>
      </c>
      <c r="E420" s="1" t="n">
        <v>46311</v>
      </c>
      <c r="F420" t="inlineStr">
        <is>
          <t>SÖDERMANLANDS LÄN</t>
        </is>
      </c>
      <c r="G420" t="inlineStr">
        <is>
          <t>FLEN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45299</v>
      </c>
      <c r="E421" s="1" t="n">
        <v>46311</v>
      </c>
      <c r="F421" t="inlineStr">
        <is>
          <t>SÖDERMANLANDS LÄN</t>
        </is>
      </c>
      <c r="G421" t="inlineStr">
        <is>
          <t>FLEN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45299</v>
      </c>
      <c r="E422" s="1" t="n">
        <v>46311</v>
      </c>
      <c r="F422" t="inlineStr">
        <is>
          <t>SÖDERMANLANDS LÄN</t>
        </is>
      </c>
      <c r="G422" t="inlineStr">
        <is>
          <t>FLEN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15904-2023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45022</v>
      </c>
      <c r="E423" s="1" t="n">
        <v>46311</v>
      </c>
      <c r="F423" t="inlineStr">
        <is>
          <t>SÖDERMANLANDS LÄN</t>
        </is>
      </c>
      <c r="G423" t="inlineStr">
        <is>
          <t>FLEN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32407-2023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45110</v>
      </c>
      <c r="E424" s="1" t="n">
        <v>46311</v>
      </c>
      <c r="F424" t="inlineStr">
        <is>
          <t>SÖDERMANLANDS LÄN</t>
        </is>
      </c>
      <c r="G424" t="inlineStr">
        <is>
          <t>FLEN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36096-2023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45149</v>
      </c>
      <c r="E425" s="1" t="n">
        <v>46311</v>
      </c>
      <c r="F425" t="inlineStr">
        <is>
          <t>SÖDERMANLANDS LÄN</t>
        </is>
      </c>
      <c r="G425" t="inlineStr">
        <is>
          <t>FLEN</t>
        </is>
      </c>
      <c r="H425" t="inlineStr">
        <is>
          <t>Kyrkan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40408-2024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45555</v>
      </c>
      <c r="E426" s="1" t="n">
        <v>46311</v>
      </c>
      <c r="F426" t="inlineStr">
        <is>
          <t>SÖDERMANLANDS LÄN</t>
        </is>
      </c>
      <c r="G426" t="inlineStr">
        <is>
          <t>FLEN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45331</v>
      </c>
      <c r="E427" s="1" t="n">
        <v>46311</v>
      </c>
      <c r="F427" t="inlineStr">
        <is>
          <t>SÖDERMANLANDS LÄN</t>
        </is>
      </c>
      <c r="G427" t="inlineStr">
        <is>
          <t>FLEN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46311</v>
      </c>
      <c r="F428" t="inlineStr">
        <is>
          <t>SÖDERMANLANDS LÄN</t>
        </is>
      </c>
      <c r="G428" t="inlineStr">
        <is>
          <t>FLEN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34612-2023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45140</v>
      </c>
      <c r="E429" s="1" t="n">
        <v>46311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56573-2025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45974</v>
      </c>
      <c r="E430" s="1" t="n">
        <v>46311</v>
      </c>
      <c r="F430" t="inlineStr">
        <is>
          <t>SÖDERMANLANDS LÄN</t>
        </is>
      </c>
      <c r="G430" t="inlineStr">
        <is>
          <t>FLEN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780-2023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44931</v>
      </c>
      <c r="E431" s="1" t="n">
        <v>46311</v>
      </c>
      <c r="F431" t="inlineStr">
        <is>
          <t>SÖDERMANLANDS LÄN</t>
        </is>
      </c>
      <c r="G431" t="inlineStr">
        <is>
          <t>FLEN</t>
        </is>
      </c>
      <c r="H431" t="inlineStr">
        <is>
          <t>Holmen skog AB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44580</v>
      </c>
      <c r="E432" s="1" t="n">
        <v>46311</v>
      </c>
      <c r="F432" t="inlineStr">
        <is>
          <t>SÖDERMANLANDS LÄN</t>
        </is>
      </c>
      <c r="G432" t="inlineStr">
        <is>
          <t>FLEN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50646-2023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45217</v>
      </c>
      <c r="E433" s="1" t="n">
        <v>46311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22028-2023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45066</v>
      </c>
      <c r="E434" s="1" t="n">
        <v>46311</v>
      </c>
      <c r="F434" t="inlineStr">
        <is>
          <t>SÖDERMANLANDS LÄN</t>
        </is>
      </c>
      <c r="G434" t="inlineStr">
        <is>
          <t>FLEN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46311</v>
      </c>
      <c r="F435" t="inlineStr">
        <is>
          <t>SÖDERMANLANDS LÄN</t>
        </is>
      </c>
      <c r="G435" t="inlineStr">
        <is>
          <t>FLEN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12712-2026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46091</v>
      </c>
      <c r="E436" s="1" t="n">
        <v>46311</v>
      </c>
      <c r="F436" t="inlineStr">
        <is>
          <t>SÖDERMANLANDS LÄN</t>
        </is>
      </c>
      <c r="G436" t="inlineStr">
        <is>
          <t>FLEN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38594-2026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46283</v>
      </c>
      <c r="E437" s="1" t="n">
        <v>46311</v>
      </c>
      <c r="F437" t="inlineStr">
        <is>
          <t>SÖDERMANLANDS LÄN</t>
        </is>
      </c>
      <c r="G437" t="inlineStr">
        <is>
          <t>FLEN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59439-2022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44907</v>
      </c>
      <c r="E438" s="1" t="n">
        <v>46311</v>
      </c>
      <c r="F438" t="inlineStr">
        <is>
          <t>SÖDERMANLANDS LÄN</t>
        </is>
      </c>
      <c r="G438" t="inlineStr">
        <is>
          <t>FLEN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46311</v>
      </c>
      <c r="F439" t="inlineStr">
        <is>
          <t>SÖDERMANLANDS LÄN</t>
        </is>
      </c>
      <c r="G439" t="inlineStr">
        <is>
          <t>FLEN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53507-2023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45230</v>
      </c>
      <c r="E440" s="1" t="n">
        <v>46311</v>
      </c>
      <c r="F440" t="inlineStr">
        <is>
          <t>SÖDERMANLANDS LÄN</t>
        </is>
      </c>
      <c r="G440" t="inlineStr">
        <is>
          <t>FLEN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53518-2023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45230</v>
      </c>
      <c r="E441" s="1" t="n">
        <v>46311</v>
      </c>
      <c r="F441" t="inlineStr">
        <is>
          <t>SÖDERMANLANDS LÄN</t>
        </is>
      </c>
      <c r="G441" t="inlineStr">
        <is>
          <t>FLEN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46286</v>
      </c>
      <c r="E442" s="1" t="n">
        <v>46311</v>
      </c>
      <c r="F442" t="inlineStr">
        <is>
          <t>SÖDERMANLANDS LÄN</t>
        </is>
      </c>
      <c r="G442" t="inlineStr">
        <is>
          <t>FLEN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14599-2023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45013</v>
      </c>
      <c r="E443" s="1" t="n">
        <v>46311</v>
      </c>
      <c r="F443" t="inlineStr">
        <is>
          <t>SÖDERMANLANDS LÄN</t>
        </is>
      </c>
      <c r="G443" t="inlineStr">
        <is>
          <t>FLEN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42731-2024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45566</v>
      </c>
      <c r="E444" s="1" t="n">
        <v>46311</v>
      </c>
      <c r="F444" t="inlineStr">
        <is>
          <t>SÖDERMANLANDS LÄN</t>
        </is>
      </c>
      <c r="G444" t="inlineStr">
        <is>
          <t>FLEN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57044-2023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45244</v>
      </c>
      <c r="E445" s="1" t="n">
        <v>46311</v>
      </c>
      <c r="F445" t="inlineStr">
        <is>
          <t>SÖDERMANLANDS LÄN</t>
        </is>
      </c>
      <c r="G445" t="inlineStr">
        <is>
          <t>FLEN</t>
        </is>
      </c>
      <c r="H445" t="inlineStr">
        <is>
          <t>Övriga statliga verk och myndigheter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13233-2024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45386</v>
      </c>
      <c r="E446" s="1" t="n">
        <v>46311</v>
      </c>
      <c r="F446" t="inlineStr">
        <is>
          <t>SÖDERMANLANDS LÄN</t>
        </is>
      </c>
      <c r="G446" t="inlineStr">
        <is>
          <t>FLEN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20952-2025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45777</v>
      </c>
      <c r="E447" s="1" t="n">
        <v>46311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25121-2026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46175</v>
      </c>
      <c r="E448" s="1" t="n">
        <v>46311</v>
      </c>
      <c r="F448" t="inlineStr">
        <is>
          <t>SÖDERMANLANDS LÄN</t>
        </is>
      </c>
      <c r="G448" t="inlineStr">
        <is>
          <t>FLEN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33936-2026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46250</v>
      </c>
      <c r="E449" s="1" t="n">
        <v>46311</v>
      </c>
      <c r="F449" t="inlineStr">
        <is>
          <t>SÖDERMANLANDS LÄN</t>
        </is>
      </c>
      <c r="G449" t="inlineStr">
        <is>
          <t>FLEN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40216-2026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46311</v>
      </c>
      <c r="F450" t="inlineStr">
        <is>
          <t>SÖDERMANLANDS LÄN</t>
        </is>
      </c>
      <c r="G450" t="inlineStr">
        <is>
          <t>FLEN</t>
        </is>
      </c>
      <c r="H450" t="inlineStr">
        <is>
          <t>Kyrkan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59910-2025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45993</v>
      </c>
      <c r="E451" s="1" t="n">
        <v>46311</v>
      </c>
      <c r="F451" t="inlineStr">
        <is>
          <t>SÖDERMANLANDS LÄN</t>
        </is>
      </c>
      <c r="G451" t="inlineStr">
        <is>
          <t>FLEN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60206-2025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45994</v>
      </c>
      <c r="E452" s="1" t="n">
        <v>46311</v>
      </c>
      <c r="F452" t="inlineStr">
        <is>
          <t>SÖDERMANLANDS LÄN</t>
        </is>
      </c>
      <c r="G452" t="inlineStr">
        <is>
          <t>FLEN</t>
        </is>
      </c>
      <c r="H452" t="inlineStr">
        <is>
          <t>Kyrkan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60144-2025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45994</v>
      </c>
      <c r="E453" s="1" t="n">
        <v>46311</v>
      </c>
      <c r="F453" t="inlineStr">
        <is>
          <t>SÖDERMANLANDS LÄN</t>
        </is>
      </c>
      <c r="G453" t="inlineStr">
        <is>
          <t>FLEN</t>
        </is>
      </c>
      <c r="H453" t="inlineStr">
        <is>
          <t>Kyrkan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59895-2025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46311</v>
      </c>
      <c r="F454" t="inlineStr">
        <is>
          <t>SÖDERMANLANDS LÄN</t>
        </is>
      </c>
      <c r="G454" t="inlineStr">
        <is>
          <t>FLEN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7960-2024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45350</v>
      </c>
      <c r="E455" s="1" t="n">
        <v>46311</v>
      </c>
      <c r="F455" t="inlineStr">
        <is>
          <t>SÖDERMANLANDS LÄN</t>
        </is>
      </c>
      <c r="G455" t="inlineStr">
        <is>
          <t>FLEN</t>
        </is>
      </c>
      <c r="I455" t="n">
        <v>10.4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59894-2025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45993</v>
      </c>
      <c r="E456" s="1" t="n">
        <v>46311</v>
      </c>
      <c r="F456" t="inlineStr">
        <is>
          <t>SÖDERMANLANDS LÄN</t>
        </is>
      </c>
      <c r="G456" t="inlineStr">
        <is>
          <t>FLEN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59051-2023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45252</v>
      </c>
      <c r="E457" s="1" t="n">
        <v>46311</v>
      </c>
      <c r="F457" t="inlineStr">
        <is>
          <t>SÖDERMANLANDS LÄN</t>
        </is>
      </c>
      <c r="G457" t="inlineStr">
        <is>
          <t>FLEN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13909-2023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45008</v>
      </c>
      <c r="E458" s="1" t="n">
        <v>46311</v>
      </c>
      <c r="F458" t="inlineStr">
        <is>
          <t>SÖDERMANLANDS LÄN</t>
        </is>
      </c>
      <c r="G458" t="inlineStr">
        <is>
          <t>FLEN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47055-2022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44852</v>
      </c>
      <c r="E459" s="1" t="n">
        <v>46311</v>
      </c>
      <c r="F459" t="inlineStr">
        <is>
          <t>SÖDERMANLANDS LÄN</t>
        </is>
      </c>
      <c r="G459" t="inlineStr">
        <is>
          <t>FLEN</t>
        </is>
      </c>
      <c r="I459" t="n">
        <v>8.699999999999999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60382-2025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45995</v>
      </c>
      <c r="E460" s="1" t="n">
        <v>46311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60401-2025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45995</v>
      </c>
      <c r="E461" s="1" t="n">
        <v>46311</v>
      </c>
      <c r="F461" t="inlineStr">
        <is>
          <t>SÖDERMANLANDS LÄN</t>
        </is>
      </c>
      <c r="G461" t="inlineStr">
        <is>
          <t>FLEN</t>
        </is>
      </c>
      <c r="I461" t="n">
        <v>8.699999999999999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54736-2022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44883</v>
      </c>
      <c r="E462" s="1" t="n">
        <v>46311</v>
      </c>
      <c r="F462" t="inlineStr">
        <is>
          <t>SÖDERMANLANDS LÄN</t>
        </is>
      </c>
      <c r="G462" t="inlineStr">
        <is>
          <t>FLEN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33717-2026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46251</v>
      </c>
      <c r="E463" s="1" t="n">
        <v>46311</v>
      </c>
      <c r="F463" t="inlineStr">
        <is>
          <t>SÖDERMANLANDS LÄN</t>
        </is>
      </c>
      <c r="G463" t="inlineStr">
        <is>
          <t>FLEN</t>
        </is>
      </c>
      <c r="H463" t="inlineStr">
        <is>
          <t>Holmen skog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61041-2025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46311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33730-2026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46251</v>
      </c>
      <c r="E465" s="1" t="n">
        <v>46311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46251</v>
      </c>
      <c r="E466" s="1" t="n">
        <v>46311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34325-2026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46253</v>
      </c>
      <c r="E467" s="1" t="n">
        <v>46311</v>
      </c>
      <c r="F467" t="inlineStr">
        <is>
          <t>SÖDERMANLANDS LÄN</t>
        </is>
      </c>
      <c r="G467" t="inlineStr">
        <is>
          <t>FLEN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17290-2024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45414</v>
      </c>
      <c r="E468" s="1" t="n">
        <v>46311</v>
      </c>
      <c r="F468" t="inlineStr">
        <is>
          <t>SÖDERMANLANDS LÄN</t>
        </is>
      </c>
      <c r="G468" t="inlineStr">
        <is>
          <t>FLEN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40567-2026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46295</v>
      </c>
      <c r="E469" s="1" t="n">
        <v>46311</v>
      </c>
      <c r="F469" t="inlineStr">
        <is>
          <t>SÖDERMANLANDS LÄN</t>
        </is>
      </c>
      <c r="G469" t="inlineStr">
        <is>
          <t>FLEN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29897-2026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46205</v>
      </c>
      <c r="E470" s="1" t="n">
        <v>46311</v>
      </c>
      <c r="F470" t="inlineStr">
        <is>
          <t>SÖDERMANLANDS LÄN</t>
        </is>
      </c>
      <c r="G470" t="inlineStr">
        <is>
          <t>FLEN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22989-2025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45790</v>
      </c>
      <c r="E471" s="1" t="n">
        <v>46311</v>
      </c>
      <c r="F471" t="inlineStr">
        <is>
          <t>SÖDERMANLANDS LÄN</t>
        </is>
      </c>
      <c r="G471" t="inlineStr">
        <is>
          <t>FLEN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22867-2025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45790</v>
      </c>
      <c r="E472" s="1" t="n">
        <v>46311</v>
      </c>
      <c r="F472" t="inlineStr">
        <is>
          <t>SÖDERMANLANDS LÄN</t>
        </is>
      </c>
      <c r="G472" t="inlineStr">
        <is>
          <t>FLEN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22998-2025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45790</v>
      </c>
      <c r="E473" s="1" t="n">
        <v>46311</v>
      </c>
      <c r="F473" t="inlineStr">
        <is>
          <t>SÖDERMANLANDS LÄN</t>
        </is>
      </c>
      <c r="G473" t="inlineStr">
        <is>
          <t>FLEN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40412-2024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46311</v>
      </c>
      <c r="F474" t="inlineStr">
        <is>
          <t>SÖDERMANLANDS LÄN</t>
        </is>
      </c>
      <c r="G474" t="inlineStr">
        <is>
          <t>FLEN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52775-2024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45610</v>
      </c>
      <c r="E475" s="1" t="n">
        <v>46311</v>
      </c>
      <c r="F475" t="inlineStr">
        <is>
          <t>SÖDERMANLANDS LÄN</t>
        </is>
      </c>
      <c r="G475" t="inlineStr">
        <is>
          <t>FLEN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40663-2026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46296</v>
      </c>
      <c r="E476" s="1" t="n">
        <v>46311</v>
      </c>
      <c r="F476" t="inlineStr">
        <is>
          <t>SÖDERMANLANDS LÄN</t>
        </is>
      </c>
      <c r="G476" t="inlineStr">
        <is>
          <t>FLEN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34844-2026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46258</v>
      </c>
      <c r="E477" s="1" t="n">
        <v>46311</v>
      </c>
      <c r="F477" t="inlineStr">
        <is>
          <t>SÖDERMANLANDS LÄN</t>
        </is>
      </c>
      <c r="G477" t="inlineStr">
        <is>
          <t>FLEN</t>
        </is>
      </c>
      <c r="H477" t="inlineStr">
        <is>
          <t>Holmen skog AB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24480-2025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46311</v>
      </c>
      <c r="F478" t="inlineStr">
        <is>
          <t>SÖDERMANLANDS LÄN</t>
        </is>
      </c>
      <c r="G478" t="inlineStr">
        <is>
          <t>FLEN</t>
        </is>
      </c>
      <c r="H478" t="inlineStr">
        <is>
          <t>Holmen skog AB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24414-2025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45797</v>
      </c>
      <c r="E479" s="1" t="n">
        <v>46311</v>
      </c>
      <c r="F479" t="inlineStr">
        <is>
          <t>SÖDERMANLANDS LÄN</t>
        </is>
      </c>
      <c r="G479" t="inlineStr">
        <is>
          <t>FLEN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24526-2025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45798</v>
      </c>
      <c r="E480" s="1" t="n">
        <v>46311</v>
      </c>
      <c r="F480" t="inlineStr">
        <is>
          <t>SÖDERMANLANDS LÄN</t>
        </is>
      </c>
      <c r="G480" t="inlineStr">
        <is>
          <t>FLEN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34839-2026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46258</v>
      </c>
      <c r="E481" s="1" t="n">
        <v>46311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8.5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24541-2025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45798</v>
      </c>
      <c r="E482" s="1" t="n">
        <v>46311</v>
      </c>
      <c r="F482" t="inlineStr">
        <is>
          <t>SÖDERMANLANDS LÄN</t>
        </is>
      </c>
      <c r="G482" t="inlineStr">
        <is>
          <t>FLEN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24557-2025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45798</v>
      </c>
      <c r="E483" s="1" t="n">
        <v>46311</v>
      </c>
      <c r="F483" t="inlineStr">
        <is>
          <t>SÖDERMANLANDS LÄN</t>
        </is>
      </c>
      <c r="G483" t="inlineStr">
        <is>
          <t>FLEN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34851-2026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46258</v>
      </c>
      <c r="E484" s="1" t="n">
        <v>46311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46311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46252</v>
      </c>
      <c r="E486" s="1" t="n">
        <v>46311</v>
      </c>
      <c r="F486" t="inlineStr">
        <is>
          <t>SÖDERMANLANDS LÄN</t>
        </is>
      </c>
      <c r="G486" t="inlineStr">
        <is>
          <t>FLEN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34055-2026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46252</v>
      </c>
      <c r="E487" s="1" t="n">
        <v>46311</v>
      </c>
      <c r="F487" t="inlineStr">
        <is>
          <t>SÖDERMANLANDS LÄN</t>
        </is>
      </c>
      <c r="G487" t="inlineStr">
        <is>
          <t>FLEN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4051-2026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46311</v>
      </c>
      <c r="F488" t="inlineStr">
        <is>
          <t>SÖDERMANLANDS LÄN</t>
        </is>
      </c>
      <c r="G488" t="inlineStr">
        <is>
          <t>FLEN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35742-2026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46265</v>
      </c>
      <c r="E489" s="1" t="n">
        <v>46311</v>
      </c>
      <c r="F489" t="inlineStr">
        <is>
          <t>SÖDERMANLANDS LÄN</t>
        </is>
      </c>
      <c r="G489" t="inlineStr">
        <is>
          <t>FLEN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33694-2026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46249</v>
      </c>
      <c r="E490" s="1" t="n">
        <v>46311</v>
      </c>
      <c r="F490" t="inlineStr">
        <is>
          <t>SÖDERMANLANDS LÄN</t>
        </is>
      </c>
      <c r="G490" t="inlineStr">
        <is>
          <t>FLEN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26854-2026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46185</v>
      </c>
      <c r="E491" s="1" t="n">
        <v>46311</v>
      </c>
      <c r="F491" t="inlineStr">
        <is>
          <t>SÖDERMANLANDS LÄN</t>
        </is>
      </c>
      <c r="G491" t="inlineStr">
        <is>
          <t>FLEN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42324-2026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46307</v>
      </c>
      <c r="E492" s="1" t="n">
        <v>46311</v>
      </c>
      <c r="F492" t="inlineStr">
        <is>
          <t>SÖDERMANLANDS LÄN</t>
        </is>
      </c>
      <c r="G492" t="inlineStr">
        <is>
          <t>FLEN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46056</v>
      </c>
      <c r="E493" s="1" t="n">
        <v>46311</v>
      </c>
      <c r="F493" t="inlineStr">
        <is>
          <t>SÖDERMANLANDS LÄN</t>
        </is>
      </c>
      <c r="G493" t="inlineStr">
        <is>
          <t>FLEN</t>
        </is>
      </c>
      <c r="I493" t="n">
        <v>6.1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36173-2026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46267</v>
      </c>
      <c r="E494" s="1" t="n">
        <v>46311</v>
      </c>
      <c r="F494" t="inlineStr">
        <is>
          <t>SÖDERMANLANDS LÄN</t>
        </is>
      </c>
      <c r="G494" t="inlineStr">
        <is>
          <t>FLEN</t>
        </is>
      </c>
      <c r="H494" t="inlineStr">
        <is>
          <t>Holmen skog AB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46311</v>
      </c>
      <c r="F495" t="inlineStr">
        <is>
          <t>SÖDERMANLANDS LÄN</t>
        </is>
      </c>
      <c r="G495" t="inlineStr">
        <is>
          <t>FLEN</t>
        </is>
      </c>
      <c r="H495" t="inlineStr">
        <is>
          <t>Övriga statliga verk och myndigheter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35990-2026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46266</v>
      </c>
      <c r="E496" s="1" t="n">
        <v>46311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36184-2026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46267</v>
      </c>
      <c r="E497" s="1" t="n">
        <v>46311</v>
      </c>
      <c r="F497" t="inlineStr">
        <is>
          <t>SÖDERMANLANDS LÄN</t>
        </is>
      </c>
      <c r="G497" t="inlineStr">
        <is>
          <t>FLEN</t>
        </is>
      </c>
      <c r="H497" t="inlineStr">
        <is>
          <t>Holmen skog AB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46267</v>
      </c>
      <c r="E498" s="1" t="n">
        <v>46311</v>
      </c>
      <c r="F498" t="inlineStr">
        <is>
          <t>SÖDERMANLANDS LÄN</t>
        </is>
      </c>
      <c r="G498" t="inlineStr">
        <is>
          <t>FLEN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9527-2026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46311</v>
      </c>
      <c r="F499" t="inlineStr">
        <is>
          <t>SÖDERMANLANDS LÄN</t>
        </is>
      </c>
      <c r="G499" t="inlineStr">
        <is>
          <t>FLEN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9511-2026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46311</v>
      </c>
      <c r="F500" t="inlineStr">
        <is>
          <t>SÖDERMANLANDS LÄN</t>
        </is>
      </c>
      <c r="G500" t="inlineStr">
        <is>
          <t>FLEN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10397-2026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46077</v>
      </c>
      <c r="E501" s="1" t="n">
        <v>46311</v>
      </c>
      <c r="F501" t="inlineStr">
        <is>
          <t>SÖDERMANLANDS LÄN</t>
        </is>
      </c>
      <c r="G501" t="inlineStr">
        <is>
          <t>FLEN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11098-2026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46311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11004-2026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46079</v>
      </c>
      <c r="E503" s="1" t="n">
        <v>46311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5.2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11105-2026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46311</v>
      </c>
      <c r="F504" t="inlineStr">
        <is>
          <t>SÖDERMANLANDS LÄN</t>
        </is>
      </c>
      <c r="G504" t="inlineStr">
        <is>
          <t>FLEN</t>
        </is>
      </c>
      <c r="H504" t="inlineStr">
        <is>
          <t>Holmen skog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11339-2026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46082</v>
      </c>
      <c r="E505" s="1" t="n">
        <v>46311</v>
      </c>
      <c r="F505" t="inlineStr">
        <is>
          <t>SÖDERMANLANDS LÄN</t>
        </is>
      </c>
      <c r="G505" t="inlineStr">
        <is>
          <t>FLEN</t>
        </is>
      </c>
      <c r="I505" t="n">
        <v>7.7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11148-2026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46080</v>
      </c>
      <c r="E506" s="1" t="n">
        <v>46311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11187-2026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46080</v>
      </c>
      <c r="E507" s="1" t="n">
        <v>46311</v>
      </c>
      <c r="F507" t="inlineStr">
        <is>
          <t>SÖDERMANLANDS LÄN</t>
        </is>
      </c>
      <c r="G507" t="inlineStr">
        <is>
          <t>FLEN</t>
        </is>
      </c>
      <c r="H507" t="inlineStr">
        <is>
          <t>Holmen skog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11180-2026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46080</v>
      </c>
      <c r="E508" s="1" t="n">
        <v>46311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11413-2026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46083</v>
      </c>
      <c r="E509" s="1" t="n">
        <v>46311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S 482-2022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44588</v>
      </c>
      <c r="E510" s="1" t="n">
        <v>46311</v>
      </c>
      <c r="F510" t="inlineStr">
        <is>
          <t>SÖDERMANLANDS LÄN</t>
        </is>
      </c>
      <c r="G510" t="inlineStr">
        <is>
          <t>FLEN</t>
        </is>
      </c>
      <c r="I510" t="n">
        <v>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2321-2022</t>
        </is>
      </c>
      <c r="B511" t="inlineStr">
        <is>
          <t>samrådsanmälan</t>
        </is>
      </c>
      <c r="C511" t="inlineStr">
        <is>
          <t>Åtgärd i nyckelbiotop</t>
        </is>
      </c>
      <c r="D511" s="1" t="n">
        <v>44685</v>
      </c>
      <c r="E511" s="1" t="n">
        <v>46311</v>
      </c>
      <c r="F511" t="inlineStr">
        <is>
          <t>SÖDERMANLANDS LÄN</t>
        </is>
      </c>
      <c r="G511" t="inlineStr">
        <is>
          <t>FLEN</t>
        </is>
      </c>
      <c r="H511" t="inlineStr">
        <is>
          <t>Kyrkan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458-2023</t>
        </is>
      </c>
      <c r="B512" t="inlineStr">
        <is>
          <t>samrådsanmälan</t>
        </is>
      </c>
      <c r="C512" t="inlineStr">
        <is>
          <t>Annan skogsbruksåtgärd</t>
        </is>
      </c>
      <c r="D512" s="1" t="n">
        <v>44964</v>
      </c>
      <c r="E512" s="1" t="n">
        <v>46311</v>
      </c>
      <c r="F512" t="inlineStr">
        <is>
          <t>SÖDERMANLANDS LÄN</t>
        </is>
      </c>
      <c r="G512" t="inlineStr">
        <is>
          <t>FLEN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292-2025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45686</v>
      </c>
      <c r="E513" s="1" t="n">
        <v>46311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3723-2022</t>
        </is>
      </c>
      <c r="B514" t="inlineStr">
        <is>
          <t>samrådsanmälan</t>
        </is>
      </c>
      <c r="C514" t="inlineStr">
        <is>
          <t>Åtgärd i nyckelbiotop</t>
        </is>
      </c>
      <c r="D514" s="1" t="n">
        <v>44742</v>
      </c>
      <c r="E514" s="1" t="n">
        <v>46311</v>
      </c>
      <c r="F514" t="inlineStr">
        <is>
          <t>SÖDERMANLANDS LÄN</t>
        </is>
      </c>
      <c r="G514" t="inlineStr">
        <is>
          <t>FLEN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1976-2024</t>
        </is>
      </c>
      <c r="B515" t="inlineStr">
        <is>
          <t>samrådsanmälan</t>
        </is>
      </c>
      <c r="C515" t="inlineStr">
        <is>
          <t>Annan skogsbruksåtgärd</t>
        </is>
      </c>
      <c r="D515" s="1" t="n">
        <v>45446</v>
      </c>
      <c r="E515" s="1" t="n">
        <v>46311</v>
      </c>
      <c r="F515" t="inlineStr">
        <is>
          <t>SÖDERMANLANDS LÄN</t>
        </is>
      </c>
      <c r="G515" t="inlineStr">
        <is>
          <t>FLEN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1287-2024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45403</v>
      </c>
      <c r="E516" s="1" t="n">
        <v>46311</v>
      </c>
      <c r="F516" t="inlineStr">
        <is>
          <t>SÖDERMANLANDS LÄN</t>
        </is>
      </c>
      <c r="G516" t="inlineStr">
        <is>
          <t>FLEN</t>
        </is>
      </c>
      <c r="I516" t="n">
        <v>0.1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>
      <c r="A517" t="inlineStr">
        <is>
          <t>S 1528-2026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46164</v>
      </c>
      <c r="E517" s="1" t="n">
        <v>46311</v>
      </c>
      <c r="F517" t="inlineStr">
        <is>
          <t>SÖDERMANLANDS LÄN</t>
        </is>
      </c>
      <c r="G517" t="inlineStr">
        <is>
          <t>FLEN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2026-10-16T02:19:12Z</dcterms:created>
  <dcterms:modified xmlns:dcterms="http://purl.org/dc/terms/" xmlns:xsi="http://www.w3.org/2001/XMLSchema-instance" xsi:type="dcterms:W3CDTF">2026-10-16T02:19:12Z</dcterms:modified>
</cp:coreProperties>
</file>