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46319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46319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46319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46319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4155-2024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45323</v>
      </c>
      <c r="E14" s="1" t="n">
        <v>46319</v>
      </c>
      <c r="F14" t="inlineStr">
        <is>
          <t>SÖDERMANLANDS LÄN</t>
        </is>
      </c>
      <c r="G14" t="inlineStr">
        <is>
          <t>FLEN</t>
        </is>
      </c>
      <c r="I14" t="n">
        <v>2.1</v>
      </c>
      <c r="J14" t="n">
        <v>5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8</v>
      </c>
      <c r="U14" t="n">
        <v>3</v>
      </c>
      <c r="V14" s="2" t="inlineStr">
        <is>
          <t>Knärot
Ängsskära
Scharlakansskål
Svart trolldruva
Blåsippa
Spillkråka
Grönvit nattviol
Gullviva</t>
        </is>
      </c>
      <c r="W14">
        <f>HYPERLINK("https://klasma.github.io/Logging_0482/artfynd/A 4155-2024 artfynd.xlsx", "A 4155-2024")</f>
        <v/>
      </c>
      <c r="X14">
        <f>HYPERLINK("https://klasma.github.io/Logging_0482/kartor/A 4155-2024 karta.png", "A 4155-2024")</f>
        <v/>
      </c>
      <c r="Y14">
        <f>HYPERLINK("https://klasma.github.io/Logging_0482/kartor_geotiff/A 4155-2024 georefererad karta.tif", "A 4155-2024")</f>
        <v/>
      </c>
      <c r="Z14">
        <f>HYPERLINK("https://klasma.github.io/Logging_0482/knärot/A 4155-2024 karta knärot.png", "A 4155-2024")</f>
        <v/>
      </c>
      <c r="AA14">
        <f>HYPERLINK("https://klasma.github.io/Logging_0482/klagomål/A 4155-2024 FSC-klagomål.docx", "A 4155-2024")</f>
        <v/>
      </c>
      <c r="AB14">
        <f>HYPERLINK("https://klasma.github.io/Logging_0482/klagomålsmail/A 4155-2024 FSC-klagomål mail.docx", "A 4155-2024")</f>
        <v/>
      </c>
      <c r="AC14">
        <f>HYPERLINK("https://klasma.github.io/Logging_0482/tillsyn/A 4155-2024 tillsynsbegäran.docx", "A 4155-2024")</f>
        <v/>
      </c>
      <c r="AD14">
        <f>HYPERLINK("https://klasma.github.io/Logging_0482/tillsynsmail/A 4155-2024 tillsynsbegäran mail.docx", "A 4155-2024")</f>
        <v/>
      </c>
      <c r="AE14">
        <f>HYPERLINK("https://klasma.github.io/Logging_0482/fåglar/A 4155-2024 prioriterade fågelarter.docx", "A 4155-2024")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46319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18078-2023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45039</v>
      </c>
      <c r="E16" s="1" t="n">
        <v>46319</v>
      </c>
      <c r="F16" t="inlineStr">
        <is>
          <t>SÖDERMANLANDS LÄN</t>
        </is>
      </c>
      <c r="G16" t="inlineStr">
        <is>
          <t>FLEN</t>
        </is>
      </c>
      <c r="I16" t="n">
        <v>8.9</v>
      </c>
      <c r="J16" t="n">
        <v>1</v>
      </c>
      <c r="K16" t="n">
        <v>4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4</v>
      </c>
      <c r="V16" s="2" t="inlineStr">
        <is>
          <t>Gullklöver
Svinrot
Aspvedgnagare
Gulnål
Kornig nållav
Rävticka
Nattviol</t>
        </is>
      </c>
      <c r="W16">
        <f>HYPERLINK("https://klasma.github.io/Logging_0482/artfynd/A 18078-2023 artfynd.xlsx", "A 18078-2023")</f>
        <v/>
      </c>
      <c r="X16">
        <f>HYPERLINK("https://klasma.github.io/Logging_0482/kartor/A 18078-2023 karta.png", "A 18078-2023")</f>
        <v/>
      </c>
      <c r="Y16">
        <f>HYPERLINK("https://klasma.github.io/Logging_0482/kartor_geotiff/A 18078-2023 georefererad karta.tif", "A 18078-2023")</f>
        <v/>
      </c>
      <c r="AA16">
        <f>HYPERLINK("https://klasma.github.io/Logging_0482/klagomål/A 18078-2023 FSC-klagomål.docx", "A 18078-2023")</f>
        <v/>
      </c>
      <c r="AB16">
        <f>HYPERLINK("https://klasma.github.io/Logging_0482/klagomålsmail/A 18078-2023 FSC-klagomål mail.docx", "A 18078-2023")</f>
        <v/>
      </c>
      <c r="AC16">
        <f>HYPERLINK("https://klasma.github.io/Logging_0482/tillsyn/A 18078-2023 tillsynsbegäran.docx", "A 18078-2023")</f>
        <v/>
      </c>
      <c r="AD16">
        <f>HYPERLINK("https://klasma.github.io/Logging_0482/tillsynsmail/A 18078-2023 tillsynsbegäran mail.docx", "A 18078-2023")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46319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46319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S 1905-2020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44078</v>
      </c>
      <c r="E19" s="1" t="n">
        <v>46319</v>
      </c>
      <c r="F19" t="inlineStr">
        <is>
          <t>SÖDERMANLANDS LÄN</t>
        </is>
      </c>
      <c r="G19" t="inlineStr">
        <is>
          <t>FLEN</t>
        </is>
      </c>
      <c r="I19" t="n">
        <v>3.7</v>
      </c>
      <c r="J19" t="n">
        <v>2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14</v>
      </c>
      <c r="U19" t="n">
        <v>0</v>
      </c>
      <c r="V19" s="2" t="inlineStr">
        <is>
          <t>Knärot
Ullticka
Blomkålssvamp
Brandticka
Granbarkgnagare
Vedticka
Blåsippa</t>
        </is>
      </c>
      <c r="W19">
        <f>HYPERLINK("https://klasma.github.io/Logging_0482/artfynd/S 1905-2020 artfynd.xlsx", "S 1905-2020")</f>
        <v/>
      </c>
      <c r="X19">
        <f>HYPERLINK("https://klasma.github.io/Logging_0482/kartor/S 1905-2020 karta.png", "S 1905-2020")</f>
        <v/>
      </c>
      <c r="Y19">
        <f>HYPERLINK("https://klasma.github.io/Logging_0482/kartor_geotiff/S 1905-2020 georefererad karta.tif", "S 1905-2020")</f>
        <v/>
      </c>
      <c r="Z19">
        <f>HYPERLINK("https://klasma.github.io/Logging_0482/knärot/S 1905-2020 karta knärot.png", "S 1905-2020")</f>
        <v/>
      </c>
      <c r="AA19">
        <f>HYPERLINK("https://klasma.github.io/Logging_0482/klagomål/S 1905-2020 FSC-klagomål.docx", "S 1905-2020")</f>
        <v/>
      </c>
      <c r="AB19">
        <f>HYPERLINK("https://klasma.github.io/Logging_0482/klagomålsmail/S 1905-2020 FSC-klagomål mail.docx", "S 1905-2020")</f>
        <v/>
      </c>
      <c r="AC19">
        <f>HYPERLINK("https://klasma.github.io/Logging_0482/tillsyn/S 1905-2020 tillsynsbegäran.docx", "S 1905-2020")</f>
        <v/>
      </c>
      <c r="AD19">
        <f>HYPERLINK("https://klasma.github.io/Logging_0482/tillsynsmail/S 1905-2020 tillsynsbegäran mail.docx", "S 1905-2020")</f>
        <v/>
      </c>
    </row>
    <row r="20" ht="15" customHeight="1">
      <c r="A20" t="inlineStr">
        <is>
          <t>A 13230-2023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46319</v>
      </c>
      <c r="F20" t="inlineStr">
        <is>
          <t>SÖDERMANLANDS LÄN</t>
        </is>
      </c>
      <c r="G20" t="inlineStr">
        <is>
          <t>FLEN</t>
        </is>
      </c>
      <c r="H20" t="inlineStr">
        <is>
          <t>Kommuner</t>
        </is>
      </c>
      <c r="I20" t="n">
        <v>7.8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4</v>
      </c>
      <c r="V20" s="2" t="inlineStr">
        <is>
          <t>Källpraktmossa
Stor aspticka
Thomsons trägnagare
Vågbandad barkbock
Blåsippa
Glansfläck</t>
        </is>
      </c>
      <c r="W20">
        <f>HYPERLINK("https://klasma.github.io/Logging_0482/artfynd/A 13230-2023 artfynd.xlsx", "A 13230-2023")</f>
        <v/>
      </c>
      <c r="X20">
        <f>HYPERLINK("https://klasma.github.io/Logging_0482/kartor/A 13230-2023 karta.png", "A 13230-2023")</f>
        <v/>
      </c>
      <c r="Y20">
        <f>HYPERLINK("https://klasma.github.io/Logging_0482/kartor_geotiff/A 13230-2023 georefererad karta.tif", "A 13230-2023")</f>
        <v/>
      </c>
      <c r="AA20">
        <f>HYPERLINK("https://klasma.github.io/Logging_0482/klagomål/A 13230-2023 FSC-klagomål.docx", "A 13230-2023")</f>
        <v/>
      </c>
      <c r="AB20">
        <f>HYPERLINK("https://klasma.github.io/Logging_0482/klagomålsmail/A 13230-2023 FSC-klagomål mail.docx", "A 13230-2023")</f>
        <v/>
      </c>
      <c r="AC20">
        <f>HYPERLINK("https://klasma.github.io/Logging_0482/tillsyn/A 13230-2023 tillsynsbegäran.docx", "A 13230-2023")</f>
        <v/>
      </c>
      <c r="AD20">
        <f>HYPERLINK("https://klasma.github.io/Logging_0482/tillsynsmail/A 13230-2023 tillsynsbegäran mail.docx", "A 13230-2023")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46319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46319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46319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46319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13755-2026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46319</v>
      </c>
      <c r="F25" t="inlineStr">
        <is>
          <t>SÖDERMANLANDS LÄN</t>
        </is>
      </c>
      <c r="G25" t="inlineStr">
        <is>
          <t>FLEN</t>
        </is>
      </c>
      <c r="I25" t="n">
        <v>2.9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Åkerrättika
Jungfrulin
Svart trolldruva
Blåsippa
Grönvit nattviol</t>
        </is>
      </c>
      <c r="W25">
        <f>HYPERLINK("https://klasma.github.io/Logging_0482/artfynd/A 13755-2026 artfynd.xlsx", "A 13755-2026")</f>
        <v/>
      </c>
      <c r="X25">
        <f>HYPERLINK("https://klasma.github.io/Logging_0482/kartor/A 13755-2026 karta.png", "A 13755-2026")</f>
        <v/>
      </c>
      <c r="Y25">
        <f>HYPERLINK("https://klasma.github.io/Logging_0482/kartor_geotiff/A 13755-2026 georefererad karta.tif", "A 13755-2026")</f>
        <v/>
      </c>
      <c r="AA25">
        <f>HYPERLINK("https://klasma.github.io/Logging_0482/klagomål/A 13755-2026 FSC-klagomål.docx", "A 13755-2026")</f>
        <v/>
      </c>
      <c r="AB25">
        <f>HYPERLINK("https://klasma.github.io/Logging_0482/klagomålsmail/A 13755-2026 FSC-klagomål mail.docx", "A 13755-2026")</f>
        <v/>
      </c>
      <c r="AC25">
        <f>HYPERLINK("https://klasma.github.io/Logging_0482/tillsyn/A 13755-2026 tillsynsbegäran.docx", "A 13755-2026")</f>
        <v/>
      </c>
      <c r="AD25">
        <f>HYPERLINK("https://klasma.github.io/Logging_0482/tillsynsmail/A 13755-2026 tillsynsbegäran mail.docx", "A 13755-2026")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46319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46319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46319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46319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46319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33219-2024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46319</v>
      </c>
      <c r="F31" t="inlineStr">
        <is>
          <t>SÖDERMANLANDS LÄN</t>
        </is>
      </c>
      <c r="G31" t="inlineStr">
        <is>
          <t>FLEN</t>
        </is>
      </c>
      <c r="I31" t="n">
        <v>2.5</v>
      </c>
      <c r="J31" t="n">
        <v>3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Svinrot
Zontaggsvamp
Blåsippa
Mattlummer</t>
        </is>
      </c>
      <c r="W31">
        <f>HYPERLINK("https://klasma.github.io/Logging_0482/artfynd/A 33219-2024 artfynd.xlsx", "A 33219-2024")</f>
        <v/>
      </c>
      <c r="X31">
        <f>HYPERLINK("https://klasma.github.io/Logging_0482/kartor/A 33219-2024 karta.png", "A 33219-2024")</f>
        <v/>
      </c>
      <c r="Y31">
        <f>HYPERLINK("https://klasma.github.io/Logging_0482/kartor_geotiff/A 33219-2024 georefererad karta.tif", "A 33219-2024")</f>
        <v/>
      </c>
      <c r="Z31">
        <f>HYPERLINK("https://klasma.github.io/Logging_0482/knärot/A 33219-2024 karta knärot.png", "A 33219-2024")</f>
        <v/>
      </c>
      <c r="AA31">
        <f>HYPERLINK("https://klasma.github.io/Logging_0482/klagomål/A 33219-2024 FSC-klagomål.docx", "A 33219-2024")</f>
        <v/>
      </c>
      <c r="AB31">
        <f>HYPERLINK("https://klasma.github.io/Logging_0482/klagomålsmail/A 33219-2024 FSC-klagomål mail.docx", "A 33219-2024")</f>
        <v/>
      </c>
      <c r="AC31">
        <f>HYPERLINK("https://klasma.github.io/Logging_0482/tillsyn/A 33219-2024 tillsynsbegäran.docx", "A 33219-2024")</f>
        <v/>
      </c>
      <c r="AD31">
        <f>HYPERLINK("https://klasma.github.io/Logging_0482/tillsynsmail/A 33219-2024 tillsynsbegäran mail.docx", "A 33219-2024")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46319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46319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Svedjenäva
Svinrot
Tibast
Blåsippa
Gullviva</t>
        </is>
      </c>
      <c r="W33">
        <f>HYPERLINK("https://klasma.github.io/Logging_0482/artfynd/S 635-2025 artfynd.xlsx", "S 635-2025")</f>
        <v/>
      </c>
      <c r="X33">
        <f>HYPERLINK("https://klasma.github.io/Logging_0482/kartor/S 635-2025 karta.png", "S 635-2025")</f>
        <v/>
      </c>
      <c r="Y33">
        <f>HYPERLINK("https://klasma.github.io/Logging_0482/kartor_geotiff/S 635-2025 georefererad karta.tif", "S 635-2025")</f>
        <v/>
      </c>
      <c r="AA33">
        <f>HYPERLINK("https://klasma.github.io/Logging_0482/klagomål/S 635-2025 FSC-klagomål.docx", "S 635-2025")</f>
        <v/>
      </c>
      <c r="AB33">
        <f>HYPERLINK("https://klasma.github.io/Logging_0482/klagomålsmail/S 635-2025 FSC-klagomål mail.docx", "S 635-2025")</f>
        <v/>
      </c>
      <c r="AC33">
        <f>HYPERLINK("https://klasma.github.io/Logging_0482/tillsyn/S 635-2025 tillsynsbegäran.docx", "S 635-2025")</f>
        <v/>
      </c>
      <c r="AD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46319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Fällmossa
Granbarkgnagare
Svart trolldruva
Blåsippa</t>
        </is>
      </c>
      <c r="W34">
        <f>HYPERLINK("https://klasma.github.io/Logging_0482/artfynd/A 5859-2022 artfynd.xlsx", "A 5859-2022")</f>
        <v/>
      </c>
      <c r="X34">
        <f>HYPERLINK("https://klasma.github.io/Logging_0482/kartor/A 5859-2022 karta.png", "A 5859-2022")</f>
        <v/>
      </c>
      <c r="Y34">
        <f>HYPERLINK("https://klasma.github.io/Logging_0482/kartor_geotiff/A 5859-2022 georefererad karta.tif", "A 5859-2022")</f>
        <v/>
      </c>
      <c r="AA34">
        <f>HYPERLINK("https://klasma.github.io/Logging_0482/klagomål/A 5859-2022 FSC-klagomål.docx", "A 5859-2022")</f>
        <v/>
      </c>
      <c r="AB34">
        <f>HYPERLINK("https://klasma.github.io/Logging_0482/klagomålsmail/A 5859-2022 FSC-klagomål mail.docx", "A 5859-2022")</f>
        <v/>
      </c>
      <c r="AC34">
        <f>HYPERLINK("https://klasma.github.io/Logging_0482/tillsyn/A 5859-2022 tillsynsbegäran.docx", "A 5859-2022")</f>
        <v/>
      </c>
      <c r="AD34">
        <f>HYPERLINK("https://klasma.github.io/Logging_0482/tillsynsmail/A 5859-2022 tillsynsbegäran mail.docx", "A 5859-2022")</f>
        <v/>
      </c>
    </row>
    <row r="35" ht="15" customHeight="1">
      <c r="A35" t="inlineStr">
        <is>
          <t>A 49808-2023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45212</v>
      </c>
      <c r="E35" s="1" t="n">
        <v>46319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12.3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Svedjenäva
Svinrot
Mattlummer
Fläcknycklar</t>
        </is>
      </c>
      <c r="W35">
        <f>HYPERLINK("https://klasma.github.io/Logging_0482/artfynd/A 49808-2023 artfynd.xlsx", "A 49808-2023")</f>
        <v/>
      </c>
      <c r="X35">
        <f>HYPERLINK("https://klasma.github.io/Logging_0482/kartor/A 49808-2023 karta.png", "A 49808-2023")</f>
        <v/>
      </c>
      <c r="Y35">
        <f>HYPERLINK("https://klasma.github.io/Logging_0482/kartor_geotiff/A 49808-2023 georefererad karta.tif", "A 49808-2023")</f>
        <v/>
      </c>
      <c r="AA35">
        <f>HYPERLINK("https://klasma.github.io/Logging_0482/klagomål/A 49808-2023 FSC-klagomål.docx", "A 49808-2023")</f>
        <v/>
      </c>
      <c r="AB35">
        <f>HYPERLINK("https://klasma.github.io/Logging_0482/klagomålsmail/A 49808-2023 FSC-klagomål mail.docx", "A 49808-2023")</f>
        <v/>
      </c>
      <c r="AC35">
        <f>HYPERLINK("https://klasma.github.io/Logging_0482/tillsyn/A 49808-2023 tillsynsbegäran.docx", "A 49808-2023")</f>
        <v/>
      </c>
      <c r="AD35">
        <f>HYPERLINK("https://klasma.github.io/Logging_0482/tillsynsmail/A 49808-2023 tillsynsbegäran mail.docx", "A 49808-2023")</f>
        <v/>
      </c>
    </row>
    <row r="36" ht="15" customHeight="1">
      <c r="A36" t="inlineStr">
        <is>
          <t>A 10107-2023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46319</v>
      </c>
      <c r="F36" t="inlineStr">
        <is>
          <t>SÖDERMANLANDS LÄN</t>
        </is>
      </c>
      <c r="G36" t="inlineStr">
        <is>
          <t>FLEN</t>
        </is>
      </c>
      <c r="I36" t="n">
        <v>21.1</v>
      </c>
      <c r="J36" t="n">
        <v>2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2</v>
      </c>
      <c r="V36" s="2" t="inlineStr">
        <is>
          <t>Bombmurkla
Svedjenäva
Blåmossa
Mattlummer</t>
        </is>
      </c>
      <c r="W36">
        <f>HYPERLINK("https://klasma.github.io/Logging_0482/artfynd/A 10107-2023 artfynd.xlsx", "A 10107-2023")</f>
        <v/>
      </c>
      <c r="X36">
        <f>HYPERLINK("https://klasma.github.io/Logging_0482/kartor/A 10107-2023 karta.png", "A 10107-2023")</f>
        <v/>
      </c>
      <c r="Y36">
        <f>HYPERLINK("https://klasma.github.io/Logging_0482/kartor_geotiff/A 10107-2023 georefererad karta.tif", "A 10107-2023")</f>
        <v/>
      </c>
      <c r="AA36">
        <f>HYPERLINK("https://klasma.github.io/Logging_0482/klagomål/A 10107-2023 FSC-klagomål.docx", "A 10107-2023")</f>
        <v/>
      </c>
      <c r="AB36">
        <f>HYPERLINK("https://klasma.github.io/Logging_0482/klagomålsmail/A 10107-2023 FSC-klagomål mail.docx", "A 10107-2023")</f>
        <v/>
      </c>
      <c r="AC36">
        <f>HYPERLINK("https://klasma.github.io/Logging_0482/tillsyn/A 10107-2023 tillsynsbegäran.docx", "A 10107-2023")</f>
        <v/>
      </c>
      <c r="AD36">
        <f>HYPERLINK("https://klasma.github.io/Logging_0482/tillsynsmail/A 10107-2023 tillsynsbegäran mail.docx", "A 10107-2023")</f>
        <v/>
      </c>
    </row>
    <row r="37" ht="15" customHeight="1">
      <c r="A37" t="inlineStr">
        <is>
          <t>A 11115-2026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46319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7.8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6</v>
      </c>
      <c r="V37" s="2" t="inlineStr">
        <is>
          <t>Dropptaggsvamp
Fönsterlav
Grå renlav
Gulvit renlav</t>
        </is>
      </c>
      <c r="W37">
        <f>HYPERLINK("https://klasma.github.io/Logging_0482/artfynd/A 11115-2026 artfynd.xlsx", "A 11115-2026")</f>
        <v/>
      </c>
      <c r="X37">
        <f>HYPERLINK("https://klasma.github.io/Logging_0482/kartor/A 11115-2026 karta.png", "A 11115-2026")</f>
        <v/>
      </c>
      <c r="Y37">
        <f>HYPERLINK("https://klasma.github.io/Logging_0482/kartor_geotiff/A 11115-2026 georefererad karta.tif", "A 11115-2026")</f>
        <v/>
      </c>
      <c r="AA37">
        <f>HYPERLINK("https://klasma.github.io/Logging_0482/klagomål/A 11115-2026 FSC-klagomål.docx", "A 11115-2026")</f>
        <v/>
      </c>
      <c r="AB37">
        <f>HYPERLINK("https://klasma.github.io/Logging_0482/klagomålsmail/A 11115-2026 FSC-klagomål mail.docx", "A 11115-2026")</f>
        <v/>
      </c>
      <c r="AC37">
        <f>HYPERLINK("https://klasma.github.io/Logging_0482/tillsyn/A 11115-2026 tillsynsbegäran.docx", "A 11115-2026")</f>
        <v/>
      </c>
      <c r="AD37">
        <f>HYPERLINK("https://klasma.github.io/Logging_0482/tillsynsmail/A 11115-2026 tillsynsbegäran mail.docx", "A 11115-2026")</f>
        <v/>
      </c>
    </row>
    <row r="38" ht="15" customHeight="1">
      <c r="A38" t="inlineStr">
        <is>
          <t>A 21004-2025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46319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Ask
Parknål
Tallticka
Brun nållav</t>
        </is>
      </c>
      <c r="W38">
        <f>HYPERLINK("https://klasma.github.io/Logging_0482/artfynd/A 21004-2025 artfynd.xlsx", "A 21004-2025")</f>
        <v/>
      </c>
      <c r="X38">
        <f>HYPERLINK("https://klasma.github.io/Logging_0482/kartor/A 21004-2025 karta.png", "A 21004-2025")</f>
        <v/>
      </c>
      <c r="Y38">
        <f>HYPERLINK("https://klasma.github.io/Logging_0482/kartor_geotiff/A 21004-2025 georefererad karta.tif", "A 21004-2025")</f>
        <v/>
      </c>
      <c r="AA38">
        <f>HYPERLINK("https://klasma.github.io/Logging_0482/klagomål/A 21004-2025 FSC-klagomål.docx", "A 21004-2025")</f>
        <v/>
      </c>
      <c r="AB38">
        <f>HYPERLINK("https://klasma.github.io/Logging_0482/klagomålsmail/A 21004-2025 FSC-klagomål mail.docx", "A 21004-2025")</f>
        <v/>
      </c>
      <c r="AC38">
        <f>HYPERLINK("https://klasma.github.io/Logging_0482/tillsyn/A 21004-2025 tillsynsbegäran.docx", "A 21004-2025")</f>
        <v/>
      </c>
      <c r="AD38">
        <f>HYPERLINK("https://klasma.github.io/Logging_0482/tillsynsmail/A 21004-2025 tillsynsbegäran mail.docx", "A 21004-2025")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46319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46319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46319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46319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46319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24037-2022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44724</v>
      </c>
      <c r="E44" s="1" t="n">
        <v>46319</v>
      </c>
      <c r="F44" t="inlineStr">
        <is>
          <t>SÖDERMANLANDS LÄN</t>
        </is>
      </c>
      <c r="G44" t="inlineStr">
        <is>
          <t>FLEN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Kransmossa
Majbräken</t>
        </is>
      </c>
      <c r="W44">
        <f>HYPERLINK("https://klasma.github.io/Logging_0482/artfynd/A 24037-2022 artfynd.xlsx", "A 24037-2022")</f>
        <v/>
      </c>
      <c r="X44">
        <f>HYPERLINK("https://klasma.github.io/Logging_0482/kartor/A 24037-2022 karta.png", "A 24037-2022")</f>
        <v/>
      </c>
      <c r="Y44">
        <f>HYPERLINK("https://klasma.github.io/Logging_0482/kartor_geotiff/A 24037-2022 georefererad karta.tif", "A 24037-2022")</f>
        <v/>
      </c>
      <c r="AA44">
        <f>HYPERLINK("https://klasma.github.io/Logging_0482/klagomål/A 24037-2022 FSC-klagomål.docx", "A 24037-2022")</f>
        <v/>
      </c>
      <c r="AB44">
        <f>HYPERLINK("https://klasma.github.io/Logging_0482/klagomålsmail/A 24037-2022 FSC-klagomål mail.docx", "A 24037-2022")</f>
        <v/>
      </c>
      <c r="AC44">
        <f>HYPERLINK("https://klasma.github.io/Logging_0482/tillsyn/A 24037-2022 tillsynsbegäran.docx", "A 24037-2022")</f>
        <v/>
      </c>
      <c r="AD44">
        <f>HYPERLINK("https://klasma.github.io/Logging_0482/tillsynsmail/A 24037-2022 tillsynsbegäran mail.docx", "A 24037-2022")</f>
        <v/>
      </c>
    </row>
    <row r="45" ht="15" customHeight="1">
      <c r="A45" t="inlineStr">
        <is>
          <t>A 34985-2023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45142</v>
      </c>
      <c r="E45" s="1" t="n">
        <v>46319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2.8</v>
      </c>
      <c r="J45" t="n">
        <v>2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Grönpyrola
Revlummer</t>
        </is>
      </c>
      <c r="W45">
        <f>HYPERLINK("https://klasma.github.io/Logging_0482/artfynd/A 34985-2023 artfynd.xlsx", "A 34985-2023")</f>
        <v/>
      </c>
      <c r="X45">
        <f>HYPERLINK("https://klasma.github.io/Logging_0482/kartor/A 34985-2023 karta.png", "A 34985-2023")</f>
        <v/>
      </c>
      <c r="Y45">
        <f>HYPERLINK("https://klasma.github.io/Logging_0482/kartor_geotiff/A 34985-2023 georefererad karta.tif", "A 34985-2023")</f>
        <v/>
      </c>
      <c r="Z45">
        <f>HYPERLINK("https://klasma.github.io/Logging_0482/knärot/A 34985-2023 karta knärot.png", "A 34985-2023")</f>
        <v/>
      </c>
      <c r="AA45">
        <f>HYPERLINK("https://klasma.github.io/Logging_0482/klagomål/A 34985-2023 FSC-klagomål.docx", "A 34985-2023")</f>
        <v/>
      </c>
      <c r="AB45">
        <f>HYPERLINK("https://klasma.github.io/Logging_0482/klagomålsmail/A 34985-2023 FSC-klagomål mail.docx", "A 34985-2023")</f>
        <v/>
      </c>
      <c r="AC45">
        <f>HYPERLINK("https://klasma.github.io/Logging_0482/tillsyn/A 34985-2023 tillsynsbegäran.docx", "A 34985-2023")</f>
        <v/>
      </c>
      <c r="AD45">
        <f>HYPERLINK("https://klasma.github.io/Logging_0482/tillsynsmail/A 34985-2023 tillsynsbegäran mail.docx", "A 34985-2023")</f>
        <v/>
      </c>
    </row>
    <row r="46" ht="15" customHeight="1">
      <c r="A46" t="inlineStr">
        <is>
          <t>A 29895-2026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46319</v>
      </c>
      <c r="F46" t="inlineStr">
        <is>
          <t>SÖDERMANLANDS LÄN</t>
        </is>
      </c>
      <c r="G46" t="inlineStr">
        <is>
          <t>FLEN</t>
        </is>
      </c>
      <c r="I46" t="n">
        <v>0.7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Gullklöver
Svinrot
Revlummer</t>
        </is>
      </c>
      <c r="W46">
        <f>HYPERLINK("https://klasma.github.io/Logging_0482/artfynd/A 29895-2026 artfynd.xlsx", "A 29895-2026")</f>
        <v/>
      </c>
      <c r="X46">
        <f>HYPERLINK("https://klasma.github.io/Logging_0482/kartor/A 29895-2026 karta.png", "A 29895-2026")</f>
        <v/>
      </c>
      <c r="Y46">
        <f>HYPERLINK("https://klasma.github.io/Logging_0482/kartor_geotiff/A 29895-2026 georefererad karta.tif", "A 29895-2026")</f>
        <v/>
      </c>
      <c r="AA46">
        <f>HYPERLINK("https://klasma.github.io/Logging_0482/klagomål/A 29895-2026 FSC-klagomål.docx", "A 29895-2026")</f>
        <v/>
      </c>
      <c r="AB46">
        <f>HYPERLINK("https://klasma.github.io/Logging_0482/klagomålsmail/A 29895-2026 FSC-klagomål mail.docx", "A 29895-2026")</f>
        <v/>
      </c>
      <c r="AC46">
        <f>HYPERLINK("https://klasma.github.io/Logging_0482/tillsyn/A 29895-2026 tillsynsbegäran.docx", "A 29895-2026")</f>
        <v/>
      </c>
      <c r="AD46">
        <f>HYPERLINK("https://klasma.github.io/Logging_0482/tillsynsmail/A 29895-2026 tillsynsbegäran mail.docx", "A 29895-2026")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46319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46319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46319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22839-2025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45789</v>
      </c>
      <c r="E50" s="1" t="n">
        <v>46319</v>
      </c>
      <c r="F50" t="inlineStr">
        <is>
          <t>SÖDERMANLANDS LÄN</t>
        </is>
      </c>
      <c r="G50" t="inlineStr">
        <is>
          <t>FLEN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Blåsippa
Ekbräken
Missne</t>
        </is>
      </c>
      <c r="W50">
        <f>HYPERLINK("https://klasma.github.io/Logging_0482/artfynd/A 22839-2025 artfynd.xlsx", "A 22839-2025")</f>
        <v/>
      </c>
      <c r="X50">
        <f>HYPERLINK("https://klasma.github.io/Logging_0482/kartor/A 22839-2025 karta.png", "A 22839-2025")</f>
        <v/>
      </c>
      <c r="Y50">
        <f>HYPERLINK("https://klasma.github.io/Logging_0482/kartor_geotiff/A 22839-2025 georefererad karta.tif", "A 22839-2025")</f>
        <v/>
      </c>
      <c r="AA50">
        <f>HYPERLINK("https://klasma.github.io/Logging_0482/klagomål/A 22839-2025 FSC-klagomål.docx", "A 22839-2025")</f>
        <v/>
      </c>
      <c r="AB50">
        <f>HYPERLINK("https://klasma.github.io/Logging_0482/klagomålsmail/A 22839-2025 FSC-klagomål mail.docx", "A 22839-2025")</f>
        <v/>
      </c>
      <c r="AC50">
        <f>HYPERLINK("https://klasma.github.io/Logging_0482/tillsyn/A 22839-2025 tillsynsbegäran.docx", "A 22839-2025")</f>
        <v/>
      </c>
      <c r="AD50">
        <f>HYPERLINK("https://klasma.github.io/Logging_0482/tillsynsmail/A 22839-2025 tillsynsbegäran mail.docx", "A 22839-2025")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46319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46319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46319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46319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31238-2022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44771</v>
      </c>
      <c r="E55" s="1" t="n">
        <v>46319</v>
      </c>
      <c r="F55" t="inlineStr">
        <is>
          <t>SÖDERMANLANDS LÄN</t>
        </is>
      </c>
      <c r="G55" t="inlineStr">
        <is>
          <t>FLEN</t>
        </is>
      </c>
      <c r="I55" t="n">
        <v>7.5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Svedjenäva
Svinrot
Skogsbräsma</t>
        </is>
      </c>
      <c r="W55">
        <f>HYPERLINK("https://klasma.github.io/Logging_0482/artfynd/A 31238-2022 artfynd.xlsx", "A 31238-2022")</f>
        <v/>
      </c>
      <c r="X55">
        <f>HYPERLINK("https://klasma.github.io/Logging_0482/kartor/A 31238-2022 karta.png", "A 31238-2022")</f>
        <v/>
      </c>
      <c r="Y55">
        <f>HYPERLINK("https://klasma.github.io/Logging_0482/kartor_geotiff/A 31238-2022 georefererad karta.tif", "A 31238-2022")</f>
        <v/>
      </c>
      <c r="AA55">
        <f>HYPERLINK("https://klasma.github.io/Logging_0482/klagomål/A 31238-2022 FSC-klagomål.docx", "A 31238-2022")</f>
        <v/>
      </c>
      <c r="AB55">
        <f>HYPERLINK("https://klasma.github.io/Logging_0482/klagomålsmail/A 31238-2022 FSC-klagomål mail.docx", "A 31238-2022")</f>
        <v/>
      </c>
      <c r="AC55">
        <f>HYPERLINK("https://klasma.github.io/Logging_0482/tillsyn/A 31238-2022 tillsynsbegäran.docx", "A 31238-2022")</f>
        <v/>
      </c>
      <c r="AD55">
        <f>HYPERLINK("https://klasma.github.io/Logging_0482/tillsynsmail/A 31238-2022 tillsynsbegäran mail.docx", "A 31238-2022")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46319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S 4520-2023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45275</v>
      </c>
      <c r="E57" s="1" t="n">
        <v>46319</v>
      </c>
      <c r="F57" t="inlineStr">
        <is>
          <t>SÖDERMANLANDS LÄN</t>
        </is>
      </c>
      <c r="G57" t="inlineStr">
        <is>
          <t>FLEN</t>
        </is>
      </c>
      <c r="H57" t="inlineStr">
        <is>
          <t>Holmen skog AB</t>
        </is>
      </c>
      <c r="I57" t="n">
        <v>61.5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Motaggsvamp
Vedskivlav
Åttafläckig praktbagge</t>
        </is>
      </c>
      <c r="W57">
        <f>HYPERLINK("https://klasma.github.io/Logging_0482/artfynd/S 4520-2023 artfynd.xlsx", "S 4520-2023")</f>
        <v/>
      </c>
      <c r="X57">
        <f>HYPERLINK("https://klasma.github.io/Logging_0482/kartor/S 4520-2023 karta.png", "S 4520-2023")</f>
        <v/>
      </c>
      <c r="Y57">
        <f>HYPERLINK("https://klasma.github.io/Logging_0482/kartor_geotiff/S 4520-2023 georefererad karta.tif", "S 4520-2023")</f>
        <v/>
      </c>
      <c r="Z57">
        <f>HYPERLINK("https://klasma.github.io/Logging_0482/knärot/S 4520-2023 karta knärot.png", "S 4520-2023")</f>
        <v/>
      </c>
      <c r="AA57">
        <f>HYPERLINK("https://klasma.github.io/Logging_0482/klagomål/S 4520-2023 FSC-klagomål.docx", "S 4520-2023")</f>
        <v/>
      </c>
      <c r="AB57">
        <f>HYPERLINK("https://klasma.github.io/Logging_0482/klagomålsmail/S 4520-2023 FSC-klagomål mail.docx", "S 4520-2023")</f>
        <v/>
      </c>
      <c r="AC57">
        <f>HYPERLINK("https://klasma.github.io/Logging_0482/tillsyn/S 4520-2023 tillsynsbegäran.docx", "S 4520-2023")</f>
        <v/>
      </c>
      <c r="AD57">
        <f>HYPERLINK("https://klasma.github.io/Logging_0482/tillsynsmail/S 4520-2023 tillsynsbegäran mail.docx", "S 4520-2023")</f>
        <v/>
      </c>
    </row>
    <row r="58" ht="15" customHeight="1">
      <c r="A58" t="inlineStr">
        <is>
          <t>S 5380-2022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44830</v>
      </c>
      <c r="E58" s="1" t="n">
        <v>46319</v>
      </c>
      <c r="F58" t="inlineStr">
        <is>
          <t>SÖDERMANLANDS LÄN</t>
        </is>
      </c>
      <c r="G58" t="inlineStr">
        <is>
          <t>FLEN</t>
        </is>
      </c>
      <c r="I58" t="n">
        <v>9.300000000000001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3</v>
      </c>
      <c r="V58" s="2" t="inlineStr">
        <is>
          <t>Lunglav
Svinrot
Blåsippa</t>
        </is>
      </c>
      <c r="W58">
        <f>HYPERLINK("https://klasma.github.io/Logging_0482/artfynd/S 5380-2022 artfynd.xlsx", "S 5380-2022")</f>
        <v/>
      </c>
      <c r="X58">
        <f>HYPERLINK("https://klasma.github.io/Logging_0482/kartor/S 5380-2022 karta.png", "S 5380-2022")</f>
        <v/>
      </c>
      <c r="Y58">
        <f>HYPERLINK("https://klasma.github.io/Logging_0482/kartor_geotiff/S 5380-2022 georefererad karta.tif", "S 5380-2022")</f>
        <v/>
      </c>
      <c r="AA58">
        <f>HYPERLINK("https://klasma.github.io/Logging_0482/klagomål/S 5380-2022 FSC-klagomål.docx", "S 5380-2022")</f>
        <v/>
      </c>
      <c r="AB58">
        <f>HYPERLINK("https://klasma.github.io/Logging_0482/klagomålsmail/S 5380-2022 FSC-klagomål mail.docx", "S 5380-2022")</f>
        <v/>
      </c>
      <c r="AC58">
        <f>HYPERLINK("https://klasma.github.io/Logging_0482/tillsyn/S 5380-2022 tillsynsbegäran.docx", "S 5380-2022")</f>
        <v/>
      </c>
      <c r="AD58">
        <f>HYPERLINK("https://klasma.github.io/Logging_0482/tillsynsmail/S 5380-2022 tillsynsbegäran mail.docx", "S 5380-2022")</f>
        <v/>
      </c>
    </row>
    <row r="59" ht="15" customHeight="1">
      <c r="A59" t="inlineStr">
        <is>
          <t>S 3319-2024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45530</v>
      </c>
      <c r="E59" s="1" t="n">
        <v>46319</v>
      </c>
      <c r="F59" t="inlineStr">
        <is>
          <t>SÖDERMANLANDS LÄN</t>
        </is>
      </c>
      <c r="G59" t="inlineStr">
        <is>
          <t>FLEN</t>
        </is>
      </c>
      <c r="I59" t="n">
        <v>0.2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Skogsklocka
Svinrot
Blåsippa</t>
        </is>
      </c>
      <c r="W59">
        <f>HYPERLINK("https://klasma.github.io/Logging_0482/artfynd/S 3319-2024 artfynd.xlsx", "S 3319-2024")</f>
        <v/>
      </c>
      <c r="X59">
        <f>HYPERLINK("https://klasma.github.io/Logging_0482/kartor/S 3319-2024 karta.png", "S 3319-2024")</f>
        <v/>
      </c>
      <c r="Y59">
        <f>HYPERLINK("https://klasma.github.io/Logging_0482/kartor_geotiff/S 3319-2024 georefererad karta.tif", "S 3319-2024")</f>
        <v/>
      </c>
      <c r="AA59">
        <f>HYPERLINK("https://klasma.github.io/Logging_0482/klagomål/S 3319-2024 FSC-klagomål.docx", "S 3319-2024")</f>
        <v/>
      </c>
      <c r="AB59">
        <f>HYPERLINK("https://klasma.github.io/Logging_0482/klagomålsmail/S 3319-2024 FSC-klagomål mail.docx", "S 3319-2024")</f>
        <v/>
      </c>
      <c r="AC59">
        <f>HYPERLINK("https://klasma.github.io/Logging_0482/tillsyn/S 3319-2024 tillsynsbegäran.docx", "S 3319-2024")</f>
        <v/>
      </c>
      <c r="AD59">
        <f>HYPERLINK("https://klasma.github.io/Logging_0482/tillsynsmail/S 3319-2024 tillsynsbegäran mail.docx", "S 3319-2024")</f>
        <v/>
      </c>
    </row>
    <row r="60" ht="15" customHeight="1">
      <c r="A60" t="inlineStr">
        <is>
          <t>A 12303-2022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46319</v>
      </c>
      <c r="F60" t="inlineStr">
        <is>
          <t>SÖDERMANLANDS LÄN</t>
        </is>
      </c>
      <c r="G60" t="inlineStr">
        <is>
          <t>FLEN</t>
        </is>
      </c>
      <c r="I60" t="n">
        <v>1.4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Röd glada
Trädlärka</t>
        </is>
      </c>
      <c r="W60">
        <f>HYPERLINK("https://klasma.github.io/Logging_0482/artfynd/A 12303-2022 artfynd.xlsx", "A 12303-2022")</f>
        <v/>
      </c>
      <c r="X60">
        <f>HYPERLINK("https://klasma.github.io/Logging_0482/kartor/A 12303-2022 karta.png", "A 12303-2022")</f>
        <v/>
      </c>
      <c r="Y60">
        <f>HYPERLINK("https://klasma.github.io/Logging_0482/kartor_geotiff/A 12303-2022 georefererad karta.tif", "A 12303-2022")</f>
        <v/>
      </c>
      <c r="AA60">
        <f>HYPERLINK("https://klasma.github.io/Logging_0482/klagomål/A 12303-2022 FSC-klagomål.docx", "A 12303-2022")</f>
        <v/>
      </c>
      <c r="AB60">
        <f>HYPERLINK("https://klasma.github.io/Logging_0482/klagomålsmail/A 12303-2022 FSC-klagomål mail.docx", "A 12303-2022")</f>
        <v/>
      </c>
      <c r="AC60">
        <f>HYPERLINK("https://klasma.github.io/Logging_0482/tillsyn/A 12303-2022 tillsynsbegäran.docx", "A 12303-2022")</f>
        <v/>
      </c>
      <c r="AD60">
        <f>HYPERLINK("https://klasma.github.io/Logging_0482/tillsynsmail/A 12303-2022 tillsynsbegäran mail.docx", "A 12303-2022")</f>
        <v/>
      </c>
      <c r="AE60">
        <f>HYPERLINK("https://klasma.github.io/Logging_0482/fåglar/A 12303-2022 prioriterade fågelarter.docx", "A 12303-2022")</f>
        <v/>
      </c>
    </row>
    <row r="61" ht="15" customHeight="1">
      <c r="A61" t="inlineStr">
        <is>
          <t>A 10789-2022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46319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Bombmurkla
Blåmossa</t>
        </is>
      </c>
      <c r="W61">
        <f>HYPERLINK("https://klasma.github.io/Logging_0482/artfynd/A 10789-2022 artfynd.xlsx", "A 10789-2022")</f>
        <v/>
      </c>
      <c r="X61">
        <f>HYPERLINK("https://klasma.github.io/Logging_0482/kartor/A 10789-2022 karta.png", "A 10789-2022")</f>
        <v/>
      </c>
      <c r="Y61">
        <f>HYPERLINK("https://klasma.github.io/Logging_0482/kartor_geotiff/A 10789-2022 georefererad karta.tif", "A 10789-2022")</f>
        <v/>
      </c>
      <c r="AA61">
        <f>HYPERLINK("https://klasma.github.io/Logging_0482/klagomål/A 10789-2022 FSC-klagomål.docx", "A 10789-2022")</f>
        <v/>
      </c>
      <c r="AB61">
        <f>HYPERLINK("https://klasma.github.io/Logging_0482/klagomålsmail/A 10789-2022 FSC-klagomål mail.docx", "A 10789-2022")</f>
        <v/>
      </c>
      <c r="AC61">
        <f>HYPERLINK("https://klasma.github.io/Logging_0482/tillsyn/A 10789-2022 tillsynsbegäran.docx", "A 10789-2022")</f>
        <v/>
      </c>
      <c r="AD61">
        <f>HYPERLINK("https://klasma.github.io/Logging_0482/tillsynsmail/A 10789-2022 tillsynsbegäran mail.docx", "A 10789-2022")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46319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50215-2022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46319</v>
      </c>
      <c r="F63" t="inlineStr">
        <is>
          <t>SÖDERMANLANDS LÄN</t>
        </is>
      </c>
      <c r="G63" t="inlineStr">
        <is>
          <t>FLEN</t>
        </is>
      </c>
      <c r="H63" t="inlineStr">
        <is>
          <t>Kyrkan</t>
        </is>
      </c>
      <c r="I63" t="n">
        <v>2.2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Äkta lopplummer</t>
        </is>
      </c>
      <c r="W63">
        <f>HYPERLINK("https://klasma.github.io/Logging_0482/artfynd/A 50215-2022 artfynd.xlsx", "A 50215-2022")</f>
        <v/>
      </c>
      <c r="X63">
        <f>HYPERLINK("https://klasma.github.io/Logging_0482/kartor/A 50215-2022 karta.png", "A 50215-2022")</f>
        <v/>
      </c>
      <c r="Y63">
        <f>HYPERLINK("https://klasma.github.io/Logging_0482/kartor_geotiff/A 50215-2022 georefererad karta.tif", "A 50215-2022")</f>
        <v/>
      </c>
      <c r="Z63">
        <f>HYPERLINK("https://klasma.github.io/Logging_0482/knärot/A 50215-2022 karta knärot.png", "A 50215-2022")</f>
        <v/>
      </c>
      <c r="AA63">
        <f>HYPERLINK("https://klasma.github.io/Logging_0482/klagomål/A 50215-2022 FSC-klagomål.docx", "A 50215-2022")</f>
        <v/>
      </c>
      <c r="AB63">
        <f>HYPERLINK("https://klasma.github.io/Logging_0482/klagomålsmail/A 50215-2022 FSC-klagomål mail.docx", "A 50215-2022")</f>
        <v/>
      </c>
      <c r="AC63">
        <f>HYPERLINK("https://klasma.github.io/Logging_0482/tillsyn/A 50215-2022 tillsynsbegäran.docx", "A 50215-2022")</f>
        <v/>
      </c>
      <c r="AD63">
        <f>HYPERLINK("https://klasma.github.io/Logging_0482/tillsynsmail/A 50215-2022 tillsynsbegäran mail.docx", "A 50215-2022")</f>
        <v/>
      </c>
    </row>
    <row r="64" ht="15" customHeight="1">
      <c r="A64" t="inlineStr">
        <is>
          <t>A 15452-2024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46319</v>
      </c>
      <c r="F64" t="inlineStr">
        <is>
          <t>SÖDERMANLANDS LÄN</t>
        </is>
      </c>
      <c r="G64" t="inlineStr">
        <is>
          <t>FLEN</t>
        </is>
      </c>
      <c r="I64" t="n">
        <v>3.5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Svinrot
Älg</t>
        </is>
      </c>
      <c r="W64">
        <f>HYPERLINK("https://klasma.github.io/Logging_0482/artfynd/A 15452-2024 artfynd.xlsx", "A 15452-2024")</f>
        <v/>
      </c>
      <c r="X64">
        <f>HYPERLINK("https://klasma.github.io/Logging_0482/kartor/A 15452-2024 karta.png", "A 15452-2024")</f>
        <v/>
      </c>
      <c r="Y64">
        <f>HYPERLINK("https://klasma.github.io/Logging_0482/kartor_geotiff/A 15452-2024 georefererad karta.tif", "A 15452-2024")</f>
        <v/>
      </c>
      <c r="AA64">
        <f>HYPERLINK("https://klasma.github.io/Logging_0482/klagomål/A 15452-2024 FSC-klagomål.docx", "A 15452-2024")</f>
        <v/>
      </c>
      <c r="AB64">
        <f>HYPERLINK("https://klasma.github.io/Logging_0482/klagomålsmail/A 15452-2024 FSC-klagomål mail.docx", "A 15452-2024")</f>
        <v/>
      </c>
      <c r="AC64">
        <f>HYPERLINK("https://klasma.github.io/Logging_0482/tillsyn/A 15452-2024 tillsynsbegäran.docx", "A 15452-2024")</f>
        <v/>
      </c>
      <c r="AD64">
        <f>HYPERLINK("https://klasma.github.io/Logging_0482/tillsynsmail/A 15452-2024 tillsynsbegäran mail.docx", "A 15452-2024")</f>
        <v/>
      </c>
    </row>
    <row r="65" ht="15" customHeight="1">
      <c r="A65" t="inlineStr">
        <is>
          <t>A 33107-2022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46319</v>
      </c>
      <c r="F65" t="inlineStr">
        <is>
          <t>SÖDERMANLANDS LÄN</t>
        </is>
      </c>
      <c r="G65" t="inlineStr">
        <is>
          <t>FLEN</t>
        </is>
      </c>
      <c r="I65" t="n">
        <v>5.9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Fjällig taggsvamp s.str.
Gullklöver</t>
        </is>
      </c>
      <c r="W65">
        <f>HYPERLINK("https://klasma.github.io/Logging_0482/artfynd/A 33107-2022 artfynd.xlsx", "A 33107-2022")</f>
        <v/>
      </c>
      <c r="X65">
        <f>HYPERLINK("https://klasma.github.io/Logging_0482/kartor/A 33107-2022 karta.png", "A 33107-2022")</f>
        <v/>
      </c>
      <c r="Y65">
        <f>HYPERLINK("https://klasma.github.io/Logging_0482/kartor_geotiff/A 33107-2022 georefererad karta.tif", "A 33107-2022")</f>
        <v/>
      </c>
      <c r="AA65">
        <f>HYPERLINK("https://klasma.github.io/Logging_0482/klagomål/A 33107-2022 FSC-klagomål.docx", "A 33107-2022")</f>
        <v/>
      </c>
      <c r="AB65">
        <f>HYPERLINK("https://klasma.github.io/Logging_0482/klagomålsmail/A 33107-2022 FSC-klagomål mail.docx", "A 33107-2022")</f>
        <v/>
      </c>
      <c r="AC65">
        <f>HYPERLINK("https://klasma.github.io/Logging_0482/tillsyn/A 33107-2022 tillsynsbegäran.docx", "A 33107-2022")</f>
        <v/>
      </c>
      <c r="AD65">
        <f>HYPERLINK("https://klasma.github.io/Logging_0482/tillsynsmail/A 33107-2022 tillsynsbegäran mail.docx", "A 33107-2022")</f>
        <v/>
      </c>
    </row>
    <row r="66" ht="15" customHeight="1">
      <c r="A66" t="inlineStr">
        <is>
          <t>A 11103-2023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46319</v>
      </c>
      <c r="F66" t="inlineStr">
        <is>
          <t>SÖDERMANLANDS LÄN</t>
        </is>
      </c>
      <c r="G66" t="inlineStr">
        <is>
          <t>FLEN</t>
        </is>
      </c>
      <c r="I66" t="n">
        <v>8.9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Blåmossa</t>
        </is>
      </c>
      <c r="W66">
        <f>HYPERLINK("https://klasma.github.io/Logging_0482/artfynd/A 11103-2023 artfynd.xlsx", "A 11103-2023")</f>
        <v/>
      </c>
      <c r="X66">
        <f>HYPERLINK("https://klasma.github.io/Logging_0482/kartor/A 11103-2023 karta.png", "A 11103-2023")</f>
        <v/>
      </c>
      <c r="Y66">
        <f>HYPERLINK("https://klasma.github.io/Logging_0482/kartor_geotiff/A 11103-2023 georefererad karta.tif", "A 11103-2023")</f>
        <v/>
      </c>
      <c r="AA66">
        <f>HYPERLINK("https://klasma.github.io/Logging_0482/klagomål/A 11103-2023 FSC-klagomål.docx", "A 11103-2023")</f>
        <v/>
      </c>
      <c r="AB66">
        <f>HYPERLINK("https://klasma.github.io/Logging_0482/klagomålsmail/A 11103-2023 FSC-klagomål mail.docx", "A 11103-2023")</f>
        <v/>
      </c>
      <c r="AC66">
        <f>HYPERLINK("https://klasma.github.io/Logging_0482/tillsyn/A 11103-2023 tillsynsbegäran.docx", "A 11103-2023")</f>
        <v/>
      </c>
      <c r="AD66">
        <f>HYPERLINK("https://klasma.github.io/Logging_0482/tillsynsmail/A 11103-2023 tillsynsbegäran mail.docx", "A 11103-2023")</f>
        <v/>
      </c>
    </row>
    <row r="67" ht="15" customHeight="1">
      <c r="A67" t="inlineStr">
        <is>
          <t>A 32744-2025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45838</v>
      </c>
      <c r="E67" s="1" t="n">
        <v>46319</v>
      </c>
      <c r="F67" t="inlineStr">
        <is>
          <t>SÖDERMANLANDS LÄN</t>
        </is>
      </c>
      <c r="G67" t="inlineStr">
        <is>
          <t>FLEN</t>
        </is>
      </c>
      <c r="I67" t="n">
        <v>1.8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Ekticka
Klasefibbla</t>
        </is>
      </c>
      <c r="W67">
        <f>HYPERLINK("https://klasma.github.io/Logging_0482/artfynd/A 32744-2025 artfynd.xlsx", "A 32744-2025")</f>
        <v/>
      </c>
      <c r="X67">
        <f>HYPERLINK("https://klasma.github.io/Logging_0482/kartor/A 32744-2025 karta.png", "A 32744-2025")</f>
        <v/>
      </c>
      <c r="Y67">
        <f>HYPERLINK("https://klasma.github.io/Logging_0482/kartor_geotiff/A 32744-2025 georefererad karta.tif", "A 32744-2025")</f>
        <v/>
      </c>
      <c r="AA67">
        <f>HYPERLINK("https://klasma.github.io/Logging_0482/klagomål/A 32744-2025 FSC-klagomål.docx", "A 32744-2025")</f>
        <v/>
      </c>
      <c r="AB67">
        <f>HYPERLINK("https://klasma.github.io/Logging_0482/klagomålsmail/A 32744-2025 FSC-klagomål mail.docx", "A 32744-2025")</f>
        <v/>
      </c>
      <c r="AC67">
        <f>HYPERLINK("https://klasma.github.io/Logging_0482/tillsyn/A 32744-2025 tillsynsbegäran.docx", "A 32744-2025")</f>
        <v/>
      </c>
      <c r="AD67">
        <f>HYPERLINK("https://klasma.github.io/Logging_0482/tillsynsmail/A 32744-2025 tillsynsbegäran mail.docx", "A 32744-2025")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46319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46319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22511-2026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46319</v>
      </c>
      <c r="F70" t="inlineStr">
        <is>
          <t>SÖDERMANLANDS LÄN</t>
        </is>
      </c>
      <c r="G70" t="inlineStr">
        <is>
          <t>FLEN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Ormbär
Skriftlav</t>
        </is>
      </c>
      <c r="W70">
        <f>HYPERLINK("https://klasma.github.io/Logging_0482/artfynd/A 22511-2026 artfynd.xlsx", "A 22511-2026")</f>
        <v/>
      </c>
      <c r="X70">
        <f>HYPERLINK("https://klasma.github.io/Logging_0482/kartor/A 22511-2026 karta.png", "A 22511-2026")</f>
        <v/>
      </c>
      <c r="Y70">
        <f>HYPERLINK("https://klasma.github.io/Logging_0482/kartor_geotiff/A 22511-2026 georefererad karta.tif", "A 22511-2026")</f>
        <v/>
      </c>
      <c r="AA70">
        <f>HYPERLINK("https://klasma.github.io/Logging_0482/klagomål/A 22511-2026 FSC-klagomål.docx", "A 22511-2026")</f>
        <v/>
      </c>
      <c r="AB70">
        <f>HYPERLINK("https://klasma.github.io/Logging_0482/klagomålsmail/A 22511-2026 FSC-klagomål mail.docx", "A 22511-2026")</f>
        <v/>
      </c>
      <c r="AC70">
        <f>HYPERLINK("https://klasma.github.io/Logging_0482/tillsyn/A 22511-2026 tillsynsbegäran.docx", "A 22511-2026")</f>
        <v/>
      </c>
      <c r="AD70">
        <f>HYPERLINK("https://klasma.github.io/Logging_0482/tillsynsmail/A 22511-2026 tillsynsbegäran mail.docx", "A 22511-2026")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46319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34849-2026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46319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Vedskivlav</t>
        </is>
      </c>
      <c r="W72">
        <f>HYPERLINK("https://klasma.github.io/Logging_0482/artfynd/A 34849-2026 artfynd.xlsx", "A 34849-2026")</f>
        <v/>
      </c>
      <c r="X72">
        <f>HYPERLINK("https://klasma.github.io/Logging_0482/kartor/A 34849-2026 karta.png", "A 34849-2026")</f>
        <v/>
      </c>
      <c r="Y72">
        <f>HYPERLINK("https://klasma.github.io/Logging_0482/kartor_geotiff/A 34849-2026 georefererad karta.tif", "A 34849-2026")</f>
        <v/>
      </c>
      <c r="AA72">
        <f>HYPERLINK("https://klasma.github.io/Logging_0482/klagomål/A 34849-2026 FSC-klagomål.docx", "A 34849-2026")</f>
        <v/>
      </c>
      <c r="AB72">
        <f>HYPERLINK("https://klasma.github.io/Logging_0482/klagomålsmail/A 34849-2026 FSC-klagomål mail.docx", "A 34849-2026")</f>
        <v/>
      </c>
      <c r="AC72">
        <f>HYPERLINK("https://klasma.github.io/Logging_0482/tillsyn/A 34849-2026 tillsynsbegäran.docx", "A 34849-2026")</f>
        <v/>
      </c>
      <c r="AD72">
        <f>HYPERLINK("https://klasma.github.io/Logging_0482/tillsynsmail/A 34849-2026 tillsynsbegäran mail.docx", "A 34849-2026")</f>
        <v/>
      </c>
    </row>
    <row r="73" ht="15" customHeight="1">
      <c r="A73" t="inlineStr">
        <is>
          <t>A 49816-2023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46319</v>
      </c>
      <c r="F73" t="inlineStr">
        <is>
          <t>SÖDERMANLANDS LÄN</t>
        </is>
      </c>
      <c r="G73" t="inlineStr">
        <is>
          <t>FLEN</t>
        </is>
      </c>
      <c r="I73" t="n">
        <v>4.6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Reliktbock
Tallticka</t>
        </is>
      </c>
      <c r="W73">
        <f>HYPERLINK("https://klasma.github.io/Logging_0482/artfynd/A 49816-2023 artfynd.xlsx", "A 49816-2023")</f>
        <v/>
      </c>
      <c r="X73">
        <f>HYPERLINK("https://klasma.github.io/Logging_0482/kartor/A 49816-2023 karta.png", "A 49816-2023")</f>
        <v/>
      </c>
      <c r="Y73">
        <f>HYPERLINK("https://klasma.github.io/Logging_0482/kartor_geotiff/A 49816-2023 georefererad karta.tif", "A 49816-2023")</f>
        <v/>
      </c>
      <c r="AA73">
        <f>HYPERLINK("https://klasma.github.io/Logging_0482/klagomål/A 49816-2023 FSC-klagomål.docx", "A 49816-2023")</f>
        <v/>
      </c>
      <c r="AB73">
        <f>HYPERLINK("https://klasma.github.io/Logging_0482/klagomålsmail/A 49816-2023 FSC-klagomål mail.docx", "A 49816-2023")</f>
        <v/>
      </c>
      <c r="AC73">
        <f>HYPERLINK("https://klasma.github.io/Logging_0482/tillsyn/A 49816-2023 tillsynsbegäran.docx", "A 49816-2023")</f>
        <v/>
      </c>
      <c r="AD73">
        <f>HYPERLINK("https://klasma.github.io/Logging_0482/tillsynsmail/A 49816-2023 tillsynsbegäran mail.docx", "A 49816-2023")</f>
        <v/>
      </c>
    </row>
    <row r="74" ht="15" customHeight="1">
      <c r="A74" t="inlineStr">
        <is>
          <t>A 52858-2023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46319</v>
      </c>
      <c r="F74" t="inlineStr">
        <is>
          <t>SÖDERMANLANDS LÄN</t>
        </is>
      </c>
      <c r="G74" t="inlineStr">
        <is>
          <t>FLEN</t>
        </is>
      </c>
      <c r="I74" t="n">
        <v>3.6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1</v>
      </c>
      <c r="V74" s="2" t="inlineStr">
        <is>
          <t>Mindre hackspett
Tallticka</t>
        </is>
      </c>
      <c r="W74">
        <f>HYPERLINK("https://klasma.github.io/Logging_0482/artfynd/A 52858-2023 artfynd.xlsx", "A 52858-2023")</f>
        <v/>
      </c>
      <c r="X74">
        <f>HYPERLINK("https://klasma.github.io/Logging_0482/kartor/A 52858-2023 karta.png", "A 52858-2023")</f>
        <v/>
      </c>
      <c r="Y74">
        <f>HYPERLINK("https://klasma.github.io/Logging_0482/kartor_geotiff/A 52858-2023 georefererad karta.tif", "A 52858-2023")</f>
        <v/>
      </c>
      <c r="AA74">
        <f>HYPERLINK("https://klasma.github.io/Logging_0482/klagomål/A 52858-2023 FSC-klagomål.docx", "A 52858-2023")</f>
        <v/>
      </c>
      <c r="AB74">
        <f>HYPERLINK("https://klasma.github.io/Logging_0482/klagomålsmail/A 52858-2023 FSC-klagomål mail.docx", "A 52858-2023")</f>
        <v/>
      </c>
      <c r="AC74">
        <f>HYPERLINK("https://klasma.github.io/Logging_0482/tillsyn/A 52858-2023 tillsynsbegäran.docx", "A 52858-2023")</f>
        <v/>
      </c>
      <c r="AD74">
        <f>HYPERLINK("https://klasma.github.io/Logging_0482/tillsynsmail/A 52858-2023 tillsynsbegäran mail.docx", "A 52858-2023")</f>
        <v/>
      </c>
      <c r="AE74">
        <f>HYPERLINK("https://klasma.github.io/Logging_0482/fåglar/A 52858-2023 prioriterade fågelarter.docx", "A 52858-2023")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46319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46319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46319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46319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46319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46319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46319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10825-2022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46319</v>
      </c>
      <c r="F82" t="inlineStr">
        <is>
          <t>SÖDERMANLANDS LÄN</t>
        </is>
      </c>
      <c r="G82" t="inlineStr">
        <is>
          <t>FLEN</t>
        </is>
      </c>
      <c r="I82" t="n">
        <v>4.7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Vanlig backsmörblomma</t>
        </is>
      </c>
      <c r="W82">
        <f>HYPERLINK("https://klasma.github.io/Logging_0482/artfynd/A 10825-2022 artfynd.xlsx", "A 10825-2022")</f>
        <v/>
      </c>
      <c r="X82">
        <f>HYPERLINK("https://klasma.github.io/Logging_0482/kartor/A 10825-2022 karta.png", "A 10825-2022")</f>
        <v/>
      </c>
      <c r="Y82">
        <f>HYPERLINK("https://klasma.github.io/Logging_0482/kartor_geotiff/A 10825-2022 georefererad karta.tif", "A 10825-2022")</f>
        <v/>
      </c>
      <c r="AA82">
        <f>HYPERLINK("https://klasma.github.io/Logging_0482/klagomål/A 10825-2022 FSC-klagomål.docx", "A 10825-2022")</f>
        <v/>
      </c>
      <c r="AB82">
        <f>HYPERLINK("https://klasma.github.io/Logging_0482/klagomålsmail/A 10825-2022 FSC-klagomål mail.docx", "A 10825-2022")</f>
        <v/>
      </c>
      <c r="AC82">
        <f>HYPERLINK("https://klasma.github.io/Logging_0482/tillsyn/A 10825-2022 tillsynsbegäran.docx", "A 10825-2022")</f>
        <v/>
      </c>
      <c r="AD82">
        <f>HYPERLINK("https://klasma.github.io/Logging_0482/tillsynsmail/A 10825-2022 tillsynsbegäran mail.docx", "A 10825-2022")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46319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46319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46319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46319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46319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46319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46319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46987-2024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46319</v>
      </c>
      <c r="F90" t="inlineStr">
        <is>
          <t>SÖDERMANLANDS LÄN</t>
        </is>
      </c>
      <c r="G90" t="inlineStr">
        <is>
          <t>FLEN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HYPERLINK("https://klasma.github.io/Logging_0482/artfynd/A 46987-2024 artfynd.xlsx", "A 46987-2024")</f>
        <v/>
      </c>
      <c r="X90">
        <f>HYPERLINK("https://klasma.github.io/Logging_0482/kartor/A 46987-2024 karta.png", "A 46987-2024")</f>
        <v/>
      </c>
      <c r="Y90">
        <f>HYPERLINK("https://klasma.github.io/Logging_0482/kartor_geotiff/A 46987-2024 georefererad karta.tif", "A 46987-2024")</f>
        <v/>
      </c>
      <c r="AA90">
        <f>HYPERLINK("https://klasma.github.io/Logging_0482/klagomål/A 46987-2024 FSC-klagomål.docx", "A 46987-2024")</f>
        <v/>
      </c>
      <c r="AB90">
        <f>HYPERLINK("https://klasma.github.io/Logging_0482/klagomålsmail/A 46987-2024 FSC-klagomål mail.docx", "A 46987-2024")</f>
        <v/>
      </c>
      <c r="AC90">
        <f>HYPERLINK("https://klasma.github.io/Logging_0482/tillsyn/A 46987-2024 tillsynsbegäran.docx", "A 46987-2024")</f>
        <v/>
      </c>
      <c r="AD90">
        <f>HYPERLINK("https://klasma.github.io/Logging_0482/tillsynsmail/A 46987-2024 tillsynsbegäran mail.docx", "A 46987-2024")</f>
        <v/>
      </c>
    </row>
    <row r="91" ht="15" customHeight="1">
      <c r="A91" t="inlineStr">
        <is>
          <t>A 24179-2026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46319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HYPERLINK("https://klasma.github.io/Logging_0482/artfynd/A 24179-2026 artfynd.xlsx", "A 24179-2026")</f>
        <v/>
      </c>
      <c r="X91">
        <f>HYPERLINK("https://klasma.github.io/Logging_0482/kartor/A 24179-2026 karta.png", "A 24179-2026")</f>
        <v/>
      </c>
      <c r="Y91">
        <f>HYPERLINK("https://klasma.github.io/Logging_0482/kartor_geotiff/A 24179-2026 georefererad karta.tif", "A 24179-2026")</f>
        <v/>
      </c>
      <c r="AA91">
        <f>HYPERLINK("https://klasma.github.io/Logging_0482/klagomål/A 24179-2026 FSC-klagomål.docx", "A 24179-2026")</f>
        <v/>
      </c>
      <c r="AB91">
        <f>HYPERLINK("https://klasma.github.io/Logging_0482/klagomålsmail/A 24179-2026 FSC-klagomål mail.docx", "A 24179-2026")</f>
        <v/>
      </c>
      <c r="AC91">
        <f>HYPERLINK("https://klasma.github.io/Logging_0482/tillsyn/A 24179-2026 tillsynsbegäran.docx", "A 24179-2026")</f>
        <v/>
      </c>
      <c r="AD91">
        <f>HYPERLINK("https://klasma.github.io/Logging_0482/tillsynsmail/A 24179-2026 tillsynsbegäran mail.docx", "A 24179-2026")</f>
        <v/>
      </c>
    </row>
    <row r="92" ht="15" customHeight="1">
      <c r="A92" t="inlineStr">
        <is>
          <t>A 66230-2021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46319</v>
      </c>
      <c r="F92" t="inlineStr">
        <is>
          <t>SÖDERMANLANDS LÄN</t>
        </is>
      </c>
      <c r="G92" t="inlineStr">
        <is>
          <t>FLEN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66230-2021 artfynd.xlsx", "A 66230-2021")</f>
        <v/>
      </c>
      <c r="X92">
        <f>HYPERLINK("https://klasma.github.io/Logging_0482/kartor/A 66230-2021 karta.png", "A 66230-2021")</f>
        <v/>
      </c>
      <c r="Y92">
        <f>HYPERLINK("https://klasma.github.io/Logging_0482/kartor_geotiff/A 66230-2021 georefererad karta.tif", "A 66230-2021")</f>
        <v/>
      </c>
      <c r="AA92">
        <f>HYPERLINK("https://klasma.github.io/Logging_0482/klagomål/A 66230-2021 FSC-klagomål.docx", "A 66230-2021")</f>
        <v/>
      </c>
      <c r="AB92">
        <f>HYPERLINK("https://klasma.github.io/Logging_0482/klagomålsmail/A 66230-2021 FSC-klagomål mail.docx", "A 66230-2021")</f>
        <v/>
      </c>
      <c r="AC92">
        <f>HYPERLINK("https://klasma.github.io/Logging_0482/tillsyn/A 66230-2021 tillsynsbegäran.docx", "A 66230-2021")</f>
        <v/>
      </c>
      <c r="AD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45105</v>
      </c>
      <c r="E93" s="1" t="n">
        <v>46319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3.9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HYPERLINK("https://klasma.github.io/Logging_0482/artfynd/A 29195-2023 artfynd.xlsx", "A 29195-2023")</f>
        <v/>
      </c>
      <c r="X93">
        <f>HYPERLINK("https://klasma.github.io/Logging_0482/kartor/A 29195-2023 karta.png", "A 29195-2023")</f>
        <v/>
      </c>
      <c r="Y93">
        <f>HYPERLINK("https://klasma.github.io/Logging_0482/kartor_geotiff/A 29195-2023 georefererad karta.tif", "A 29195-2023")</f>
        <v/>
      </c>
      <c r="AA93">
        <f>HYPERLINK("https://klasma.github.io/Logging_0482/klagomål/A 29195-2023 FSC-klagomål.docx", "A 29195-2023")</f>
        <v/>
      </c>
      <c r="AB93">
        <f>HYPERLINK("https://klasma.github.io/Logging_0482/klagomålsmail/A 29195-2023 FSC-klagomål mail.docx", "A 29195-2023")</f>
        <v/>
      </c>
      <c r="AC93">
        <f>HYPERLINK("https://klasma.github.io/Logging_0482/tillsyn/A 29195-2023 tillsynsbegäran.docx", "A 29195-2023")</f>
        <v/>
      </c>
      <c r="AD93">
        <f>HYPERLINK("https://klasma.github.io/Logging_0482/tillsynsmail/A 29195-2023 tillsynsbegäran mail.docx", "A 29195-2023")</f>
        <v/>
      </c>
    </row>
    <row r="94" ht="15" customHeight="1">
      <c r="A94" t="inlineStr">
        <is>
          <t>A 47581-2025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46319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47581-2025 artfynd.xlsx", "A 47581-2025")</f>
        <v/>
      </c>
      <c r="X94">
        <f>HYPERLINK("https://klasma.github.io/Logging_0482/kartor/A 47581-2025 karta.png", "A 47581-2025")</f>
        <v/>
      </c>
      <c r="Y94">
        <f>HYPERLINK("https://klasma.github.io/Logging_0482/kartor_geotiff/A 47581-2025 georefererad karta.tif", "A 47581-2025")</f>
        <v/>
      </c>
      <c r="AA94">
        <f>HYPERLINK("https://klasma.github.io/Logging_0482/klagomål/A 47581-2025 FSC-klagomål.docx", "A 47581-2025")</f>
        <v/>
      </c>
      <c r="AB94">
        <f>HYPERLINK("https://klasma.github.io/Logging_0482/klagomålsmail/A 47581-2025 FSC-klagomål mail.docx", "A 47581-2025")</f>
        <v/>
      </c>
      <c r="AC94">
        <f>HYPERLINK("https://klasma.github.io/Logging_0482/tillsyn/A 47581-2025 tillsynsbegäran.docx", "A 47581-2025")</f>
        <v/>
      </c>
      <c r="AD94">
        <f>HYPERLINK("https://klasma.github.io/Logging_0482/tillsynsmail/A 47581-2025 tillsynsbegäran mail.docx", "A 47581-2025")</f>
        <v/>
      </c>
    </row>
    <row r="95" ht="15" customHeight="1">
      <c r="A95" t="inlineStr">
        <is>
          <t>A 34721-2023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46319</v>
      </c>
      <c r="F95" t="inlineStr">
        <is>
          <t>SÖDERMANLANDS LÄN</t>
        </is>
      </c>
      <c r="G95" t="inlineStr">
        <is>
          <t>FLEN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34721-2023 artfynd.xlsx", "A 34721-2023")</f>
        <v/>
      </c>
      <c r="X95">
        <f>HYPERLINK("https://klasma.github.io/Logging_0482/kartor/A 34721-2023 karta.png", "A 34721-2023")</f>
        <v/>
      </c>
      <c r="Y95">
        <f>HYPERLINK("https://klasma.github.io/Logging_0482/kartor_geotiff/A 34721-2023 georefererad karta.tif", "A 34721-2023")</f>
        <v/>
      </c>
      <c r="AA95">
        <f>HYPERLINK("https://klasma.github.io/Logging_0482/klagomål/A 34721-2023 FSC-klagomål.docx", "A 34721-2023")</f>
        <v/>
      </c>
      <c r="AB95">
        <f>HYPERLINK("https://klasma.github.io/Logging_0482/klagomålsmail/A 34721-2023 FSC-klagomål mail.docx", "A 34721-2023")</f>
        <v/>
      </c>
      <c r="AC95">
        <f>HYPERLINK("https://klasma.github.io/Logging_0482/tillsyn/A 34721-2023 tillsynsbegäran.docx", "A 34721-2023")</f>
        <v/>
      </c>
      <c r="AD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46319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1.3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HYPERLINK("https://klasma.github.io/Logging_0482/artfynd/A 60591-2022 artfynd.xlsx", "A 60591-2022")</f>
        <v/>
      </c>
      <c r="X96">
        <f>HYPERLINK("https://klasma.github.io/Logging_0482/kartor/A 60591-2022 karta.png", "A 60591-2022")</f>
        <v/>
      </c>
      <c r="Y96">
        <f>HYPERLINK("https://klasma.github.io/Logging_0482/kartor_geotiff/A 60591-2022 georefererad karta.tif", "A 60591-2022")</f>
        <v/>
      </c>
      <c r="AA96">
        <f>HYPERLINK("https://klasma.github.io/Logging_0482/klagomål/A 60591-2022 FSC-klagomål.docx", "A 60591-2022")</f>
        <v/>
      </c>
      <c r="AB96">
        <f>HYPERLINK("https://klasma.github.io/Logging_0482/klagomålsmail/A 60591-2022 FSC-klagomål mail.docx", "A 60591-2022")</f>
        <v/>
      </c>
      <c r="AC96">
        <f>HYPERLINK("https://klasma.github.io/Logging_0482/tillsyn/A 60591-2022 tillsynsbegäran.docx", "A 60591-2022")</f>
        <v/>
      </c>
      <c r="AD96">
        <f>HYPERLINK("https://klasma.github.io/Logging_0482/tillsynsmail/A 60591-2022 tillsynsbegäran mail.docx", "A 60591-2022")</f>
        <v/>
      </c>
    </row>
    <row r="97" ht="15" customHeight="1">
      <c r="A97" t="inlineStr">
        <is>
          <t>A 26310-2026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46319</v>
      </c>
      <c r="F97" t="inlineStr">
        <is>
          <t>SÖDERMANLANDS LÄN</t>
        </is>
      </c>
      <c r="G97" t="inlineStr">
        <is>
          <t>FLEN</t>
        </is>
      </c>
      <c r="I97" t="n">
        <v>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HYPERLINK("https://klasma.github.io/Logging_0482/artfynd/A 26310-2026 artfynd.xlsx", "A 26310-2026")</f>
        <v/>
      </c>
      <c r="X97">
        <f>HYPERLINK("https://klasma.github.io/Logging_0482/kartor/A 26310-2026 karta.png", "A 26310-2026")</f>
        <v/>
      </c>
      <c r="Y97">
        <f>HYPERLINK("https://klasma.github.io/Logging_0482/kartor_geotiff/A 26310-2026 georefererad karta.tif", "A 26310-2026")</f>
        <v/>
      </c>
      <c r="AA97">
        <f>HYPERLINK("https://klasma.github.io/Logging_0482/klagomål/A 26310-2026 FSC-klagomål.docx", "A 26310-2026")</f>
        <v/>
      </c>
      <c r="AB97">
        <f>HYPERLINK("https://klasma.github.io/Logging_0482/klagomålsmail/A 26310-2026 FSC-klagomål mail.docx", "A 26310-2026")</f>
        <v/>
      </c>
      <c r="AC97">
        <f>HYPERLINK("https://klasma.github.io/Logging_0482/tillsyn/A 26310-2026 tillsynsbegäran.docx", "A 26310-2026")</f>
        <v/>
      </c>
      <c r="AD97">
        <f>HYPERLINK("https://klasma.github.io/Logging_0482/tillsynsmail/A 26310-2026 tillsynsbegäran mail.docx", "A 26310-2026")</f>
        <v/>
      </c>
      <c r="AE97">
        <f>HYPERLINK("https://klasma.github.io/Logging_0482/fåglar/A 26310-2026 prioriterade fågelarter.docx", "A 26310-2026")</f>
        <v/>
      </c>
    </row>
    <row r="98" ht="15" customHeight="1">
      <c r="A98" t="inlineStr">
        <is>
          <t>A 26052-2026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46319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HYPERLINK("https://klasma.github.io/Logging_0482/artfynd/A 26052-2026 artfynd.xlsx", "A 26052-2026")</f>
        <v/>
      </c>
      <c r="X98">
        <f>HYPERLINK("https://klasma.github.io/Logging_0482/kartor/A 26052-2026 karta.png", "A 26052-2026")</f>
        <v/>
      </c>
      <c r="Y98">
        <f>HYPERLINK("https://klasma.github.io/Logging_0482/kartor_geotiff/A 26052-2026 georefererad karta.tif", "A 26052-2026")</f>
        <v/>
      </c>
      <c r="AA98">
        <f>HYPERLINK("https://klasma.github.io/Logging_0482/klagomål/A 26052-2026 FSC-klagomål.docx", "A 26052-2026")</f>
        <v/>
      </c>
      <c r="AB98">
        <f>HYPERLINK("https://klasma.github.io/Logging_0482/klagomålsmail/A 26052-2026 FSC-klagomål mail.docx", "A 26052-2026")</f>
        <v/>
      </c>
      <c r="AC98">
        <f>HYPERLINK("https://klasma.github.io/Logging_0482/tillsyn/A 26052-2026 tillsynsbegäran.docx", "A 26052-2026")</f>
        <v/>
      </c>
      <c r="AD98">
        <f>HYPERLINK("https://klasma.github.io/Logging_0482/tillsynsmail/A 26052-2026 tillsynsbegäran mail.docx", "A 26052-2026")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46319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46319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60529-2024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46319</v>
      </c>
      <c r="F101" t="inlineStr">
        <is>
          <t>SÖDERMANLANDS LÄN</t>
        </is>
      </c>
      <c r="G101" t="inlineStr">
        <is>
          <t>FLEN</t>
        </is>
      </c>
      <c r="I101" t="n">
        <v>2.5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Skarp dropptaggsvamp</t>
        </is>
      </c>
      <c r="W101">
        <f>HYPERLINK("https://klasma.github.io/Logging_0482/artfynd/A 60529-2024 artfynd.xlsx", "A 60529-2024")</f>
        <v/>
      </c>
      <c r="X101">
        <f>HYPERLINK("https://klasma.github.io/Logging_0482/kartor/A 60529-2024 karta.png", "A 60529-2024")</f>
        <v/>
      </c>
      <c r="Y101">
        <f>HYPERLINK("https://klasma.github.io/Logging_0482/kartor_geotiff/A 60529-2024 georefererad karta.tif", "A 60529-2024")</f>
        <v/>
      </c>
      <c r="AA101">
        <f>HYPERLINK("https://klasma.github.io/Logging_0482/klagomål/A 60529-2024 FSC-klagomål.docx", "A 60529-2024")</f>
        <v/>
      </c>
      <c r="AB101">
        <f>HYPERLINK("https://klasma.github.io/Logging_0482/klagomålsmail/A 60529-2024 FSC-klagomål mail.docx", "A 60529-2024")</f>
        <v/>
      </c>
      <c r="AC101">
        <f>HYPERLINK("https://klasma.github.io/Logging_0482/tillsyn/A 60529-2024 tillsynsbegäran.docx", "A 60529-2024")</f>
        <v/>
      </c>
      <c r="AD101">
        <f>HYPERLINK("https://klasma.github.io/Logging_0482/tillsynsmail/A 60529-2024 tillsynsbegäran mail.docx", "A 60529-2024")</f>
        <v/>
      </c>
    </row>
    <row r="102" ht="15" customHeight="1">
      <c r="A102" t="inlineStr">
        <is>
          <t>A 49820-2023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46319</v>
      </c>
      <c r="F102" t="inlineStr">
        <is>
          <t>SÖDERMANLANDS LÄN</t>
        </is>
      </c>
      <c r="G102" t="inlineStr">
        <is>
          <t>FLEN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Gullviva</t>
        </is>
      </c>
      <c r="W102">
        <f>HYPERLINK("https://klasma.github.io/Logging_0482/artfynd/A 49820-2023 artfynd.xlsx", "A 49820-2023")</f>
        <v/>
      </c>
      <c r="X102">
        <f>HYPERLINK("https://klasma.github.io/Logging_0482/kartor/A 49820-2023 karta.png", "A 49820-2023")</f>
        <v/>
      </c>
      <c r="Y102">
        <f>HYPERLINK("https://klasma.github.io/Logging_0482/kartor_geotiff/A 49820-2023 georefererad karta.tif", "A 49820-2023")</f>
        <v/>
      </c>
      <c r="AA102">
        <f>HYPERLINK("https://klasma.github.io/Logging_0482/klagomål/A 49820-2023 FSC-klagomål.docx", "A 49820-2023")</f>
        <v/>
      </c>
      <c r="AB102">
        <f>HYPERLINK("https://klasma.github.io/Logging_0482/klagomålsmail/A 49820-2023 FSC-klagomål mail.docx", "A 49820-2023")</f>
        <v/>
      </c>
      <c r="AC102">
        <f>HYPERLINK("https://klasma.github.io/Logging_0482/tillsyn/A 49820-2023 tillsynsbegäran.docx", "A 49820-2023")</f>
        <v/>
      </c>
      <c r="AD102">
        <f>HYPERLINK("https://klasma.github.io/Logging_0482/tillsynsmail/A 49820-2023 tillsynsbegäran mail.docx", "A 49820-2023")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46319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46319</v>
      </c>
      <c r="F104" t="inlineStr">
        <is>
          <t>SÖDERMANLANDS LÄN</t>
        </is>
      </c>
      <c r="G104" t="inlineStr">
        <is>
          <t>FLEN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Vippärt</t>
        </is>
      </c>
      <c r="W104">
        <f>HYPERLINK("https://klasma.github.io/Logging_0482/artfynd/A 7973-2024 artfynd.xlsx", "A 7973-2024")</f>
        <v/>
      </c>
      <c r="X104">
        <f>HYPERLINK("https://klasma.github.io/Logging_0482/kartor/A 7973-2024 karta.png", "A 7973-2024")</f>
        <v/>
      </c>
      <c r="Y104">
        <f>HYPERLINK("https://klasma.github.io/Logging_0482/kartor_geotiff/A 7973-2024 georefererad karta.tif", "A 7973-2024")</f>
        <v/>
      </c>
      <c r="AA104">
        <f>HYPERLINK("https://klasma.github.io/Logging_0482/klagomål/A 7973-2024 FSC-klagomål.docx", "A 7973-2024")</f>
        <v/>
      </c>
      <c r="AB104">
        <f>HYPERLINK("https://klasma.github.io/Logging_0482/klagomålsmail/A 7973-2024 FSC-klagomål mail.docx", "A 7973-2024")</f>
        <v/>
      </c>
      <c r="AC104">
        <f>HYPERLINK("https://klasma.github.io/Logging_0482/tillsyn/A 7973-2024 tillsynsbegäran.docx", "A 7973-2024")</f>
        <v/>
      </c>
      <c r="AD104">
        <f>HYPERLINK("https://klasma.github.io/Logging_0482/tillsynsmail/A 7973-2024 tillsynsbegäran mail.docx", "A 7973-2024")</f>
        <v/>
      </c>
    </row>
    <row r="105" ht="15" customHeight="1">
      <c r="A105" t="inlineStr">
        <is>
          <t>A 43008-2023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46319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Gullklöver</t>
        </is>
      </c>
      <c r="W105">
        <f>HYPERLINK("https://klasma.github.io/Logging_0482/artfynd/A 43008-2023 artfynd.xlsx", "A 43008-2023")</f>
        <v/>
      </c>
      <c r="X105">
        <f>HYPERLINK("https://klasma.github.io/Logging_0482/kartor/A 43008-2023 karta.png", "A 43008-2023")</f>
        <v/>
      </c>
      <c r="Y105">
        <f>HYPERLINK("https://klasma.github.io/Logging_0482/kartor_geotiff/A 43008-2023 georefererad karta.tif", "A 43008-2023")</f>
        <v/>
      </c>
      <c r="AA105">
        <f>HYPERLINK("https://klasma.github.io/Logging_0482/klagomål/A 43008-2023 FSC-klagomål.docx", "A 43008-2023")</f>
        <v/>
      </c>
      <c r="AB105">
        <f>HYPERLINK("https://klasma.github.io/Logging_0482/klagomålsmail/A 43008-2023 FSC-klagomål mail.docx", "A 43008-2023")</f>
        <v/>
      </c>
      <c r="AC105">
        <f>HYPERLINK("https://klasma.github.io/Logging_0482/tillsyn/A 43008-2023 tillsynsbegäran.docx", "A 43008-2023")</f>
        <v/>
      </c>
      <c r="AD105">
        <f>HYPERLINK("https://klasma.github.io/Logging_0482/tillsynsmail/A 43008-2023 tillsynsbegäran mail.docx", "A 43008-2023")</f>
        <v/>
      </c>
    </row>
    <row r="106" ht="15" customHeight="1">
      <c r="A106" t="inlineStr">
        <is>
          <t>A 30406-2026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46209</v>
      </c>
      <c r="E106" s="1" t="n">
        <v>46319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Ullticka</t>
        </is>
      </c>
      <c r="W106">
        <f>HYPERLINK("https://klasma.github.io/Logging_0482/artfynd/A 30406-2026 artfynd.xlsx", "A 30406-2026")</f>
        <v/>
      </c>
      <c r="X106">
        <f>HYPERLINK("https://klasma.github.io/Logging_0482/kartor/A 30406-2026 karta.png", "A 30406-2026")</f>
        <v/>
      </c>
      <c r="Y106">
        <f>HYPERLINK("https://klasma.github.io/Logging_0482/kartor_geotiff/A 30406-2026 georefererad karta.tif", "A 30406-2026")</f>
        <v/>
      </c>
      <c r="AA106">
        <f>HYPERLINK("https://klasma.github.io/Logging_0482/klagomål/A 30406-2026 FSC-klagomål.docx", "A 30406-2026")</f>
        <v/>
      </c>
      <c r="AB106">
        <f>HYPERLINK("https://klasma.github.io/Logging_0482/klagomålsmail/A 30406-2026 FSC-klagomål mail.docx", "A 30406-2026")</f>
        <v/>
      </c>
      <c r="AC106">
        <f>HYPERLINK("https://klasma.github.io/Logging_0482/tillsyn/A 30406-2026 tillsynsbegäran.docx", "A 30406-2026")</f>
        <v/>
      </c>
      <c r="AD106">
        <f>HYPERLINK("https://klasma.github.io/Logging_0482/tillsynsmail/A 30406-2026 tillsynsbegäran mail.docx", "A 30406-2026")</f>
        <v/>
      </c>
    </row>
    <row r="107" ht="15" customHeight="1">
      <c r="A107" t="inlineStr">
        <is>
          <t>A 37317-2023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45156</v>
      </c>
      <c r="E107" s="1" t="n">
        <v>46319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5.1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Svavelriska</t>
        </is>
      </c>
      <c r="W107">
        <f>HYPERLINK("https://klasma.github.io/Logging_0482/artfynd/A 37317-2023 artfynd.xlsx", "A 37317-2023")</f>
        <v/>
      </c>
      <c r="X107">
        <f>HYPERLINK("https://klasma.github.io/Logging_0482/kartor/A 37317-2023 karta.png", "A 37317-2023")</f>
        <v/>
      </c>
      <c r="Y107">
        <f>HYPERLINK("https://klasma.github.io/Logging_0482/kartor_geotiff/A 37317-2023 georefererad karta.tif", "A 37317-2023")</f>
        <v/>
      </c>
      <c r="AA107">
        <f>HYPERLINK("https://klasma.github.io/Logging_0482/klagomål/A 37317-2023 FSC-klagomål.docx", "A 37317-2023")</f>
        <v/>
      </c>
      <c r="AB107">
        <f>HYPERLINK("https://klasma.github.io/Logging_0482/klagomålsmail/A 37317-2023 FSC-klagomål mail.docx", "A 37317-2023")</f>
        <v/>
      </c>
      <c r="AC107">
        <f>HYPERLINK("https://klasma.github.io/Logging_0482/tillsyn/A 37317-2023 tillsynsbegäran.docx", "A 37317-2023")</f>
        <v/>
      </c>
      <c r="AD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46115-2023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46319</v>
      </c>
      <c r="F108" t="inlineStr">
        <is>
          <t>SÖDERMANLANDS LÄN</t>
        </is>
      </c>
      <c r="G108" t="inlineStr">
        <is>
          <t>FLEN</t>
        </is>
      </c>
      <c r="H108" t="inlineStr">
        <is>
          <t>Kyrkan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HYPERLINK("https://klasma.github.io/Logging_0482/artfynd/A 46115-2023 artfynd.xlsx", "A 46115-2023")</f>
        <v/>
      </c>
      <c r="X108">
        <f>HYPERLINK("https://klasma.github.io/Logging_0482/kartor/A 46115-2023 karta.png", "A 46115-2023")</f>
        <v/>
      </c>
      <c r="Y108">
        <f>HYPERLINK("https://klasma.github.io/Logging_0482/kartor_geotiff/A 46115-2023 georefererad karta.tif", "A 46115-2023")</f>
        <v/>
      </c>
      <c r="AA108">
        <f>HYPERLINK("https://klasma.github.io/Logging_0482/klagomål/A 46115-2023 FSC-klagomål.docx", "A 46115-2023")</f>
        <v/>
      </c>
      <c r="AB108">
        <f>HYPERLINK("https://klasma.github.io/Logging_0482/klagomålsmail/A 46115-2023 FSC-klagomål mail.docx", "A 46115-2023")</f>
        <v/>
      </c>
      <c r="AC108">
        <f>HYPERLINK("https://klasma.github.io/Logging_0482/tillsyn/A 46115-2023 tillsynsbegäran.docx", "A 46115-2023")</f>
        <v/>
      </c>
      <c r="AD108">
        <f>HYPERLINK("https://klasma.github.io/Logging_0482/tillsynsmail/A 46115-2023 tillsynsbegäran mail.docx", "A 46115-2023")</f>
        <v/>
      </c>
    </row>
    <row r="109" ht="15" customHeight="1">
      <c r="A109" t="inlineStr">
        <is>
          <t>A 56308-2024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46319</v>
      </c>
      <c r="F109" t="inlineStr">
        <is>
          <t>SÖDERMANLANDS LÄN</t>
        </is>
      </c>
      <c r="G109" t="inlineStr">
        <is>
          <t>FLEN</t>
        </is>
      </c>
      <c r="I109" t="n">
        <v>2.1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56308-2024 artfynd.xlsx", "A 56308-2024")</f>
        <v/>
      </c>
      <c r="X109">
        <f>HYPERLINK("https://klasma.github.io/Logging_0482/kartor/A 56308-2024 karta.png", "A 56308-2024")</f>
        <v/>
      </c>
      <c r="Y109">
        <f>HYPERLINK("https://klasma.github.io/Logging_0482/kartor_geotiff/A 56308-2024 georefererad karta.tif", "A 56308-2024")</f>
        <v/>
      </c>
      <c r="AA109">
        <f>HYPERLINK("https://klasma.github.io/Logging_0482/klagomål/A 56308-2024 FSC-klagomål.docx", "A 56308-2024")</f>
        <v/>
      </c>
      <c r="AB109">
        <f>HYPERLINK("https://klasma.github.io/Logging_0482/klagomålsmail/A 56308-2024 FSC-klagomål mail.docx", "A 56308-2024")</f>
        <v/>
      </c>
      <c r="AC109">
        <f>HYPERLINK("https://klasma.github.io/Logging_0482/tillsyn/A 56308-2024 tillsynsbegäran.docx", "A 56308-2024")</f>
        <v/>
      </c>
      <c r="AD109">
        <f>HYPERLINK("https://klasma.github.io/Logging_0482/tillsynsmail/A 56308-2024 tillsynsbegäran mail.docx", "A 56308-2024")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46319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46319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46319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6714-2026 artfynd.xlsx", "A 6714-2026")</f>
        <v/>
      </c>
      <c r="X112">
        <f>HYPERLINK("https://klasma.github.io/Logging_0482/kartor/A 6714-2026 karta.png", "A 6714-2026")</f>
        <v/>
      </c>
      <c r="Y112">
        <f>HYPERLINK("https://klasma.github.io/Logging_0482/kartor_geotiff/A 6714-2026 georefererad karta.tif", "A 6714-2026")</f>
        <v/>
      </c>
      <c r="AA112">
        <f>HYPERLINK("https://klasma.github.io/Logging_0482/klagomål/A 6714-2026 FSC-klagomål.docx", "A 6714-2026")</f>
        <v/>
      </c>
      <c r="AB112">
        <f>HYPERLINK("https://klasma.github.io/Logging_0482/klagomålsmail/A 6714-2026 FSC-klagomål mail.docx", "A 6714-2026")</f>
        <v/>
      </c>
      <c r="AC112">
        <f>HYPERLINK("https://klasma.github.io/Logging_0482/tillsyn/A 6714-2026 tillsynsbegäran.docx", "A 6714-2026")</f>
        <v/>
      </c>
      <c r="AD112">
        <f>HYPERLINK("https://klasma.github.io/Logging_0482/tillsynsmail/A 6714-2026 tillsynsbegäran mail.docx", "A 6714-2026")</f>
        <v/>
      </c>
    </row>
    <row r="113" ht="15" customHeight="1">
      <c r="A113" t="inlineStr">
        <is>
          <t>A 40333-2026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46294</v>
      </c>
      <c r="E113" s="1" t="n">
        <v>46319</v>
      </c>
      <c r="F113" t="inlineStr">
        <is>
          <t>SÖDERMANLANDS LÄN</t>
        </is>
      </c>
      <c r="G113" t="inlineStr">
        <is>
          <t>FLEN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Gullviva</t>
        </is>
      </c>
      <c r="W113">
        <f>HYPERLINK("https://klasma.github.io/Logging_0482/artfynd/A 40333-2026 artfynd.xlsx", "A 40333-2026")</f>
        <v/>
      </c>
      <c r="X113">
        <f>HYPERLINK("https://klasma.github.io/Logging_0482/kartor/A 40333-2026 karta.png", "A 40333-2026")</f>
        <v/>
      </c>
      <c r="Y113">
        <f>HYPERLINK("https://klasma.github.io/Logging_0482/kartor_geotiff/A 40333-2026 georefererad karta.tif", "A 40333-2026")</f>
        <v/>
      </c>
      <c r="AA113">
        <f>HYPERLINK("https://klasma.github.io/Logging_0482/klagomål/A 40333-2026 FSC-klagomål.docx", "A 40333-2026")</f>
        <v/>
      </c>
      <c r="AB113">
        <f>HYPERLINK("https://klasma.github.io/Logging_0482/klagomålsmail/A 40333-2026 FSC-klagomål mail.docx", "A 40333-2026")</f>
        <v/>
      </c>
      <c r="AC113">
        <f>HYPERLINK("https://klasma.github.io/Logging_0482/tillsyn/A 40333-2026 tillsynsbegäran.docx", "A 40333-2026")</f>
        <v/>
      </c>
      <c r="AD113">
        <f>HYPERLINK("https://klasma.github.io/Logging_0482/tillsynsmail/A 40333-2026 tillsynsbegäran mail.docx", "A 40333-2026")</f>
        <v/>
      </c>
    </row>
    <row r="114" ht="15" customHeight="1">
      <c r="A114" t="inlineStr">
        <is>
          <t>A 9446-2026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46319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9446-2026 artfynd.xlsx", "A 9446-2026")</f>
        <v/>
      </c>
      <c r="X114">
        <f>HYPERLINK("https://klasma.github.io/Logging_0482/kartor/A 9446-2026 karta.png", "A 9446-2026")</f>
        <v/>
      </c>
      <c r="Y114">
        <f>HYPERLINK("https://klasma.github.io/Logging_0482/kartor_geotiff/A 9446-2026 georefererad karta.tif", "A 9446-2026")</f>
        <v/>
      </c>
      <c r="AA114">
        <f>HYPERLINK("https://klasma.github.io/Logging_0482/klagomål/A 9446-2026 FSC-klagomål.docx", "A 9446-2026")</f>
        <v/>
      </c>
      <c r="AB114">
        <f>HYPERLINK("https://klasma.github.io/Logging_0482/klagomålsmail/A 9446-2026 FSC-klagomål mail.docx", "A 9446-2026")</f>
        <v/>
      </c>
      <c r="AC114">
        <f>HYPERLINK("https://klasma.github.io/Logging_0482/tillsyn/A 9446-2026 tillsynsbegäran.docx", "A 9446-2026")</f>
        <v/>
      </c>
      <c r="AD114">
        <f>HYPERLINK("https://klasma.github.io/Logging_0482/tillsynsmail/A 9446-2026 tillsynsbegäran mail.docx", "A 9446-2026")</f>
        <v/>
      </c>
    </row>
    <row r="115" ht="15" customHeight="1">
      <c r="A115" t="inlineStr">
        <is>
          <t>A 54737-2022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46319</v>
      </c>
      <c r="F115" t="inlineStr">
        <is>
          <t>SÖDERMANLANDS LÄN</t>
        </is>
      </c>
      <c r="G115" t="inlineStr">
        <is>
          <t>FLEN</t>
        </is>
      </c>
      <c r="I115" t="n">
        <v>5.7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54737-2022 artfynd.xlsx", "A 54737-2022")</f>
        <v/>
      </c>
      <c r="X115">
        <f>HYPERLINK("https://klasma.github.io/Logging_0482/kartor/A 54737-2022 karta.png", "A 54737-2022")</f>
        <v/>
      </c>
      <c r="Y115">
        <f>HYPERLINK("https://klasma.github.io/Logging_0482/kartor_geotiff/A 54737-2022 georefererad karta.tif", "A 54737-2022")</f>
        <v/>
      </c>
      <c r="AA115">
        <f>HYPERLINK("https://klasma.github.io/Logging_0482/klagomål/A 54737-2022 FSC-klagomål.docx", "A 54737-2022")</f>
        <v/>
      </c>
      <c r="AB115">
        <f>HYPERLINK("https://klasma.github.io/Logging_0482/klagomålsmail/A 54737-2022 FSC-klagomål mail.docx", "A 54737-2022")</f>
        <v/>
      </c>
      <c r="AC115">
        <f>HYPERLINK("https://klasma.github.io/Logging_0482/tillsyn/A 54737-2022 tillsynsbegäran.docx", "A 54737-2022")</f>
        <v/>
      </c>
      <c r="AD115">
        <f>HYPERLINK("https://klasma.github.io/Logging_0482/tillsynsmail/A 54737-2022 tillsynsbegäran mail.docx", "A 54737-2022")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46319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12056-2024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46319</v>
      </c>
      <c r="F117" t="inlineStr">
        <is>
          <t>SÖDERMANLANDS LÄN</t>
        </is>
      </c>
      <c r="G117" t="inlineStr">
        <is>
          <t>FLEN</t>
        </is>
      </c>
      <c r="I117" t="n">
        <v>8.4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Fjällig taggsvamp s.str.</t>
        </is>
      </c>
      <c r="W117">
        <f>HYPERLINK("https://klasma.github.io/Logging_0482/artfynd/A 12056-2024 artfynd.xlsx", "A 12056-2024")</f>
        <v/>
      </c>
      <c r="X117">
        <f>HYPERLINK("https://klasma.github.io/Logging_0482/kartor/A 12056-2024 karta.png", "A 12056-2024")</f>
        <v/>
      </c>
      <c r="Y117">
        <f>HYPERLINK("https://klasma.github.io/Logging_0482/kartor_geotiff/A 12056-2024 georefererad karta.tif", "A 12056-2024")</f>
        <v/>
      </c>
      <c r="AA117">
        <f>HYPERLINK("https://klasma.github.io/Logging_0482/klagomål/A 12056-2024 FSC-klagomål.docx", "A 12056-2024")</f>
        <v/>
      </c>
      <c r="AB117">
        <f>HYPERLINK("https://klasma.github.io/Logging_0482/klagomålsmail/A 12056-2024 FSC-klagomål mail.docx", "A 12056-2024")</f>
        <v/>
      </c>
      <c r="AC117">
        <f>HYPERLINK("https://klasma.github.io/Logging_0482/tillsyn/A 12056-2024 tillsynsbegäran.docx", "A 12056-2024")</f>
        <v/>
      </c>
      <c r="AD117">
        <f>HYPERLINK("https://klasma.github.io/Logging_0482/tillsynsmail/A 12056-2024 tillsynsbegäran mail.docx", "A 12056-2024")</f>
        <v/>
      </c>
    </row>
    <row r="118" ht="15" customHeight="1">
      <c r="A118" t="inlineStr">
        <is>
          <t>A 10770-2022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44624</v>
      </c>
      <c r="E118" s="1" t="n">
        <v>46319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Svinrot</t>
        </is>
      </c>
      <c r="W118">
        <f>HYPERLINK("https://klasma.github.io/Logging_0482/artfynd/A 10770-2022 artfynd.xlsx", "A 10770-2022")</f>
        <v/>
      </c>
      <c r="X118">
        <f>HYPERLINK("https://klasma.github.io/Logging_0482/kartor/A 10770-2022 karta.png", "A 10770-2022")</f>
        <v/>
      </c>
      <c r="Y118">
        <f>HYPERLINK("https://klasma.github.io/Logging_0482/kartor_geotiff/A 10770-2022 georefererad karta.tif", "A 10770-2022")</f>
        <v/>
      </c>
      <c r="AA118">
        <f>HYPERLINK("https://klasma.github.io/Logging_0482/klagomål/A 10770-2022 FSC-klagomål.docx", "A 10770-2022")</f>
        <v/>
      </c>
      <c r="AB118">
        <f>HYPERLINK("https://klasma.github.io/Logging_0482/klagomålsmail/A 10770-2022 FSC-klagomål mail.docx", "A 10770-2022")</f>
        <v/>
      </c>
      <c r="AC118">
        <f>HYPERLINK("https://klasma.github.io/Logging_0482/tillsyn/A 10770-2022 tillsynsbegäran.docx", "A 10770-2022")</f>
        <v/>
      </c>
      <c r="AD118">
        <f>HYPERLINK("https://klasma.github.io/Logging_0482/tillsynsmail/A 10770-2022 tillsynsbegäran mail.docx", "A 10770-2022")</f>
        <v/>
      </c>
    </row>
    <row r="119" ht="15" customHeight="1">
      <c r="A119" t="inlineStr">
        <is>
          <t>A 21704-2026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46319</v>
      </c>
      <c r="F119" t="inlineStr">
        <is>
          <t>SÖDERMANLANDS LÄN</t>
        </is>
      </c>
      <c r="G119" t="inlineStr">
        <is>
          <t>FLEN</t>
        </is>
      </c>
      <c r="I119" t="n">
        <v>10.2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Kandelabersvamp</t>
        </is>
      </c>
      <c r="W119">
        <f>HYPERLINK("https://klasma.github.io/Logging_0482/artfynd/A 21704-2026 artfynd.xlsx", "A 21704-2026")</f>
        <v/>
      </c>
      <c r="X119">
        <f>HYPERLINK("https://klasma.github.io/Logging_0482/kartor/A 21704-2026 karta.png", "A 21704-2026")</f>
        <v/>
      </c>
      <c r="Y119">
        <f>HYPERLINK("https://klasma.github.io/Logging_0482/kartor_geotiff/A 21704-2026 georefererad karta.tif", "A 21704-2026")</f>
        <v/>
      </c>
      <c r="AA119">
        <f>HYPERLINK("https://klasma.github.io/Logging_0482/klagomål/A 21704-2026 FSC-klagomål.docx", "A 21704-2026")</f>
        <v/>
      </c>
      <c r="AB119">
        <f>HYPERLINK("https://klasma.github.io/Logging_0482/klagomålsmail/A 21704-2026 FSC-klagomål mail.docx", "A 21704-2026")</f>
        <v/>
      </c>
      <c r="AC119">
        <f>HYPERLINK("https://klasma.github.io/Logging_0482/tillsyn/A 21704-2026 tillsynsbegäran.docx", "A 21704-2026")</f>
        <v/>
      </c>
      <c r="AD119">
        <f>HYPERLINK("https://klasma.github.io/Logging_0482/tillsynsmail/A 21704-2026 tillsynsbegäran mail.docx", "A 21704-2026")</f>
        <v/>
      </c>
    </row>
    <row r="120" ht="15" customHeight="1">
      <c r="A120" t="inlineStr">
        <is>
          <t>A 14273-2025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46319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Vedskivlav</t>
        </is>
      </c>
      <c r="W120">
        <f>HYPERLINK("https://klasma.github.io/Logging_0482/artfynd/A 14273-2025 artfynd.xlsx", "A 14273-2025")</f>
        <v/>
      </c>
      <c r="X120">
        <f>HYPERLINK("https://klasma.github.io/Logging_0482/kartor/A 14273-2025 karta.png", "A 14273-2025")</f>
        <v/>
      </c>
      <c r="Y120">
        <f>HYPERLINK("https://klasma.github.io/Logging_0482/kartor_geotiff/A 14273-2025 georefererad karta.tif", "A 14273-2025")</f>
        <v/>
      </c>
      <c r="AA120">
        <f>HYPERLINK("https://klasma.github.io/Logging_0482/klagomål/A 14273-2025 FSC-klagomål.docx", "A 14273-2025")</f>
        <v/>
      </c>
      <c r="AB120">
        <f>HYPERLINK("https://klasma.github.io/Logging_0482/klagomålsmail/A 14273-2025 FSC-klagomål mail.docx", "A 14273-2025")</f>
        <v/>
      </c>
      <c r="AC120">
        <f>HYPERLINK("https://klasma.github.io/Logging_0482/tillsyn/A 14273-2025 tillsynsbegäran.docx", "A 14273-2025")</f>
        <v/>
      </c>
      <c r="AD120">
        <f>HYPERLINK("https://klasma.github.io/Logging_0482/tillsynsmail/A 14273-2025 tillsynsbegäran mail.docx", "A 14273-2025")</f>
        <v/>
      </c>
    </row>
    <row r="121" ht="15" customHeight="1">
      <c r="A121" t="inlineStr">
        <is>
          <t>A 43456-2026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46315</v>
      </c>
      <c r="E121" s="1" t="n">
        <v>46319</v>
      </c>
      <c r="F121" t="inlineStr">
        <is>
          <t>SÖDERMANLANDS LÄN</t>
        </is>
      </c>
      <c r="G121" t="inlineStr">
        <is>
          <t>FLEN</t>
        </is>
      </c>
      <c r="I121" t="n">
        <v>2.1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43456-2026 artfynd.xlsx", "A 43456-2026")</f>
        <v/>
      </c>
      <c r="X121">
        <f>HYPERLINK("https://klasma.github.io/Logging_0482/kartor/A 43456-2026 karta.png", "A 43456-2026")</f>
        <v/>
      </c>
      <c r="Y121">
        <f>HYPERLINK("https://klasma.github.io/Logging_0482/kartor_geotiff/A 43456-2026 georefererad karta.tif", "A 43456-2026")</f>
        <v/>
      </c>
      <c r="AA121">
        <f>HYPERLINK("https://klasma.github.io/Logging_0482/klagomål/A 43456-2026 FSC-klagomål.docx", "A 43456-2026")</f>
        <v/>
      </c>
      <c r="AB121">
        <f>HYPERLINK("https://klasma.github.io/Logging_0482/klagomålsmail/A 43456-2026 FSC-klagomål mail.docx", "A 43456-2026")</f>
        <v/>
      </c>
      <c r="AC121">
        <f>HYPERLINK("https://klasma.github.io/Logging_0482/tillsyn/A 43456-2026 tillsynsbegäran.docx", "A 43456-2026")</f>
        <v/>
      </c>
      <c r="AD121">
        <f>HYPERLINK("https://klasma.github.io/Logging_0482/tillsynsmail/A 43456-2026 tillsynsbegäran mail.docx", "A 43456-2026")</f>
        <v/>
      </c>
    </row>
    <row r="122" ht="15" customHeight="1">
      <c r="A122" t="inlineStr">
        <is>
          <t>A 31972-2024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46319</v>
      </c>
      <c r="F122" t="inlineStr">
        <is>
          <t>SÖDERMANLANDS LÄN</t>
        </is>
      </c>
      <c r="G122" t="inlineStr">
        <is>
          <t>FLEN</t>
        </is>
      </c>
      <c r="I122" t="n">
        <v>3.4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Åkerrödtoppa</t>
        </is>
      </c>
      <c r="W122">
        <f>HYPERLINK("https://klasma.github.io/Logging_0482/artfynd/A 31972-2024 artfynd.xlsx", "A 31972-2024")</f>
        <v/>
      </c>
      <c r="X122">
        <f>HYPERLINK("https://klasma.github.io/Logging_0482/kartor/A 31972-2024 karta.png", "A 31972-2024")</f>
        <v/>
      </c>
      <c r="Y122">
        <f>HYPERLINK("https://klasma.github.io/Logging_0482/kartor_geotiff/A 31972-2024 georefererad karta.tif", "A 31972-2024")</f>
        <v/>
      </c>
      <c r="AA122">
        <f>HYPERLINK("https://klasma.github.io/Logging_0482/klagomål/A 31972-2024 FSC-klagomål.docx", "A 31972-2024")</f>
        <v/>
      </c>
      <c r="AB122">
        <f>HYPERLINK("https://klasma.github.io/Logging_0482/klagomålsmail/A 31972-2024 FSC-klagomål mail.docx", "A 31972-2024")</f>
        <v/>
      </c>
      <c r="AC122">
        <f>HYPERLINK("https://klasma.github.io/Logging_0482/tillsyn/A 31972-2024 tillsynsbegäran.docx", "A 31972-2024")</f>
        <v/>
      </c>
      <c r="AD122">
        <f>HYPERLINK("https://klasma.github.io/Logging_0482/tillsynsmail/A 31972-2024 tillsynsbegäran mail.docx", "A 31972-2024")</f>
        <v/>
      </c>
    </row>
    <row r="123" ht="15" customHeight="1">
      <c r="A123" t="inlineStr">
        <is>
          <t>A 62535-2021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46319</v>
      </c>
      <c r="F123" t="inlineStr">
        <is>
          <t>SÖDERMANLANDS LÄN</t>
        </is>
      </c>
      <c r="G123" t="inlineStr">
        <is>
          <t>FLEN</t>
        </is>
      </c>
      <c r="I123" t="n">
        <v>0.6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62535-2021 artfynd.xlsx", "A 62535-2021")</f>
        <v/>
      </c>
      <c r="X123">
        <f>HYPERLINK("https://klasma.github.io/Logging_0482/kartor/A 62535-2021 karta.png", "A 62535-2021")</f>
        <v/>
      </c>
      <c r="Y123">
        <f>HYPERLINK("https://klasma.github.io/Logging_0482/kartor_geotiff/A 62535-2021 georefererad karta.tif", "A 62535-2021")</f>
        <v/>
      </c>
      <c r="AA123">
        <f>HYPERLINK("https://klasma.github.io/Logging_0482/klagomål/A 62535-2021 FSC-klagomål.docx", "A 62535-2021")</f>
        <v/>
      </c>
      <c r="AB123">
        <f>HYPERLINK("https://klasma.github.io/Logging_0482/klagomålsmail/A 62535-2021 FSC-klagomål mail.docx", "A 62535-2021")</f>
        <v/>
      </c>
      <c r="AC123">
        <f>HYPERLINK("https://klasma.github.io/Logging_0482/tillsyn/A 62535-2021 tillsynsbegäran.docx", "A 62535-2021")</f>
        <v/>
      </c>
      <c r="AD123">
        <f>HYPERLINK("https://klasma.github.io/Logging_0482/tillsynsmail/A 62535-2021 tillsynsbegäran mail.docx", "A 62535-2021")</f>
        <v/>
      </c>
    </row>
    <row r="124" ht="15" customHeight="1">
      <c r="A124" t="inlineStr">
        <is>
          <t>A 50202-2022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46319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5.8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50202-2022 artfynd.xlsx", "A 50202-2022")</f>
        <v/>
      </c>
      <c r="X124">
        <f>HYPERLINK("https://klasma.github.io/Logging_0482/kartor/A 50202-2022 karta.png", "A 50202-2022")</f>
        <v/>
      </c>
      <c r="Y124">
        <f>HYPERLINK("https://klasma.github.io/Logging_0482/kartor_geotiff/A 50202-2022 georefererad karta.tif", "A 50202-2022")</f>
        <v/>
      </c>
      <c r="AA124">
        <f>HYPERLINK("https://klasma.github.io/Logging_0482/klagomål/A 50202-2022 FSC-klagomål.docx", "A 50202-2022")</f>
        <v/>
      </c>
      <c r="AB124">
        <f>HYPERLINK("https://klasma.github.io/Logging_0482/klagomålsmail/A 50202-2022 FSC-klagomål mail.docx", "A 50202-2022")</f>
        <v/>
      </c>
      <c r="AC124">
        <f>HYPERLINK("https://klasma.github.io/Logging_0482/tillsyn/A 50202-2022 tillsynsbegäran.docx", "A 50202-2022")</f>
        <v/>
      </c>
      <c r="AD124">
        <f>HYPERLINK("https://klasma.github.io/Logging_0482/tillsynsmail/A 50202-2022 tillsynsbegäran mail.docx", "A 50202-2022")</f>
        <v/>
      </c>
    </row>
    <row r="125" ht="15" customHeight="1">
      <c r="A125" t="inlineStr">
        <is>
          <t>A 14101-2025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46319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HYPERLINK("https://klasma.github.io/Logging_0482/artfynd/A 14101-2025 artfynd.xlsx", "A 14101-2025")</f>
        <v/>
      </c>
      <c r="X125">
        <f>HYPERLINK("https://klasma.github.io/Logging_0482/kartor/A 14101-2025 karta.png", "A 14101-2025")</f>
        <v/>
      </c>
      <c r="Y125">
        <f>HYPERLINK("https://klasma.github.io/Logging_0482/kartor_geotiff/A 14101-2025 georefererad karta.tif", "A 14101-2025")</f>
        <v/>
      </c>
      <c r="AA125">
        <f>HYPERLINK("https://klasma.github.io/Logging_0482/klagomål/A 14101-2025 FSC-klagomål.docx", "A 14101-2025")</f>
        <v/>
      </c>
      <c r="AB125">
        <f>HYPERLINK("https://klasma.github.io/Logging_0482/klagomålsmail/A 14101-2025 FSC-klagomål mail.docx", "A 14101-2025")</f>
        <v/>
      </c>
      <c r="AC125">
        <f>HYPERLINK("https://klasma.github.io/Logging_0482/tillsyn/A 14101-2025 tillsynsbegäran.docx", "A 14101-2025")</f>
        <v/>
      </c>
      <c r="AD125">
        <f>HYPERLINK("https://klasma.github.io/Logging_0482/tillsynsmail/A 14101-2025 tillsynsbegäran mail.docx", "A 14101-2025")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46319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7525-2024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45348</v>
      </c>
      <c r="E127" s="1" t="n">
        <v>46319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backsmörblomma</t>
        </is>
      </c>
      <c r="W127">
        <f>HYPERLINK("https://klasma.github.io/Logging_0482/artfynd/A 7525-2024 artfynd.xlsx", "A 7525-2024")</f>
        <v/>
      </c>
      <c r="X127">
        <f>HYPERLINK("https://klasma.github.io/Logging_0482/kartor/A 7525-2024 karta.png", "A 7525-2024")</f>
        <v/>
      </c>
      <c r="Y127">
        <f>HYPERLINK("https://klasma.github.io/Logging_0482/kartor_geotiff/A 7525-2024 georefererad karta.tif", "A 7525-2024")</f>
        <v/>
      </c>
      <c r="AA127">
        <f>HYPERLINK("https://klasma.github.io/Logging_0482/klagomål/A 7525-2024 FSC-klagomål.docx", "A 7525-2024")</f>
        <v/>
      </c>
      <c r="AB127">
        <f>HYPERLINK("https://klasma.github.io/Logging_0482/klagomålsmail/A 7525-2024 FSC-klagomål mail.docx", "A 7525-2024")</f>
        <v/>
      </c>
      <c r="AC127">
        <f>HYPERLINK("https://klasma.github.io/Logging_0482/tillsyn/A 7525-2024 tillsynsbegäran.docx", "A 7525-2024")</f>
        <v/>
      </c>
      <c r="AD127">
        <f>HYPERLINK("https://klasma.github.io/Logging_0482/tillsynsmail/A 7525-2024 tillsynsbegäran mail.docx", "A 7525-2024")</f>
        <v/>
      </c>
    </row>
    <row r="128" ht="15" customHeight="1">
      <c r="A128" t="inlineStr">
        <is>
          <t>A 13858-2023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46319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Svedjenäva</t>
        </is>
      </c>
      <c r="W128">
        <f>HYPERLINK("https://klasma.github.io/Logging_0482/artfynd/A 13858-2023 artfynd.xlsx", "A 13858-2023")</f>
        <v/>
      </c>
      <c r="X128">
        <f>HYPERLINK("https://klasma.github.io/Logging_0482/kartor/A 13858-2023 karta.png", "A 13858-2023")</f>
        <v/>
      </c>
      <c r="Y128">
        <f>HYPERLINK("https://klasma.github.io/Logging_0482/kartor_geotiff/A 13858-2023 georefererad karta.tif", "A 13858-2023")</f>
        <v/>
      </c>
      <c r="AA128">
        <f>HYPERLINK("https://klasma.github.io/Logging_0482/klagomål/A 13858-2023 FSC-klagomål.docx", "A 13858-2023")</f>
        <v/>
      </c>
      <c r="AB128">
        <f>HYPERLINK("https://klasma.github.io/Logging_0482/klagomålsmail/A 13858-2023 FSC-klagomål mail.docx", "A 13858-2023")</f>
        <v/>
      </c>
      <c r="AC128">
        <f>HYPERLINK("https://klasma.github.io/Logging_0482/tillsyn/A 13858-2023 tillsynsbegäran.docx", "A 13858-2023")</f>
        <v/>
      </c>
      <c r="AD128">
        <f>HYPERLINK("https://klasma.github.io/Logging_0482/tillsynsmail/A 13858-2023 tillsynsbegäran mail.docx", "A 13858-2023")</f>
        <v/>
      </c>
    </row>
    <row r="129" ht="15" customHeight="1">
      <c r="A129" t="inlineStr">
        <is>
          <t>A 45107-2023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46319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Brudborste</t>
        </is>
      </c>
      <c r="W129">
        <f>HYPERLINK("https://klasma.github.io/Logging_0482/artfynd/A 45107-2023 artfynd.xlsx", "A 45107-2023")</f>
        <v/>
      </c>
      <c r="X129">
        <f>HYPERLINK("https://klasma.github.io/Logging_0482/kartor/A 45107-2023 karta.png", "A 45107-2023")</f>
        <v/>
      </c>
      <c r="Y129">
        <f>HYPERLINK("https://klasma.github.io/Logging_0482/kartor_geotiff/A 45107-2023 georefererad karta.tif", "A 45107-2023")</f>
        <v/>
      </c>
      <c r="AA129">
        <f>HYPERLINK("https://klasma.github.io/Logging_0482/klagomål/A 45107-2023 FSC-klagomål.docx", "A 45107-2023")</f>
        <v/>
      </c>
      <c r="AB129">
        <f>HYPERLINK("https://klasma.github.io/Logging_0482/klagomålsmail/A 45107-2023 FSC-klagomål mail.docx", "A 45107-2023")</f>
        <v/>
      </c>
      <c r="AC129">
        <f>HYPERLINK("https://klasma.github.io/Logging_0482/tillsyn/A 45107-2023 tillsynsbegäran.docx", "A 45107-2023")</f>
        <v/>
      </c>
      <c r="AD129">
        <f>HYPERLINK("https://klasma.github.io/Logging_0482/tillsynsmail/A 45107-2023 tillsynsbegäran mail.docx", "A 45107-2023")</f>
        <v/>
      </c>
    </row>
    <row r="130" ht="15" customHeight="1">
      <c r="A130" t="inlineStr">
        <is>
          <t>A 1242-2022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44572</v>
      </c>
      <c r="E130" s="1" t="n">
        <v>46319</v>
      </c>
      <c r="F130" t="inlineStr">
        <is>
          <t>SÖDERMANLANDS LÄN</t>
        </is>
      </c>
      <c r="G130" t="inlineStr">
        <is>
          <t>FLEN</t>
        </is>
      </c>
      <c r="H130" t="inlineStr">
        <is>
          <t>Övriga statliga verk och myndigheter</t>
        </is>
      </c>
      <c r="I130" t="n">
        <v>9.300000000000001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Slåtterfibbla</t>
        </is>
      </c>
      <c r="W130">
        <f>HYPERLINK("https://klasma.github.io/Logging_0482/artfynd/A 1242-2022 artfynd.xlsx", "A 1242-2022")</f>
        <v/>
      </c>
      <c r="X130">
        <f>HYPERLINK("https://klasma.github.io/Logging_0482/kartor/A 1242-2022 karta.png", "A 1242-2022")</f>
        <v/>
      </c>
      <c r="Y130">
        <f>HYPERLINK("https://klasma.github.io/Logging_0482/kartor_geotiff/A 1242-2022 georefererad karta.tif", "A 1242-2022")</f>
        <v/>
      </c>
      <c r="AA130">
        <f>HYPERLINK("https://klasma.github.io/Logging_0482/klagomål/A 1242-2022 FSC-klagomål.docx", "A 1242-2022")</f>
        <v/>
      </c>
      <c r="AB130">
        <f>HYPERLINK("https://klasma.github.io/Logging_0482/klagomålsmail/A 1242-2022 FSC-klagomål mail.docx", "A 1242-2022")</f>
        <v/>
      </c>
      <c r="AC130">
        <f>HYPERLINK("https://klasma.github.io/Logging_0482/tillsyn/A 1242-2022 tillsynsbegäran.docx", "A 1242-2022")</f>
        <v/>
      </c>
      <c r="AD130">
        <f>HYPERLINK("https://klasma.github.io/Logging_0482/tillsynsmail/A 1242-2022 tillsynsbegäran mail.docx", "A 1242-2022")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46319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14113-2025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46319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14113-2025 artfynd.xlsx", "A 14113-2025")</f>
        <v/>
      </c>
      <c r="X132">
        <f>HYPERLINK("https://klasma.github.io/Logging_0482/kartor/A 14113-2025 karta.png", "A 14113-2025")</f>
        <v/>
      </c>
      <c r="Y132">
        <f>HYPERLINK("https://klasma.github.io/Logging_0482/kartor_geotiff/A 14113-2025 georefererad karta.tif", "A 14113-2025")</f>
        <v/>
      </c>
      <c r="AA132">
        <f>HYPERLINK("https://klasma.github.io/Logging_0482/klagomål/A 14113-2025 FSC-klagomål.docx", "A 14113-2025")</f>
        <v/>
      </c>
      <c r="AB132">
        <f>HYPERLINK("https://klasma.github.io/Logging_0482/klagomålsmail/A 14113-2025 FSC-klagomål mail.docx", "A 14113-2025")</f>
        <v/>
      </c>
      <c r="AC132">
        <f>HYPERLINK("https://klasma.github.io/Logging_0482/tillsyn/A 14113-2025 tillsynsbegäran.docx", "A 14113-2025")</f>
        <v/>
      </c>
      <c r="AD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46319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33024-2022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46319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33024-2022 artfynd.xlsx", "A 33024-2022")</f>
        <v/>
      </c>
      <c r="X134">
        <f>HYPERLINK("https://klasma.github.io/Logging_0482/kartor/A 33024-2022 karta.png", "A 33024-2022")</f>
        <v/>
      </c>
      <c r="Y134">
        <f>HYPERLINK("https://klasma.github.io/Logging_0482/kartor_geotiff/A 33024-2022 georefererad karta.tif", "A 33024-2022")</f>
        <v/>
      </c>
      <c r="AA134">
        <f>HYPERLINK("https://klasma.github.io/Logging_0482/klagomål/A 33024-2022 FSC-klagomål.docx", "A 33024-2022")</f>
        <v/>
      </c>
      <c r="AB134">
        <f>HYPERLINK("https://klasma.github.io/Logging_0482/klagomålsmail/A 33024-2022 FSC-klagomål mail.docx", "A 33024-2022")</f>
        <v/>
      </c>
      <c r="AC134">
        <f>HYPERLINK("https://klasma.github.io/Logging_0482/tillsyn/A 33024-2022 tillsynsbegäran.docx", "A 33024-2022")</f>
        <v/>
      </c>
      <c r="AD134">
        <f>HYPERLINK("https://klasma.github.io/Logging_0482/tillsynsmail/A 33024-2022 tillsynsbegäran mail.docx", "A 33024-2022")</f>
        <v/>
      </c>
    </row>
    <row r="135" ht="15" customHeight="1">
      <c r="A135" t="inlineStr">
        <is>
          <t>A 31427-2022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44774</v>
      </c>
      <c r="E135" s="1" t="n">
        <v>46319</v>
      </c>
      <c r="F135" t="inlineStr">
        <is>
          <t>SÖDERMANLANDS LÄN</t>
        </is>
      </c>
      <c r="G135" t="inlineStr">
        <is>
          <t>FLEN</t>
        </is>
      </c>
      <c r="I135" t="n">
        <v>3.7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Älg</t>
        </is>
      </c>
      <c r="W135">
        <f>HYPERLINK("https://klasma.github.io/Logging_0482/artfynd/A 31427-2022 artfynd.xlsx", "A 31427-2022")</f>
        <v/>
      </c>
      <c r="X135">
        <f>HYPERLINK("https://klasma.github.io/Logging_0482/kartor/A 31427-2022 karta.png", "A 31427-2022")</f>
        <v/>
      </c>
      <c r="Y135">
        <f>HYPERLINK("https://klasma.github.io/Logging_0482/kartor_geotiff/A 31427-2022 georefererad karta.tif", "A 31427-2022")</f>
        <v/>
      </c>
      <c r="AA135">
        <f>HYPERLINK("https://klasma.github.io/Logging_0482/klagomål/A 31427-2022 FSC-klagomål.docx", "A 31427-2022")</f>
        <v/>
      </c>
      <c r="AB135">
        <f>HYPERLINK("https://klasma.github.io/Logging_0482/klagomålsmail/A 31427-2022 FSC-klagomål mail.docx", "A 31427-2022")</f>
        <v/>
      </c>
      <c r="AC135">
        <f>HYPERLINK("https://klasma.github.io/Logging_0482/tillsyn/A 31427-2022 tillsynsbegäran.docx", "A 31427-2022")</f>
        <v/>
      </c>
      <c r="AD135">
        <f>HYPERLINK("https://klasma.github.io/Logging_0482/tillsynsmail/A 31427-2022 tillsynsbegäran mail.docx", "A 31427-2022")</f>
        <v/>
      </c>
    </row>
    <row r="136" ht="15" customHeight="1">
      <c r="A136" t="inlineStr">
        <is>
          <t>A 47756-2022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46319</v>
      </c>
      <c r="F136" t="inlineStr">
        <is>
          <t>SÖDERMANLANDS LÄN</t>
        </is>
      </c>
      <c r="G136" t="inlineStr">
        <is>
          <t>FLEN</t>
        </is>
      </c>
      <c r="I136" t="n">
        <v>2.4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47756-2022 artfynd.xlsx", "A 47756-2022")</f>
        <v/>
      </c>
      <c r="X136">
        <f>HYPERLINK("https://klasma.github.io/Logging_0482/kartor/A 47756-2022 karta.png", "A 47756-2022")</f>
        <v/>
      </c>
      <c r="Y136">
        <f>HYPERLINK("https://klasma.github.io/Logging_0482/kartor_geotiff/A 47756-2022 georefererad karta.tif", "A 47756-2022")</f>
        <v/>
      </c>
      <c r="AA136">
        <f>HYPERLINK("https://klasma.github.io/Logging_0482/klagomål/A 47756-2022 FSC-klagomål.docx", "A 47756-2022")</f>
        <v/>
      </c>
      <c r="AB136">
        <f>HYPERLINK("https://klasma.github.io/Logging_0482/klagomålsmail/A 47756-2022 FSC-klagomål mail.docx", "A 47756-2022")</f>
        <v/>
      </c>
      <c r="AC136">
        <f>HYPERLINK("https://klasma.github.io/Logging_0482/tillsyn/A 47756-2022 tillsynsbegäran.docx", "A 47756-2022")</f>
        <v/>
      </c>
      <c r="AD136">
        <f>HYPERLINK("https://klasma.github.io/Logging_0482/tillsynsmail/A 47756-2022 tillsynsbegäran mail.docx", "A 47756-2022")</f>
        <v/>
      </c>
    </row>
    <row r="137" ht="15" customHeight="1">
      <c r="A137" t="inlineStr">
        <is>
          <t>A 6982-2024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46319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Fläcknycklar</t>
        </is>
      </c>
      <c r="W137">
        <f>HYPERLINK("https://klasma.github.io/Logging_0482/artfynd/A 6982-2024 artfynd.xlsx", "A 6982-2024")</f>
        <v/>
      </c>
      <c r="X137">
        <f>HYPERLINK("https://klasma.github.io/Logging_0482/kartor/A 6982-2024 karta.png", "A 6982-2024")</f>
        <v/>
      </c>
      <c r="Y137">
        <f>HYPERLINK("https://klasma.github.io/Logging_0482/kartor_geotiff/A 6982-2024 georefererad karta.tif", "A 6982-2024")</f>
        <v/>
      </c>
      <c r="AA137">
        <f>HYPERLINK("https://klasma.github.io/Logging_0482/klagomål/A 6982-2024 FSC-klagomål.docx", "A 6982-2024")</f>
        <v/>
      </c>
      <c r="AB137">
        <f>HYPERLINK("https://klasma.github.io/Logging_0482/klagomålsmail/A 6982-2024 FSC-klagomål mail.docx", "A 6982-2024")</f>
        <v/>
      </c>
      <c r="AC137">
        <f>HYPERLINK("https://klasma.github.io/Logging_0482/tillsyn/A 6982-2024 tillsynsbegäran.docx", "A 6982-2024")</f>
        <v/>
      </c>
      <c r="AD137">
        <f>HYPERLINK("https://klasma.github.io/Logging_0482/tillsynsmail/A 6982-2024 tillsynsbegäran mail.docx", "A 6982-2024")</f>
        <v/>
      </c>
    </row>
    <row r="138" ht="15" customHeight="1">
      <c r="A138" t="inlineStr">
        <is>
          <t>A 53339-2023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46319</v>
      </c>
      <c r="F138" t="inlineStr">
        <is>
          <t>SÖDERMANLANDS LÄN</t>
        </is>
      </c>
      <c r="G138" t="inlineStr">
        <is>
          <t>FLEN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Blåsippa</t>
        </is>
      </c>
      <c r="W138">
        <f>HYPERLINK("https://klasma.github.io/Logging_0482/artfynd/A 53339-2023 artfynd.xlsx", "A 53339-2023")</f>
        <v/>
      </c>
      <c r="X138">
        <f>HYPERLINK("https://klasma.github.io/Logging_0482/kartor/A 53339-2023 karta.png", "A 53339-2023")</f>
        <v/>
      </c>
      <c r="Y138">
        <f>HYPERLINK("https://klasma.github.io/Logging_0482/kartor_geotiff/A 53339-2023 georefererad karta.tif", "A 53339-2023")</f>
        <v/>
      </c>
      <c r="AA138">
        <f>HYPERLINK("https://klasma.github.io/Logging_0482/klagomål/A 53339-2023 FSC-klagomål.docx", "A 53339-2023")</f>
        <v/>
      </c>
      <c r="AB138">
        <f>HYPERLINK("https://klasma.github.io/Logging_0482/klagomålsmail/A 53339-2023 FSC-klagomål mail.docx", "A 53339-2023")</f>
        <v/>
      </c>
      <c r="AC138">
        <f>HYPERLINK("https://klasma.github.io/Logging_0482/tillsyn/A 53339-2023 tillsynsbegäran.docx", "A 53339-2023")</f>
        <v/>
      </c>
      <c r="AD138">
        <f>HYPERLINK("https://klasma.github.io/Logging_0482/tillsynsmail/A 53339-2023 tillsynsbegäran mail.docx", "A 53339-2023")</f>
        <v/>
      </c>
    </row>
    <row r="139" ht="15" customHeight="1">
      <c r="A139" t="inlineStr">
        <is>
          <t>A 4259-2023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46319</v>
      </c>
      <c r="F139" t="inlineStr">
        <is>
          <t>SÖDERMANLANDS LÄN</t>
        </is>
      </c>
      <c r="G139" t="inlineStr">
        <is>
          <t>FLEN</t>
        </is>
      </c>
      <c r="I139" t="n">
        <v>1.3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Blåsippa</t>
        </is>
      </c>
      <c r="W139">
        <f>HYPERLINK("https://klasma.github.io/Logging_0482/artfynd/A 4259-2023 artfynd.xlsx", "A 4259-2023")</f>
        <v/>
      </c>
      <c r="X139">
        <f>HYPERLINK("https://klasma.github.io/Logging_0482/kartor/A 4259-2023 karta.png", "A 4259-2023")</f>
        <v/>
      </c>
      <c r="Y139">
        <f>HYPERLINK("https://klasma.github.io/Logging_0482/kartor_geotiff/A 4259-2023 georefererad karta.tif", "A 4259-2023")</f>
        <v/>
      </c>
      <c r="AA139">
        <f>HYPERLINK("https://klasma.github.io/Logging_0482/klagomål/A 4259-2023 FSC-klagomål.docx", "A 4259-2023")</f>
        <v/>
      </c>
      <c r="AB139">
        <f>HYPERLINK("https://klasma.github.io/Logging_0482/klagomålsmail/A 4259-2023 FSC-klagomål mail.docx", "A 4259-2023")</f>
        <v/>
      </c>
      <c r="AC139">
        <f>HYPERLINK("https://klasma.github.io/Logging_0482/tillsyn/A 4259-2023 tillsynsbegäran.docx", "A 4259-2023")</f>
        <v/>
      </c>
      <c r="AD139">
        <f>HYPERLINK("https://klasma.github.io/Logging_0482/tillsynsmail/A 4259-2023 tillsynsbegäran mail.docx", "A 4259-2023")</f>
        <v/>
      </c>
    </row>
    <row r="140" ht="15" customHeight="1">
      <c r="A140" t="inlineStr">
        <is>
          <t>A 12306-2022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44637</v>
      </c>
      <c r="E140" s="1" t="n">
        <v>46319</v>
      </c>
      <c r="F140" t="inlineStr">
        <is>
          <t>SÖDERMANLANDS LÄN</t>
        </is>
      </c>
      <c r="G140" t="inlineStr">
        <is>
          <t>FLEN</t>
        </is>
      </c>
      <c r="I140" t="n">
        <v>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Järnsparv</t>
        </is>
      </c>
      <c r="W140">
        <f>HYPERLINK("https://klasma.github.io/Logging_0482/artfynd/A 12306-2022 artfynd.xlsx", "A 12306-2022")</f>
        <v/>
      </c>
      <c r="X140">
        <f>HYPERLINK("https://klasma.github.io/Logging_0482/kartor/A 12306-2022 karta.png", "A 12306-2022")</f>
        <v/>
      </c>
      <c r="Y140">
        <f>HYPERLINK("https://klasma.github.io/Logging_0482/kartor_geotiff/A 12306-2022 georefererad karta.tif", "A 12306-2022")</f>
        <v/>
      </c>
      <c r="AA140">
        <f>HYPERLINK("https://klasma.github.io/Logging_0482/klagomål/A 12306-2022 FSC-klagomål.docx", "A 12306-2022")</f>
        <v/>
      </c>
      <c r="AB140">
        <f>HYPERLINK("https://klasma.github.io/Logging_0482/klagomålsmail/A 12306-2022 FSC-klagomål mail.docx", "A 12306-2022")</f>
        <v/>
      </c>
      <c r="AC140">
        <f>HYPERLINK("https://klasma.github.io/Logging_0482/tillsyn/A 12306-2022 tillsynsbegäran.docx", "A 12306-2022")</f>
        <v/>
      </c>
      <c r="AD140">
        <f>HYPERLINK("https://klasma.github.io/Logging_0482/tillsynsmail/A 12306-2022 tillsynsbegäran mail.docx", "A 12306-2022")</f>
        <v/>
      </c>
      <c r="AE140">
        <f>HYPERLINK("https://klasma.github.io/Logging_0482/fåglar/A 12306-2022 prioriterade fågelarter.docx", "A 12306-2022")</f>
        <v/>
      </c>
    </row>
    <row r="141" ht="15" customHeight="1">
      <c r="A141" t="inlineStr">
        <is>
          <t>A 62223-2021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46319</v>
      </c>
      <c r="F141" t="inlineStr">
        <is>
          <t>SÖDERMANLANDS LÄN</t>
        </is>
      </c>
      <c r="G141" t="inlineStr">
        <is>
          <t>FLEN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70701-2021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46319</v>
      </c>
      <c r="F142" t="inlineStr">
        <is>
          <t>SÖDERMANLANDS LÄN</t>
        </is>
      </c>
      <c r="G142" t="inlineStr">
        <is>
          <t>FLEN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46319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44535</v>
      </c>
      <c r="E144" s="1" t="n">
        <v>46319</v>
      </c>
      <c r="F144" t="inlineStr">
        <is>
          <t>SÖDERMANLANDS LÄN</t>
        </is>
      </c>
      <c r="G144" t="inlineStr">
        <is>
          <t>FLEN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46319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46319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46319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44752</v>
      </c>
      <c r="E148" s="1" t="n">
        <v>46319</v>
      </c>
      <c r="F148" t="inlineStr">
        <is>
          <t>SÖDERMANLANDS LÄN</t>
        </is>
      </c>
      <c r="G148" t="inlineStr">
        <is>
          <t>FLEN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46319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46319</v>
      </c>
      <c r="F150" t="inlineStr">
        <is>
          <t>SÖDERMANLANDS LÄN</t>
        </is>
      </c>
      <c r="G150" t="inlineStr">
        <is>
          <t>FLEN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44769</v>
      </c>
      <c r="E151" s="1" t="n">
        <v>46319</v>
      </c>
      <c r="F151" t="inlineStr">
        <is>
          <t>SÖDERMANLANDS LÄN</t>
        </is>
      </c>
      <c r="G151" t="inlineStr">
        <is>
          <t>FLEN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44745</v>
      </c>
      <c r="E152" s="1" t="n">
        <v>46319</v>
      </c>
      <c r="F152" t="inlineStr">
        <is>
          <t>SÖDERMANLANDS LÄN</t>
        </is>
      </c>
      <c r="G152" t="inlineStr">
        <is>
          <t>FLEN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46319</v>
      </c>
      <c r="F153" t="inlineStr">
        <is>
          <t>SÖDERMANLANDS LÄN</t>
        </is>
      </c>
      <c r="G153" t="inlineStr">
        <is>
          <t>FLEN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46319</v>
      </c>
      <c r="F154" t="inlineStr">
        <is>
          <t>SÖDERMANLANDS LÄN</t>
        </is>
      </c>
      <c r="G154" t="inlineStr">
        <is>
          <t>FLEN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44807</v>
      </c>
      <c r="E155" s="1" t="n">
        <v>46319</v>
      </c>
      <c r="F155" t="inlineStr">
        <is>
          <t>SÖDERMANLANDS LÄN</t>
        </is>
      </c>
      <c r="G155" t="inlineStr">
        <is>
          <t>FLEN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46319</v>
      </c>
      <c r="F156" t="inlineStr">
        <is>
          <t>SÖDERMANLANDS LÄN</t>
        </is>
      </c>
      <c r="G156" t="inlineStr">
        <is>
          <t>FLEN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46319</v>
      </c>
      <c r="F157" t="inlineStr">
        <is>
          <t>SÖDERMANLANDS LÄN</t>
        </is>
      </c>
      <c r="G157" t="inlineStr">
        <is>
          <t>FLEN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46319</v>
      </c>
      <c r="F158" t="inlineStr">
        <is>
          <t>SÖDERMANLANDS LÄN</t>
        </is>
      </c>
      <c r="G158" t="inlineStr">
        <is>
          <t>FLEN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44770</v>
      </c>
      <c r="E159" s="1" t="n">
        <v>46319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46319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44640</v>
      </c>
      <c r="E161" s="1" t="n">
        <v>46319</v>
      </c>
      <c r="F161" t="inlineStr">
        <is>
          <t>SÖDERMANLANDS LÄN</t>
        </is>
      </c>
      <c r="G161" t="inlineStr">
        <is>
          <t>FLEN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46319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46319</v>
      </c>
      <c r="F163" t="inlineStr">
        <is>
          <t>SÖDERMANLANDS LÄN</t>
        </is>
      </c>
      <c r="G163" t="inlineStr">
        <is>
          <t>FLEN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46319</v>
      </c>
      <c r="F164" t="inlineStr">
        <is>
          <t>SÖDERMANLANDS LÄN</t>
        </is>
      </c>
      <c r="G164" t="inlineStr">
        <is>
          <t>FLEN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44778</v>
      </c>
      <c r="E165" s="1" t="n">
        <v>46319</v>
      </c>
      <c r="F165" t="inlineStr">
        <is>
          <t>SÖDERMANLANDS LÄN</t>
        </is>
      </c>
      <c r="G165" t="inlineStr">
        <is>
          <t>FLEN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46319</v>
      </c>
      <c r="F166" t="inlineStr">
        <is>
          <t>SÖDERMANLANDS LÄN</t>
        </is>
      </c>
      <c r="G166" t="inlineStr">
        <is>
          <t>FLEN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46319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46319</v>
      </c>
      <c r="F168" t="inlineStr">
        <is>
          <t>SÖDERMANLANDS LÄN</t>
        </is>
      </c>
      <c r="G168" t="inlineStr">
        <is>
          <t>FLEN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46319</v>
      </c>
      <c r="F169" t="inlineStr">
        <is>
          <t>SÖDERMANLANDS LÄN</t>
        </is>
      </c>
      <c r="G169" t="inlineStr">
        <is>
          <t>FLEN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46319</v>
      </c>
      <c r="F170" t="inlineStr">
        <is>
          <t>SÖDERMANLANDS LÄN</t>
        </is>
      </c>
      <c r="G170" t="inlineStr">
        <is>
          <t>FLEN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46319</v>
      </c>
      <c r="F171" t="inlineStr">
        <is>
          <t>SÖDERMANLANDS LÄN</t>
        </is>
      </c>
      <c r="G171" t="inlineStr">
        <is>
          <t>FLEN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46319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46319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46319</v>
      </c>
      <c r="F174" t="inlineStr">
        <is>
          <t>SÖDERMANLANDS LÄN</t>
        </is>
      </c>
      <c r="G174" t="inlineStr">
        <is>
          <t>FLEN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46319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46319</v>
      </c>
      <c r="F176" t="inlineStr">
        <is>
          <t>SÖDERMANLANDS LÄN</t>
        </is>
      </c>
      <c r="G176" t="inlineStr">
        <is>
          <t>FLEN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46319</v>
      </c>
      <c r="F177" t="inlineStr">
        <is>
          <t>SÖDERMANLANDS LÄN</t>
        </is>
      </c>
      <c r="G177" t="inlineStr">
        <is>
          <t>FLEN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44566</v>
      </c>
      <c r="E178" s="1" t="n">
        <v>46319</v>
      </c>
      <c r="F178" t="inlineStr">
        <is>
          <t>SÖDERMANLANDS LÄN</t>
        </is>
      </c>
      <c r="G178" t="inlineStr">
        <is>
          <t>FLEN</t>
        </is>
      </c>
      <c r="H178" t="inlineStr">
        <is>
          <t>Kyrkan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46319</v>
      </c>
      <c r="F179" t="inlineStr">
        <is>
          <t>SÖDERMANLANDS LÄN</t>
        </is>
      </c>
      <c r="G179" t="inlineStr">
        <is>
          <t>FLEN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46319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46319</v>
      </c>
      <c r="F181" t="inlineStr">
        <is>
          <t>SÖDERMANLANDS LÄN</t>
        </is>
      </c>
      <c r="G181" t="inlineStr">
        <is>
          <t>FLEN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46319</v>
      </c>
      <c r="F182" t="inlineStr">
        <is>
          <t>SÖDERMANLANDS LÄN</t>
        </is>
      </c>
      <c r="G182" t="inlineStr">
        <is>
          <t>FLEN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46319</v>
      </c>
      <c r="F183" t="inlineStr">
        <is>
          <t>SÖDERMANLANDS LÄN</t>
        </is>
      </c>
      <c r="G183" t="inlineStr">
        <is>
          <t>FLEN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46319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46319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46319</v>
      </c>
      <c r="F186" t="inlineStr">
        <is>
          <t>SÖDERMANLANDS LÄN</t>
        </is>
      </c>
      <c r="G186" t="inlineStr">
        <is>
          <t>FLEN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45311</v>
      </c>
      <c r="E187" s="1" t="n">
        <v>46319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46319</v>
      </c>
      <c r="F188" t="inlineStr">
        <is>
          <t>SÖDERMANLANDS LÄN</t>
        </is>
      </c>
      <c r="G188" t="inlineStr">
        <is>
          <t>FLEN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46319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46319</v>
      </c>
      <c r="F190" t="inlineStr">
        <is>
          <t>SÖDERMANLANDS LÄN</t>
        </is>
      </c>
      <c r="G190" t="inlineStr">
        <is>
          <t>FLEN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45228</v>
      </c>
      <c r="E191" s="1" t="n">
        <v>46319</v>
      </c>
      <c r="F191" t="inlineStr">
        <is>
          <t>SÖDERMANLANDS LÄN</t>
        </is>
      </c>
      <c r="G191" t="inlineStr">
        <is>
          <t>FLEN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46319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46319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45482</v>
      </c>
      <c r="E194" s="1" t="n">
        <v>46319</v>
      </c>
      <c r="F194" t="inlineStr">
        <is>
          <t>SÖDERMANLANDS LÄN</t>
        </is>
      </c>
      <c r="G194" t="inlineStr">
        <is>
          <t>FLEN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45213</v>
      </c>
      <c r="E195" s="1" t="n">
        <v>46319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46319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60937-2022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46319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46319</v>
      </c>
      <c r="F198" t="inlineStr">
        <is>
          <t>SÖDERMANLANDS LÄN</t>
        </is>
      </c>
      <c r="G198" t="inlineStr">
        <is>
          <t>FLEN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46319</v>
      </c>
      <c r="F199" t="inlineStr">
        <is>
          <t>SÖDERMANLANDS LÄN</t>
        </is>
      </c>
      <c r="G199" t="inlineStr">
        <is>
          <t>FLEN</t>
        </is>
      </c>
      <c r="H199" t="inlineStr">
        <is>
          <t>Holmen skog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46319</v>
      </c>
      <c r="F200" t="inlineStr">
        <is>
          <t>SÖDERMANLANDS LÄN</t>
        </is>
      </c>
      <c r="G200" t="inlineStr">
        <is>
          <t>FLEN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46319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46319</v>
      </c>
      <c r="F202" t="inlineStr">
        <is>
          <t>SÖDERMANLANDS LÄN</t>
        </is>
      </c>
      <c r="G202" t="inlineStr">
        <is>
          <t>FLEN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44785</v>
      </c>
      <c r="E203" s="1" t="n">
        <v>46319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46319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46319</v>
      </c>
      <c r="F205" t="inlineStr">
        <is>
          <t>SÖDERMANLANDS LÄN</t>
        </is>
      </c>
      <c r="G205" t="inlineStr">
        <is>
          <t>FLEN</t>
        </is>
      </c>
      <c r="H205" t="inlineStr">
        <is>
          <t>Holmen skog AB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44648</v>
      </c>
      <c r="E206" s="1" t="n">
        <v>46319</v>
      </c>
      <c r="F206" t="inlineStr">
        <is>
          <t>SÖDERMANLANDS LÄN</t>
        </is>
      </c>
      <c r="G206" t="inlineStr">
        <is>
          <t>FLEN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46319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46319</v>
      </c>
      <c r="F208" t="inlineStr">
        <is>
          <t>SÖDERMANLANDS LÄN</t>
        </is>
      </c>
      <c r="G208" t="inlineStr">
        <is>
          <t>FLEN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46319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46319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46319</v>
      </c>
      <c r="F211" t="inlineStr">
        <is>
          <t>SÖDERMANLANDS LÄN</t>
        </is>
      </c>
      <c r="G211" t="inlineStr">
        <is>
          <t>FLEN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46319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54781-2024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45618</v>
      </c>
      <c r="E213" s="1" t="n">
        <v>46319</v>
      </c>
      <c r="F213" t="inlineStr">
        <is>
          <t>SÖDERMANLANDS LÄN</t>
        </is>
      </c>
      <c r="G213" t="inlineStr">
        <is>
          <t>FLEN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46319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HYPERLINK("https://klasma.github.io/Logging_0482/knärot/A 24450-2026 karta knärot.png", "A 24450-2026")</f>
        <v/>
      </c>
      <c r="AA214">
        <f>HYPERLINK("https://klasma.github.io/Logging_0482/klagomål/A 24450-2026 FSC-klagomål.docx", "A 24450-2026")</f>
        <v/>
      </c>
      <c r="AB214">
        <f>HYPERLINK("https://klasma.github.io/Logging_0482/klagomålsmail/A 24450-2026 FSC-klagomål mail.docx", "A 24450-2026")</f>
        <v/>
      </c>
      <c r="AC214">
        <f>HYPERLINK("https://klasma.github.io/Logging_0482/tillsyn/A 24450-2026 tillsynsbegäran.docx", "A 24450-2026")</f>
        <v/>
      </c>
      <c r="AD214">
        <f>HYPERLINK("https://klasma.github.io/Logging_0482/tillsynsmail/A 24450-2026 tillsynsbegäran mail.docx", "A 24450-2026")</f>
        <v/>
      </c>
    </row>
    <row r="215" ht="15" customHeight="1">
      <c r="A215" t="inlineStr">
        <is>
          <t>A 26663-2022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46319</v>
      </c>
      <c r="F215" t="inlineStr">
        <is>
          <t>SÖDERMANLANDS LÄN</t>
        </is>
      </c>
      <c r="G215" t="inlineStr">
        <is>
          <t>FLEN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46319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47872-2025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45932</v>
      </c>
      <c r="E217" s="1" t="n">
        <v>46319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46319</v>
      </c>
      <c r="F218" t="inlineStr">
        <is>
          <t>SÖDERMANLANDS LÄN</t>
        </is>
      </c>
      <c r="G218" t="inlineStr">
        <is>
          <t>FLEN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44769</v>
      </c>
      <c r="E219" s="1" t="n">
        <v>46319</v>
      </c>
      <c r="F219" t="inlineStr">
        <is>
          <t>SÖDERMANLANDS LÄN</t>
        </is>
      </c>
      <c r="G219" t="inlineStr">
        <is>
          <t>FLEN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46319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46319</v>
      </c>
      <c r="F221" t="inlineStr">
        <is>
          <t>SÖDERMANLANDS LÄN</t>
        </is>
      </c>
      <c r="G221" t="inlineStr">
        <is>
          <t>FLEN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46319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14.7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46319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44872</v>
      </c>
      <c r="E224" s="1" t="n">
        <v>46319</v>
      </c>
      <c r="F224" t="inlineStr">
        <is>
          <t>SÖDERMANLANDS LÄN</t>
        </is>
      </c>
      <c r="G224" t="inlineStr">
        <is>
          <t>FLEN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46319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46319</v>
      </c>
      <c r="F226" t="inlineStr">
        <is>
          <t>SÖDERMANLANDS LÄN</t>
        </is>
      </c>
      <c r="G226" t="inlineStr">
        <is>
          <t>FLEN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46319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46319</v>
      </c>
      <c r="F228" t="inlineStr">
        <is>
          <t>SÖDERMANLANDS LÄN</t>
        </is>
      </c>
      <c r="G228" t="inlineStr">
        <is>
          <t>FLEN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46319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46319</v>
      </c>
      <c r="F230" t="inlineStr">
        <is>
          <t>SÖDERMANLANDS LÄN</t>
        </is>
      </c>
      <c r="G230" t="inlineStr">
        <is>
          <t>FLEN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46319</v>
      </c>
      <c r="F231" t="inlineStr">
        <is>
          <t>SÖDERMANLANDS LÄN</t>
        </is>
      </c>
      <c r="G231" t="inlineStr">
        <is>
          <t>FLEN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46319</v>
      </c>
      <c r="F232" t="inlineStr">
        <is>
          <t>SÖDERMANLANDS LÄN</t>
        </is>
      </c>
      <c r="G232" t="inlineStr">
        <is>
          <t>FLEN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46319</v>
      </c>
      <c r="F233" t="inlineStr">
        <is>
          <t>SÖDERMANLANDS LÄN</t>
        </is>
      </c>
      <c r="G233" t="inlineStr">
        <is>
          <t>FLEN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46319</v>
      </c>
      <c r="F234" t="inlineStr">
        <is>
          <t>SÖDERMANLANDS LÄN</t>
        </is>
      </c>
      <c r="G234" t="inlineStr">
        <is>
          <t>FLEN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46181</v>
      </c>
      <c r="E235" s="1" t="n">
        <v>46319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46319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46319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46319</v>
      </c>
      <c r="F238" t="inlineStr">
        <is>
          <t>SÖDERMANLANDS LÄN</t>
        </is>
      </c>
      <c r="G238" t="inlineStr">
        <is>
          <t>FLEN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46319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62579-2023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45270</v>
      </c>
      <c r="E240" s="1" t="n">
        <v>46319</v>
      </c>
      <c r="F240" t="inlineStr">
        <is>
          <t>SÖDERMANLANDS LÄN</t>
        </is>
      </c>
      <c r="G240" t="inlineStr">
        <is>
          <t>FLEN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46319</v>
      </c>
      <c r="F241" t="inlineStr">
        <is>
          <t>SÖDERMANLANDS LÄN</t>
        </is>
      </c>
      <c r="G241" t="inlineStr">
        <is>
          <t>FLEN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46319</v>
      </c>
      <c r="F242" t="inlineStr">
        <is>
          <t>SÖDERMANLANDS LÄN</t>
        </is>
      </c>
      <c r="G242" t="inlineStr">
        <is>
          <t>FLEN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46319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46319</v>
      </c>
      <c r="F244" t="inlineStr">
        <is>
          <t>SÖDERMANLANDS LÄN</t>
        </is>
      </c>
      <c r="G244" t="inlineStr">
        <is>
          <t>FLEN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46188</v>
      </c>
      <c r="E245" s="1" t="n">
        <v>46319</v>
      </c>
      <c r="F245" t="inlineStr">
        <is>
          <t>SÖDERMANLANDS LÄN</t>
        </is>
      </c>
      <c r="G245" t="inlineStr">
        <is>
          <t>FLEN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46319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54282-2025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45964</v>
      </c>
      <c r="E247" s="1" t="n">
        <v>46319</v>
      </c>
      <c r="F247" t="inlineStr">
        <is>
          <t>SÖDERMANLANDS LÄN</t>
        </is>
      </c>
      <c r="G247" t="inlineStr">
        <is>
          <t>FLEN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54283-2025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45964</v>
      </c>
      <c r="E248" s="1" t="n">
        <v>46319</v>
      </c>
      <c r="F248" t="inlineStr">
        <is>
          <t>SÖDERMANLANDS LÄN</t>
        </is>
      </c>
      <c r="G248" t="inlineStr">
        <is>
          <t>FLEN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46319</v>
      </c>
      <c r="F249" t="inlineStr">
        <is>
          <t>SÖDERMANLANDS LÄN</t>
        </is>
      </c>
      <c r="G249" t="inlineStr">
        <is>
          <t>FLEN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45299</v>
      </c>
      <c r="E250" s="1" t="n">
        <v>46319</v>
      </c>
      <c r="F250" t="inlineStr">
        <is>
          <t>SÖDERMANLANDS LÄN</t>
        </is>
      </c>
      <c r="G250" t="inlineStr">
        <is>
          <t>FLEN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46319</v>
      </c>
      <c r="F251" t="inlineStr">
        <is>
          <t>SÖDERMANLANDS LÄN</t>
        </is>
      </c>
      <c r="G251" t="inlineStr">
        <is>
          <t>FLEN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46319</v>
      </c>
      <c r="F252" t="inlineStr">
        <is>
          <t>SÖDERMANLANDS LÄN</t>
        </is>
      </c>
      <c r="G252" t="inlineStr">
        <is>
          <t>FLEN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46319</v>
      </c>
      <c r="F253" t="inlineStr">
        <is>
          <t>SÖDERMANLANDS LÄN</t>
        </is>
      </c>
      <c r="G253" t="inlineStr">
        <is>
          <t>FLEN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46319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46319</v>
      </c>
      <c r="F255" t="inlineStr">
        <is>
          <t>SÖDERMANLANDS LÄN</t>
        </is>
      </c>
      <c r="G255" t="inlineStr">
        <is>
          <t>FLEN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45331</v>
      </c>
      <c r="E256" s="1" t="n">
        <v>46319</v>
      </c>
      <c r="F256" t="inlineStr">
        <is>
          <t>SÖDERMANLANDS LÄN</t>
        </is>
      </c>
      <c r="G256" t="inlineStr">
        <is>
          <t>FLEN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46196</v>
      </c>
      <c r="E257" s="1" t="n">
        <v>46319</v>
      </c>
      <c r="F257" t="inlineStr">
        <is>
          <t>SÖDERMANLANDS LÄN</t>
        </is>
      </c>
      <c r="G257" t="inlineStr">
        <is>
          <t>FLEN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45974</v>
      </c>
      <c r="E258" s="1" t="n">
        <v>46319</v>
      </c>
      <c r="F258" t="inlineStr">
        <is>
          <t>SÖDERMANLANDS LÄN</t>
        </is>
      </c>
      <c r="G258" t="inlineStr">
        <is>
          <t>FLEN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46319</v>
      </c>
      <c r="F259" t="inlineStr">
        <is>
          <t>SÖDERMANLANDS LÄN</t>
        </is>
      </c>
      <c r="G259" t="inlineStr">
        <is>
          <t>FLEN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44931</v>
      </c>
      <c r="E260" s="1" t="n">
        <v>46319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46319</v>
      </c>
      <c r="F261" t="inlineStr">
        <is>
          <t>SÖDERMANLANDS LÄN</t>
        </is>
      </c>
      <c r="G261" t="inlineStr">
        <is>
          <t>FLEN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65869-2021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46319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45217</v>
      </c>
      <c r="E263" s="1" t="n">
        <v>46319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45066</v>
      </c>
      <c r="E264" s="1" t="n">
        <v>46319</v>
      </c>
      <c r="F264" t="inlineStr">
        <is>
          <t>SÖDERMANLANDS LÄN</t>
        </is>
      </c>
      <c r="G264" t="inlineStr">
        <is>
          <t>FLEN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46319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46319</v>
      </c>
      <c r="F266" t="inlineStr">
        <is>
          <t>SÖDERMANLANDS LÄN</t>
        </is>
      </c>
      <c r="G266" t="inlineStr">
        <is>
          <t>FLEN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46319</v>
      </c>
      <c r="F267" t="inlineStr">
        <is>
          <t>SÖDERMANLANDS LÄN</t>
        </is>
      </c>
      <c r="G267" t="inlineStr">
        <is>
          <t>FLEN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46319</v>
      </c>
      <c r="F268" t="inlineStr">
        <is>
          <t>SÖDERMANLANDS LÄN</t>
        </is>
      </c>
      <c r="G268" t="inlineStr">
        <is>
          <t>FLEN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46319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45013</v>
      </c>
      <c r="E270" s="1" t="n">
        <v>46319</v>
      </c>
      <c r="F270" t="inlineStr">
        <is>
          <t>SÖDERMANLANDS LÄN</t>
        </is>
      </c>
      <c r="G270" t="inlineStr">
        <is>
          <t>FLEN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46319</v>
      </c>
      <c r="F271" t="inlineStr">
        <is>
          <t>SÖDERMANLANDS LÄN</t>
        </is>
      </c>
      <c r="G271" t="inlineStr">
        <is>
          <t>FLEN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45256</v>
      </c>
      <c r="E272" s="1" t="n">
        <v>46319</v>
      </c>
      <c r="F272" t="inlineStr">
        <is>
          <t>SÖDERMANLANDS LÄN</t>
        </is>
      </c>
      <c r="G272" t="inlineStr">
        <is>
          <t>FLEN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46319</v>
      </c>
      <c r="F273" t="inlineStr">
        <is>
          <t>SÖDERMANLANDS LÄN</t>
        </is>
      </c>
      <c r="G273" t="inlineStr">
        <is>
          <t>FLEN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46319</v>
      </c>
      <c r="F274" t="inlineStr">
        <is>
          <t>SÖDERMANLANDS LÄN</t>
        </is>
      </c>
      <c r="G274" t="inlineStr">
        <is>
          <t>FLEN</t>
        </is>
      </c>
      <c r="H274" t="inlineStr">
        <is>
          <t>Kyrkan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46319</v>
      </c>
      <c r="F275" t="inlineStr">
        <is>
          <t>SÖDERMANLANDS LÄN</t>
        </is>
      </c>
      <c r="G275" t="inlineStr">
        <is>
          <t>FLEN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46319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46319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46319</v>
      </c>
      <c r="F278" t="inlineStr">
        <is>
          <t>SÖDERMANLANDS LÄN</t>
        </is>
      </c>
      <c r="G278" t="inlineStr">
        <is>
          <t>FLEN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46319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46319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13233-2024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45386</v>
      </c>
      <c r="E281" s="1" t="n">
        <v>46319</v>
      </c>
      <c r="F281" t="inlineStr">
        <is>
          <t>SÖDERMANLANDS LÄN</t>
        </is>
      </c>
      <c r="G281" t="inlineStr">
        <is>
          <t>FLEN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46319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45777</v>
      </c>
      <c r="E283" s="1" t="n">
        <v>46319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46229</v>
      </c>
      <c r="E284" s="1" t="n">
        <v>46319</v>
      </c>
      <c r="F284" t="inlineStr">
        <is>
          <t>SÖDERMANLANDS LÄN</t>
        </is>
      </c>
      <c r="G284" t="inlineStr">
        <is>
          <t>FLEN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46319</v>
      </c>
      <c r="F285" t="inlineStr">
        <is>
          <t>SÖDERMANLANDS LÄN</t>
        </is>
      </c>
      <c r="G285" t="inlineStr">
        <is>
          <t>FLEN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46319</v>
      </c>
      <c r="F286" t="inlineStr">
        <is>
          <t>SÖDERMANLANDS LÄN</t>
        </is>
      </c>
      <c r="G286" t="inlineStr">
        <is>
          <t>FLEN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46319</v>
      </c>
      <c r="F287" t="inlineStr">
        <is>
          <t>SÖDERMANLANDS LÄN</t>
        </is>
      </c>
      <c r="G287" t="inlineStr">
        <is>
          <t>FLEN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44852</v>
      </c>
      <c r="E288" s="1" t="n">
        <v>46319</v>
      </c>
      <c r="F288" t="inlineStr">
        <is>
          <t>SÖDERMANLANDS LÄN</t>
        </is>
      </c>
      <c r="G288" t="inlineStr">
        <is>
          <t>FLEN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46319</v>
      </c>
      <c r="F289" t="inlineStr">
        <is>
          <t>SÖDERMANLANDS LÄN</t>
        </is>
      </c>
      <c r="G289" t="inlineStr">
        <is>
          <t>FLEN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46319</v>
      </c>
      <c r="F290" t="inlineStr">
        <is>
          <t>SÖDERMANLANDS LÄN</t>
        </is>
      </c>
      <c r="G290" t="inlineStr">
        <is>
          <t>FLEN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46319</v>
      </c>
      <c r="F291" t="inlineStr">
        <is>
          <t>SÖDERMANLANDS LÄN</t>
        </is>
      </c>
      <c r="G291" t="inlineStr">
        <is>
          <t>FLEN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46319</v>
      </c>
      <c r="F292" t="inlineStr">
        <is>
          <t>SÖDERMANLANDS LÄN</t>
        </is>
      </c>
      <c r="G292" t="inlineStr">
        <is>
          <t>FLEN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45790</v>
      </c>
      <c r="E293" s="1" t="n">
        <v>46319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46319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46244</v>
      </c>
      <c r="E295" s="1" t="n">
        <v>46319</v>
      </c>
      <c r="F295" t="inlineStr">
        <is>
          <t>SÖDERMANLANDS LÄN</t>
        </is>
      </c>
      <c r="G295" t="inlineStr">
        <is>
          <t>FLEN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46319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46319</v>
      </c>
      <c r="F297" t="inlineStr">
        <is>
          <t>SÖDERMANLANDS LÄN</t>
        </is>
      </c>
      <c r="G297" t="inlineStr">
        <is>
          <t>FLEN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46319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46319</v>
      </c>
      <c r="F299" t="inlineStr">
        <is>
          <t>SÖDERMANLANDS LÄN</t>
        </is>
      </c>
      <c r="G299" t="inlineStr">
        <is>
          <t>FLEN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46319</v>
      </c>
      <c r="F300" t="inlineStr">
        <is>
          <t>SÖDERMANLANDS LÄN</t>
        </is>
      </c>
      <c r="G300" t="inlineStr">
        <is>
          <t>FLEN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46319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46319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46319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46319</v>
      </c>
      <c r="F304" t="inlineStr">
        <is>
          <t>SÖDERMANLANDS LÄN</t>
        </is>
      </c>
      <c r="G304" t="inlineStr">
        <is>
          <t>FLEN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46286</v>
      </c>
      <c r="E305" s="1" t="n">
        <v>46319</v>
      </c>
      <c r="F305" t="inlineStr">
        <is>
          <t>SÖDERMANLANDS LÄN</t>
        </is>
      </c>
      <c r="G305" t="inlineStr">
        <is>
          <t>FLEN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46319</v>
      </c>
      <c r="F306" t="inlineStr">
        <is>
          <t>SÖDERMANLANDS LÄN</t>
        </is>
      </c>
      <c r="G306" t="inlineStr">
        <is>
          <t>FLEN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46319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46319</v>
      </c>
      <c r="F308" t="inlineStr">
        <is>
          <t>SÖDERMANLANDS LÄN</t>
        </is>
      </c>
      <c r="G308" t="inlineStr">
        <is>
          <t>FLEN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46319</v>
      </c>
      <c r="F309" t="inlineStr">
        <is>
          <t>SÖDERMANLANDS LÄN</t>
        </is>
      </c>
      <c r="G309" t="inlineStr">
        <is>
          <t>FLEN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46319</v>
      </c>
      <c r="F310" t="inlineStr">
        <is>
          <t>SÖDERMANLANDS LÄN</t>
        </is>
      </c>
      <c r="G310" t="inlineStr">
        <is>
          <t>FLEN</t>
        </is>
      </c>
      <c r="H310" t="inlineStr">
        <is>
          <t>Övriga statliga verk och myndigheter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46319</v>
      </c>
      <c r="F311" t="inlineStr">
        <is>
          <t>SÖDERMANLANDS LÄN</t>
        </is>
      </c>
      <c r="G311" t="inlineStr">
        <is>
          <t>FLEN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46319</v>
      </c>
      <c r="F312" t="inlineStr">
        <is>
          <t>SÖDERMANLANDS LÄN</t>
        </is>
      </c>
      <c r="G312" t="inlineStr">
        <is>
          <t>FLEN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33936-2026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46250</v>
      </c>
      <c r="E313" s="1" t="n">
        <v>46319</v>
      </c>
      <c r="F313" t="inlineStr">
        <is>
          <t>SÖDERMANLANDS LÄN</t>
        </is>
      </c>
      <c r="G313" t="inlineStr">
        <is>
          <t>FLEN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46293</v>
      </c>
      <c r="E314" s="1" t="n">
        <v>46319</v>
      </c>
      <c r="F314" t="inlineStr">
        <is>
          <t>SÖDERMANLANDS LÄN</t>
        </is>
      </c>
      <c r="G314" t="inlineStr">
        <is>
          <t>FLEN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46319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46319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46319</v>
      </c>
      <c r="F317" t="inlineStr">
        <is>
          <t>SÖDERMANLANDS LÄN</t>
        </is>
      </c>
      <c r="G317" t="inlineStr">
        <is>
          <t>FLEN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46319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46319</v>
      </c>
      <c r="F319" t="inlineStr">
        <is>
          <t>SÖDERMANLANDS LÄN</t>
        </is>
      </c>
      <c r="G319" t="inlineStr">
        <is>
          <t>FLEN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46319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46319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46319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46319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46319</v>
      </c>
      <c r="F324" t="inlineStr">
        <is>
          <t>SÖDERMANLANDS LÄN</t>
        </is>
      </c>
      <c r="G324" t="inlineStr">
        <is>
          <t>FLEN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46319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46319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46319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46319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46319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46319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45830</v>
      </c>
      <c r="E331" s="1" t="n">
        <v>46319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45830</v>
      </c>
      <c r="E332" s="1" t="n">
        <v>46319</v>
      </c>
      <c r="F332" t="inlineStr">
        <is>
          <t>SÖDERMANLANDS LÄN</t>
        </is>
      </c>
      <c r="G332" t="inlineStr">
        <is>
          <t>FLEN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46295</v>
      </c>
      <c r="E333" s="1" t="n">
        <v>46319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46319</v>
      </c>
      <c r="F334" t="inlineStr">
        <is>
          <t>SÖDERMANLANDS LÄN</t>
        </is>
      </c>
      <c r="G334" t="inlineStr">
        <is>
          <t>FLEN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46319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46296</v>
      </c>
      <c r="E336" s="1" t="n">
        <v>46319</v>
      </c>
      <c r="F336" t="inlineStr">
        <is>
          <t>SÖDERMANLANDS LÄN</t>
        </is>
      </c>
      <c r="G336" t="inlineStr">
        <is>
          <t>FLEN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46319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45702</v>
      </c>
      <c r="E338" s="1" t="n">
        <v>46319</v>
      </c>
      <c r="F338" t="inlineStr">
        <is>
          <t>SÖDERMANLANDS LÄN</t>
        </is>
      </c>
      <c r="G338" t="inlineStr">
        <is>
          <t>FLEN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45478</v>
      </c>
      <c r="E339" s="1" t="n">
        <v>46319</v>
      </c>
      <c r="F339" t="inlineStr">
        <is>
          <t>SÖDERMANLANDS LÄN</t>
        </is>
      </c>
      <c r="G339" t="inlineStr">
        <is>
          <t>FLEN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45729</v>
      </c>
      <c r="E340" s="1" t="n">
        <v>46319</v>
      </c>
      <c r="F340" t="inlineStr">
        <is>
          <t>SÖDERMANLANDS LÄN</t>
        </is>
      </c>
      <c r="G340" t="inlineStr">
        <is>
          <t>FLEN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46319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46319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46319</v>
      </c>
      <c r="F343" t="inlineStr">
        <is>
          <t>SÖDERMANLANDS LÄN</t>
        </is>
      </c>
      <c r="G343" t="inlineStr">
        <is>
          <t>FLEN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46319</v>
      </c>
      <c r="F344" t="inlineStr">
        <is>
          <t>SÖDERMANLANDS LÄN</t>
        </is>
      </c>
      <c r="G344" t="inlineStr">
        <is>
          <t>FLEN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46319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44899</v>
      </c>
      <c r="E346" s="1" t="n">
        <v>46319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46319</v>
      </c>
      <c r="F347" t="inlineStr">
        <is>
          <t>SÖDERMANLANDS LÄN</t>
        </is>
      </c>
      <c r="G347" t="inlineStr">
        <is>
          <t>FLEN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46319</v>
      </c>
      <c r="F348" t="inlineStr">
        <is>
          <t>SÖDERMANLANDS LÄN</t>
        </is>
      </c>
      <c r="G348" t="inlineStr">
        <is>
          <t>FLEN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46319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46319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46319</v>
      </c>
      <c r="F351" t="inlineStr">
        <is>
          <t>SÖDERMANLANDS LÄN</t>
        </is>
      </c>
      <c r="G351" t="inlineStr">
        <is>
          <t>FLEN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66979-2021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44522</v>
      </c>
      <c r="E352" s="1" t="n">
        <v>46319</v>
      </c>
      <c r="F352" t="inlineStr">
        <is>
          <t>SÖDERMANLANDS LÄN</t>
        </is>
      </c>
      <c r="G352" t="inlineStr">
        <is>
          <t>FLEN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46319</v>
      </c>
      <c r="F353" t="inlineStr">
        <is>
          <t>SÖDERMANLANDS LÄN</t>
        </is>
      </c>
      <c r="G353" t="inlineStr">
        <is>
          <t>FLEN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46126</v>
      </c>
      <c r="E354" s="1" t="n">
        <v>46319</v>
      </c>
      <c r="F354" t="inlineStr">
        <is>
          <t>SÖDERMANLANDS LÄN</t>
        </is>
      </c>
      <c r="G354" t="inlineStr">
        <is>
          <t>FLEN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46319</v>
      </c>
      <c r="F355" t="inlineStr">
        <is>
          <t>SÖDERMANLANDS LÄN</t>
        </is>
      </c>
      <c r="G355" t="inlineStr">
        <is>
          <t>FLEN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46319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46265</v>
      </c>
      <c r="E357" s="1" t="n">
        <v>46319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46319</v>
      </c>
      <c r="F358" t="inlineStr">
        <is>
          <t>SÖDERMANLANDS LÄN</t>
        </is>
      </c>
      <c r="G358" t="inlineStr">
        <is>
          <t>FLEN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46319</v>
      </c>
      <c r="F359" t="inlineStr">
        <is>
          <t>SÖDERMANLANDS LÄN</t>
        </is>
      </c>
      <c r="G359" t="inlineStr">
        <is>
          <t>FLEN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46249</v>
      </c>
      <c r="E360" s="1" t="n">
        <v>46319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46319</v>
      </c>
      <c r="F361" t="inlineStr">
        <is>
          <t>SÖDERMANLANDS LÄN</t>
        </is>
      </c>
      <c r="G361" t="inlineStr">
        <is>
          <t>FLEN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46319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46319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45540</v>
      </c>
      <c r="E364" s="1" t="n">
        <v>46319</v>
      </c>
      <c r="F364" t="inlineStr">
        <is>
          <t>SÖDERMANLANDS LÄN</t>
        </is>
      </c>
      <c r="G364" t="inlineStr">
        <is>
          <t>FLEN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46319</v>
      </c>
      <c r="F365" t="inlineStr">
        <is>
          <t>SÖDERMANLANDS LÄN</t>
        </is>
      </c>
      <c r="G365" t="inlineStr">
        <is>
          <t>FLEN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12172-2022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44636</v>
      </c>
      <c r="E366" s="1" t="n">
        <v>46319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48785-2022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44859</v>
      </c>
      <c r="E367" s="1" t="n">
        <v>46319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46319</v>
      </c>
      <c r="F368" t="inlineStr">
        <is>
          <t>SÖDERMANLANDS LÄN</t>
        </is>
      </c>
      <c r="G368" t="inlineStr">
        <is>
          <t>FLEN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46319</v>
      </c>
      <c r="F369" t="inlineStr">
        <is>
          <t>SÖDERMANLANDS LÄN</t>
        </is>
      </c>
      <c r="G369" t="inlineStr">
        <is>
          <t>FLEN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46319</v>
      </c>
      <c r="F370" t="inlineStr">
        <is>
          <t>SÖDERMANLANDS LÄN</t>
        </is>
      </c>
      <c r="G370" t="inlineStr">
        <is>
          <t>FLEN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46307</v>
      </c>
      <c r="E371" s="1" t="n">
        <v>46319</v>
      </c>
      <c r="F371" t="inlineStr">
        <is>
          <t>SÖDERMANLANDS LÄN</t>
        </is>
      </c>
      <c r="G371" t="inlineStr">
        <is>
          <t>FLEN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46319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46319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46319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46319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46319</v>
      </c>
      <c r="F376" t="inlineStr">
        <is>
          <t>SÖDERMANLANDS LÄN</t>
        </is>
      </c>
      <c r="G376" t="inlineStr">
        <is>
          <t>FLEN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44807</v>
      </c>
      <c r="E377" s="1" t="n">
        <v>46319</v>
      </c>
      <c r="F377" t="inlineStr">
        <is>
          <t>SÖDERMANLANDS LÄN</t>
        </is>
      </c>
      <c r="G377" t="inlineStr">
        <is>
          <t>FLEN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46319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46319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9431-2022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44616</v>
      </c>
      <c r="E380" s="1" t="n">
        <v>46319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46319</v>
      </c>
      <c r="F381" t="inlineStr">
        <is>
          <t>SÖDERMANLANDS LÄN</t>
        </is>
      </c>
      <c r="G381" t="inlineStr">
        <is>
          <t>FLEN</t>
        </is>
      </c>
      <c r="H381" t="inlineStr">
        <is>
          <t>Övriga statliga verk och myndigheter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46319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45869</v>
      </c>
      <c r="E383" s="1" t="n">
        <v>46319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46319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44838</v>
      </c>
      <c r="E385" s="1" t="n">
        <v>46319</v>
      </c>
      <c r="F385" t="inlineStr">
        <is>
          <t>SÖDERMANLANDS LÄN</t>
        </is>
      </c>
      <c r="G385" t="inlineStr">
        <is>
          <t>FLEN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45888</v>
      </c>
      <c r="E386" s="1" t="n">
        <v>46319</v>
      </c>
      <c r="F386" t="inlineStr">
        <is>
          <t>SÖDERMANLANDS LÄN</t>
        </is>
      </c>
      <c r="G386" t="inlineStr">
        <is>
          <t>FLEN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44958</v>
      </c>
      <c r="E387" s="1" t="n">
        <v>46319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46319</v>
      </c>
      <c r="F388" t="inlineStr">
        <is>
          <t>SÖDERMANLANDS LÄN</t>
        </is>
      </c>
      <c r="G388" t="inlineStr">
        <is>
          <t>FLEN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45718</v>
      </c>
      <c r="E389" s="1" t="n">
        <v>46319</v>
      </c>
      <c r="F389" t="inlineStr">
        <is>
          <t>SÖDERMANLANDS LÄN</t>
        </is>
      </c>
      <c r="G389" t="inlineStr">
        <is>
          <t>FLEN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46319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46319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46273</v>
      </c>
      <c r="E392" s="1" t="n">
        <v>46319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46319</v>
      </c>
      <c r="F393" t="inlineStr">
        <is>
          <t>SÖDERMANLANDS LÄN</t>
        </is>
      </c>
      <c r="G393" t="inlineStr">
        <is>
          <t>FLEN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46319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46319</v>
      </c>
      <c r="F395" t="inlineStr">
        <is>
          <t>SÖDERMANLANDS LÄN</t>
        </is>
      </c>
      <c r="G395" t="inlineStr">
        <is>
          <t>FLEN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46319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46319</v>
      </c>
      <c r="F397" t="inlineStr">
        <is>
          <t>SÖDERMANLANDS LÄN</t>
        </is>
      </c>
      <c r="G397" t="inlineStr">
        <is>
          <t>FLEN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46319</v>
      </c>
      <c r="F398" t="inlineStr">
        <is>
          <t>SÖDERMANLANDS LÄN</t>
        </is>
      </c>
      <c r="G398" t="inlineStr">
        <is>
          <t>FLEN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46319</v>
      </c>
      <c r="F399" t="inlineStr">
        <is>
          <t>SÖDERMANLANDS LÄN</t>
        </is>
      </c>
      <c r="G399" t="inlineStr">
        <is>
          <t>FLEN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67464-2021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44524</v>
      </c>
      <c r="E400" s="1" t="n">
        <v>46319</v>
      </c>
      <c r="F400" t="inlineStr">
        <is>
          <t>SÖDERMANLANDS LÄN</t>
        </is>
      </c>
      <c r="G400" t="inlineStr">
        <is>
          <t>FLEN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46319</v>
      </c>
      <c r="F401" t="inlineStr">
        <is>
          <t>SÖDERMANLANDS LÄN</t>
        </is>
      </c>
      <c r="G401" t="inlineStr">
        <is>
          <t>FLEN</t>
        </is>
      </c>
      <c r="H401" t="inlineStr">
        <is>
          <t>Övriga statliga verk och myndigheter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46319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44986</v>
      </c>
      <c r="E403" s="1" t="n">
        <v>46319</v>
      </c>
      <c r="F403" t="inlineStr">
        <is>
          <t>SÖDERMANLANDS LÄN</t>
        </is>
      </c>
      <c r="G403" t="inlineStr">
        <is>
          <t>FLEN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46319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44778</v>
      </c>
      <c r="E405" s="1" t="n">
        <v>46319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45089</v>
      </c>
      <c r="E406" s="1" t="n">
        <v>46319</v>
      </c>
      <c r="F406" t="inlineStr">
        <is>
          <t>SÖDERMANLANDS LÄN</t>
        </is>
      </c>
      <c r="G406" t="inlineStr">
        <is>
          <t>FLEN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46319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46319</v>
      </c>
      <c r="F408" t="inlineStr">
        <is>
          <t>SÖDERMANLANDS LÄN</t>
        </is>
      </c>
      <c r="G408" t="inlineStr">
        <is>
          <t>FLEN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60609-2022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46319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45581</v>
      </c>
      <c r="E410" s="1" t="n">
        <v>46319</v>
      </c>
      <c r="F410" t="inlineStr">
        <is>
          <t>SÖDERMANLANDS LÄN</t>
        </is>
      </c>
      <c r="G410" t="inlineStr">
        <is>
          <t>FLEN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44761</v>
      </c>
      <c r="E411" s="1" t="n">
        <v>46319</v>
      </c>
      <c r="F411" t="inlineStr">
        <is>
          <t>SÖDERMANLANDS LÄN</t>
        </is>
      </c>
      <c r="G411" t="inlineStr">
        <is>
          <t>FLEN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52353-2023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46319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46319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44970</v>
      </c>
      <c r="E414" s="1" t="n">
        <v>46319</v>
      </c>
      <c r="F414" t="inlineStr">
        <is>
          <t>SÖDERMANLANDS LÄN</t>
        </is>
      </c>
      <c r="G414" t="inlineStr">
        <is>
          <t>FLEN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46319</v>
      </c>
      <c r="F415" t="inlineStr">
        <is>
          <t>SÖDERMANLANDS LÄN</t>
        </is>
      </c>
      <c r="G415" t="inlineStr">
        <is>
          <t>FLEN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23859-2022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44722</v>
      </c>
      <c r="E416" s="1" t="n">
        <v>46319</v>
      </c>
      <c r="F416" t="inlineStr">
        <is>
          <t>SÖDERMANLANDS LÄN</t>
        </is>
      </c>
      <c r="G416" t="inlineStr">
        <is>
          <t>FLEN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46319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46319</v>
      </c>
      <c r="F418" t="inlineStr">
        <is>
          <t>SÖDERMANLANDS LÄN</t>
        </is>
      </c>
      <c r="G418" t="inlineStr">
        <is>
          <t>FLEN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45597</v>
      </c>
      <c r="E419" s="1" t="n">
        <v>46319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46319</v>
      </c>
      <c r="F420" t="inlineStr">
        <is>
          <t>SÖDERMANLANDS LÄN</t>
        </is>
      </c>
      <c r="G420" t="inlineStr">
        <is>
          <t>FLEN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46319</v>
      </c>
      <c r="F421" t="inlineStr">
        <is>
          <t>SÖDERMANLANDS LÄN</t>
        </is>
      </c>
      <c r="G421" t="inlineStr">
        <is>
          <t>FLEN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46319</v>
      </c>
      <c r="F422" t="inlineStr">
        <is>
          <t>SÖDERMANLANDS LÄN</t>
        </is>
      </c>
      <c r="G422" t="inlineStr">
        <is>
          <t>FLEN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46319</v>
      </c>
      <c r="F423" t="inlineStr">
        <is>
          <t>SÖDERMANLANDS LÄN</t>
        </is>
      </c>
      <c r="G423" t="inlineStr">
        <is>
          <t>FLEN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45713</v>
      </c>
      <c r="E424" s="1" t="n">
        <v>46319</v>
      </c>
      <c r="F424" t="inlineStr">
        <is>
          <t>SÖDERMANLANDS LÄN</t>
        </is>
      </c>
      <c r="G424" t="inlineStr">
        <is>
          <t>FLEN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53119-2023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45228</v>
      </c>
      <c r="E425" s="1" t="n">
        <v>46319</v>
      </c>
      <c r="F425" t="inlineStr">
        <is>
          <t>SÖDERMANLANDS LÄN</t>
        </is>
      </c>
      <c r="G425" t="inlineStr">
        <is>
          <t>FLEN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66867-2021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44522</v>
      </c>
      <c r="E426" s="1" t="n">
        <v>46319</v>
      </c>
      <c r="F426" t="inlineStr">
        <is>
          <t>SÖDERMANLANDS LÄN</t>
        </is>
      </c>
      <c r="G426" t="inlineStr">
        <is>
          <t>FLEN</t>
        </is>
      </c>
      <c r="H426" t="inlineStr">
        <is>
          <t>Kyrkan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46319</v>
      </c>
      <c r="F427" t="inlineStr">
        <is>
          <t>SÖDERMANLANDS LÄN</t>
        </is>
      </c>
      <c r="G427" t="inlineStr">
        <is>
          <t>FLEN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46319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45671</v>
      </c>
      <c r="E429" s="1" t="n">
        <v>46319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46319</v>
      </c>
      <c r="F430" t="inlineStr">
        <is>
          <t>SÖDERMANLANDS LÄN</t>
        </is>
      </c>
      <c r="G430" t="inlineStr">
        <is>
          <t>FLEN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46319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46319</v>
      </c>
      <c r="F432" t="inlineStr">
        <is>
          <t>SÖDERMANLANDS LÄN</t>
        </is>
      </c>
      <c r="G432" t="inlineStr">
        <is>
          <t>FLEN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46319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45041</v>
      </c>
      <c r="E434" s="1" t="n">
        <v>46319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46319</v>
      </c>
      <c r="F435" t="inlineStr">
        <is>
          <t>SÖDERMANLANDS LÄN</t>
        </is>
      </c>
      <c r="G435" t="inlineStr">
        <is>
          <t>FLEN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46319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44848</v>
      </c>
      <c r="E437" s="1" t="n">
        <v>46319</v>
      </c>
      <c r="F437" t="inlineStr">
        <is>
          <t>SÖDERMANLANDS LÄN</t>
        </is>
      </c>
      <c r="G437" t="inlineStr">
        <is>
          <t>FLEN</t>
        </is>
      </c>
      <c r="H437" t="inlineStr">
        <is>
          <t>Övriga statliga verk och myndigheter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46319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50898-2022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44864</v>
      </c>
      <c r="E439" s="1" t="n">
        <v>46319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45216</v>
      </c>
      <c r="E440" s="1" t="n">
        <v>46319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46319</v>
      </c>
      <c r="F441" t="inlineStr">
        <is>
          <t>SÖDERMANLANDS LÄN</t>
        </is>
      </c>
      <c r="G441" t="inlineStr">
        <is>
          <t>FLEN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46319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46319</v>
      </c>
      <c r="F443" t="inlineStr">
        <is>
          <t>SÖDERMANLANDS LÄN</t>
        </is>
      </c>
      <c r="G443" t="inlineStr">
        <is>
          <t>FLEN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45271</v>
      </c>
      <c r="E444" s="1" t="n">
        <v>46319</v>
      </c>
      <c r="F444" t="inlineStr">
        <is>
          <t>SÖDERMANLANDS LÄN</t>
        </is>
      </c>
      <c r="G444" t="inlineStr">
        <is>
          <t>FLEN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46319</v>
      </c>
      <c r="F445" t="inlineStr">
        <is>
          <t>SÖDERMANLANDS LÄN</t>
        </is>
      </c>
      <c r="G445" t="inlineStr">
        <is>
          <t>FLEN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46319</v>
      </c>
      <c r="F446" t="inlineStr">
        <is>
          <t>SÖDERMANLANDS LÄN</t>
        </is>
      </c>
      <c r="G446" t="inlineStr">
        <is>
          <t>FLEN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46319</v>
      </c>
      <c r="F447" t="inlineStr">
        <is>
          <t>SÖDERMANLANDS LÄN</t>
        </is>
      </c>
      <c r="G447" t="inlineStr">
        <is>
          <t>FLEN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45104</v>
      </c>
      <c r="E448" s="1" t="n">
        <v>46319</v>
      </c>
      <c r="F448" t="inlineStr">
        <is>
          <t>SÖDERMANLANDS LÄN</t>
        </is>
      </c>
      <c r="G448" t="inlineStr">
        <is>
          <t>FLEN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45081</v>
      </c>
      <c r="E449" s="1" t="n">
        <v>46319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45081</v>
      </c>
      <c r="E450" s="1" t="n">
        <v>46319</v>
      </c>
      <c r="F450" t="inlineStr">
        <is>
          <t>SÖDERMANLANDS LÄN</t>
        </is>
      </c>
      <c r="G450" t="inlineStr">
        <is>
          <t>FLEN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45001</v>
      </c>
      <c r="E451" s="1" t="n">
        <v>46319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45147</v>
      </c>
      <c r="E452" s="1" t="n">
        <v>46319</v>
      </c>
      <c r="F452" t="inlineStr">
        <is>
          <t>SÖDERMANLANDS LÄN</t>
        </is>
      </c>
      <c r="G452" t="inlineStr">
        <is>
          <t>FLEN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73923-2021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46319</v>
      </c>
      <c r="F453" t="inlineStr">
        <is>
          <t>SÖDERMANLANDS LÄN</t>
        </is>
      </c>
      <c r="G453" t="inlineStr">
        <is>
          <t>FLEN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46319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46319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46319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46319</v>
      </c>
      <c r="F457" t="inlineStr">
        <is>
          <t>SÖDERMANLANDS LÄN</t>
        </is>
      </c>
      <c r="G457" t="inlineStr">
        <is>
          <t>FLEN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46319</v>
      </c>
      <c r="F458" t="inlineStr">
        <is>
          <t>SÖDERMANLANDS LÄN</t>
        </is>
      </c>
      <c r="G458" t="inlineStr">
        <is>
          <t>FLEN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44991</v>
      </c>
      <c r="E459" s="1" t="n">
        <v>46319</v>
      </c>
      <c r="F459" t="inlineStr">
        <is>
          <t>SÖDERMANLANDS LÄN</t>
        </is>
      </c>
      <c r="G459" t="inlineStr">
        <is>
          <t>FLEN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44957</v>
      </c>
      <c r="E460" s="1" t="n">
        <v>46319</v>
      </c>
      <c r="F460" t="inlineStr">
        <is>
          <t>SÖDERMANLANDS LÄN</t>
        </is>
      </c>
      <c r="G460" t="inlineStr">
        <is>
          <t>FLEN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46319</v>
      </c>
      <c r="F461" t="inlineStr">
        <is>
          <t>SÖDERMANLANDS LÄN</t>
        </is>
      </c>
      <c r="G461" t="inlineStr">
        <is>
          <t>FLEN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46319</v>
      </c>
      <c r="F462" t="inlineStr">
        <is>
          <t>SÖDERMANLANDS LÄN</t>
        </is>
      </c>
      <c r="G462" t="inlineStr">
        <is>
          <t>FLEN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45528</v>
      </c>
      <c r="E463" s="1" t="n">
        <v>46319</v>
      </c>
      <c r="F463" t="inlineStr">
        <is>
          <t>SÖDERMANLANDS LÄN</t>
        </is>
      </c>
      <c r="G463" t="inlineStr">
        <is>
          <t>FLEN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72314-2021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46319</v>
      </c>
      <c r="F464" t="inlineStr">
        <is>
          <t>SÖDERMANLANDS LÄN</t>
        </is>
      </c>
      <c r="G464" t="inlineStr">
        <is>
          <t>FLEN</t>
        </is>
      </c>
      <c r="I464" t="n">
        <v>13.8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46319</v>
      </c>
      <c r="F465" t="inlineStr">
        <is>
          <t>SÖDERMANLANDS LÄN</t>
        </is>
      </c>
      <c r="G465" t="inlineStr">
        <is>
          <t>FLEN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46319</v>
      </c>
      <c r="F466" t="inlineStr">
        <is>
          <t>SÖDERMANLANDS LÄN</t>
        </is>
      </c>
      <c r="G466" t="inlineStr">
        <is>
          <t>FLEN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60255-2021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44495</v>
      </c>
      <c r="E467" s="1" t="n">
        <v>46319</v>
      </c>
      <c r="F467" t="inlineStr">
        <is>
          <t>SÖDERMANLANDS LÄN</t>
        </is>
      </c>
      <c r="G467" t="inlineStr">
        <is>
          <t>FLEN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46319</v>
      </c>
      <c r="F468" t="inlineStr">
        <is>
          <t>SÖDERMANLANDS LÄN</t>
        </is>
      </c>
      <c r="G468" t="inlineStr">
        <is>
          <t>FLEN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46319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44610</v>
      </c>
      <c r="E470" s="1" t="n">
        <v>46319</v>
      </c>
      <c r="F470" t="inlineStr">
        <is>
          <t>SÖDERMANLANDS LÄN</t>
        </is>
      </c>
      <c r="G470" t="inlineStr">
        <is>
          <t>FLEN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44602</v>
      </c>
      <c r="E471" s="1" t="n">
        <v>46319</v>
      </c>
      <c r="F471" t="inlineStr">
        <is>
          <t>SÖDERMANLANDS LÄN</t>
        </is>
      </c>
      <c r="G471" t="inlineStr">
        <is>
          <t>FLEN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46319</v>
      </c>
      <c r="F472" t="inlineStr">
        <is>
          <t>SÖDERMANLANDS LÄN</t>
        </is>
      </c>
      <c r="G472" t="inlineStr">
        <is>
          <t>FLEN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46319</v>
      </c>
      <c r="F473" t="inlineStr">
        <is>
          <t>SÖDERMANLANDS LÄN</t>
        </is>
      </c>
      <c r="G473" t="inlineStr">
        <is>
          <t>FLEN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46319</v>
      </c>
      <c r="F474" t="inlineStr">
        <is>
          <t>SÖDERMANLANDS LÄN</t>
        </is>
      </c>
      <c r="G474" t="inlineStr">
        <is>
          <t>FLEN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46319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69588-2021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44531</v>
      </c>
      <c r="E476" s="1" t="n">
        <v>46319</v>
      </c>
      <c r="F476" t="inlineStr">
        <is>
          <t>SÖDERMANLANDS LÄN</t>
        </is>
      </c>
      <c r="G476" t="inlineStr">
        <is>
          <t>FLEN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11747-2022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46319</v>
      </c>
      <c r="F477" t="inlineStr">
        <is>
          <t>SÖDERMANLANDS LÄN</t>
        </is>
      </c>
      <c r="G477" t="inlineStr">
        <is>
          <t>FLEN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46319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45209</v>
      </c>
      <c r="E479" s="1" t="n">
        <v>46319</v>
      </c>
      <c r="F479" t="inlineStr">
        <is>
          <t>SÖDERMANLANDS LÄN</t>
        </is>
      </c>
      <c r="G479" t="inlineStr">
        <is>
          <t>FLEN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46319</v>
      </c>
      <c r="F480" t="inlineStr">
        <is>
          <t>SÖDERMANLANDS LÄN</t>
        </is>
      </c>
      <c r="G480" t="inlineStr">
        <is>
          <t>FLEN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44676</v>
      </c>
      <c r="E481" s="1" t="n">
        <v>46319</v>
      </c>
      <c r="F481" t="inlineStr">
        <is>
          <t>SÖDERMANLANDS LÄN</t>
        </is>
      </c>
      <c r="G481" t="inlineStr">
        <is>
          <t>FLEN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23716-2024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45454</v>
      </c>
      <c r="E482" s="1" t="n">
        <v>46319</v>
      </c>
      <c r="F482" t="inlineStr">
        <is>
          <t>SÖDERMANLANDS LÄN</t>
        </is>
      </c>
      <c r="G482" t="inlineStr">
        <is>
          <t>FLEN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46319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45230</v>
      </c>
      <c r="E484" s="1" t="n">
        <v>46319</v>
      </c>
      <c r="F484" t="inlineStr">
        <is>
          <t>SÖDERMANLANDS LÄN</t>
        </is>
      </c>
      <c r="G484" t="inlineStr">
        <is>
          <t>FLEN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46319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46319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46319</v>
      </c>
      <c r="F487" t="inlineStr">
        <is>
          <t>SÖDERMANLANDS LÄN</t>
        </is>
      </c>
      <c r="G487" t="inlineStr">
        <is>
          <t>FLEN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46319</v>
      </c>
      <c r="F488" t="inlineStr">
        <is>
          <t>SÖDERMANLANDS LÄN</t>
        </is>
      </c>
      <c r="G488" t="inlineStr">
        <is>
          <t>FLEN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44733</v>
      </c>
      <c r="E489" s="1" t="n">
        <v>46319</v>
      </c>
      <c r="F489" t="inlineStr">
        <is>
          <t>SÖDERMANLANDS LÄN</t>
        </is>
      </c>
      <c r="G489" t="inlineStr">
        <is>
          <t>FLEN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46319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45315</v>
      </c>
      <c r="E491" s="1" t="n">
        <v>46319</v>
      </c>
      <c r="F491" t="inlineStr">
        <is>
          <t>SÖDERMANLANDS LÄN</t>
        </is>
      </c>
      <c r="G491" t="inlineStr">
        <is>
          <t>FLEN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44887</v>
      </c>
      <c r="E492" s="1" t="n">
        <v>46319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12277-2024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46319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45163</v>
      </c>
      <c r="E494" s="1" t="n">
        <v>46319</v>
      </c>
      <c r="F494" t="inlineStr">
        <is>
          <t>SÖDERMANLANDS LÄN</t>
        </is>
      </c>
      <c r="G494" t="inlineStr">
        <is>
          <t>FLEN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45250</v>
      </c>
      <c r="E495" s="1" t="n">
        <v>46319</v>
      </c>
      <c r="F495" t="inlineStr">
        <is>
          <t>SÖDERMANLANDS LÄN</t>
        </is>
      </c>
      <c r="G495" t="inlineStr">
        <is>
          <t>FLEN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46319</v>
      </c>
      <c r="F496" t="inlineStr">
        <is>
          <t>SÖDERMANLANDS LÄN</t>
        </is>
      </c>
      <c r="G496" t="inlineStr">
        <is>
          <t>FLEN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59817-2022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46319</v>
      </c>
      <c r="F497" t="inlineStr">
        <is>
          <t>SÖDERMANLANDS LÄN</t>
        </is>
      </c>
      <c r="G497" t="inlineStr">
        <is>
          <t>FLEN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46319</v>
      </c>
      <c r="F498" t="inlineStr">
        <is>
          <t>SÖDERMANLANDS LÄN</t>
        </is>
      </c>
      <c r="G498" t="inlineStr">
        <is>
          <t>FLEN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44958</v>
      </c>
      <c r="E499" s="1" t="n">
        <v>46319</v>
      </c>
      <c r="F499" t="inlineStr">
        <is>
          <t>SÖDERMANLANDS LÄN</t>
        </is>
      </c>
      <c r="G499" t="inlineStr">
        <is>
          <t>FLEN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44868</v>
      </c>
      <c r="E500" s="1" t="n">
        <v>46319</v>
      </c>
      <c r="F500" t="inlineStr">
        <is>
          <t>SÖDERMANLANDS LÄN</t>
        </is>
      </c>
      <c r="G500" t="inlineStr">
        <is>
          <t>FLEN</t>
        </is>
      </c>
      <c r="H500" t="inlineStr">
        <is>
          <t>Övriga statliga verk och myndigheter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10771-2022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44624</v>
      </c>
      <c r="E501" s="1" t="n">
        <v>46319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10828-2022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44624</v>
      </c>
      <c r="E502" s="1" t="n">
        <v>46319</v>
      </c>
      <c r="F502" t="inlineStr">
        <is>
          <t>SÖDERMANLANDS LÄN</t>
        </is>
      </c>
      <c r="G502" t="inlineStr">
        <is>
          <t>FLEN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16908-2024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45411</v>
      </c>
      <c r="E503" s="1" t="n">
        <v>46319</v>
      </c>
      <c r="F503" t="inlineStr">
        <is>
          <t>SÖDERMANLANDS LÄN</t>
        </is>
      </c>
      <c r="G503" t="inlineStr">
        <is>
          <t>FLEN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46319</v>
      </c>
      <c r="F504" t="inlineStr">
        <is>
          <t>SÖDERMANLANDS LÄN</t>
        </is>
      </c>
      <c r="G504" t="inlineStr">
        <is>
          <t>FLEN</t>
        </is>
      </c>
      <c r="H504" t="inlineStr">
        <is>
          <t>Kommuner</t>
        </is>
      </c>
      <c r="I504" t="n">
        <v>11.2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46319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57046-2023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46319</v>
      </c>
      <c r="F506" t="inlineStr">
        <is>
          <t>SÖDERMANLANDS LÄN</t>
        </is>
      </c>
      <c r="G506" t="inlineStr">
        <is>
          <t>FLEN</t>
        </is>
      </c>
      <c r="H506" t="inlineStr">
        <is>
          <t>Övriga statliga verk och myndigheter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46319</v>
      </c>
      <c r="F507" t="inlineStr">
        <is>
          <t>SÖDERMANLANDS LÄN</t>
        </is>
      </c>
      <c r="G507" t="inlineStr">
        <is>
          <t>FLEN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48826-2022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44859</v>
      </c>
      <c r="E508" s="1" t="n">
        <v>46319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45501</v>
      </c>
      <c r="E509" s="1" t="n">
        <v>46319</v>
      </c>
      <c r="F509" t="inlineStr">
        <is>
          <t>SÖDERMANLANDS LÄN</t>
        </is>
      </c>
      <c r="G509" t="inlineStr">
        <is>
          <t>FLEN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44566</v>
      </c>
      <c r="E510" s="1" t="n">
        <v>46319</v>
      </c>
      <c r="F510" t="inlineStr">
        <is>
          <t>SÖDERMANLANDS LÄN</t>
        </is>
      </c>
      <c r="G510" t="inlineStr">
        <is>
          <t>FLEN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44960</v>
      </c>
      <c r="E511" s="1" t="n">
        <v>46319</v>
      </c>
      <c r="F511" t="inlineStr">
        <is>
          <t>SÖDERMANLANDS LÄN</t>
        </is>
      </c>
      <c r="G511" t="inlineStr">
        <is>
          <t>FLEN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44855</v>
      </c>
      <c r="E512" s="1" t="n">
        <v>46319</v>
      </c>
      <c r="F512" t="inlineStr">
        <is>
          <t>SÖDERMANLANDS LÄN</t>
        </is>
      </c>
      <c r="G512" t="inlineStr">
        <is>
          <t>FLEN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44855</v>
      </c>
      <c r="E513" s="1" t="n">
        <v>46319</v>
      </c>
      <c r="F513" t="inlineStr">
        <is>
          <t>SÖDERMANLANDS LÄN</t>
        </is>
      </c>
      <c r="G513" t="inlineStr">
        <is>
          <t>FLEN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482-2022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44588</v>
      </c>
      <c r="E514" s="1" t="n">
        <v>46319</v>
      </c>
      <c r="F514" t="inlineStr">
        <is>
          <t>SÖDERMANLANDS LÄN</t>
        </is>
      </c>
      <c r="G514" t="inlineStr">
        <is>
          <t>FLEN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2321-2022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44685</v>
      </c>
      <c r="E515" s="1" t="n">
        <v>46319</v>
      </c>
      <c r="F515" t="inlineStr">
        <is>
          <t>SÖDERMANLANDS LÄN</t>
        </is>
      </c>
      <c r="G515" t="inlineStr">
        <is>
          <t>FLEN</t>
        </is>
      </c>
      <c r="H515" t="inlineStr">
        <is>
          <t>Kyrkan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458-2023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44964</v>
      </c>
      <c r="E516" s="1" t="n">
        <v>46319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292-2025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45686</v>
      </c>
      <c r="E517" s="1" t="n">
        <v>46319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3723-2022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44742</v>
      </c>
      <c r="E518" s="1" t="n">
        <v>46319</v>
      </c>
      <c r="F518" t="inlineStr">
        <is>
          <t>SÖDERMANLANDS LÄN</t>
        </is>
      </c>
      <c r="G518" t="inlineStr">
        <is>
          <t>FLEN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1976-2024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45446</v>
      </c>
      <c r="E519" s="1" t="n">
        <v>46319</v>
      </c>
      <c r="F519" t="inlineStr">
        <is>
          <t>SÖDERMANLANDS LÄN</t>
        </is>
      </c>
      <c r="G519" t="inlineStr">
        <is>
          <t>FLEN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1287-2024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45403</v>
      </c>
      <c r="E520" s="1" t="n">
        <v>46319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1528-2026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46164</v>
      </c>
      <c r="E521" s="1" t="n">
        <v>46319</v>
      </c>
      <c r="F521" t="inlineStr">
        <is>
          <t>SÖDERMANLANDS LÄN</t>
        </is>
      </c>
      <c r="G521" t="inlineStr">
        <is>
          <t>FLEN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2026-10-24T01:59:45Z</dcterms:created>
  <dcterms:modified xmlns:dcterms="http://purl.org/dc/terms/" xmlns:xsi="http://www.w3.org/2001/XMLSchema-instance" xsi:type="dcterms:W3CDTF">2026-10-24T01:59:45Z</dcterms:modified>
</cp:coreProperties>
</file>