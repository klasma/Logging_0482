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46226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46226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46226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4155-2024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46226</v>
      </c>
      <c r="F18" t="inlineStr">
        <is>
          <t>SÖDERMANLANDS LÄN</t>
        </is>
      </c>
      <c r="G18" t="inlineStr">
        <is>
          <t>FLEN</t>
        </is>
      </c>
      <c r="I18" t="n">
        <v>2.1</v>
      </c>
      <c r="J18" t="n">
        <v>5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Knärot
Scharlakansskål
Svart trolldruva
Blåsippa
Spillkråka
Grönvit nattviol
Gullviva</t>
        </is>
      </c>
      <c r="W18">
        <f>HYPERLINK("https://klasma.github.io/Logging_0482/artfynd/A 4155-2024 artfynd.xlsx", "A 4155-2024")</f>
        <v/>
      </c>
      <c r="X18">
        <f>HYPERLINK("https://klasma.github.io/Logging_0482/kartor/A 4155-2024 karta.png", "A 4155-2024")</f>
        <v/>
      </c>
      <c r="Y18">
        <f>HYPERLINK("https://klasma.github.io/Logging_0482/kartor_geotiff/A 4155-2024 georefererad karta.tif", "A 4155-2024")</f>
        <v/>
      </c>
      <c r="Z18">
        <f>HYPERLINK("https://klasma.github.io/Logging_0482/knärot/A 4155-2024 karta knärot.png", "A 4155-2024")</f>
        <v/>
      </c>
      <c r="AA18">
        <f>HYPERLINK("https://klasma.github.io/Logging_0482/klagomål/A 4155-2024 FSC-klagomål.docx", "A 4155-2024")</f>
        <v/>
      </c>
      <c r="AB18">
        <f>HYPERLINK("https://klasma.github.io/Logging_0482/klagomålsmail/A 4155-2024 FSC-klagomål mail.docx", "A 4155-2024")</f>
        <v/>
      </c>
      <c r="AC18">
        <f>HYPERLINK("https://klasma.github.io/Logging_0482/tillsyn/A 4155-2024 tillsynsbegäran.docx", "A 4155-2024")</f>
        <v/>
      </c>
      <c r="AD18">
        <f>HYPERLINK("https://klasma.github.io/Logging_0482/tillsynsmail/A 4155-2024 tillsynsbegäran mail.docx", "A 4155-2024")</f>
        <v/>
      </c>
      <c r="AE18">
        <f>HYPERLINK("https://klasma.github.io/Logging_0482/fåglar/A 4155-2024 prioriterade fågelarter.docx", "A 4155-2024")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46226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46226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46226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46226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46226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46226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46226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46226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46226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46226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46226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46226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46226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46226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46226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46226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46226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46226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11115-2026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46226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7.8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6</v>
      </c>
      <c r="V39" s="2" t="inlineStr">
        <is>
          <t>Dropptaggsvamp
Fönsterlav
Grå renlav
Gulvit renlav</t>
        </is>
      </c>
      <c r="W39">
        <f>HYPERLINK("https://klasma.github.io/Logging_0482/artfynd/A 11115-2026 artfynd.xlsx", "A 11115-2026")</f>
        <v/>
      </c>
      <c r="X39">
        <f>HYPERLINK("https://klasma.github.io/Logging_0482/kartor/A 11115-2026 karta.png", "A 11115-2026")</f>
        <v/>
      </c>
      <c r="Y39">
        <f>HYPERLINK("https://klasma.github.io/Logging_0482/kartor_geotiff/A 11115-2026 georefererad karta.tif", "A 11115-2026")</f>
        <v/>
      </c>
      <c r="AA39">
        <f>HYPERLINK("https://klasma.github.io/Logging_0482/klagomål/A 11115-2026 FSC-klagomål.docx", "A 11115-2026")</f>
        <v/>
      </c>
      <c r="AB39">
        <f>HYPERLINK("https://klasma.github.io/Logging_0482/klagomålsmail/A 11115-2026 FSC-klagomål mail.docx", "A 11115-2026")</f>
        <v/>
      </c>
      <c r="AC39">
        <f>HYPERLINK("https://klasma.github.io/Logging_0482/tillsyn/A 11115-2026 tillsynsbegäran.docx", "A 11115-2026")</f>
        <v/>
      </c>
      <c r="AD39">
        <f>HYPERLINK("https://klasma.github.io/Logging_0482/tillsynsmail/A 11115-2026 tillsynsbegäran mail.docx", "A 11115-2026")</f>
        <v/>
      </c>
    </row>
    <row r="40" ht="15" customHeight="1">
      <c r="A40" t="inlineStr">
        <is>
          <t>A 50343-2024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46226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Svartöra
Tallticka
Blåsippa
Vildkaprifol</t>
        </is>
      </c>
      <c r="W40">
        <f>HYPERLINK("https://klasma.github.io/Logging_0482/artfynd/A 50343-2024 artfynd.xlsx", "A 50343-2024")</f>
        <v/>
      </c>
      <c r="X40">
        <f>HYPERLINK("https://klasma.github.io/Logging_0482/kartor/A 50343-2024 karta.png", "A 50343-2024")</f>
        <v/>
      </c>
      <c r="Y40">
        <f>HYPERLINK("https://klasma.github.io/Logging_0482/kartor_geotiff/A 50343-2024 georefererad karta.tif", "A 50343-2024")</f>
        <v/>
      </c>
      <c r="AA40">
        <f>HYPERLINK("https://klasma.github.io/Logging_0482/klagomål/A 50343-2024 FSC-klagomål.docx", "A 50343-2024")</f>
        <v/>
      </c>
      <c r="AB40">
        <f>HYPERLINK("https://klasma.github.io/Logging_0482/klagomålsmail/A 50343-2024 FSC-klagomål mail.docx", "A 50343-2024")</f>
        <v/>
      </c>
      <c r="AC40">
        <f>HYPERLINK("https://klasma.github.io/Logging_0482/tillsyn/A 50343-2024 tillsynsbegäran.docx", "A 50343-2024")</f>
        <v/>
      </c>
      <c r="AD40">
        <f>HYPERLINK("https://klasma.github.io/Logging_0482/tillsynsmail/A 50343-2024 tillsynsbegäran mail.docx", "A 50343-2024")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46226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46226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46226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46226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46226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46226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46226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9539-2026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46226</v>
      </c>
      <c r="F48" t="inlineStr">
        <is>
          <t>SÖDERMANLANDS LÄN</t>
        </is>
      </c>
      <c r="G48" t="inlineStr">
        <is>
          <t>FLEN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Ask
Slåtterfibbla
Blåsippa</t>
        </is>
      </c>
      <c r="W48">
        <f>HYPERLINK("https://klasma.github.io/Logging_0482/artfynd/A 9539-2026 artfynd.xlsx", "A 9539-2026")</f>
        <v/>
      </c>
      <c r="X48">
        <f>HYPERLINK("https://klasma.github.io/Logging_0482/kartor/A 9539-2026 karta.png", "A 9539-2026")</f>
        <v/>
      </c>
      <c r="Y48">
        <f>HYPERLINK("https://klasma.github.io/Logging_0482/kartor_geotiff/A 9539-2026 georefererad karta.tif", "A 9539-2026")</f>
        <v/>
      </c>
      <c r="AA48">
        <f>HYPERLINK("https://klasma.github.io/Logging_0482/klagomål/A 9539-2026 FSC-klagomål.docx", "A 9539-2026")</f>
        <v/>
      </c>
      <c r="AB48">
        <f>HYPERLINK("https://klasma.github.io/Logging_0482/klagomålsmail/A 9539-2026 FSC-klagomål mail.docx", "A 9539-2026")</f>
        <v/>
      </c>
      <c r="AC48">
        <f>HYPERLINK("https://klasma.github.io/Logging_0482/tillsyn/A 9539-2026 tillsynsbegäran.docx", "A 9539-2026")</f>
        <v/>
      </c>
      <c r="AD48">
        <f>HYPERLINK("https://klasma.github.io/Logging_0482/tillsynsmail/A 9539-2026 tillsynsbegäran mail.docx", "A 9539-2026")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46226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46226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46226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50739-2025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46226</v>
      </c>
      <c r="F52" t="inlineStr">
        <is>
          <t>SÖDERMANLANDS LÄN</t>
        </is>
      </c>
      <c r="G52" t="inlineStr">
        <is>
          <t>FLEN</t>
        </is>
      </c>
      <c r="H52" t="inlineStr">
        <is>
          <t>Holmen skog AB</t>
        </is>
      </c>
      <c r="I52" t="n">
        <v>4.4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Skogsalm
Skogsbräsma
Svart trolldruva</t>
        </is>
      </c>
      <c r="W52">
        <f>HYPERLINK("https://klasma.github.io/Logging_0482/artfynd/A 50739-2025 artfynd.xlsx", "A 50739-2025")</f>
        <v/>
      </c>
      <c r="X52">
        <f>HYPERLINK("https://klasma.github.io/Logging_0482/kartor/A 50739-2025 karta.png", "A 50739-2025")</f>
        <v/>
      </c>
      <c r="Y52">
        <f>HYPERLINK("https://klasma.github.io/Logging_0482/kartor_geotiff/A 50739-2025 georefererad karta.tif", "A 50739-2025")</f>
        <v/>
      </c>
      <c r="AA52">
        <f>HYPERLINK("https://klasma.github.io/Logging_0482/klagomål/A 50739-2025 FSC-klagomål.docx", "A 50739-2025")</f>
        <v/>
      </c>
      <c r="AB52">
        <f>HYPERLINK("https://klasma.github.io/Logging_0482/klagomålsmail/A 50739-2025 FSC-klagomål mail.docx", "A 50739-2025")</f>
        <v/>
      </c>
      <c r="AC52">
        <f>HYPERLINK("https://klasma.github.io/Logging_0482/tillsyn/A 50739-2025 tillsynsbegäran.docx", "A 50739-2025")</f>
        <v/>
      </c>
      <c r="AD52">
        <f>HYPERLINK("https://klasma.github.io/Logging_0482/tillsynsmail/A 50739-2025 tillsynsbegäran mail.docx", "A 50739-2025")</f>
        <v/>
      </c>
    </row>
    <row r="53" ht="15" customHeight="1">
      <c r="A53" t="inlineStr">
        <is>
          <t>A 38465-2025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46226</v>
      </c>
      <c r="F53" t="inlineStr">
        <is>
          <t>SÖDERMANLANDS LÄN</t>
        </is>
      </c>
      <c r="G53" t="inlineStr">
        <is>
          <t>FLEN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Skogsalm
Gullklöver
Nattviol</t>
        </is>
      </c>
      <c r="W53">
        <f>HYPERLINK("https://klasma.github.io/Logging_0482/artfynd/A 38465-2025 artfynd.xlsx", "A 38465-2025")</f>
        <v/>
      </c>
      <c r="X53">
        <f>HYPERLINK("https://klasma.github.io/Logging_0482/kartor/A 38465-2025 karta.png", "A 38465-2025")</f>
        <v/>
      </c>
      <c r="Y53">
        <f>HYPERLINK("https://klasma.github.io/Logging_0482/kartor_geotiff/A 38465-2025 georefererad karta.tif", "A 38465-2025")</f>
        <v/>
      </c>
      <c r="AA53">
        <f>HYPERLINK("https://klasma.github.io/Logging_0482/klagomål/A 38465-2025 FSC-klagomål.docx", "A 38465-2025")</f>
        <v/>
      </c>
      <c r="AB53">
        <f>HYPERLINK("https://klasma.github.io/Logging_0482/klagomålsmail/A 38465-2025 FSC-klagomål mail.docx", "A 38465-2025")</f>
        <v/>
      </c>
      <c r="AC53">
        <f>HYPERLINK("https://klasma.github.io/Logging_0482/tillsyn/A 38465-2025 tillsynsbegäran.docx", "A 38465-2025")</f>
        <v/>
      </c>
      <c r="AD53">
        <f>HYPERLINK("https://klasma.github.io/Logging_0482/tillsynsmail/A 38465-2025 tillsynsbegäran mail.docx", "A 38465-2025")</f>
        <v/>
      </c>
    </row>
    <row r="54" ht="15" customHeight="1">
      <c r="A54" t="inlineStr">
        <is>
          <t>A 38466-2025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46226</v>
      </c>
      <c r="F54" t="inlineStr">
        <is>
          <t>SÖDERMANLANDS LÄN</t>
        </is>
      </c>
      <c r="G54" t="inlineStr">
        <is>
          <t>FLEN</t>
        </is>
      </c>
      <c r="I54" t="n">
        <v>5.4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Svinrot
Blåsippa
Gullviva</t>
        </is>
      </c>
      <c r="W54">
        <f>HYPERLINK("https://klasma.github.io/Logging_0482/artfynd/A 38466-2025 artfynd.xlsx", "A 38466-2025")</f>
        <v/>
      </c>
      <c r="X54">
        <f>HYPERLINK("https://klasma.github.io/Logging_0482/kartor/A 38466-2025 karta.png", "A 38466-2025")</f>
        <v/>
      </c>
      <c r="Y54">
        <f>HYPERLINK("https://klasma.github.io/Logging_0482/kartor_geotiff/A 38466-2025 georefererad karta.tif", "A 38466-2025")</f>
        <v/>
      </c>
      <c r="AA54">
        <f>HYPERLINK("https://klasma.github.io/Logging_0482/klagomål/A 38466-2025 FSC-klagomål.docx", "A 38466-2025")</f>
        <v/>
      </c>
      <c r="AB54">
        <f>HYPERLINK("https://klasma.github.io/Logging_0482/klagomålsmail/A 38466-2025 FSC-klagomål mail.docx", "A 38466-2025")</f>
        <v/>
      </c>
      <c r="AC54">
        <f>HYPERLINK("https://klasma.github.io/Logging_0482/tillsyn/A 38466-2025 tillsynsbegäran.docx", "A 38466-2025")</f>
        <v/>
      </c>
      <c r="AD54">
        <f>HYPERLINK("https://klasma.github.io/Logging_0482/tillsynsmail/A 38466-2025 tillsynsbegäran mail.docx", "A 38466-2025")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46226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46226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46226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46226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46226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46226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46226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46226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46226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46226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46226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46226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46226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46226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46226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46226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46226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46226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46226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46226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46226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Ekticka
Klasefibbla</t>
        </is>
      </c>
      <c r="W75">
        <f>HYPERLINK("https://klasma.github.io/Logging_0482/artfynd/A 32744-2025 artfynd.xlsx", "A 32744-2025")</f>
        <v/>
      </c>
      <c r="X75">
        <f>HYPERLINK("https://klasma.github.io/Logging_0482/kartor/A 32744-2025 karta.png", "A 32744-2025")</f>
        <v/>
      </c>
      <c r="Y75">
        <f>HYPERLINK("https://klasma.github.io/Logging_0482/kartor_geotiff/A 32744-2025 georefererad karta.tif", "A 32744-2025")</f>
        <v/>
      </c>
      <c r="AA75">
        <f>HYPERLINK("https://klasma.github.io/Logging_0482/klagomål/A 32744-2025 FSC-klagomål.docx", "A 32744-2025")</f>
        <v/>
      </c>
      <c r="AB75">
        <f>HYPERLINK("https://klasma.github.io/Logging_0482/klagomålsmail/A 32744-2025 FSC-klagomål mail.docx", "A 32744-2025")</f>
        <v/>
      </c>
      <c r="AC75">
        <f>HYPERLINK("https://klasma.github.io/Logging_0482/tillsyn/A 32744-2025 tillsynsbegäran.docx", "A 32744-2025")</f>
        <v/>
      </c>
      <c r="AD75">
        <f>HYPERLINK("https://klasma.github.io/Logging_0482/tillsynsmail/A 32744-2025 tillsynsbegäran mail.docx", "A 32744-2025")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46226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46226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46226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22511-2026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46226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Ormbär
Skriftlav</t>
        </is>
      </c>
      <c r="W79">
        <f>HYPERLINK("https://klasma.github.io/Logging_0482/artfynd/A 22511-2026 artfynd.xlsx", "A 22511-2026")</f>
        <v/>
      </c>
      <c r="X79">
        <f>HYPERLINK("https://klasma.github.io/Logging_0482/kartor/A 22511-2026 karta.png", "A 22511-2026")</f>
        <v/>
      </c>
      <c r="Y79">
        <f>HYPERLINK("https://klasma.github.io/Logging_0482/kartor_geotiff/A 22511-2026 georefererad karta.tif", "A 22511-2026")</f>
        <v/>
      </c>
      <c r="AA79">
        <f>HYPERLINK("https://klasma.github.io/Logging_0482/klagomål/A 22511-2026 FSC-klagomål.docx", "A 22511-2026")</f>
        <v/>
      </c>
      <c r="AB79">
        <f>HYPERLINK("https://klasma.github.io/Logging_0482/klagomålsmail/A 22511-2026 FSC-klagomål mail.docx", "A 22511-2026")</f>
        <v/>
      </c>
      <c r="AC79">
        <f>HYPERLINK("https://klasma.github.io/Logging_0482/tillsyn/A 22511-2026 tillsynsbegäran.docx", "A 22511-2026")</f>
        <v/>
      </c>
      <c r="AD79">
        <f>HYPERLINK("https://klasma.github.io/Logging_0482/tillsynsmail/A 22511-2026 tillsynsbegäran mail.docx", "A 22511-2026")</f>
        <v/>
      </c>
    </row>
    <row r="80" ht="15" customHeight="1">
      <c r="A80" t="inlineStr">
        <is>
          <t>A 15557-2026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46226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4</v>
      </c>
      <c r="U80" t="n">
        <v>0</v>
      </c>
      <c r="V80" s="2" t="inlineStr">
        <is>
          <t>Gullklöver
Svinrot</t>
        </is>
      </c>
      <c r="W80">
        <f>HYPERLINK("https://klasma.github.io/Logging_0482/artfynd/A 15557-2026 artfynd.xlsx", "A 15557-2026")</f>
        <v/>
      </c>
      <c r="X80">
        <f>HYPERLINK("https://klasma.github.io/Logging_0482/kartor/A 15557-2026 karta.png", "A 15557-2026")</f>
        <v/>
      </c>
      <c r="Y80">
        <f>HYPERLINK("https://klasma.github.io/Logging_0482/kartor_geotiff/A 15557-2026 georefererad karta.tif", "A 15557-2026")</f>
        <v/>
      </c>
      <c r="AA80">
        <f>HYPERLINK("https://klasma.github.io/Logging_0482/klagomål/A 15557-2026 FSC-klagomål.docx", "A 15557-2026")</f>
        <v/>
      </c>
      <c r="AB80">
        <f>HYPERLINK("https://klasma.github.io/Logging_0482/klagomålsmail/A 15557-2026 FSC-klagomål mail.docx", "A 15557-2026")</f>
        <v/>
      </c>
      <c r="AC80">
        <f>HYPERLINK("https://klasma.github.io/Logging_0482/tillsyn/A 15557-2026 tillsynsbegäran.docx", "A 15557-2026")</f>
        <v/>
      </c>
      <c r="AD80">
        <f>HYPERLINK("https://klasma.github.io/Logging_0482/tillsynsmail/A 15557-2026 tillsynsbegäran mail.docx", "A 15557-2026")</f>
        <v/>
      </c>
    </row>
    <row r="81" ht="15" customHeight="1">
      <c r="A81" t="inlineStr">
        <is>
          <t>A 38882-2021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44411</v>
      </c>
      <c r="E81" s="1" t="n">
        <v>46226</v>
      </c>
      <c r="F81" t="inlineStr">
        <is>
          <t>SÖDERMANLANDS LÄN</t>
        </is>
      </c>
      <c r="G81" t="inlineStr">
        <is>
          <t>FLEN</t>
        </is>
      </c>
      <c r="I81" t="n">
        <v>3.4</v>
      </c>
      <c r="J81" t="n">
        <v>1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Knärot
Grönpyrola</t>
        </is>
      </c>
      <c r="W81">
        <f>HYPERLINK("https://klasma.github.io/Logging_0482/artfynd/A 38882-2021 artfynd.xlsx", "A 38882-2021")</f>
        <v/>
      </c>
      <c r="X81">
        <f>HYPERLINK("https://klasma.github.io/Logging_0482/kartor/A 38882-2021 karta.png", "A 38882-2021")</f>
        <v/>
      </c>
      <c r="Y81">
        <f>HYPERLINK("https://klasma.github.io/Logging_0482/kartor_geotiff/A 38882-2021 georefererad karta.tif", "A 38882-2021")</f>
        <v/>
      </c>
      <c r="Z81">
        <f>HYPERLINK("https://klasma.github.io/Logging_0482/knärot/A 38882-2021 karta knärot.png", "A 38882-2021")</f>
        <v/>
      </c>
      <c r="AA81">
        <f>HYPERLINK("https://klasma.github.io/Logging_0482/klagomål/A 38882-2021 FSC-klagomål.docx", "A 38882-2021")</f>
        <v/>
      </c>
      <c r="AB81">
        <f>HYPERLINK("https://klasma.github.io/Logging_0482/klagomålsmail/A 38882-2021 FSC-klagomål mail.docx", "A 38882-2021")</f>
        <v/>
      </c>
      <c r="AC81">
        <f>HYPERLINK("https://klasma.github.io/Logging_0482/tillsyn/A 38882-2021 tillsynsbegäran.docx", "A 38882-2021")</f>
        <v/>
      </c>
      <c r="AD81">
        <f>HYPERLINK("https://klasma.github.io/Logging_0482/tillsynsmail/A 38882-2021 tillsynsbegäran mail.docx", "A 38882-2021")</f>
        <v/>
      </c>
    </row>
    <row r="82" ht="15" customHeight="1">
      <c r="A82" t="inlineStr">
        <is>
          <t>A 49816-2023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46226</v>
      </c>
      <c r="F82" t="inlineStr">
        <is>
          <t>SÖDERMANLANDS LÄN</t>
        </is>
      </c>
      <c r="G82" t="inlineStr">
        <is>
          <t>FLEN</t>
        </is>
      </c>
      <c r="I82" t="n">
        <v>4.6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Reliktbock
Tallticka</t>
        </is>
      </c>
      <c r="W82">
        <f>HYPERLINK("https://klasma.github.io/Logging_0482/artfynd/A 49816-2023 artfynd.xlsx", "A 49816-2023")</f>
        <v/>
      </c>
      <c r="X82">
        <f>HYPERLINK("https://klasma.github.io/Logging_0482/kartor/A 49816-2023 karta.png", "A 49816-2023")</f>
        <v/>
      </c>
      <c r="Y82">
        <f>HYPERLINK("https://klasma.github.io/Logging_0482/kartor_geotiff/A 49816-2023 georefererad karta.tif", "A 49816-2023")</f>
        <v/>
      </c>
      <c r="AA82">
        <f>HYPERLINK("https://klasma.github.io/Logging_0482/klagomål/A 49816-2023 FSC-klagomål.docx", "A 49816-2023")</f>
        <v/>
      </c>
      <c r="AB82">
        <f>HYPERLINK("https://klasma.github.io/Logging_0482/klagomålsmail/A 49816-2023 FSC-klagomål mail.docx", "A 49816-2023")</f>
        <v/>
      </c>
      <c r="AC82">
        <f>HYPERLINK("https://klasma.github.io/Logging_0482/tillsyn/A 49816-2023 tillsynsbegäran.docx", "A 49816-2023")</f>
        <v/>
      </c>
      <c r="AD82">
        <f>HYPERLINK("https://klasma.github.io/Logging_0482/tillsynsmail/A 49816-2023 tillsynsbegäran mail.docx", "A 49816-2023")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46226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46226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46226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46226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46226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46226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46226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46226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46226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46226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46226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46226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46226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46226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46226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46226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46226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46226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46226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46226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46226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37283-2024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45540</v>
      </c>
      <c r="E104" s="1" t="n">
        <v>46226</v>
      </c>
      <c r="F104" t="inlineStr">
        <is>
          <t>SÖDERMANLANDS LÄN</t>
        </is>
      </c>
      <c r="G104" t="inlineStr">
        <is>
          <t>FLEN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37283-2024 artfynd.xlsx", "A 37283-2024")</f>
        <v/>
      </c>
      <c r="X104">
        <f>HYPERLINK("https://klasma.github.io/Logging_0482/kartor/A 37283-2024 karta.png", "A 37283-2024")</f>
        <v/>
      </c>
      <c r="Y104">
        <f>HYPERLINK("https://klasma.github.io/Logging_0482/kartor_geotiff/A 37283-2024 georefererad karta.tif", "A 37283-2024")</f>
        <v/>
      </c>
      <c r="AA104">
        <f>HYPERLINK("https://klasma.github.io/Logging_0482/klagomål/A 37283-2024 FSC-klagomål.docx", "A 37283-2024")</f>
        <v/>
      </c>
      <c r="AB104">
        <f>HYPERLINK("https://klasma.github.io/Logging_0482/klagomålsmail/A 37283-2024 FSC-klagomål mail.docx", "A 37283-2024")</f>
        <v/>
      </c>
      <c r="AC104">
        <f>HYPERLINK("https://klasma.github.io/Logging_0482/tillsyn/A 37283-2024 tillsynsbegäran.docx", "A 37283-2024")</f>
        <v/>
      </c>
      <c r="AD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7525-2024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45348</v>
      </c>
      <c r="E105" s="1" t="n">
        <v>46226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backsmörblomma</t>
        </is>
      </c>
      <c r="W105">
        <f>HYPERLINK("https://klasma.github.io/Logging_0482/artfynd/A 7525-2024 artfynd.xlsx", "A 7525-2024")</f>
        <v/>
      </c>
      <c r="X105">
        <f>HYPERLINK("https://klasma.github.io/Logging_0482/kartor/A 7525-2024 karta.png", "A 7525-2024")</f>
        <v/>
      </c>
      <c r="Y105">
        <f>HYPERLINK("https://klasma.github.io/Logging_0482/kartor_geotiff/A 7525-2024 georefererad karta.tif", "A 7525-2024")</f>
        <v/>
      </c>
      <c r="AA105">
        <f>HYPERLINK("https://klasma.github.io/Logging_0482/klagomål/A 7525-2024 FSC-klagomål.docx", "A 7525-2024")</f>
        <v/>
      </c>
      <c r="AB105">
        <f>HYPERLINK("https://klasma.github.io/Logging_0482/klagomålsmail/A 7525-2024 FSC-klagomål mail.docx", "A 7525-2024")</f>
        <v/>
      </c>
      <c r="AC105">
        <f>HYPERLINK("https://klasma.github.io/Logging_0482/tillsyn/A 7525-2024 tillsynsbegäran.docx", "A 7525-2024")</f>
        <v/>
      </c>
      <c r="AD105">
        <f>HYPERLINK("https://klasma.github.io/Logging_0482/tillsynsmail/A 7525-2024 tillsynsbegäran mail.docx", "A 7525-2024")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46226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6714-2026 artfynd.xlsx", "A 6714-2026")</f>
        <v/>
      </c>
      <c r="X106">
        <f>HYPERLINK("https://klasma.github.io/Logging_0482/kartor/A 6714-2026 karta.png", "A 6714-2026")</f>
        <v/>
      </c>
      <c r="Y106">
        <f>HYPERLINK("https://klasma.github.io/Logging_0482/kartor_geotiff/A 6714-2026 georefererad karta.tif", "A 6714-2026")</f>
        <v/>
      </c>
      <c r="AA106">
        <f>HYPERLINK("https://klasma.github.io/Logging_0482/klagomål/A 6714-2026 FSC-klagomål.docx", "A 6714-2026")</f>
        <v/>
      </c>
      <c r="AB106">
        <f>HYPERLINK("https://klasma.github.io/Logging_0482/klagomålsmail/A 6714-2026 FSC-klagomål mail.docx", "A 6714-2026")</f>
        <v/>
      </c>
      <c r="AC106">
        <f>HYPERLINK("https://klasma.github.io/Logging_0482/tillsyn/A 6714-2026 tillsynsbegäran.docx", "A 6714-2026")</f>
        <v/>
      </c>
      <c r="AD106">
        <f>HYPERLINK("https://klasma.github.io/Logging_0482/tillsynsmail/A 6714-2026 tillsynsbegäran mail.docx", "A 6714-2026")</f>
        <v/>
      </c>
    </row>
    <row r="107" ht="15" customHeight="1">
      <c r="A107" t="inlineStr">
        <is>
          <t>A 31427-2022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44774</v>
      </c>
      <c r="E107" s="1" t="n">
        <v>46226</v>
      </c>
      <c r="F107" t="inlineStr">
        <is>
          <t>SÖDERMANLANDS LÄN</t>
        </is>
      </c>
      <c r="G107" t="inlineStr">
        <is>
          <t>FLEN</t>
        </is>
      </c>
      <c r="I107" t="n">
        <v>3.7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HYPERLINK("https://klasma.github.io/Logging_0482/artfynd/A 31427-2022 artfynd.xlsx", "A 31427-2022")</f>
        <v/>
      </c>
      <c r="X107">
        <f>HYPERLINK("https://klasma.github.io/Logging_0482/kartor/A 31427-2022 karta.png", "A 31427-2022")</f>
        <v/>
      </c>
      <c r="Y107">
        <f>HYPERLINK("https://klasma.github.io/Logging_0482/kartor_geotiff/A 31427-2022 georefererad karta.tif", "A 31427-2022")</f>
        <v/>
      </c>
      <c r="AA107">
        <f>HYPERLINK("https://klasma.github.io/Logging_0482/klagomål/A 31427-2022 FSC-klagomål.docx", "A 31427-2022")</f>
        <v/>
      </c>
      <c r="AB107">
        <f>HYPERLINK("https://klasma.github.io/Logging_0482/klagomålsmail/A 31427-2022 FSC-klagomål mail.docx", "A 31427-2022")</f>
        <v/>
      </c>
      <c r="AC107">
        <f>HYPERLINK("https://klasma.github.io/Logging_0482/tillsyn/A 31427-2022 tillsynsbegäran.docx", "A 31427-2022")</f>
        <v/>
      </c>
      <c r="AD107">
        <f>HYPERLINK("https://klasma.github.io/Logging_0482/tillsynsmail/A 31427-2022 tillsynsbegäran mail.docx", "A 31427-2022")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46226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14113-2025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46226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14113-2025 artfynd.xlsx", "A 14113-2025")</f>
        <v/>
      </c>
      <c r="X109">
        <f>HYPERLINK("https://klasma.github.io/Logging_0482/kartor/A 14113-2025 karta.png", "A 14113-2025")</f>
        <v/>
      </c>
      <c r="Y109">
        <f>HYPERLINK("https://klasma.github.io/Logging_0482/kartor_geotiff/A 14113-2025 georefererad karta.tif", "A 14113-2025")</f>
        <v/>
      </c>
      <c r="AA109">
        <f>HYPERLINK("https://klasma.github.io/Logging_0482/klagomål/A 14113-2025 FSC-klagomål.docx", "A 14113-2025")</f>
        <v/>
      </c>
      <c r="AB109">
        <f>HYPERLINK("https://klasma.github.io/Logging_0482/klagomålsmail/A 14113-2025 FSC-klagomål mail.docx", "A 14113-2025")</f>
        <v/>
      </c>
      <c r="AC109">
        <f>HYPERLINK("https://klasma.github.io/Logging_0482/tillsyn/A 14113-2025 tillsynsbegäran.docx", "A 14113-2025")</f>
        <v/>
      </c>
      <c r="AD109">
        <f>HYPERLINK("https://klasma.github.io/Logging_0482/tillsynsmail/A 14113-2025 tillsynsbegäran mail.docx", "A 14113-2025")</f>
        <v/>
      </c>
    </row>
    <row r="110" ht="15" customHeight="1">
      <c r="A110" t="inlineStr">
        <is>
          <t>A 9446-2026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46071</v>
      </c>
      <c r="E110" s="1" t="n">
        <v>46226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9446-2026 artfynd.xlsx", "A 9446-2026")</f>
        <v/>
      </c>
      <c r="X110">
        <f>HYPERLINK("https://klasma.github.io/Logging_0482/kartor/A 9446-2026 karta.png", "A 9446-2026")</f>
        <v/>
      </c>
      <c r="Y110">
        <f>HYPERLINK("https://klasma.github.io/Logging_0482/kartor_geotiff/A 9446-2026 georefererad karta.tif", "A 9446-2026")</f>
        <v/>
      </c>
      <c r="AA110">
        <f>HYPERLINK("https://klasma.github.io/Logging_0482/klagomål/A 9446-2026 FSC-klagomål.docx", "A 9446-2026")</f>
        <v/>
      </c>
      <c r="AB110">
        <f>HYPERLINK("https://klasma.github.io/Logging_0482/klagomålsmail/A 9446-2026 FSC-klagomål mail.docx", "A 9446-2026")</f>
        <v/>
      </c>
      <c r="AC110">
        <f>HYPERLINK("https://klasma.github.io/Logging_0482/tillsyn/A 9446-2026 tillsynsbegäran.docx", "A 9446-2026")</f>
        <v/>
      </c>
      <c r="AD110">
        <f>HYPERLINK("https://klasma.github.io/Logging_0482/tillsynsmail/A 9446-2026 tillsynsbegäran mail.docx", "A 9446-2026")</f>
        <v/>
      </c>
    </row>
    <row r="111" ht="15" customHeight="1">
      <c r="A111" t="inlineStr">
        <is>
          <t>A 10999-2026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46079</v>
      </c>
      <c r="E111" s="1" t="n">
        <v>46226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10999-2026 artfynd.xlsx", "A 10999-2026")</f>
        <v/>
      </c>
      <c r="X111">
        <f>HYPERLINK("https://klasma.github.io/Logging_0482/kartor/A 10999-2026 karta.png", "A 10999-2026")</f>
        <v/>
      </c>
      <c r="Y111">
        <f>HYPERLINK("https://klasma.github.io/Logging_0482/kartor_geotiff/A 10999-2026 georefererad karta.tif", "A 10999-2026")</f>
        <v/>
      </c>
      <c r="AA111">
        <f>HYPERLINK("https://klasma.github.io/Logging_0482/klagomål/A 10999-2026 FSC-klagomål.docx", "A 10999-2026")</f>
        <v/>
      </c>
      <c r="AB111">
        <f>HYPERLINK("https://klasma.github.io/Logging_0482/klagomålsmail/A 10999-2026 FSC-klagomål mail.docx", "A 10999-2026")</f>
        <v/>
      </c>
      <c r="AC111">
        <f>HYPERLINK("https://klasma.github.io/Logging_0482/tillsyn/A 10999-2026 tillsynsbegäran.docx", "A 10999-2026")</f>
        <v/>
      </c>
      <c r="AD111">
        <f>HYPERLINK("https://klasma.github.io/Logging_0482/tillsynsmail/A 10999-2026 tillsynsbegäran mail.docx", "A 10999-2026")</f>
        <v/>
      </c>
    </row>
    <row r="112" ht="15" customHeight="1">
      <c r="A112" t="inlineStr">
        <is>
          <t>A 16095-2026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46108</v>
      </c>
      <c r="E112" s="1" t="n">
        <v>46226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HYPERLINK("https://klasma.github.io/Logging_0482/artfynd/A 16095-2026 artfynd.xlsx", "A 16095-2026")</f>
        <v/>
      </c>
      <c r="X112">
        <f>HYPERLINK("https://klasma.github.io/Logging_0482/kartor/A 16095-2026 karta.png", "A 16095-2026")</f>
        <v/>
      </c>
      <c r="Y112">
        <f>HYPERLINK("https://klasma.github.io/Logging_0482/kartor_geotiff/A 16095-2026 georefererad karta.tif", "A 16095-2026")</f>
        <v/>
      </c>
      <c r="AA112">
        <f>HYPERLINK("https://klasma.github.io/Logging_0482/klagomål/A 16095-2026 FSC-klagomål.docx", "A 16095-2026")</f>
        <v/>
      </c>
      <c r="AB112">
        <f>HYPERLINK("https://klasma.github.io/Logging_0482/klagomålsmail/A 16095-2026 FSC-klagomål mail.docx", "A 16095-2026")</f>
        <v/>
      </c>
      <c r="AC112">
        <f>HYPERLINK("https://klasma.github.io/Logging_0482/tillsyn/A 16095-2026 tillsynsbegäran.docx", "A 16095-2026")</f>
        <v/>
      </c>
      <c r="AD112">
        <f>HYPERLINK("https://klasma.github.io/Logging_0482/tillsynsmail/A 16095-2026 tillsynsbegäran mail.docx", "A 16095-2026")</f>
        <v/>
      </c>
      <c r="AE112">
        <f>HYPERLINK("https://klasma.github.io/Logging_0482/fåglar/A 16095-2026 prioriterade fågelarter.docx", "A 16095-2026")</f>
        <v/>
      </c>
    </row>
    <row r="113" ht="15" customHeight="1">
      <c r="A113" t="inlineStr">
        <is>
          <t>A 47581-2025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46226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HYPERLINK("https://klasma.github.io/Logging_0482/artfynd/A 47581-2025 artfynd.xlsx", "A 47581-2025")</f>
        <v/>
      </c>
      <c r="X113">
        <f>HYPERLINK("https://klasma.github.io/Logging_0482/kartor/A 47581-2025 karta.png", "A 47581-2025")</f>
        <v/>
      </c>
      <c r="Y113">
        <f>HYPERLINK("https://klasma.github.io/Logging_0482/kartor_geotiff/A 47581-2025 georefererad karta.tif", "A 47581-2025")</f>
        <v/>
      </c>
      <c r="AA113">
        <f>HYPERLINK("https://klasma.github.io/Logging_0482/klagomål/A 47581-2025 FSC-klagomål.docx", "A 47581-2025")</f>
        <v/>
      </c>
      <c r="AB113">
        <f>HYPERLINK("https://klasma.github.io/Logging_0482/klagomålsmail/A 47581-2025 FSC-klagomål mail.docx", "A 47581-2025")</f>
        <v/>
      </c>
      <c r="AC113">
        <f>HYPERLINK("https://klasma.github.io/Logging_0482/tillsyn/A 47581-2025 tillsynsbegäran.docx", "A 47581-2025")</f>
        <v/>
      </c>
      <c r="AD113">
        <f>HYPERLINK("https://klasma.github.io/Logging_0482/tillsynsmail/A 47581-2025 tillsynsbegäran mail.docx", "A 47581-2025")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46226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6982-2024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46226</v>
      </c>
      <c r="F115" t="inlineStr">
        <is>
          <t>SÖDERMANLANDS LÄN</t>
        </is>
      </c>
      <c r="G115" t="inlineStr">
        <is>
          <t>FLEN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Fläcknycklar</t>
        </is>
      </c>
      <c r="W115">
        <f>HYPERLINK("https://klasma.github.io/Logging_0482/artfynd/A 6982-2024 artfynd.xlsx", "A 6982-2024")</f>
        <v/>
      </c>
      <c r="X115">
        <f>HYPERLINK("https://klasma.github.io/Logging_0482/kartor/A 6982-2024 karta.png", "A 6982-2024")</f>
        <v/>
      </c>
      <c r="Y115">
        <f>HYPERLINK("https://klasma.github.io/Logging_0482/kartor_geotiff/A 6982-2024 georefererad karta.tif", "A 6982-2024")</f>
        <v/>
      </c>
      <c r="AA115">
        <f>HYPERLINK("https://klasma.github.io/Logging_0482/klagomål/A 6982-2024 FSC-klagomål.docx", "A 6982-2024")</f>
        <v/>
      </c>
      <c r="AB115">
        <f>HYPERLINK("https://klasma.github.io/Logging_0482/klagomålsmail/A 6982-2024 FSC-klagomål mail.docx", "A 6982-2024")</f>
        <v/>
      </c>
      <c r="AC115">
        <f>HYPERLINK("https://klasma.github.io/Logging_0482/tillsyn/A 6982-2024 tillsynsbegäran.docx", "A 6982-2024")</f>
        <v/>
      </c>
      <c r="AD115">
        <f>HYPERLINK("https://klasma.github.io/Logging_0482/tillsynsmail/A 6982-2024 tillsynsbegäran mail.docx", "A 6982-2024")</f>
        <v/>
      </c>
    </row>
    <row r="116" ht="15" customHeight="1">
      <c r="A116" t="inlineStr">
        <is>
          <t>A 55092-2021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46226</v>
      </c>
      <c r="F116" t="inlineStr">
        <is>
          <t>SÖDERMANLANDS LÄN</t>
        </is>
      </c>
      <c r="G116" t="inlineStr">
        <is>
          <t>FLEN</t>
        </is>
      </c>
      <c r="I116" t="n">
        <v>3.5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Huggorm</t>
        </is>
      </c>
      <c r="W116">
        <f>HYPERLINK("https://klasma.github.io/Logging_0482/artfynd/A 55092-2021 artfynd.xlsx", "A 55092-2021")</f>
        <v/>
      </c>
      <c r="X116">
        <f>HYPERLINK("https://klasma.github.io/Logging_0482/kartor/A 55092-2021 karta.png", "A 55092-2021")</f>
        <v/>
      </c>
      <c r="Y116">
        <f>HYPERLINK("https://klasma.github.io/Logging_0482/kartor_geotiff/A 55092-2021 georefererad karta.tif", "A 55092-2021")</f>
        <v/>
      </c>
      <c r="AA116">
        <f>HYPERLINK("https://klasma.github.io/Logging_0482/klagomål/A 55092-2021 FSC-klagomål.docx", "A 55092-2021")</f>
        <v/>
      </c>
      <c r="AB116">
        <f>HYPERLINK("https://klasma.github.io/Logging_0482/klagomålsmail/A 55092-2021 FSC-klagomål mail.docx", "A 55092-2021")</f>
        <v/>
      </c>
      <c r="AC116">
        <f>HYPERLINK("https://klasma.github.io/Logging_0482/tillsyn/A 55092-2021 tillsynsbegäran.docx", "A 55092-2021")</f>
        <v/>
      </c>
      <c r="AD116">
        <f>HYPERLINK("https://klasma.github.io/Logging_0482/tillsynsmail/A 55092-2021 tillsynsbegäran mail.docx", "A 55092-2021")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46226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46226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46226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46226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46226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21704-2026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46226</v>
      </c>
      <c r="F122" t="inlineStr">
        <is>
          <t>SÖDERMANLANDS LÄN</t>
        </is>
      </c>
      <c r="G122" t="inlineStr">
        <is>
          <t>FLEN</t>
        </is>
      </c>
      <c r="I122" t="n">
        <v>10.2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Kandelabersvamp</t>
        </is>
      </c>
      <c r="W122">
        <f>HYPERLINK("https://klasma.github.io/Logging_0482/artfynd/A 21704-2026 artfynd.xlsx", "A 21704-2026")</f>
        <v/>
      </c>
      <c r="X122">
        <f>HYPERLINK("https://klasma.github.io/Logging_0482/kartor/A 21704-2026 karta.png", "A 21704-2026")</f>
        <v/>
      </c>
      <c r="Y122">
        <f>HYPERLINK("https://klasma.github.io/Logging_0482/kartor_geotiff/A 21704-2026 georefererad karta.tif", "A 21704-2026")</f>
        <v/>
      </c>
      <c r="AA122">
        <f>HYPERLINK("https://klasma.github.io/Logging_0482/klagomål/A 21704-2026 FSC-klagomål.docx", "A 21704-2026")</f>
        <v/>
      </c>
      <c r="AB122">
        <f>HYPERLINK("https://klasma.github.io/Logging_0482/klagomålsmail/A 21704-2026 FSC-klagomål mail.docx", "A 21704-2026")</f>
        <v/>
      </c>
      <c r="AC122">
        <f>HYPERLINK("https://klasma.github.io/Logging_0482/tillsyn/A 21704-2026 tillsynsbegäran.docx", "A 21704-2026")</f>
        <v/>
      </c>
      <c r="AD122">
        <f>HYPERLINK("https://klasma.github.io/Logging_0482/tillsynsmail/A 21704-2026 tillsynsbegäran mail.docx", "A 21704-2026")</f>
        <v/>
      </c>
    </row>
    <row r="123" ht="15" customHeight="1">
      <c r="A123" t="inlineStr">
        <is>
          <t>A 37317-2023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46226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5.1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Svavelriska</t>
        </is>
      </c>
      <c r="W123">
        <f>HYPERLINK("https://klasma.github.io/Logging_0482/artfynd/A 37317-2023 artfynd.xlsx", "A 37317-2023")</f>
        <v/>
      </c>
      <c r="X123">
        <f>HYPERLINK("https://klasma.github.io/Logging_0482/kartor/A 37317-2023 karta.png", "A 37317-2023")</f>
        <v/>
      </c>
      <c r="Y123">
        <f>HYPERLINK("https://klasma.github.io/Logging_0482/kartor_geotiff/A 37317-2023 georefererad karta.tif", "A 37317-2023")</f>
        <v/>
      </c>
      <c r="AA123">
        <f>HYPERLINK("https://klasma.github.io/Logging_0482/klagomål/A 37317-2023 FSC-klagomål.docx", "A 37317-2023")</f>
        <v/>
      </c>
      <c r="AB123">
        <f>HYPERLINK("https://klasma.github.io/Logging_0482/klagomålsmail/A 37317-2023 FSC-klagomål mail.docx", "A 37317-2023")</f>
        <v/>
      </c>
      <c r="AC123">
        <f>HYPERLINK("https://klasma.github.io/Logging_0482/tillsyn/A 37317-2023 tillsynsbegäran.docx", "A 37317-2023")</f>
        <v/>
      </c>
      <c r="AD123">
        <f>HYPERLINK("https://klasma.github.io/Logging_0482/tillsynsmail/A 37317-2023 tillsynsbegäran mail.docx", "A 37317-2023")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46226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2036-2026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46226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Knärot</t>
        </is>
      </c>
      <c r="W125">
        <f>HYPERLINK("https://klasma.github.io/Logging_0482/artfynd/A 2036-2026 artfynd.xlsx", "A 2036-2026")</f>
        <v/>
      </c>
      <c r="X125">
        <f>HYPERLINK("https://klasma.github.io/Logging_0482/kartor/A 2036-2026 karta.png", "A 2036-2026")</f>
        <v/>
      </c>
      <c r="Y125">
        <f>HYPERLINK("https://klasma.github.io/Logging_0482/kartor_geotiff/A 2036-2026 georefererad karta.tif", "A 2036-2026")</f>
        <v/>
      </c>
      <c r="Z125">
        <f>HYPERLINK("https://klasma.github.io/Logging_0482/knärot/A 2036-2026 karta knärot.png", "A 2036-2026")</f>
        <v/>
      </c>
      <c r="AA125">
        <f>HYPERLINK("https://klasma.github.io/Logging_0482/klagomål/A 2036-2026 FSC-klagomål.docx", "A 2036-2026")</f>
        <v/>
      </c>
      <c r="AB125">
        <f>HYPERLINK("https://klasma.github.io/Logging_0482/klagomålsmail/A 2036-2026 FSC-klagomål mail.docx", "A 2036-2026")</f>
        <v/>
      </c>
      <c r="AC125">
        <f>HYPERLINK("https://klasma.github.io/Logging_0482/tillsyn/A 2036-2026 tillsynsbegäran.docx", "A 2036-2026")</f>
        <v/>
      </c>
      <c r="AD125">
        <f>HYPERLINK("https://klasma.github.io/Logging_0482/tillsynsmail/A 2036-2026 tillsynsbegäran mail.docx", "A 2036-2026")</f>
        <v/>
      </c>
    </row>
    <row r="126" ht="15" customHeight="1">
      <c r="A126" t="inlineStr">
        <is>
          <t>A 60529-2024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46226</v>
      </c>
      <c r="F126" t="inlineStr">
        <is>
          <t>SÖDERMANLANDS LÄN</t>
        </is>
      </c>
      <c r="G126" t="inlineStr">
        <is>
          <t>FLEN</t>
        </is>
      </c>
      <c r="I126" t="n">
        <v>2.5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Skarp dropptaggsvamp</t>
        </is>
      </c>
      <c r="W126">
        <f>HYPERLINK("https://klasma.github.io/Logging_0482/artfynd/A 60529-2024 artfynd.xlsx", "A 60529-2024")</f>
        <v/>
      </c>
      <c r="X126">
        <f>HYPERLINK("https://klasma.github.io/Logging_0482/kartor/A 60529-2024 karta.png", "A 60529-2024")</f>
        <v/>
      </c>
      <c r="Y126">
        <f>HYPERLINK("https://klasma.github.io/Logging_0482/kartor_geotiff/A 60529-2024 georefererad karta.tif", "A 60529-2024")</f>
        <v/>
      </c>
      <c r="AA126">
        <f>HYPERLINK("https://klasma.github.io/Logging_0482/klagomål/A 60529-2024 FSC-klagomål.docx", "A 60529-2024")</f>
        <v/>
      </c>
      <c r="AB126">
        <f>HYPERLINK("https://klasma.github.io/Logging_0482/klagomålsmail/A 60529-2024 FSC-klagomål mail.docx", "A 60529-2024")</f>
        <v/>
      </c>
      <c r="AC126">
        <f>HYPERLINK("https://klasma.github.io/Logging_0482/tillsyn/A 60529-2024 tillsynsbegäran.docx", "A 60529-2024")</f>
        <v/>
      </c>
      <c r="AD126">
        <f>HYPERLINK("https://klasma.github.io/Logging_0482/tillsynsmail/A 60529-2024 tillsynsbegäran mail.docx", "A 60529-2024")</f>
        <v/>
      </c>
    </row>
    <row r="127" ht="15" customHeight="1">
      <c r="A127" t="inlineStr">
        <is>
          <t>A 53339-2023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46226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53339-2023 artfynd.xlsx", "A 53339-2023")</f>
        <v/>
      </c>
      <c r="X127">
        <f>HYPERLINK("https://klasma.github.io/Logging_0482/kartor/A 53339-2023 karta.png", "A 53339-2023")</f>
        <v/>
      </c>
      <c r="Y127">
        <f>HYPERLINK("https://klasma.github.io/Logging_0482/kartor_geotiff/A 53339-2023 georefererad karta.tif", "A 53339-2023")</f>
        <v/>
      </c>
      <c r="AA127">
        <f>HYPERLINK("https://klasma.github.io/Logging_0482/klagomål/A 53339-2023 FSC-klagomål.docx", "A 53339-2023")</f>
        <v/>
      </c>
      <c r="AB127">
        <f>HYPERLINK("https://klasma.github.io/Logging_0482/klagomålsmail/A 53339-2023 FSC-klagomål mail.docx", "A 53339-2023")</f>
        <v/>
      </c>
      <c r="AC127">
        <f>HYPERLINK("https://klasma.github.io/Logging_0482/tillsyn/A 53339-2023 tillsynsbegäran.docx", "A 53339-2023")</f>
        <v/>
      </c>
      <c r="AD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54302-2025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46226</v>
      </c>
      <c r="F128" t="inlineStr">
        <is>
          <t>SÖDERMANLANDS LÄN</t>
        </is>
      </c>
      <c r="G128" t="inlineStr">
        <is>
          <t>FLEN</t>
        </is>
      </c>
      <c r="I128" t="n">
        <v>12.6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Dofttaggsvamp</t>
        </is>
      </c>
      <c r="W128">
        <f>HYPERLINK("https://klasma.github.io/Logging_0482/artfynd/A 54302-2025 artfynd.xlsx", "A 54302-2025")</f>
        <v/>
      </c>
      <c r="X128">
        <f>HYPERLINK("https://klasma.github.io/Logging_0482/kartor/A 54302-2025 karta.png", "A 54302-2025")</f>
        <v/>
      </c>
      <c r="Y128">
        <f>HYPERLINK("https://klasma.github.io/Logging_0482/kartor_geotiff/A 54302-2025 georefererad karta.tif", "A 54302-2025")</f>
        <v/>
      </c>
      <c r="AA128">
        <f>HYPERLINK("https://klasma.github.io/Logging_0482/klagomål/A 54302-2025 FSC-klagomål.docx", "A 54302-2025")</f>
        <v/>
      </c>
      <c r="AB128">
        <f>HYPERLINK("https://klasma.github.io/Logging_0482/klagomålsmail/A 54302-2025 FSC-klagomål mail.docx", "A 54302-2025")</f>
        <v/>
      </c>
      <c r="AC128">
        <f>HYPERLINK("https://klasma.github.io/Logging_0482/tillsyn/A 54302-2025 tillsynsbegäran.docx", "A 54302-2025")</f>
        <v/>
      </c>
      <c r="AD128">
        <f>HYPERLINK("https://klasma.github.io/Logging_0482/tillsynsmail/A 54302-2025 tillsynsbegäran mail.docx", "A 54302-2025")</f>
        <v/>
      </c>
    </row>
    <row r="129" ht="15" customHeight="1">
      <c r="A129" t="inlineStr">
        <is>
          <t>A 30406-2026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46209</v>
      </c>
      <c r="E129" s="1" t="n">
        <v>46226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HYPERLINK("https://klasma.github.io/Logging_0482/artfynd/A 30406-2026 artfynd.xlsx", "A 30406-2026")</f>
        <v/>
      </c>
      <c r="X129">
        <f>HYPERLINK("https://klasma.github.io/Logging_0482/kartor/A 30406-2026 karta.png", "A 30406-2026")</f>
        <v/>
      </c>
      <c r="Y129">
        <f>HYPERLINK("https://klasma.github.io/Logging_0482/kartor_geotiff/A 30406-2026 georefererad karta.tif", "A 30406-2026")</f>
        <v/>
      </c>
      <c r="AA129">
        <f>HYPERLINK("https://klasma.github.io/Logging_0482/klagomål/A 30406-2026 FSC-klagomål.docx", "A 30406-2026")</f>
        <v/>
      </c>
      <c r="AB129">
        <f>HYPERLINK("https://klasma.github.io/Logging_0482/klagomålsmail/A 30406-2026 FSC-klagomål mail.docx", "A 30406-2026")</f>
        <v/>
      </c>
      <c r="AC129">
        <f>HYPERLINK("https://klasma.github.io/Logging_0482/tillsyn/A 30406-2026 tillsynsbegäran.docx", "A 30406-2026")</f>
        <v/>
      </c>
      <c r="AD129">
        <f>HYPERLINK("https://klasma.github.io/Logging_0482/tillsynsmail/A 30406-2026 tillsynsbegäran mail.docx", "A 30406-2026")</f>
        <v/>
      </c>
    </row>
    <row r="130" ht="15" customHeight="1">
      <c r="A130" t="inlineStr">
        <is>
          <t>A 24179-2026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46226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24179-2026 artfynd.xlsx", "A 24179-2026")</f>
        <v/>
      </c>
      <c r="X130">
        <f>HYPERLINK("https://klasma.github.io/Logging_0482/kartor/A 24179-2026 karta.png", "A 24179-2026")</f>
        <v/>
      </c>
      <c r="Y130">
        <f>HYPERLINK("https://klasma.github.io/Logging_0482/kartor_geotiff/A 24179-2026 georefererad karta.tif", "A 24179-2026")</f>
        <v/>
      </c>
      <c r="AA130">
        <f>HYPERLINK("https://klasma.github.io/Logging_0482/klagomål/A 24179-2026 FSC-klagomål.docx", "A 24179-2026")</f>
        <v/>
      </c>
      <c r="AB130">
        <f>HYPERLINK("https://klasma.github.io/Logging_0482/klagomålsmail/A 24179-2026 FSC-klagomål mail.docx", "A 24179-2026")</f>
        <v/>
      </c>
      <c r="AC130">
        <f>HYPERLINK("https://klasma.github.io/Logging_0482/tillsyn/A 24179-2026 tillsynsbegäran.docx", "A 24179-2026")</f>
        <v/>
      </c>
      <c r="AD130">
        <f>HYPERLINK("https://klasma.github.io/Logging_0482/tillsynsmail/A 24179-2026 tillsynsbegäran mail.docx", "A 24179-2026")</f>
        <v/>
      </c>
    </row>
    <row r="131" ht="15" customHeight="1">
      <c r="A131" t="inlineStr">
        <is>
          <t>A 52546-2021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44463</v>
      </c>
      <c r="E131" s="1" t="n">
        <v>46226</v>
      </c>
      <c r="F131" t="inlineStr">
        <is>
          <t>SÖDERMANLANDS LÄN</t>
        </is>
      </c>
      <c r="G131" t="inlineStr">
        <is>
          <t>FLEN</t>
        </is>
      </c>
      <c r="I131" t="n">
        <v>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Mindre bastardsvärmare</t>
        </is>
      </c>
      <c r="W131">
        <f>HYPERLINK("https://klasma.github.io/Logging_0482/artfynd/A 52546-2021 artfynd.xlsx", "A 52546-2021")</f>
        <v/>
      </c>
      <c r="X131">
        <f>HYPERLINK("https://klasma.github.io/Logging_0482/kartor/A 52546-2021 karta.png", "A 52546-2021")</f>
        <v/>
      </c>
      <c r="Y131">
        <f>HYPERLINK("https://klasma.github.io/Logging_0482/kartor_geotiff/A 52546-2021 georefererad karta.tif", "A 52546-2021")</f>
        <v/>
      </c>
      <c r="AA131">
        <f>HYPERLINK("https://klasma.github.io/Logging_0482/klagomål/A 52546-2021 FSC-klagomål.docx", "A 52546-2021")</f>
        <v/>
      </c>
      <c r="AB131">
        <f>HYPERLINK("https://klasma.github.io/Logging_0482/klagomålsmail/A 52546-2021 FSC-klagomål mail.docx", "A 52546-2021")</f>
        <v/>
      </c>
      <c r="AC131">
        <f>HYPERLINK("https://klasma.github.io/Logging_0482/tillsyn/A 52546-2021 tillsynsbegäran.docx", "A 52546-2021")</f>
        <v/>
      </c>
      <c r="AD131">
        <f>HYPERLINK("https://klasma.github.io/Logging_0482/tillsynsmail/A 52546-2021 tillsynsbegäran mail.docx", "A 52546-2021")</f>
        <v/>
      </c>
    </row>
    <row r="132" ht="15" customHeight="1">
      <c r="A132" t="inlineStr">
        <is>
          <t>A 45120-2021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44439</v>
      </c>
      <c r="E132" s="1" t="n">
        <v>46226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HYPERLINK("https://klasma.github.io/Logging_0482/artfynd/A 45120-2021 artfynd.xlsx", "A 45120-2021")</f>
        <v/>
      </c>
      <c r="X132">
        <f>HYPERLINK("https://klasma.github.io/Logging_0482/kartor/A 45120-2021 karta.png", "A 45120-2021")</f>
        <v/>
      </c>
      <c r="Y132">
        <f>HYPERLINK("https://klasma.github.io/Logging_0482/kartor_geotiff/A 45120-2021 georefererad karta.tif", "A 45120-2021")</f>
        <v/>
      </c>
      <c r="AA132">
        <f>HYPERLINK("https://klasma.github.io/Logging_0482/klagomål/A 45120-2021 FSC-klagomål.docx", "A 45120-2021")</f>
        <v/>
      </c>
      <c r="AB132">
        <f>HYPERLINK("https://klasma.github.io/Logging_0482/klagomålsmail/A 45120-2021 FSC-klagomål mail.docx", "A 45120-2021")</f>
        <v/>
      </c>
      <c r="AC132">
        <f>HYPERLINK("https://klasma.github.io/Logging_0482/tillsyn/A 45120-2021 tillsynsbegäran.docx", "A 45120-2021")</f>
        <v/>
      </c>
      <c r="AD132">
        <f>HYPERLINK("https://klasma.github.io/Logging_0482/tillsynsmail/A 45120-2021 tillsynsbegäran mail.docx", "A 45120-2021")</f>
        <v/>
      </c>
    </row>
    <row r="133" ht="15" customHeight="1">
      <c r="A133" t="inlineStr">
        <is>
          <t>A 46987-2024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46226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HYPERLINK("https://klasma.github.io/Logging_0482/artfynd/A 46987-2024 artfynd.xlsx", "A 46987-2024")</f>
        <v/>
      </c>
      <c r="X133">
        <f>HYPERLINK("https://klasma.github.io/Logging_0482/kartor/A 46987-2024 karta.png", "A 46987-2024")</f>
        <v/>
      </c>
      <c r="Y133">
        <f>HYPERLINK("https://klasma.github.io/Logging_0482/kartor_geotiff/A 46987-2024 georefererad karta.tif", "A 46987-2024")</f>
        <v/>
      </c>
      <c r="AA133">
        <f>HYPERLINK("https://klasma.github.io/Logging_0482/klagomål/A 46987-2024 FSC-klagomål.docx", "A 46987-2024")</f>
        <v/>
      </c>
      <c r="AB133">
        <f>HYPERLINK("https://klasma.github.io/Logging_0482/klagomålsmail/A 46987-2024 FSC-klagomål mail.docx", "A 46987-2024")</f>
        <v/>
      </c>
      <c r="AC133">
        <f>HYPERLINK("https://klasma.github.io/Logging_0482/tillsyn/A 46987-2024 tillsynsbegäran.docx", "A 46987-2024")</f>
        <v/>
      </c>
      <c r="AD133">
        <f>HYPERLINK("https://klasma.github.io/Logging_0482/tillsynsmail/A 46987-2024 tillsynsbegäran mail.docx", "A 46987-2024")</f>
        <v/>
      </c>
    </row>
    <row r="134" ht="15" customHeight="1">
      <c r="A134" t="inlineStr">
        <is>
          <t>A 10770-2022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44624</v>
      </c>
      <c r="E134" s="1" t="n">
        <v>46226</v>
      </c>
      <c r="F134" t="inlineStr">
        <is>
          <t>SÖDERMANLANDS LÄN</t>
        </is>
      </c>
      <c r="G134" t="inlineStr">
        <is>
          <t>FLEN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HYPERLINK("https://klasma.github.io/Logging_0482/artfynd/A 10770-2022 artfynd.xlsx", "A 10770-2022")</f>
        <v/>
      </c>
      <c r="X134">
        <f>HYPERLINK("https://klasma.github.io/Logging_0482/kartor/A 10770-2022 karta.png", "A 10770-2022")</f>
        <v/>
      </c>
      <c r="Y134">
        <f>HYPERLINK("https://klasma.github.io/Logging_0482/kartor_geotiff/A 10770-2022 georefererad karta.tif", "A 10770-2022")</f>
        <v/>
      </c>
      <c r="AA134">
        <f>HYPERLINK("https://klasma.github.io/Logging_0482/klagomål/A 10770-2022 FSC-klagomål.docx", "A 10770-2022")</f>
        <v/>
      </c>
      <c r="AB134">
        <f>HYPERLINK("https://klasma.github.io/Logging_0482/klagomålsmail/A 10770-2022 FSC-klagomål mail.docx", "A 10770-2022")</f>
        <v/>
      </c>
      <c r="AC134">
        <f>HYPERLINK("https://klasma.github.io/Logging_0482/tillsyn/A 10770-2022 tillsynsbegäran.docx", "A 10770-2022")</f>
        <v/>
      </c>
      <c r="AD134">
        <f>HYPERLINK("https://klasma.github.io/Logging_0482/tillsynsmail/A 10770-2022 tillsynsbegäran mail.docx", "A 10770-2022")</f>
        <v/>
      </c>
    </row>
    <row r="135" ht="15" customHeight="1">
      <c r="A135" t="inlineStr">
        <is>
          <t>A 26310-2026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46226</v>
      </c>
      <c r="F135" t="inlineStr">
        <is>
          <t>SÖDERMANLANDS LÄN</t>
        </is>
      </c>
      <c r="G135" t="inlineStr">
        <is>
          <t>FLEN</t>
        </is>
      </c>
      <c r="I135" t="n">
        <v>1.2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HYPERLINK("https://klasma.github.io/Logging_0482/artfynd/A 26310-2026 artfynd.xlsx", "A 26310-2026")</f>
        <v/>
      </c>
      <c r="X135">
        <f>HYPERLINK("https://klasma.github.io/Logging_0482/kartor/A 26310-2026 karta.png", "A 26310-2026")</f>
        <v/>
      </c>
      <c r="Y135">
        <f>HYPERLINK("https://klasma.github.io/Logging_0482/kartor_geotiff/A 26310-2026 georefererad karta.tif", "A 26310-2026")</f>
        <v/>
      </c>
      <c r="AA135">
        <f>HYPERLINK("https://klasma.github.io/Logging_0482/klagomål/A 26310-2026 FSC-klagomål.docx", "A 26310-2026")</f>
        <v/>
      </c>
      <c r="AB135">
        <f>HYPERLINK("https://klasma.github.io/Logging_0482/klagomålsmail/A 26310-2026 FSC-klagomål mail.docx", "A 26310-2026")</f>
        <v/>
      </c>
      <c r="AC135">
        <f>HYPERLINK("https://klasma.github.io/Logging_0482/tillsyn/A 26310-2026 tillsynsbegäran.docx", "A 26310-2026")</f>
        <v/>
      </c>
      <c r="AD135">
        <f>HYPERLINK("https://klasma.github.io/Logging_0482/tillsynsmail/A 26310-2026 tillsynsbegäran mail.docx", "A 26310-2026")</f>
        <v/>
      </c>
      <c r="AE135">
        <f>HYPERLINK("https://klasma.github.io/Logging_0482/fåglar/A 26310-2026 prioriterade fågelarter.docx", "A 26310-2026")</f>
        <v/>
      </c>
    </row>
    <row r="136" ht="15" customHeight="1">
      <c r="A136" t="inlineStr">
        <is>
          <t>A 39036-2023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46226</v>
      </c>
      <c r="F136" t="inlineStr">
        <is>
          <t>SÖDERMANLANDS LÄN</t>
        </is>
      </c>
      <c r="G136" t="inlineStr">
        <is>
          <t>FLEN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Igelkott</t>
        </is>
      </c>
      <c r="W136">
        <f>HYPERLINK("https://klasma.github.io/Logging_0482/artfynd/A 39036-2023 artfynd.xlsx", "A 39036-2023")</f>
        <v/>
      </c>
      <c r="X136">
        <f>HYPERLINK("https://klasma.github.io/Logging_0482/kartor/A 39036-2023 karta.png", "A 39036-2023")</f>
        <v/>
      </c>
      <c r="Y136">
        <f>HYPERLINK("https://klasma.github.io/Logging_0482/kartor_geotiff/A 39036-2023 georefererad karta.tif", "A 39036-2023")</f>
        <v/>
      </c>
      <c r="AA136">
        <f>HYPERLINK("https://klasma.github.io/Logging_0482/klagomål/A 39036-2023 FSC-klagomål.docx", "A 39036-2023")</f>
        <v/>
      </c>
      <c r="AB136">
        <f>HYPERLINK("https://klasma.github.io/Logging_0482/klagomålsmail/A 39036-2023 FSC-klagomål mail.docx", "A 39036-2023")</f>
        <v/>
      </c>
      <c r="AC136">
        <f>HYPERLINK("https://klasma.github.io/Logging_0482/tillsyn/A 39036-2023 tillsynsbegäran.docx", "A 39036-2023")</f>
        <v/>
      </c>
      <c r="AD136">
        <f>HYPERLINK("https://klasma.github.io/Logging_0482/tillsynsmail/A 39036-2023 tillsynsbegäran mail.docx", "A 39036-2023")</f>
        <v/>
      </c>
    </row>
    <row r="137" ht="15" customHeight="1">
      <c r="A137" t="inlineStr">
        <is>
          <t>A 26052-2026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46226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HYPERLINK("https://klasma.github.io/Logging_0482/artfynd/A 26052-2026 artfynd.xlsx", "A 26052-2026")</f>
        <v/>
      </c>
      <c r="X137">
        <f>HYPERLINK("https://klasma.github.io/Logging_0482/kartor/A 26052-2026 karta.png", "A 26052-2026")</f>
        <v/>
      </c>
      <c r="Y137">
        <f>HYPERLINK("https://klasma.github.io/Logging_0482/kartor_geotiff/A 26052-2026 georefererad karta.tif", "A 26052-2026")</f>
        <v/>
      </c>
      <c r="AA137">
        <f>HYPERLINK("https://klasma.github.io/Logging_0482/klagomål/A 26052-2026 FSC-klagomål.docx", "A 26052-2026")</f>
        <v/>
      </c>
      <c r="AB137">
        <f>HYPERLINK("https://klasma.github.io/Logging_0482/klagomålsmail/A 26052-2026 FSC-klagomål mail.docx", "A 26052-2026")</f>
        <v/>
      </c>
      <c r="AC137">
        <f>HYPERLINK("https://klasma.github.io/Logging_0482/tillsyn/A 26052-2026 tillsynsbegäran.docx", "A 26052-2026")</f>
        <v/>
      </c>
      <c r="AD137">
        <f>HYPERLINK("https://klasma.github.io/Logging_0482/tillsynsmail/A 26052-2026 tillsynsbegäran mail.docx", "A 26052-2026")</f>
        <v/>
      </c>
    </row>
    <row r="138" ht="15" customHeight="1">
      <c r="A138" t="inlineStr">
        <is>
          <t>A 12371-2022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46226</v>
      </c>
      <c r="F138" t="inlineStr">
        <is>
          <t>SÖDERMANLANDS LÄN</t>
        </is>
      </c>
      <c r="G138" t="inlineStr">
        <is>
          <t>FLEN</t>
        </is>
      </c>
      <c r="H138" t="inlineStr">
        <is>
          <t>Kommuner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12371-2022 artfynd.xlsx", "A 12371-2022")</f>
        <v/>
      </c>
      <c r="X138">
        <f>HYPERLINK("https://klasma.github.io/Logging_0482/kartor/A 12371-2022 karta.png", "A 12371-2022")</f>
        <v/>
      </c>
      <c r="Y138">
        <f>HYPERLINK("https://klasma.github.io/Logging_0482/kartor_geotiff/A 12371-2022 georefererad karta.tif", "A 12371-2022")</f>
        <v/>
      </c>
      <c r="AA138">
        <f>HYPERLINK("https://klasma.github.io/Logging_0482/klagomål/A 12371-2022 FSC-klagomål.docx", "A 12371-2022")</f>
        <v/>
      </c>
      <c r="AB138">
        <f>HYPERLINK("https://klasma.github.io/Logging_0482/klagomålsmail/A 12371-2022 FSC-klagomål mail.docx", "A 12371-2022")</f>
        <v/>
      </c>
      <c r="AC138">
        <f>HYPERLINK("https://klasma.github.io/Logging_0482/tillsyn/A 12371-2022 tillsynsbegäran.docx", "A 12371-2022")</f>
        <v/>
      </c>
      <c r="AD138">
        <f>HYPERLINK("https://klasma.github.io/Logging_0482/tillsynsmail/A 12371-2022 tillsynsbegäran mail.docx", "A 12371-2022")</f>
        <v/>
      </c>
    </row>
    <row r="139" ht="15" customHeight="1">
      <c r="A139" t="inlineStr">
        <is>
          <t>A 60591-2022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46226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Grönpyrola</t>
        </is>
      </c>
      <c r="W139">
        <f>HYPERLINK("https://klasma.github.io/Logging_0482/artfynd/A 60591-2022 artfynd.xlsx", "A 60591-2022")</f>
        <v/>
      </c>
      <c r="X139">
        <f>HYPERLINK("https://klasma.github.io/Logging_0482/kartor/A 60591-2022 karta.png", "A 60591-2022")</f>
        <v/>
      </c>
      <c r="Y139">
        <f>HYPERLINK("https://klasma.github.io/Logging_0482/kartor_geotiff/A 60591-2022 georefererad karta.tif", "A 60591-2022")</f>
        <v/>
      </c>
      <c r="AA139">
        <f>HYPERLINK("https://klasma.github.io/Logging_0482/klagomål/A 60591-2022 FSC-klagomål.docx", "A 60591-2022")</f>
        <v/>
      </c>
      <c r="AB139">
        <f>HYPERLINK("https://klasma.github.io/Logging_0482/klagomålsmail/A 60591-2022 FSC-klagomål mail.docx", "A 60591-2022")</f>
        <v/>
      </c>
      <c r="AC139">
        <f>HYPERLINK("https://klasma.github.io/Logging_0482/tillsyn/A 60591-2022 tillsynsbegäran.docx", "A 60591-2022")</f>
        <v/>
      </c>
      <c r="AD139">
        <f>HYPERLINK("https://klasma.github.io/Logging_0482/tillsynsmail/A 60591-2022 tillsynsbegäran mail.docx", "A 60591-2022")</f>
        <v/>
      </c>
    </row>
    <row r="140" ht="15" customHeight="1">
      <c r="A140" t="inlineStr">
        <is>
          <t>A 4259-2023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46226</v>
      </c>
      <c r="F140" t="inlineStr">
        <is>
          <t>SÖDERMANLANDS LÄN</t>
        </is>
      </c>
      <c r="G140" t="inlineStr">
        <is>
          <t>FLEN</t>
        </is>
      </c>
      <c r="I140" t="n">
        <v>1.3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Blåsippa</t>
        </is>
      </c>
      <c r="W140">
        <f>HYPERLINK("https://klasma.github.io/Logging_0482/artfynd/A 4259-2023 artfynd.xlsx", "A 4259-2023")</f>
        <v/>
      </c>
      <c r="X140">
        <f>HYPERLINK("https://klasma.github.io/Logging_0482/kartor/A 4259-2023 karta.png", "A 4259-2023")</f>
        <v/>
      </c>
      <c r="Y140">
        <f>HYPERLINK("https://klasma.github.io/Logging_0482/kartor_geotiff/A 4259-2023 georefererad karta.tif", "A 4259-2023")</f>
        <v/>
      </c>
      <c r="AA140">
        <f>HYPERLINK("https://klasma.github.io/Logging_0482/klagomål/A 4259-2023 FSC-klagomål.docx", "A 4259-2023")</f>
        <v/>
      </c>
      <c r="AB140">
        <f>HYPERLINK("https://klasma.github.io/Logging_0482/klagomålsmail/A 4259-2023 FSC-klagomål mail.docx", "A 4259-2023")</f>
        <v/>
      </c>
      <c r="AC140">
        <f>HYPERLINK("https://klasma.github.io/Logging_0482/tillsyn/A 4259-2023 tillsynsbegäran.docx", "A 4259-2023")</f>
        <v/>
      </c>
      <c r="AD140">
        <f>HYPERLINK("https://klasma.github.io/Logging_0482/tillsynsmail/A 4259-2023 tillsynsbegäran mail.docx", "A 4259-2023")</f>
        <v/>
      </c>
    </row>
    <row r="141" ht="15" customHeight="1">
      <c r="A141" t="inlineStr">
        <is>
          <t>A 12306-2022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44637</v>
      </c>
      <c r="E141" s="1" t="n">
        <v>46226</v>
      </c>
      <c r="F141" t="inlineStr">
        <is>
          <t>SÖDERMANLANDS LÄN</t>
        </is>
      </c>
      <c r="G141" t="inlineStr">
        <is>
          <t>FLEN</t>
        </is>
      </c>
      <c r="I141" t="n">
        <v>3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Järnsparv</t>
        </is>
      </c>
      <c r="W141">
        <f>HYPERLINK("https://klasma.github.io/Logging_0482/artfynd/A 12306-2022 artfynd.xlsx", "A 12306-2022")</f>
        <v/>
      </c>
      <c r="X141">
        <f>HYPERLINK("https://klasma.github.io/Logging_0482/kartor/A 12306-2022 karta.png", "A 12306-2022")</f>
        <v/>
      </c>
      <c r="Y141">
        <f>HYPERLINK("https://klasma.github.io/Logging_0482/kartor_geotiff/A 12306-2022 georefererad karta.tif", "A 12306-2022")</f>
        <v/>
      </c>
      <c r="AA141">
        <f>HYPERLINK("https://klasma.github.io/Logging_0482/klagomål/A 12306-2022 FSC-klagomål.docx", "A 12306-2022")</f>
        <v/>
      </c>
      <c r="AB141">
        <f>HYPERLINK("https://klasma.github.io/Logging_0482/klagomålsmail/A 12306-2022 FSC-klagomål mail.docx", "A 12306-2022")</f>
        <v/>
      </c>
      <c r="AC141">
        <f>HYPERLINK("https://klasma.github.io/Logging_0482/tillsyn/A 12306-2022 tillsynsbegäran.docx", "A 12306-2022")</f>
        <v/>
      </c>
      <c r="AD141">
        <f>HYPERLINK("https://klasma.github.io/Logging_0482/tillsynsmail/A 12306-2022 tillsynsbegäran mail.docx", "A 12306-2022")</f>
        <v/>
      </c>
      <c r="AE141">
        <f>HYPERLINK("https://klasma.github.io/Logging_0482/fåglar/A 12306-2022 prioriterade fågelarter.docx", "A 12306-2022")</f>
        <v/>
      </c>
    </row>
    <row r="142" ht="15" customHeight="1">
      <c r="A142" t="inlineStr">
        <is>
          <t>A 29195-2023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45105</v>
      </c>
      <c r="E142" s="1" t="n">
        <v>46226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3.9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HYPERLINK("https://klasma.github.io/Logging_0482/artfynd/A 29195-2023 artfynd.xlsx", "A 29195-2023")</f>
        <v/>
      </c>
      <c r="X142">
        <f>HYPERLINK("https://klasma.github.io/Logging_0482/kartor/A 29195-2023 karta.png", "A 29195-2023")</f>
        <v/>
      </c>
      <c r="Y142">
        <f>HYPERLINK("https://klasma.github.io/Logging_0482/kartor_geotiff/A 29195-2023 georefererad karta.tif", "A 29195-2023")</f>
        <v/>
      </c>
      <c r="AA142">
        <f>HYPERLINK("https://klasma.github.io/Logging_0482/klagomål/A 29195-2023 FSC-klagomål.docx", "A 29195-2023")</f>
        <v/>
      </c>
      <c r="AB142">
        <f>HYPERLINK("https://klasma.github.io/Logging_0482/klagomålsmail/A 29195-2023 FSC-klagomål mail.docx", "A 29195-2023")</f>
        <v/>
      </c>
      <c r="AC142">
        <f>HYPERLINK("https://klasma.github.io/Logging_0482/tillsyn/A 29195-2023 tillsynsbegäran.docx", "A 29195-2023")</f>
        <v/>
      </c>
      <c r="AD142">
        <f>HYPERLINK("https://klasma.github.io/Logging_0482/tillsynsmail/A 29195-2023 tillsynsbegäran mail.docx", "A 29195-2023")</f>
        <v/>
      </c>
    </row>
    <row r="143" ht="15" customHeight="1">
      <c r="A143" t="inlineStr">
        <is>
          <t>A 60562-2021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44495</v>
      </c>
      <c r="E143" s="1" t="n">
        <v>46226</v>
      </c>
      <c r="F143" t="inlineStr">
        <is>
          <t>SÖDERMANLANDS LÄN</t>
        </is>
      </c>
      <c r="G143" t="inlineStr">
        <is>
          <t>FLEN</t>
        </is>
      </c>
      <c r="H143" t="inlineStr">
        <is>
          <t>Övriga statliga verk och myndigheter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Gullklöver</t>
        </is>
      </c>
      <c r="W143">
        <f>HYPERLINK("https://klasma.github.io/Logging_0482/artfynd/A 60562-2021 artfynd.xlsx", "A 60562-2021")</f>
        <v/>
      </c>
      <c r="X143">
        <f>HYPERLINK("https://klasma.github.io/Logging_0482/kartor/A 60562-2021 karta.png", "A 60562-2021")</f>
        <v/>
      </c>
      <c r="Y143">
        <f>HYPERLINK("https://klasma.github.io/Logging_0482/kartor_geotiff/A 60562-2021 georefererad karta.tif", "A 60562-2021")</f>
        <v/>
      </c>
      <c r="AA143">
        <f>HYPERLINK("https://klasma.github.io/Logging_0482/klagomål/A 60562-2021 FSC-klagomål.docx", "A 60562-2021")</f>
        <v/>
      </c>
      <c r="AB143">
        <f>HYPERLINK("https://klasma.github.io/Logging_0482/klagomålsmail/A 60562-2021 FSC-klagomål mail.docx", "A 60562-2021")</f>
        <v/>
      </c>
      <c r="AC143">
        <f>HYPERLINK("https://klasma.github.io/Logging_0482/tillsyn/A 60562-2021 tillsynsbegäran.docx", "A 60562-2021")</f>
        <v/>
      </c>
      <c r="AD143">
        <f>HYPERLINK("https://klasma.github.io/Logging_0482/tillsynsmail/A 60562-2021 tillsynsbegäran mail.docx", "A 60562-2021")</f>
        <v/>
      </c>
    </row>
    <row r="144" ht="15" customHeight="1">
      <c r="A144" t="inlineStr">
        <is>
          <t>A 50202-2022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46226</v>
      </c>
      <c r="F144" t="inlineStr">
        <is>
          <t>SÖDERMANLANDS LÄN</t>
        </is>
      </c>
      <c r="G144" t="inlineStr">
        <is>
          <t>FLEN</t>
        </is>
      </c>
      <c r="H144" t="inlineStr">
        <is>
          <t>Kyrkan</t>
        </is>
      </c>
      <c r="I144" t="n">
        <v>5.8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50202-2022 artfynd.xlsx", "A 50202-2022")</f>
        <v/>
      </c>
      <c r="X144">
        <f>HYPERLINK("https://klasma.github.io/Logging_0482/kartor/A 50202-2022 karta.png", "A 50202-2022")</f>
        <v/>
      </c>
      <c r="Y144">
        <f>HYPERLINK("https://klasma.github.io/Logging_0482/kartor_geotiff/A 50202-2022 georefererad karta.tif", "A 50202-2022")</f>
        <v/>
      </c>
      <c r="AA144">
        <f>HYPERLINK("https://klasma.github.io/Logging_0482/klagomål/A 50202-2022 FSC-klagomål.docx", "A 50202-2022")</f>
        <v/>
      </c>
      <c r="AB144">
        <f>HYPERLINK("https://klasma.github.io/Logging_0482/klagomålsmail/A 50202-2022 FSC-klagomål mail.docx", "A 50202-2022")</f>
        <v/>
      </c>
      <c r="AC144">
        <f>HYPERLINK("https://klasma.github.io/Logging_0482/tillsyn/A 50202-2022 tillsynsbegäran.docx", "A 50202-2022")</f>
        <v/>
      </c>
      <c r="AD144">
        <f>HYPERLINK("https://klasma.github.io/Logging_0482/tillsynsmail/A 50202-2022 tillsynsbegäran mail.docx", "A 50202-2022")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46226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12056-2024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46226</v>
      </c>
      <c r="F146" t="inlineStr">
        <is>
          <t>SÖDERMANLANDS LÄN</t>
        </is>
      </c>
      <c r="G146" t="inlineStr">
        <is>
          <t>FLEN</t>
        </is>
      </c>
      <c r="I146" t="n">
        <v>8.4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Fjällig taggsvamp s.str.</t>
        </is>
      </c>
      <c r="W146">
        <f>HYPERLINK("https://klasma.github.io/Logging_0482/artfynd/A 12056-2024 artfynd.xlsx", "A 12056-2024")</f>
        <v/>
      </c>
      <c r="X146">
        <f>HYPERLINK("https://klasma.github.io/Logging_0482/kartor/A 12056-2024 karta.png", "A 12056-2024")</f>
        <v/>
      </c>
      <c r="Y146">
        <f>HYPERLINK("https://klasma.github.io/Logging_0482/kartor_geotiff/A 12056-2024 georefererad karta.tif", "A 12056-2024")</f>
        <v/>
      </c>
      <c r="AA146">
        <f>HYPERLINK("https://klasma.github.io/Logging_0482/klagomål/A 12056-2024 FSC-klagomål.docx", "A 12056-2024")</f>
        <v/>
      </c>
      <c r="AB146">
        <f>HYPERLINK("https://klasma.github.io/Logging_0482/klagomålsmail/A 12056-2024 FSC-klagomål mail.docx", "A 12056-2024")</f>
        <v/>
      </c>
      <c r="AC146">
        <f>HYPERLINK("https://klasma.github.io/Logging_0482/tillsyn/A 12056-2024 tillsynsbegäran.docx", "A 12056-2024")</f>
        <v/>
      </c>
      <c r="AD146">
        <f>HYPERLINK("https://klasma.github.io/Logging_0482/tillsynsmail/A 12056-2024 tillsynsbegäran mail.docx", "A 12056-2024")</f>
        <v/>
      </c>
    </row>
    <row r="147" ht="15" customHeight="1">
      <c r="A147" t="inlineStr">
        <is>
          <t>A 47756-2022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44854</v>
      </c>
      <c r="E147" s="1" t="n">
        <v>46226</v>
      </c>
      <c r="F147" t="inlineStr">
        <is>
          <t>SÖDERMANLANDS LÄN</t>
        </is>
      </c>
      <c r="G147" t="inlineStr">
        <is>
          <t>FLEN</t>
        </is>
      </c>
      <c r="I147" t="n">
        <v>2.4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Svinrot</t>
        </is>
      </c>
      <c r="W147">
        <f>HYPERLINK("https://klasma.github.io/Logging_0482/artfynd/A 47756-2022 artfynd.xlsx", "A 47756-2022")</f>
        <v/>
      </c>
      <c r="X147">
        <f>HYPERLINK("https://klasma.github.io/Logging_0482/kartor/A 47756-2022 karta.png", "A 47756-2022")</f>
        <v/>
      </c>
      <c r="Y147">
        <f>HYPERLINK("https://klasma.github.io/Logging_0482/kartor_geotiff/A 47756-2022 georefererad karta.tif", "A 47756-2022")</f>
        <v/>
      </c>
      <c r="AA147">
        <f>HYPERLINK("https://klasma.github.io/Logging_0482/klagomål/A 47756-2022 FSC-klagomål.docx", "A 47756-2022")</f>
        <v/>
      </c>
      <c r="AB147">
        <f>HYPERLINK("https://klasma.github.io/Logging_0482/klagomålsmail/A 47756-2022 FSC-klagomål mail.docx", "A 47756-2022")</f>
        <v/>
      </c>
      <c r="AC147">
        <f>HYPERLINK("https://klasma.github.io/Logging_0482/tillsyn/A 47756-2022 tillsynsbegäran.docx", "A 47756-2022")</f>
        <v/>
      </c>
      <c r="AD147">
        <f>HYPERLINK("https://klasma.github.io/Logging_0482/tillsynsmail/A 47756-2022 tillsynsbegäran mail.docx", "A 47756-2022")</f>
        <v/>
      </c>
    </row>
    <row r="148" ht="15" customHeight="1">
      <c r="A148" t="inlineStr">
        <is>
          <t>A 62535-2021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46226</v>
      </c>
      <c r="F148" t="inlineStr">
        <is>
          <t>SÖDERMANLANDS LÄN</t>
        </is>
      </c>
      <c r="G148" t="inlineStr">
        <is>
          <t>FLEN</t>
        </is>
      </c>
      <c r="I148" t="n">
        <v>0.6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Blåsippa</t>
        </is>
      </c>
      <c r="W148">
        <f>HYPERLINK("https://klasma.github.io/Logging_0482/artfynd/A 62535-2021 artfynd.xlsx", "A 62535-2021")</f>
        <v/>
      </c>
      <c r="X148">
        <f>HYPERLINK("https://klasma.github.io/Logging_0482/kartor/A 62535-2021 karta.png", "A 62535-2021")</f>
        <v/>
      </c>
      <c r="Y148">
        <f>HYPERLINK("https://klasma.github.io/Logging_0482/kartor_geotiff/A 62535-2021 georefererad karta.tif", "A 62535-2021")</f>
        <v/>
      </c>
      <c r="AA148">
        <f>HYPERLINK("https://klasma.github.io/Logging_0482/klagomål/A 62535-2021 FSC-klagomål.docx", "A 62535-2021")</f>
        <v/>
      </c>
      <c r="AB148">
        <f>HYPERLINK("https://klasma.github.io/Logging_0482/klagomålsmail/A 62535-2021 FSC-klagomål mail.docx", "A 62535-2021")</f>
        <v/>
      </c>
      <c r="AC148">
        <f>HYPERLINK("https://klasma.github.io/Logging_0482/tillsyn/A 62535-2021 tillsynsbegäran.docx", "A 62535-2021")</f>
        <v/>
      </c>
      <c r="AD148">
        <f>HYPERLINK("https://klasma.github.io/Logging_0482/tillsynsmail/A 62535-2021 tillsynsbegäran mail.docx", "A 62535-2021")</f>
        <v/>
      </c>
    </row>
    <row r="149" ht="15" customHeight="1">
      <c r="A149" t="inlineStr">
        <is>
          <t>A 14273-2025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46226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Vedskivlav</t>
        </is>
      </c>
      <c r="W149">
        <f>HYPERLINK("https://klasma.github.io/Logging_0482/artfynd/A 14273-2025 artfynd.xlsx", "A 14273-2025")</f>
        <v/>
      </c>
      <c r="X149">
        <f>HYPERLINK("https://klasma.github.io/Logging_0482/kartor/A 14273-2025 karta.png", "A 14273-2025")</f>
        <v/>
      </c>
      <c r="Y149">
        <f>HYPERLINK("https://klasma.github.io/Logging_0482/kartor_geotiff/A 14273-2025 georefererad karta.tif", "A 14273-2025")</f>
        <v/>
      </c>
      <c r="AA149">
        <f>HYPERLINK("https://klasma.github.io/Logging_0482/klagomål/A 14273-2025 FSC-klagomål.docx", "A 14273-2025")</f>
        <v/>
      </c>
      <c r="AB149">
        <f>HYPERLINK("https://klasma.github.io/Logging_0482/klagomålsmail/A 14273-2025 FSC-klagomål mail.docx", "A 14273-2025")</f>
        <v/>
      </c>
      <c r="AC149">
        <f>HYPERLINK("https://klasma.github.io/Logging_0482/tillsyn/A 14273-2025 tillsynsbegäran.docx", "A 14273-2025")</f>
        <v/>
      </c>
      <c r="AD149">
        <f>HYPERLINK("https://klasma.github.io/Logging_0482/tillsynsmail/A 14273-2025 tillsynsbegäran mail.docx", "A 14273-2025")</f>
        <v/>
      </c>
    </row>
    <row r="150" ht="15" customHeight="1">
      <c r="A150" t="inlineStr">
        <is>
          <t>A 49820-2023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46226</v>
      </c>
      <c r="F150" t="inlineStr">
        <is>
          <t>SÖDERMANLANDS LÄN</t>
        </is>
      </c>
      <c r="G150" t="inlineStr">
        <is>
          <t>FLEN</t>
        </is>
      </c>
      <c r="I150" t="n">
        <v>3.2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Gullviva</t>
        </is>
      </c>
      <c r="W150">
        <f>HYPERLINK("https://klasma.github.io/Logging_0482/artfynd/A 49820-2023 artfynd.xlsx", "A 49820-2023")</f>
        <v/>
      </c>
      <c r="X150">
        <f>HYPERLINK("https://klasma.github.io/Logging_0482/kartor/A 49820-2023 karta.png", "A 49820-2023")</f>
        <v/>
      </c>
      <c r="Y150">
        <f>HYPERLINK("https://klasma.github.io/Logging_0482/kartor_geotiff/A 49820-2023 georefererad karta.tif", "A 49820-2023")</f>
        <v/>
      </c>
      <c r="AA150">
        <f>HYPERLINK("https://klasma.github.io/Logging_0482/klagomål/A 49820-2023 FSC-klagomål.docx", "A 49820-2023")</f>
        <v/>
      </c>
      <c r="AB150">
        <f>HYPERLINK("https://klasma.github.io/Logging_0482/klagomålsmail/A 49820-2023 FSC-klagomål mail.docx", "A 49820-2023")</f>
        <v/>
      </c>
      <c r="AC150">
        <f>HYPERLINK("https://klasma.github.io/Logging_0482/tillsyn/A 49820-2023 tillsynsbegäran.docx", "A 49820-2023")</f>
        <v/>
      </c>
      <c r="AD150">
        <f>HYPERLINK("https://klasma.github.io/Logging_0482/tillsynsmail/A 49820-2023 tillsynsbegäran mail.docx", "A 49820-2023")</f>
        <v/>
      </c>
    </row>
    <row r="151" ht="15" customHeight="1">
      <c r="A151" t="inlineStr">
        <is>
          <t>A 45107-2023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46226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Brudborste</t>
        </is>
      </c>
      <c r="W151">
        <f>HYPERLINK("https://klasma.github.io/Logging_0482/artfynd/A 45107-2023 artfynd.xlsx", "A 45107-2023")</f>
        <v/>
      </c>
      <c r="X151">
        <f>HYPERLINK("https://klasma.github.io/Logging_0482/kartor/A 45107-2023 karta.png", "A 45107-2023")</f>
        <v/>
      </c>
      <c r="Y151">
        <f>HYPERLINK("https://klasma.github.io/Logging_0482/kartor_geotiff/A 45107-2023 georefererad karta.tif", "A 45107-2023")</f>
        <v/>
      </c>
      <c r="AA151">
        <f>HYPERLINK("https://klasma.github.io/Logging_0482/klagomål/A 45107-2023 FSC-klagomål.docx", "A 45107-2023")</f>
        <v/>
      </c>
      <c r="AB151">
        <f>HYPERLINK("https://klasma.github.io/Logging_0482/klagomålsmail/A 45107-2023 FSC-klagomål mail.docx", "A 45107-2023")</f>
        <v/>
      </c>
      <c r="AC151">
        <f>HYPERLINK("https://klasma.github.io/Logging_0482/tillsyn/A 45107-2023 tillsynsbegäran.docx", "A 45107-2023")</f>
        <v/>
      </c>
      <c r="AD151">
        <f>HYPERLINK("https://klasma.github.io/Logging_0482/tillsynsmail/A 45107-2023 tillsynsbegäran mail.docx", "A 45107-2023")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46226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HYPERLINK("https://klasma.github.io/Logging_0482/artfynd/A 46115-2023 artfynd.xlsx", "A 46115-2023")</f>
        <v/>
      </c>
      <c r="X152">
        <f>HYPERLINK("https://klasma.github.io/Logging_0482/kartor/A 46115-2023 karta.png", "A 46115-2023")</f>
        <v/>
      </c>
      <c r="Y152">
        <f>HYPERLINK("https://klasma.github.io/Logging_0482/kartor_geotiff/A 46115-2023 georefererad karta.tif", "A 46115-2023")</f>
        <v/>
      </c>
      <c r="AA152">
        <f>HYPERLINK("https://klasma.github.io/Logging_0482/klagomål/A 46115-2023 FSC-klagomål.docx", "A 46115-2023")</f>
        <v/>
      </c>
      <c r="AB152">
        <f>HYPERLINK("https://klasma.github.io/Logging_0482/klagomålsmail/A 46115-2023 FSC-klagomål mail.docx", "A 46115-2023")</f>
        <v/>
      </c>
      <c r="AC152">
        <f>HYPERLINK("https://klasma.github.io/Logging_0482/tillsyn/A 46115-2023 tillsynsbegäran.docx", "A 46115-2023")</f>
        <v/>
      </c>
      <c r="AD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46226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Gullklöver</t>
        </is>
      </c>
      <c r="W153">
        <f>HYPERLINK("https://klasma.github.io/Logging_0482/artfynd/A 56308-2024 artfynd.xlsx", "A 56308-2024")</f>
        <v/>
      </c>
      <c r="X153">
        <f>HYPERLINK("https://klasma.github.io/Logging_0482/kartor/A 56308-2024 karta.png", "A 56308-2024")</f>
        <v/>
      </c>
      <c r="Y153">
        <f>HYPERLINK("https://klasma.github.io/Logging_0482/kartor_geotiff/A 56308-2024 georefererad karta.tif", "A 56308-2024")</f>
        <v/>
      </c>
      <c r="AA153">
        <f>HYPERLINK("https://klasma.github.io/Logging_0482/klagomål/A 56308-2024 FSC-klagomål.docx", "A 56308-2024")</f>
        <v/>
      </c>
      <c r="AB153">
        <f>HYPERLINK("https://klasma.github.io/Logging_0482/klagomålsmail/A 56308-2024 FSC-klagomål mail.docx", "A 56308-2024")</f>
        <v/>
      </c>
      <c r="AC153">
        <f>HYPERLINK("https://klasma.github.io/Logging_0482/tillsyn/A 56308-2024 tillsynsbegäran.docx", "A 56308-2024")</f>
        <v/>
      </c>
      <c r="AD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46226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46226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46226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46226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46226</v>
      </c>
      <c r="F158" t="inlineStr">
        <is>
          <t>SÖDERMANLANDS LÄN</t>
        </is>
      </c>
      <c r="G158" t="inlineStr">
        <is>
          <t>FLEN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70215-2021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44535</v>
      </c>
      <c r="E159" s="1" t="n">
        <v>46226</v>
      </c>
      <c r="F159" t="inlineStr">
        <is>
          <t>SÖDERMANLANDS LÄN</t>
        </is>
      </c>
      <c r="G159" t="inlineStr">
        <is>
          <t>FLEN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50500-2021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44458</v>
      </c>
      <c r="E160" s="1" t="n">
        <v>46226</v>
      </c>
      <c r="F160" t="inlineStr">
        <is>
          <t>SÖDERMANLANDS LÄN</t>
        </is>
      </c>
      <c r="G160" t="inlineStr">
        <is>
          <t>FLEN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46226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46226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46226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46226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46226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46226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46226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46226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46226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46226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46226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46226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46226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46226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46226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46226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44172-2022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44839</v>
      </c>
      <c r="E177" s="1" t="n">
        <v>46226</v>
      </c>
      <c r="F177" t="inlineStr">
        <is>
          <t>SÖDERMANLANDS LÄN</t>
        </is>
      </c>
      <c r="G177" t="inlineStr">
        <is>
          <t>FLEN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46226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46226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46226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46226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46226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46226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46226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41658-2021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44425</v>
      </c>
      <c r="E185" s="1" t="n">
        <v>46226</v>
      </c>
      <c r="F185" t="inlineStr">
        <is>
          <t>SÖDERMANLANDS LÄN</t>
        </is>
      </c>
      <c r="G185" t="inlineStr">
        <is>
          <t>FLEN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48166-2021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44449</v>
      </c>
      <c r="E186" s="1" t="n">
        <v>46226</v>
      </c>
      <c r="F186" t="inlineStr">
        <is>
          <t>SÖDERMANLANDS LÄN</t>
        </is>
      </c>
      <c r="G186" t="inlineStr">
        <is>
          <t>FLEN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46226</v>
      </c>
      <c r="F187" t="inlineStr">
        <is>
          <t>SÖDERMANLANDS LÄN</t>
        </is>
      </c>
      <c r="G187" t="inlineStr">
        <is>
          <t>FLEN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46226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46226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46226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46226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47644-2021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46226</v>
      </c>
      <c r="F192" t="inlineStr">
        <is>
          <t>SÖDERMANLANDS LÄN</t>
        </is>
      </c>
      <c r="G192" t="inlineStr">
        <is>
          <t>FLEN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46226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46226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46226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46226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46226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46226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46226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46226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46226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46226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46226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46226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46226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46226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46226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46226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46226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46226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46226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46226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46226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46226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46226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46226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46226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46226</v>
      </c>
      <c r="F218" t="inlineStr">
        <is>
          <t>SÖDERMANLANDS LÄN</t>
        </is>
      </c>
      <c r="G218" t="inlineStr">
        <is>
          <t>FLEN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46226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46226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46226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46226</v>
      </c>
      <c r="F222" t="inlineStr">
        <is>
          <t>SÖDERMANLANDS LÄN</t>
        </is>
      </c>
      <c r="G222" t="inlineStr">
        <is>
          <t>FLEN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46226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46226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65869-2021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46226</v>
      </c>
      <c r="F225" t="inlineStr">
        <is>
          <t>SÖDERMANLANDS LÄN</t>
        </is>
      </c>
      <c r="G225" t="inlineStr">
        <is>
          <t>FLEN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44868</v>
      </c>
      <c r="E226" s="1" t="n">
        <v>46226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69588-2021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46226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46226</v>
      </c>
      <c r="F228" t="inlineStr">
        <is>
          <t>SÖDERMANLANDS LÄN</t>
        </is>
      </c>
      <c r="G228" t="inlineStr">
        <is>
          <t>FLEN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46226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46226</v>
      </c>
      <c r="F230" t="inlineStr">
        <is>
          <t>SÖDERMANLANDS LÄN</t>
        </is>
      </c>
      <c r="G230" t="inlineStr">
        <is>
          <t>FLEN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60255-2021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44495</v>
      </c>
      <c r="E231" s="1" t="n">
        <v>46226</v>
      </c>
      <c r="F231" t="inlineStr">
        <is>
          <t>SÖDERMANLANDS LÄN</t>
        </is>
      </c>
      <c r="G231" t="inlineStr">
        <is>
          <t>FLEN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46226</v>
      </c>
      <c r="F232" t="inlineStr">
        <is>
          <t>SÖDERMANLANDS LÄN</t>
        </is>
      </c>
      <c r="G232" t="inlineStr">
        <is>
          <t>FLEN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46226</v>
      </c>
      <c r="F233" t="inlineStr">
        <is>
          <t>SÖDERMANLANDS LÄN</t>
        </is>
      </c>
      <c r="G233" t="inlineStr">
        <is>
          <t>FLEN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58834-2024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46226</v>
      </c>
      <c r="F234" t="inlineStr">
        <is>
          <t>SÖDERMANLANDS LÄN</t>
        </is>
      </c>
      <c r="G234" t="inlineStr">
        <is>
          <t>FLEN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46226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46226</v>
      </c>
      <c r="F236" t="inlineStr">
        <is>
          <t>SÖDERMANLANDS LÄN</t>
        </is>
      </c>
      <c r="G236" t="inlineStr">
        <is>
          <t>FLEN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47604-2021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44448</v>
      </c>
      <c r="E237" s="1" t="n">
        <v>46226</v>
      </c>
      <c r="F237" t="inlineStr">
        <is>
          <t>SÖDERMANLANDS LÄN</t>
        </is>
      </c>
      <c r="G237" t="inlineStr">
        <is>
          <t>FLEN</t>
        </is>
      </c>
      <c r="I237" t="n">
        <v>11.5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44796</v>
      </c>
      <c r="E238" s="1" t="n">
        <v>46226</v>
      </c>
      <c r="F238" t="inlineStr">
        <is>
          <t>SÖDERMANLANDS LÄN</t>
        </is>
      </c>
      <c r="G238" t="inlineStr">
        <is>
          <t>FLEN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46226</v>
      </c>
      <c r="F239" t="inlineStr">
        <is>
          <t>SÖDERMANLANDS LÄN</t>
        </is>
      </c>
      <c r="G239" t="inlineStr">
        <is>
          <t>FLEN</t>
        </is>
      </c>
      <c r="H239" t="inlineStr">
        <is>
          <t>Övriga statliga verk och myndigheter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46226</v>
      </c>
      <c r="F240" t="inlineStr">
        <is>
          <t>SÖDERMANLANDS LÄN</t>
        </is>
      </c>
      <c r="G240" t="inlineStr">
        <is>
          <t>FLEN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46226</v>
      </c>
      <c r="F241" t="inlineStr">
        <is>
          <t>SÖDERMANLANDS LÄN</t>
        </is>
      </c>
      <c r="G241" t="inlineStr">
        <is>
          <t>FLEN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45482</v>
      </c>
      <c r="E242" s="1" t="n">
        <v>46226</v>
      </c>
      <c r="F242" t="inlineStr">
        <is>
          <t>SÖDERMANLANDS LÄN</t>
        </is>
      </c>
      <c r="G242" t="inlineStr">
        <is>
          <t>FLEN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45226</v>
      </c>
      <c r="E243" s="1" t="n">
        <v>46226</v>
      </c>
      <c r="F243" t="inlineStr">
        <is>
          <t>SÖDERMANLANDS LÄN</t>
        </is>
      </c>
      <c r="G243" t="inlineStr">
        <is>
          <t>FLEN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62579-2023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45270</v>
      </c>
      <c r="E244" s="1" t="n">
        <v>46226</v>
      </c>
      <c r="F244" t="inlineStr">
        <is>
          <t>SÖDERMANLANDS LÄN</t>
        </is>
      </c>
      <c r="G244" t="inlineStr">
        <is>
          <t>FLEN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46226</v>
      </c>
      <c r="F245" t="inlineStr">
        <is>
          <t>SÖDERMANLANDS LÄN</t>
        </is>
      </c>
      <c r="G245" t="inlineStr">
        <is>
          <t>FLEN</t>
        </is>
      </c>
      <c r="H245" t="inlineStr">
        <is>
          <t>Kommuner</t>
        </is>
      </c>
      <c r="I245" t="n">
        <v>11.2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36096-2023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46226</v>
      </c>
      <c r="F246" t="inlineStr">
        <is>
          <t>SÖDERMANLANDS LÄN</t>
        </is>
      </c>
      <c r="G246" t="inlineStr">
        <is>
          <t>FLEN</t>
        </is>
      </c>
      <c r="H246" t="inlineStr">
        <is>
          <t>Kyrkan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46226</v>
      </c>
      <c r="F247" t="inlineStr">
        <is>
          <t>SÖDERMANLANDS LÄN</t>
        </is>
      </c>
      <c r="G247" t="inlineStr">
        <is>
          <t>FLEN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44733</v>
      </c>
      <c r="E248" s="1" t="n">
        <v>46226</v>
      </c>
      <c r="F248" t="inlineStr">
        <is>
          <t>SÖDERMANLANDS LÄN</t>
        </is>
      </c>
      <c r="G248" t="inlineStr">
        <is>
          <t>FLEN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46226</v>
      </c>
      <c r="F249" t="inlineStr">
        <is>
          <t>SÖDERMANLANDS LÄN</t>
        </is>
      </c>
      <c r="G249" t="inlineStr">
        <is>
          <t>FLEN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44931</v>
      </c>
      <c r="E250" s="1" t="n">
        <v>46226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66867-2021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46226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44979</v>
      </c>
      <c r="E252" s="1" t="n">
        <v>46226</v>
      </c>
      <c r="F252" t="inlineStr">
        <is>
          <t>SÖDERMANLANDS LÄN</t>
        </is>
      </c>
      <c r="G252" t="inlineStr">
        <is>
          <t>FLEN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46226</v>
      </c>
      <c r="F253" t="inlineStr">
        <is>
          <t>SÖDERMANLANDS LÄN</t>
        </is>
      </c>
      <c r="G253" t="inlineStr">
        <is>
          <t>FLEN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46226</v>
      </c>
      <c r="F254" t="inlineStr">
        <is>
          <t>SÖDERMANLANDS LÄN</t>
        </is>
      </c>
      <c r="G254" t="inlineStr">
        <is>
          <t>FLEN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46226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40961-2021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44421</v>
      </c>
      <c r="E256" s="1" t="n">
        <v>46226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46226</v>
      </c>
      <c r="F257" t="inlineStr">
        <is>
          <t>SÖDERMANLANDS LÄN</t>
        </is>
      </c>
      <c r="G257" t="inlineStr">
        <is>
          <t>FLEN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44624</v>
      </c>
      <c r="E258" s="1" t="n">
        <v>46226</v>
      </c>
      <c r="F258" t="inlineStr">
        <is>
          <t>SÖDERMANLANDS LÄN</t>
        </is>
      </c>
      <c r="G258" t="inlineStr">
        <is>
          <t>FLEN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46226</v>
      </c>
      <c r="F259" t="inlineStr">
        <is>
          <t>SÖDERMANLANDS LÄN</t>
        </is>
      </c>
      <c r="G259" t="inlineStr">
        <is>
          <t>FLEN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45740</v>
      </c>
      <c r="E260" s="1" t="n">
        <v>46226</v>
      </c>
      <c r="F260" t="inlineStr">
        <is>
          <t>SÖDERMANLANDS LÄN</t>
        </is>
      </c>
      <c r="G260" t="inlineStr">
        <is>
          <t>FLEN</t>
        </is>
      </c>
      <c r="H260" t="inlineStr">
        <is>
          <t>Övriga statliga verk och myndigheter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46226</v>
      </c>
      <c r="F261" t="inlineStr">
        <is>
          <t>SÖDERMANLANDS LÄN</t>
        </is>
      </c>
      <c r="G261" t="inlineStr">
        <is>
          <t>FLEN</t>
        </is>
      </c>
      <c r="H261" t="inlineStr">
        <is>
          <t>Övriga statliga verk och myndigheter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45684</v>
      </c>
      <c r="E262" s="1" t="n">
        <v>46226</v>
      </c>
      <c r="F262" t="inlineStr">
        <is>
          <t>SÖDERMANLANDS LÄN</t>
        </is>
      </c>
      <c r="G262" t="inlineStr">
        <is>
          <t>FLEN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46226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45311</v>
      </c>
      <c r="E264" s="1" t="n">
        <v>46226</v>
      </c>
      <c r="F264" t="inlineStr">
        <is>
          <t>SÖDERMANLANDS LÄN</t>
        </is>
      </c>
      <c r="G264" t="inlineStr">
        <is>
          <t>FLEN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46226</v>
      </c>
      <c r="F265" t="inlineStr">
        <is>
          <t>SÖDERMANLANDS LÄN</t>
        </is>
      </c>
      <c r="G265" t="inlineStr">
        <is>
          <t>FLEN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45299</v>
      </c>
      <c r="E266" s="1" t="n">
        <v>46226</v>
      </c>
      <c r="F266" t="inlineStr">
        <is>
          <t>SÖDERMANLANDS LÄN</t>
        </is>
      </c>
      <c r="G266" t="inlineStr">
        <is>
          <t>FLEN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46226</v>
      </c>
      <c r="F267" t="inlineStr">
        <is>
          <t>SÖDERMANLANDS LÄN</t>
        </is>
      </c>
      <c r="G267" t="inlineStr">
        <is>
          <t>FLEN</t>
        </is>
      </c>
      <c r="H267" t="inlineStr">
        <is>
          <t>Övriga statliga verk och myndigheter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51872-2022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44872</v>
      </c>
      <c r="E268" s="1" t="n">
        <v>46226</v>
      </c>
      <c r="F268" t="inlineStr">
        <is>
          <t>SÖDERMANLANDS LÄN</t>
        </is>
      </c>
      <c r="G268" t="inlineStr">
        <is>
          <t>FLEN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46226</v>
      </c>
      <c r="F269" t="inlineStr">
        <is>
          <t>SÖDERMANLANDS LÄN</t>
        </is>
      </c>
      <c r="G269" t="inlineStr">
        <is>
          <t>FLEN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46226</v>
      </c>
      <c r="F270" t="inlineStr">
        <is>
          <t>SÖDERMANLANDS LÄN</t>
        </is>
      </c>
      <c r="G270" t="inlineStr">
        <is>
          <t>FLEN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44859</v>
      </c>
      <c r="E271" s="1" t="n">
        <v>46226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45057</v>
      </c>
      <c r="E272" s="1" t="n">
        <v>46226</v>
      </c>
      <c r="F272" t="inlineStr">
        <is>
          <t>SÖDERMANLANDS LÄN</t>
        </is>
      </c>
      <c r="G272" t="inlineStr">
        <is>
          <t>FLEN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46077</v>
      </c>
      <c r="E273" s="1" t="n">
        <v>46226</v>
      </c>
      <c r="F273" t="inlineStr">
        <is>
          <t>SÖDERMANLANDS LÄN</t>
        </is>
      </c>
      <c r="G273" t="inlineStr">
        <is>
          <t>FLEN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46226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46226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45228</v>
      </c>
      <c r="E276" s="1" t="n">
        <v>46226</v>
      </c>
      <c r="F276" t="inlineStr">
        <is>
          <t>SÖDERMANLANDS LÄN</t>
        </is>
      </c>
      <c r="G276" t="inlineStr">
        <is>
          <t>FLEN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46226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46226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46226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46226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46082</v>
      </c>
      <c r="E281" s="1" t="n">
        <v>46226</v>
      </c>
      <c r="F281" t="inlineStr">
        <is>
          <t>SÖDERMANLANDS LÄN</t>
        </is>
      </c>
      <c r="G281" t="inlineStr">
        <is>
          <t>FLEN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46226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45034</v>
      </c>
      <c r="E283" s="1" t="n">
        <v>46226</v>
      </c>
      <c r="F283" t="inlineStr">
        <is>
          <t>SÖDERMANLANDS LÄN</t>
        </is>
      </c>
      <c r="G283" t="inlineStr">
        <is>
          <t>FLEN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46226</v>
      </c>
      <c r="F284" t="inlineStr">
        <is>
          <t>SÖDERMANLANDS LÄN</t>
        </is>
      </c>
      <c r="G284" t="inlineStr">
        <is>
          <t>FLEN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6725-2022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44602</v>
      </c>
      <c r="E285" s="1" t="n">
        <v>46226</v>
      </c>
      <c r="F285" t="inlineStr">
        <is>
          <t>SÖDERMANLANDS LÄN</t>
        </is>
      </c>
      <c r="G285" t="inlineStr">
        <is>
          <t>FLEN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45830</v>
      </c>
      <c r="E286" s="1" t="n">
        <v>46226</v>
      </c>
      <c r="F286" t="inlineStr">
        <is>
          <t>SÖDERMANLANDS LÄN</t>
        </is>
      </c>
      <c r="G286" t="inlineStr">
        <is>
          <t>FLEN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42558-2025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46226</v>
      </c>
      <c r="F287" t="inlineStr">
        <is>
          <t>SÖDERMANLANDS LÄN</t>
        </is>
      </c>
      <c r="G287" t="inlineStr">
        <is>
          <t>FLEN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46226</v>
      </c>
      <c r="F288" t="inlineStr">
        <is>
          <t>SÖDERMANLANDS LÄN</t>
        </is>
      </c>
      <c r="G288" t="inlineStr">
        <is>
          <t>FLEN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46226</v>
      </c>
      <c r="F289" t="inlineStr">
        <is>
          <t>SÖDERMANLANDS LÄN</t>
        </is>
      </c>
      <c r="G289" t="inlineStr">
        <is>
          <t>FLEN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46226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46226</v>
      </c>
      <c r="F291" t="inlineStr">
        <is>
          <t>SÖDERMANLANDS LÄN</t>
        </is>
      </c>
      <c r="G291" t="inlineStr">
        <is>
          <t>FLEN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46226</v>
      </c>
      <c r="F292" t="inlineStr">
        <is>
          <t>SÖDERMANLANDS LÄN</t>
        </is>
      </c>
      <c r="G292" t="inlineStr">
        <is>
          <t>FLEN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45830</v>
      </c>
      <c r="E293" s="1" t="n">
        <v>46226</v>
      </c>
      <c r="F293" t="inlineStr">
        <is>
          <t>SÖDERMANLANDS LÄN</t>
        </is>
      </c>
      <c r="G293" t="inlineStr">
        <is>
          <t>FLEN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46226</v>
      </c>
      <c r="F294" t="inlineStr">
        <is>
          <t>SÖDERMANLANDS LÄN</t>
        </is>
      </c>
      <c r="G294" t="inlineStr">
        <is>
          <t>FLEN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46226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11.5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46226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44761</v>
      </c>
      <c r="E297" s="1" t="n">
        <v>46226</v>
      </c>
      <c r="F297" t="inlineStr">
        <is>
          <t>SÖDERMANLANDS LÄN</t>
        </is>
      </c>
      <c r="G297" t="inlineStr">
        <is>
          <t>FLEN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42731-2024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45566</v>
      </c>
      <c r="E298" s="1" t="n">
        <v>46226</v>
      </c>
      <c r="F298" t="inlineStr">
        <is>
          <t>SÖDERMANLANDS LÄN</t>
        </is>
      </c>
      <c r="G298" t="inlineStr">
        <is>
          <t>FLEN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46226</v>
      </c>
      <c r="F299" t="inlineStr">
        <is>
          <t>SÖDERMANLANDS LÄN</t>
        </is>
      </c>
      <c r="G299" t="inlineStr">
        <is>
          <t>FLEN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46226</v>
      </c>
      <c r="F300" t="inlineStr">
        <is>
          <t>SÖDERMANLANDS LÄN</t>
        </is>
      </c>
      <c r="G300" t="inlineStr">
        <is>
          <t>FLEN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45260</v>
      </c>
      <c r="E301" s="1" t="n">
        <v>46226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44838</v>
      </c>
      <c r="E302" s="1" t="n">
        <v>46226</v>
      </c>
      <c r="F302" t="inlineStr">
        <is>
          <t>SÖDERMANLANDS LÄN</t>
        </is>
      </c>
      <c r="G302" t="inlineStr">
        <is>
          <t>FLEN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46226</v>
      </c>
      <c r="F303" t="inlineStr">
        <is>
          <t>SÖDERMANLANDS LÄN</t>
        </is>
      </c>
      <c r="G303" t="inlineStr">
        <is>
          <t>FLEN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46226</v>
      </c>
      <c r="F304" t="inlineStr">
        <is>
          <t>SÖDERMANLANDS LÄN</t>
        </is>
      </c>
      <c r="G304" t="inlineStr">
        <is>
          <t>FLEN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46226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43394-2021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44432</v>
      </c>
      <c r="E306" s="1" t="n">
        <v>46226</v>
      </c>
      <c r="F306" t="inlineStr">
        <is>
          <t>SÖDERMANLANDS LÄN</t>
        </is>
      </c>
      <c r="G306" t="inlineStr">
        <is>
          <t>FLEN</t>
        </is>
      </c>
      <c r="I306" t="n">
        <v>14.4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45358</v>
      </c>
      <c r="E307" s="1" t="n">
        <v>46226</v>
      </c>
      <c r="F307" t="inlineStr">
        <is>
          <t>SÖDERMANLANDS LÄN</t>
        </is>
      </c>
      <c r="G307" t="inlineStr">
        <is>
          <t>FLEN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46226</v>
      </c>
      <c r="F308" t="inlineStr">
        <is>
          <t>SÖDERMANLANDS LÄN</t>
        </is>
      </c>
      <c r="G308" t="inlineStr">
        <is>
          <t>FLEN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46226</v>
      </c>
      <c r="F309" t="inlineStr">
        <is>
          <t>SÖDERMANLANDS LÄN</t>
        </is>
      </c>
      <c r="G309" t="inlineStr">
        <is>
          <t>FLEN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46226</v>
      </c>
      <c r="F310" t="inlineStr">
        <is>
          <t>SÖDERMANLANDS LÄN</t>
        </is>
      </c>
      <c r="G310" t="inlineStr">
        <is>
          <t>FLEN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18508-2026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46226</v>
      </c>
      <c r="F311" t="inlineStr">
        <is>
          <t>SÖDERMANLANDS LÄN</t>
        </is>
      </c>
      <c r="G311" t="inlineStr">
        <is>
          <t>FLEN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46126</v>
      </c>
      <c r="E312" s="1" t="n">
        <v>46226</v>
      </c>
      <c r="F312" t="inlineStr">
        <is>
          <t>SÖDERMANLANDS LÄN</t>
        </is>
      </c>
      <c r="G312" t="inlineStr">
        <is>
          <t>FLEN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46226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46226</v>
      </c>
      <c r="F314" t="inlineStr">
        <is>
          <t>SÖDERMANLANDS LÄN</t>
        </is>
      </c>
      <c r="G314" t="inlineStr">
        <is>
          <t>FLEN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46226</v>
      </c>
      <c r="F315" t="inlineStr">
        <is>
          <t>SÖDERMANLANDS LÄN</t>
        </is>
      </c>
      <c r="G315" t="inlineStr">
        <is>
          <t>FLEN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46121</v>
      </c>
      <c r="E316" s="1" t="n">
        <v>46226</v>
      </c>
      <c r="F316" t="inlineStr">
        <is>
          <t>SÖDERMANLANDS LÄN</t>
        </is>
      </c>
      <c r="G316" t="inlineStr">
        <is>
          <t>FLEN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46226</v>
      </c>
      <c r="F317" t="inlineStr">
        <is>
          <t>SÖDERMANLANDS LÄN</t>
        </is>
      </c>
      <c r="G317" t="inlineStr">
        <is>
          <t>FLEN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46226</v>
      </c>
      <c r="F318" t="inlineStr">
        <is>
          <t>SÖDERMANLANDS LÄN</t>
        </is>
      </c>
      <c r="G318" t="inlineStr">
        <is>
          <t>FLEN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46226</v>
      </c>
      <c r="F319" t="inlineStr">
        <is>
          <t>SÖDERMANLANDS LÄN</t>
        </is>
      </c>
      <c r="G319" t="inlineStr">
        <is>
          <t>FLEN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46226</v>
      </c>
      <c r="F320" t="inlineStr">
        <is>
          <t>SÖDERMANLANDS LÄN</t>
        </is>
      </c>
      <c r="G320" t="inlineStr">
        <is>
          <t>FLEN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46129</v>
      </c>
      <c r="E321" s="1" t="n">
        <v>46226</v>
      </c>
      <c r="F321" t="inlineStr">
        <is>
          <t>SÖDERMANLANDS LÄN</t>
        </is>
      </c>
      <c r="G321" t="inlineStr">
        <is>
          <t>FLEN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46226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46226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52692-2021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44466</v>
      </c>
      <c r="E324" s="1" t="n">
        <v>46226</v>
      </c>
      <c r="F324" t="inlineStr">
        <is>
          <t>SÖDERMANLANDS LÄN</t>
        </is>
      </c>
      <c r="G324" t="inlineStr">
        <is>
          <t>FLEN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46226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46226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45103</v>
      </c>
      <c r="E327" s="1" t="n">
        <v>46226</v>
      </c>
      <c r="F327" t="inlineStr">
        <is>
          <t>SÖDERMANLANDS LÄN</t>
        </is>
      </c>
      <c r="G327" t="inlineStr">
        <is>
          <t>FLEN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46226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46226</v>
      </c>
      <c r="F329" t="inlineStr">
        <is>
          <t>SÖDERMANLANDS LÄN</t>
        </is>
      </c>
      <c r="G329" t="inlineStr">
        <is>
          <t>FLEN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46226</v>
      </c>
      <c r="F330" t="inlineStr">
        <is>
          <t>SÖDERMANLANDS LÄN</t>
        </is>
      </c>
      <c r="G330" t="inlineStr">
        <is>
          <t>FLEN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46226</v>
      </c>
      <c r="F331" t="inlineStr">
        <is>
          <t>SÖDERMANLANDS LÄN</t>
        </is>
      </c>
      <c r="G331" t="inlineStr">
        <is>
          <t>FLEN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45718</v>
      </c>
      <c r="E332" s="1" t="n">
        <v>46226</v>
      </c>
      <c r="F332" t="inlineStr">
        <is>
          <t>SÖDERMANLANDS LÄN</t>
        </is>
      </c>
      <c r="G332" t="inlineStr">
        <is>
          <t>FLEN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54283-2025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45964</v>
      </c>
      <c r="E333" s="1" t="n">
        <v>46226</v>
      </c>
      <c r="F333" t="inlineStr">
        <is>
          <t>SÖDERMANLANDS LÄN</t>
        </is>
      </c>
      <c r="G333" t="inlineStr">
        <is>
          <t>FLEN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54282-2025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45964</v>
      </c>
      <c r="E334" s="1" t="n">
        <v>46226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45213</v>
      </c>
      <c r="E335" s="1" t="n">
        <v>46226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41709-2021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44425</v>
      </c>
      <c r="E336" s="1" t="n">
        <v>46226</v>
      </c>
      <c r="F336" t="inlineStr">
        <is>
          <t>SÖDERMANLANDS LÄN</t>
        </is>
      </c>
      <c r="G336" t="inlineStr">
        <is>
          <t>FLEN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45702</v>
      </c>
      <c r="E337" s="1" t="n">
        <v>46226</v>
      </c>
      <c r="F337" t="inlineStr">
        <is>
          <t>SÖDERMANLANDS LÄN</t>
        </is>
      </c>
      <c r="G337" t="inlineStr">
        <is>
          <t>FLEN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45789</v>
      </c>
      <c r="E338" s="1" t="n">
        <v>46226</v>
      </c>
      <c r="F338" t="inlineStr">
        <is>
          <t>SÖDERMANLANDS LÄN</t>
        </is>
      </c>
      <c r="G338" t="inlineStr">
        <is>
          <t>FLEN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45729</v>
      </c>
      <c r="E339" s="1" t="n">
        <v>46226</v>
      </c>
      <c r="F339" t="inlineStr">
        <is>
          <t>SÖDERMANLANDS LÄN</t>
        </is>
      </c>
      <c r="G339" t="inlineStr">
        <is>
          <t>FLEN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46226</v>
      </c>
      <c r="F340" t="inlineStr">
        <is>
          <t>SÖDERMANLANDS LÄN</t>
        </is>
      </c>
      <c r="G340" t="inlineStr">
        <is>
          <t>FLEN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45322</v>
      </c>
      <c r="E341" s="1" t="n">
        <v>46226</v>
      </c>
      <c r="F341" t="inlineStr">
        <is>
          <t>SÖDERMANLANDS LÄN</t>
        </is>
      </c>
      <c r="G341" t="inlineStr">
        <is>
          <t>FLEN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64480-2023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45280</v>
      </c>
      <c r="E342" s="1" t="n">
        <v>46226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56229-2025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46226</v>
      </c>
      <c r="F343" t="inlineStr">
        <is>
          <t>SÖDERMANLANDS LÄN</t>
        </is>
      </c>
      <c r="G343" t="inlineStr">
        <is>
          <t>FLEN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49828-2022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44862</v>
      </c>
      <c r="E344" s="1" t="n">
        <v>46226</v>
      </c>
      <c r="F344" t="inlineStr">
        <is>
          <t>SÖDERMANLANDS LÄN</t>
        </is>
      </c>
      <c r="G344" t="inlineStr">
        <is>
          <t>FLEN</t>
        </is>
      </c>
      <c r="H344" t="inlineStr">
        <is>
          <t>Kyrkan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56573-2025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45974</v>
      </c>
      <c r="E345" s="1" t="n">
        <v>46226</v>
      </c>
      <c r="F345" t="inlineStr">
        <is>
          <t>SÖDERMANLANDS LÄN</t>
        </is>
      </c>
      <c r="G345" t="inlineStr">
        <is>
          <t>FLEN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67464-2021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44524</v>
      </c>
      <c r="E346" s="1" t="n">
        <v>46226</v>
      </c>
      <c r="F346" t="inlineStr">
        <is>
          <t>SÖDERMANLANDS LÄN</t>
        </is>
      </c>
      <c r="G346" t="inlineStr">
        <is>
          <t>FLEN</t>
        </is>
      </c>
      <c r="I346" t="n">
        <v>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66979-2021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44522</v>
      </c>
      <c r="E347" s="1" t="n">
        <v>46226</v>
      </c>
      <c r="F347" t="inlineStr">
        <is>
          <t>SÖDERMANLANDS LÄN</t>
        </is>
      </c>
      <c r="G347" t="inlineStr">
        <is>
          <t>FLEN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16908-2024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45411</v>
      </c>
      <c r="E348" s="1" t="n">
        <v>46226</v>
      </c>
      <c r="F348" t="inlineStr">
        <is>
          <t>SÖDERMANLANDS LÄN</t>
        </is>
      </c>
      <c r="G348" t="inlineStr">
        <is>
          <t>FLEN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44979</v>
      </c>
      <c r="E349" s="1" t="n">
        <v>46226</v>
      </c>
      <c r="F349" t="inlineStr">
        <is>
          <t>SÖDERMANLANDS LÄN</t>
        </is>
      </c>
      <c r="G349" t="inlineStr">
        <is>
          <t>FLEN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40404-2024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45555</v>
      </c>
      <c r="E350" s="1" t="n">
        <v>46226</v>
      </c>
      <c r="F350" t="inlineStr">
        <is>
          <t>SÖDERMANLANDS LÄN</t>
        </is>
      </c>
      <c r="G350" t="inlineStr">
        <is>
          <t>FLEN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57863-2022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44899</v>
      </c>
      <c r="E351" s="1" t="n">
        <v>46226</v>
      </c>
      <c r="F351" t="inlineStr">
        <is>
          <t>SÖDERMANLANDS LÄN</t>
        </is>
      </c>
      <c r="G351" t="inlineStr">
        <is>
          <t>FLEN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46226</v>
      </c>
      <c r="F352" t="inlineStr">
        <is>
          <t>SÖDERMANLANDS LÄN</t>
        </is>
      </c>
      <c r="G352" t="inlineStr">
        <is>
          <t>FLEN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45869</v>
      </c>
      <c r="E353" s="1" t="n">
        <v>46226</v>
      </c>
      <c r="F353" t="inlineStr">
        <is>
          <t>SÖDERMANLANDS LÄN</t>
        </is>
      </c>
      <c r="G353" t="inlineStr">
        <is>
          <t>FLEN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37256-2022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44807</v>
      </c>
      <c r="E354" s="1" t="n">
        <v>46226</v>
      </c>
      <c r="F354" t="inlineStr">
        <is>
          <t>SÖDERMANLANDS LÄN</t>
        </is>
      </c>
      <c r="G354" t="inlineStr">
        <is>
          <t>FLEN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45081</v>
      </c>
      <c r="E355" s="1" t="n">
        <v>46226</v>
      </c>
      <c r="F355" t="inlineStr">
        <is>
          <t>SÖDERMANLANDS LÄN</t>
        </is>
      </c>
      <c r="G355" t="inlineStr">
        <is>
          <t>FLEN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45081</v>
      </c>
      <c r="E356" s="1" t="n">
        <v>46226</v>
      </c>
      <c r="F356" t="inlineStr">
        <is>
          <t>SÖDERMANLANDS LÄN</t>
        </is>
      </c>
      <c r="G356" t="inlineStr">
        <is>
          <t>FLEN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46226</v>
      </c>
      <c r="F357" t="inlineStr">
        <is>
          <t>SÖDERMANLANDS LÄN</t>
        </is>
      </c>
      <c r="G357" t="inlineStr">
        <is>
          <t>FLEN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46226</v>
      </c>
      <c r="F358" t="inlineStr">
        <is>
          <t>SÖDERMANLANDS LÄN</t>
        </is>
      </c>
      <c r="G358" t="inlineStr">
        <is>
          <t>FLEN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46226</v>
      </c>
      <c r="F359" t="inlineStr">
        <is>
          <t>SÖDERMANLANDS LÄN</t>
        </is>
      </c>
      <c r="G359" t="inlineStr">
        <is>
          <t>FLEN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44988</v>
      </c>
      <c r="E360" s="1" t="n">
        <v>46226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45228</v>
      </c>
      <c r="E361" s="1" t="n">
        <v>46226</v>
      </c>
      <c r="F361" t="inlineStr">
        <is>
          <t>SÖDERMANLANDS LÄN</t>
        </is>
      </c>
      <c r="G361" t="inlineStr">
        <is>
          <t>FLEN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46226</v>
      </c>
      <c r="F362" t="inlineStr">
        <is>
          <t>SÖDERMANLANDS LÄN</t>
        </is>
      </c>
      <c r="G362" t="inlineStr">
        <is>
          <t>FLEN</t>
        </is>
      </c>
      <c r="H362" t="inlineStr">
        <is>
          <t>Kyrkan</t>
        </is>
      </c>
      <c r="I362" t="n">
        <v>9.699999999999999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46226</v>
      </c>
      <c r="F363" t="inlineStr">
        <is>
          <t>SÖDERMANLANDS LÄN</t>
        </is>
      </c>
      <c r="G363" t="inlineStr">
        <is>
          <t>FLEN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46226</v>
      </c>
      <c r="F364" t="inlineStr">
        <is>
          <t>SÖDERMANLANDS LÄN</t>
        </is>
      </c>
      <c r="G364" t="inlineStr">
        <is>
          <t>FLEN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46226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46226</v>
      </c>
      <c r="F366" t="inlineStr">
        <is>
          <t>SÖDERMANLANDS LÄN</t>
        </is>
      </c>
      <c r="G366" t="inlineStr">
        <is>
          <t>FLEN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45022</v>
      </c>
      <c r="E367" s="1" t="n">
        <v>46226</v>
      </c>
      <c r="F367" t="inlineStr">
        <is>
          <t>SÖDERMANLANDS LÄN</t>
        </is>
      </c>
      <c r="G367" t="inlineStr">
        <is>
          <t>FLEN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45791</v>
      </c>
      <c r="E368" s="1" t="n">
        <v>46226</v>
      </c>
      <c r="F368" t="inlineStr">
        <is>
          <t>SÖDERMANLANDS LÄN</t>
        </is>
      </c>
      <c r="G368" t="inlineStr">
        <is>
          <t>FLEN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46226</v>
      </c>
      <c r="F369" t="inlineStr">
        <is>
          <t>SÖDERMANLANDS LÄN</t>
        </is>
      </c>
      <c r="G369" t="inlineStr">
        <is>
          <t>FLEN</t>
        </is>
      </c>
      <c r="H369" t="inlineStr">
        <is>
          <t>Kyrkan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44897</v>
      </c>
      <c r="E370" s="1" t="n">
        <v>46226</v>
      </c>
      <c r="F370" t="inlineStr">
        <is>
          <t>SÖDERMANLANDS LÄN</t>
        </is>
      </c>
      <c r="G370" t="inlineStr">
        <is>
          <t>FLEN</t>
        </is>
      </c>
      <c r="H370" t="inlineStr">
        <is>
          <t>Övriga statliga verk och myndigheter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45993</v>
      </c>
      <c r="E371" s="1" t="n">
        <v>46226</v>
      </c>
      <c r="F371" t="inlineStr">
        <is>
          <t>SÖDERMANLANDS LÄN</t>
        </is>
      </c>
      <c r="G371" t="inlineStr">
        <is>
          <t>FLEN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32023-2022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44778</v>
      </c>
      <c r="E372" s="1" t="n">
        <v>46226</v>
      </c>
      <c r="F372" t="inlineStr">
        <is>
          <t>SÖDERMANLANDS LÄN</t>
        </is>
      </c>
      <c r="G372" t="inlineStr">
        <is>
          <t>FLEN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46226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52541-2021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44463</v>
      </c>
      <c r="E374" s="1" t="n">
        <v>46226</v>
      </c>
      <c r="F374" t="inlineStr">
        <is>
          <t>SÖDERMANLANDS LÄN</t>
        </is>
      </c>
      <c r="G374" t="inlineStr">
        <is>
          <t>FLEN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45331</v>
      </c>
      <c r="E375" s="1" t="n">
        <v>46226</v>
      </c>
      <c r="F375" t="inlineStr">
        <is>
          <t>SÖDERMANLANDS LÄN</t>
        </is>
      </c>
      <c r="G375" t="inlineStr">
        <is>
          <t>FLEN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45066</v>
      </c>
      <c r="E376" s="1" t="n">
        <v>46226</v>
      </c>
      <c r="F376" t="inlineStr">
        <is>
          <t>SÖDERMANLANDS LÄN</t>
        </is>
      </c>
      <c r="G376" t="inlineStr">
        <is>
          <t>FLEN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44979</v>
      </c>
      <c r="E377" s="1" t="n">
        <v>46226</v>
      </c>
      <c r="F377" t="inlineStr">
        <is>
          <t>SÖDERMANLANDS LÄN</t>
        </is>
      </c>
      <c r="G377" t="inlineStr">
        <is>
          <t>FLEN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45330</v>
      </c>
      <c r="E378" s="1" t="n">
        <v>46226</v>
      </c>
      <c r="F378" t="inlineStr">
        <is>
          <t>SÖDERMANLANDS LÄN</t>
        </is>
      </c>
      <c r="G378" t="inlineStr">
        <is>
          <t>FLEN</t>
        </is>
      </c>
      <c r="H378" t="inlineStr">
        <is>
          <t>Övriga statliga verk och myndigheter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46185</v>
      </c>
      <c r="E379" s="1" t="n">
        <v>46226</v>
      </c>
      <c r="F379" t="inlineStr">
        <is>
          <t>SÖDERMANLANDS LÄN</t>
        </is>
      </c>
      <c r="G379" t="inlineStr">
        <is>
          <t>FLEN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46226</v>
      </c>
      <c r="F380" t="inlineStr">
        <is>
          <t>SÖDERMANLANDS LÄN</t>
        </is>
      </c>
      <c r="G380" t="inlineStr">
        <is>
          <t>FLEN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44864</v>
      </c>
      <c r="E381" s="1" t="n">
        <v>46226</v>
      </c>
      <c r="F381" t="inlineStr">
        <is>
          <t>SÖDERMANLANDS LÄN</t>
        </is>
      </c>
      <c r="G381" t="inlineStr">
        <is>
          <t>FLEN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48749-2022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44855</v>
      </c>
      <c r="E382" s="1" t="n">
        <v>46226</v>
      </c>
      <c r="F382" t="inlineStr">
        <is>
          <t>SÖDERMANLANDS LÄN</t>
        </is>
      </c>
      <c r="G382" t="inlineStr">
        <is>
          <t>FLEN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46226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45250</v>
      </c>
      <c r="E384" s="1" t="n">
        <v>46226</v>
      </c>
      <c r="F384" t="inlineStr">
        <is>
          <t>SÖDERMANLANDS LÄN</t>
        </is>
      </c>
      <c r="G384" t="inlineStr">
        <is>
          <t>FLEN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46226</v>
      </c>
      <c r="F385" t="inlineStr">
        <is>
          <t>SÖDERMANLANDS LÄN</t>
        </is>
      </c>
      <c r="G385" t="inlineStr">
        <is>
          <t>FLEN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46226</v>
      </c>
      <c r="F386" t="inlineStr">
        <is>
          <t>SÖDERMANLANDS LÄN</t>
        </is>
      </c>
      <c r="G386" t="inlineStr">
        <is>
          <t>FLEN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46226</v>
      </c>
      <c r="F387" t="inlineStr">
        <is>
          <t>SÖDERMANLANDS LÄN</t>
        </is>
      </c>
      <c r="G387" t="inlineStr">
        <is>
          <t>FLEN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46226</v>
      </c>
      <c r="F388" t="inlineStr">
        <is>
          <t>SÖDERMANLANDS LÄN</t>
        </is>
      </c>
      <c r="G388" t="inlineStr">
        <is>
          <t>FLEN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46226</v>
      </c>
      <c r="F389" t="inlineStr">
        <is>
          <t>SÖDERMANLANDS LÄN</t>
        </is>
      </c>
      <c r="G389" t="inlineStr">
        <is>
          <t>FLEN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46226</v>
      </c>
      <c r="F390" t="inlineStr">
        <is>
          <t>SÖDERMANLANDS LÄN</t>
        </is>
      </c>
      <c r="G390" t="inlineStr">
        <is>
          <t>FLEN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35118-2024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45528</v>
      </c>
      <c r="E391" s="1" t="n">
        <v>46226</v>
      </c>
      <c r="F391" t="inlineStr">
        <is>
          <t>SÖDERMANLANDS LÄN</t>
        </is>
      </c>
      <c r="G391" t="inlineStr">
        <is>
          <t>FLEN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45306</v>
      </c>
      <c r="E392" s="1" t="n">
        <v>46226</v>
      </c>
      <c r="F392" t="inlineStr">
        <is>
          <t>SÖDERMANLANDS LÄN</t>
        </is>
      </c>
      <c r="G392" t="inlineStr">
        <is>
          <t>FLEN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46226</v>
      </c>
      <c r="F393" t="inlineStr">
        <is>
          <t>SÖDERMANLANDS LÄN</t>
        </is>
      </c>
      <c r="G393" t="inlineStr">
        <is>
          <t>FLEN</t>
        </is>
      </c>
      <c r="H393" t="inlineStr">
        <is>
          <t>Övriga statliga verk och myndigheter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44970</v>
      </c>
      <c r="E394" s="1" t="n">
        <v>46226</v>
      </c>
      <c r="F394" t="inlineStr">
        <is>
          <t>SÖDERMANLANDS LÄN</t>
        </is>
      </c>
      <c r="G394" t="inlineStr">
        <is>
          <t>FLEN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44449</v>
      </c>
      <c r="E395" s="1" t="n">
        <v>46226</v>
      </c>
      <c r="F395" t="inlineStr">
        <is>
          <t>SÖDERMANLANDS LÄN</t>
        </is>
      </c>
      <c r="G395" t="inlineStr">
        <is>
          <t>FLEN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46226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46226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45140</v>
      </c>
      <c r="E398" s="1" t="n">
        <v>46226</v>
      </c>
      <c r="F398" t="inlineStr">
        <is>
          <t>SÖDERMANLANDS LÄN</t>
        </is>
      </c>
      <c r="G398" t="inlineStr">
        <is>
          <t>FLEN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46226</v>
      </c>
      <c r="F399" t="inlineStr">
        <is>
          <t>SÖDERMANLANDS LÄN</t>
        </is>
      </c>
      <c r="G399" t="inlineStr">
        <is>
          <t>FLEN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46226</v>
      </c>
      <c r="F400" t="inlineStr">
        <is>
          <t>SÖDERMANLANDS LÄN</t>
        </is>
      </c>
      <c r="G400" t="inlineStr">
        <is>
          <t>FLEN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44957</v>
      </c>
      <c r="E401" s="1" t="n">
        <v>46226</v>
      </c>
      <c r="F401" t="inlineStr">
        <is>
          <t>SÖDERMANLANDS LÄN</t>
        </is>
      </c>
      <c r="G401" t="inlineStr">
        <is>
          <t>FLEN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46226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46226</v>
      </c>
      <c r="F403" t="inlineStr">
        <is>
          <t>SÖDERMANLANDS LÄN</t>
        </is>
      </c>
      <c r="G403" t="inlineStr">
        <is>
          <t>FLEN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46226</v>
      </c>
      <c r="F404" t="inlineStr">
        <is>
          <t>SÖDERMANLANDS LÄN</t>
        </is>
      </c>
      <c r="G404" t="inlineStr">
        <is>
          <t>FLEN</t>
        </is>
      </c>
      <c r="H404" t="inlineStr">
        <is>
          <t>Övriga statliga verk och myndigheter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44991</v>
      </c>
      <c r="E405" s="1" t="n">
        <v>46226</v>
      </c>
      <c r="F405" t="inlineStr">
        <is>
          <t>SÖDERMANLANDS LÄN</t>
        </is>
      </c>
      <c r="G405" t="inlineStr">
        <is>
          <t>FLEN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46226</v>
      </c>
      <c r="F406" t="inlineStr">
        <is>
          <t>SÖDERMANLANDS LÄN</t>
        </is>
      </c>
      <c r="G406" t="inlineStr">
        <is>
          <t>FLEN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19150-2023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46226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46226</v>
      </c>
      <c r="F408" t="inlineStr">
        <is>
          <t>SÖDERMANLANDS LÄN</t>
        </is>
      </c>
      <c r="G408" t="inlineStr">
        <is>
          <t>FLEN</t>
        </is>
      </c>
      <c r="H408" t="inlineStr">
        <is>
          <t>Kyrkan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45056</v>
      </c>
      <c r="E409" s="1" t="n">
        <v>46226</v>
      </c>
      <c r="F409" t="inlineStr">
        <is>
          <t>SÖDERMANLANDS LÄN</t>
        </is>
      </c>
      <c r="G409" t="inlineStr">
        <is>
          <t>FLEN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45574</v>
      </c>
      <c r="E410" s="1" t="n">
        <v>46226</v>
      </c>
      <c r="F410" t="inlineStr">
        <is>
          <t>SÖDERMANLANDS LÄN</t>
        </is>
      </c>
      <c r="G410" t="inlineStr">
        <is>
          <t>FLEN</t>
        </is>
      </c>
      <c r="H410" t="inlineStr">
        <is>
          <t>Övriga statliga verk och myndigheter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46226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45119</v>
      </c>
      <c r="E412" s="1" t="n">
        <v>46226</v>
      </c>
      <c r="F412" t="inlineStr">
        <is>
          <t>SÖDERMANLANDS LÄN</t>
        </is>
      </c>
      <c r="G412" t="inlineStr">
        <is>
          <t>FLEN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44566</v>
      </c>
      <c r="E413" s="1" t="n">
        <v>46226</v>
      </c>
      <c r="F413" t="inlineStr">
        <is>
          <t>SÖDERMANLANDS LÄN</t>
        </is>
      </c>
      <c r="G413" t="inlineStr">
        <is>
          <t>FLEN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46226</v>
      </c>
      <c r="F414" t="inlineStr">
        <is>
          <t>SÖDERMANLANDS LÄN</t>
        </is>
      </c>
      <c r="G414" t="inlineStr">
        <is>
          <t>FLEN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10828-2022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44624</v>
      </c>
      <c r="E415" s="1" t="n">
        <v>46226</v>
      </c>
      <c r="F415" t="inlineStr">
        <is>
          <t>SÖDERMANLANDS LÄN</t>
        </is>
      </c>
      <c r="G415" t="inlineStr">
        <is>
          <t>FLEN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46226</v>
      </c>
      <c r="F416" t="inlineStr">
        <is>
          <t>SÖDERMANLANDS LÄN</t>
        </is>
      </c>
      <c r="G416" t="inlineStr">
        <is>
          <t>FLEN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46226</v>
      </c>
      <c r="F417" t="inlineStr">
        <is>
          <t>SÖDERMANLANDS LÄN</t>
        </is>
      </c>
      <c r="G417" t="inlineStr">
        <is>
          <t>FLEN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45041</v>
      </c>
      <c r="E418" s="1" t="n">
        <v>46226</v>
      </c>
      <c r="F418" t="inlineStr">
        <is>
          <t>SÖDERMANLANDS LÄN</t>
        </is>
      </c>
      <c r="G418" t="inlineStr">
        <is>
          <t>FLEN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51768-2023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46226</v>
      </c>
      <c r="F419" t="inlineStr">
        <is>
          <t>SÖDERMANLANDS LÄN</t>
        </is>
      </c>
      <c r="G419" t="inlineStr">
        <is>
          <t>FLEN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46226</v>
      </c>
      <c r="F420" t="inlineStr">
        <is>
          <t>SÖDERMANLANDS LÄN</t>
        </is>
      </c>
      <c r="G420" t="inlineStr">
        <is>
          <t>FLEN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20791-2022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44701</v>
      </c>
      <c r="E421" s="1" t="n">
        <v>46226</v>
      </c>
      <c r="F421" t="inlineStr">
        <is>
          <t>SÖDERMANLANDS LÄN</t>
        </is>
      </c>
      <c r="G421" t="inlineStr">
        <is>
          <t>FLEN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45740</v>
      </c>
      <c r="E422" s="1" t="n">
        <v>46226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44909</v>
      </c>
      <c r="E423" s="1" t="n">
        <v>46226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45518</v>
      </c>
      <c r="E424" s="1" t="n">
        <v>46226</v>
      </c>
      <c r="F424" t="inlineStr">
        <is>
          <t>SÖDERMANLANDS LÄN</t>
        </is>
      </c>
      <c r="G424" t="inlineStr">
        <is>
          <t>FLEN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46226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45271</v>
      </c>
      <c r="E426" s="1" t="n">
        <v>46226</v>
      </c>
      <c r="F426" t="inlineStr">
        <is>
          <t>SÖDERMANLANDS LÄN</t>
        </is>
      </c>
      <c r="G426" t="inlineStr">
        <is>
          <t>FLEN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46226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46226</v>
      </c>
      <c r="F428" t="inlineStr">
        <is>
          <t>SÖDERMANLANDS LÄN</t>
        </is>
      </c>
      <c r="G428" t="inlineStr">
        <is>
          <t>FLEN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46226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59779-2023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45257</v>
      </c>
      <c r="E430" s="1" t="n">
        <v>46226</v>
      </c>
      <c r="F430" t="inlineStr">
        <is>
          <t>SÖDERMANLANDS LÄN</t>
        </is>
      </c>
      <c r="G430" t="inlineStr">
        <is>
          <t>FLEN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46226</v>
      </c>
      <c r="F431" t="inlineStr">
        <is>
          <t>SÖDERMANLANDS LÄN</t>
        </is>
      </c>
      <c r="G431" t="inlineStr">
        <is>
          <t>FLEN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46226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46226</v>
      </c>
      <c r="F433" t="inlineStr">
        <is>
          <t>SÖDERMANLANDS LÄN</t>
        </is>
      </c>
      <c r="G433" t="inlineStr">
        <is>
          <t>FLEN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46226</v>
      </c>
      <c r="F434" t="inlineStr">
        <is>
          <t>SÖDERMANLANDS LÄN</t>
        </is>
      </c>
      <c r="G434" t="inlineStr">
        <is>
          <t>FLEN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46170</v>
      </c>
      <c r="E435" s="1" t="n">
        <v>46226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  <c r="Z435">
        <f>HYPERLINK("https://klasma.github.io/Logging_0482/knärot/A 24450-2026 karta knärot.png", "A 24450-2026")</f>
        <v/>
      </c>
      <c r="AA435">
        <f>HYPERLINK("https://klasma.github.io/Logging_0482/klagomål/A 24450-2026 FSC-klagomål.docx", "A 24450-2026")</f>
        <v/>
      </c>
      <c r="AB435">
        <f>HYPERLINK("https://klasma.github.io/Logging_0482/klagomålsmail/A 24450-2026 FSC-klagomål mail.docx", "A 24450-2026")</f>
        <v/>
      </c>
      <c r="AC435">
        <f>HYPERLINK("https://klasma.github.io/Logging_0482/tillsyn/A 24450-2026 tillsynsbegäran.docx", "A 24450-2026")</f>
        <v/>
      </c>
      <c r="AD435">
        <f>HYPERLINK("https://klasma.github.io/Logging_0482/tillsynsmail/A 24450-2026 tillsynsbegäran mail.docx", "A 24450-2026")</f>
        <v/>
      </c>
    </row>
    <row r="436" ht="15" customHeight="1">
      <c r="A436" t="inlineStr">
        <is>
          <t>A 24455-2026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46226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2901-2024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46226</v>
      </c>
      <c r="F437" t="inlineStr">
        <is>
          <t>SÖDERMANLANDS LÄN</t>
        </is>
      </c>
      <c r="G437" t="inlineStr">
        <is>
          <t>FLEN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45321</v>
      </c>
      <c r="E438" s="1" t="n">
        <v>46226</v>
      </c>
      <c r="F438" t="inlineStr">
        <is>
          <t>SÖDERMANLANDS LÄN</t>
        </is>
      </c>
      <c r="G438" t="inlineStr">
        <is>
          <t>FLEN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24721-2026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46170</v>
      </c>
      <c r="E439" s="1" t="n">
        <v>46226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16937-2022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44676</v>
      </c>
      <c r="E440" s="1" t="n">
        <v>46226</v>
      </c>
      <c r="F440" t="inlineStr">
        <is>
          <t>SÖDERMANLANDS LÄN</t>
        </is>
      </c>
      <c r="G440" t="inlineStr">
        <is>
          <t>FLEN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54781-2024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45618</v>
      </c>
      <c r="E441" s="1" t="n">
        <v>46226</v>
      </c>
      <c r="F441" t="inlineStr">
        <is>
          <t>SÖDERMANLANDS LÄN</t>
        </is>
      </c>
      <c r="G441" t="inlineStr">
        <is>
          <t>FLEN</t>
        </is>
      </c>
      <c r="I441" t="n">
        <v>10.3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14599-2023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45013</v>
      </c>
      <c r="E442" s="1" t="n">
        <v>46226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53507-2023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45230</v>
      </c>
      <c r="E443" s="1" t="n">
        <v>46226</v>
      </c>
      <c r="F443" t="inlineStr">
        <is>
          <t>SÖDERMANLANDS LÄN</t>
        </is>
      </c>
      <c r="G443" t="inlineStr">
        <is>
          <t>FLEN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53518-2023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45230</v>
      </c>
      <c r="E444" s="1" t="n">
        <v>46226</v>
      </c>
      <c r="F444" t="inlineStr">
        <is>
          <t>SÖDERMANLANDS LÄN</t>
        </is>
      </c>
      <c r="G444" t="inlineStr">
        <is>
          <t>FLEN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47872-2025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45932</v>
      </c>
      <c r="E445" s="1" t="n">
        <v>46226</v>
      </c>
      <c r="F445" t="inlineStr">
        <is>
          <t>SÖDERMANLANDS LÄN</t>
        </is>
      </c>
      <c r="G445" t="inlineStr">
        <is>
          <t>FLEN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46226</v>
      </c>
      <c r="F446" t="inlineStr">
        <is>
          <t>SÖDERMANLANDS LÄN</t>
        </is>
      </c>
      <c r="G446" t="inlineStr">
        <is>
          <t>FLEN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46226</v>
      </c>
      <c r="F447" t="inlineStr">
        <is>
          <t>SÖDERMANLANDS LÄN</t>
        </is>
      </c>
      <c r="G447" t="inlineStr">
        <is>
          <t>FLEN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46226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50796-2021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44459</v>
      </c>
      <c r="E449" s="1" t="n">
        <v>46226</v>
      </c>
      <c r="F449" t="inlineStr">
        <is>
          <t>SÖDERMANLANDS LÄN</t>
        </is>
      </c>
      <c r="G449" t="inlineStr">
        <is>
          <t>FLEN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46226</v>
      </c>
      <c r="F450" t="inlineStr">
        <is>
          <t>SÖDERMANLANDS LÄN</t>
        </is>
      </c>
      <c r="G450" t="inlineStr">
        <is>
          <t>FLEN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46226</v>
      </c>
      <c r="F451" t="inlineStr">
        <is>
          <t>SÖDERMANLANDS LÄN</t>
        </is>
      </c>
      <c r="G451" t="inlineStr">
        <is>
          <t>FLEN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39053-2023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45163</v>
      </c>
      <c r="E452" s="1" t="n">
        <v>46226</v>
      </c>
      <c r="F452" t="inlineStr">
        <is>
          <t>SÖDERMANLANDS LÄN</t>
        </is>
      </c>
      <c r="G452" t="inlineStr">
        <is>
          <t>FLEN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44741</v>
      </c>
      <c r="E453" s="1" t="n">
        <v>46226</v>
      </c>
      <c r="F453" t="inlineStr">
        <is>
          <t>SÖDERMANLANDS LÄN</t>
        </is>
      </c>
      <c r="G453" t="inlineStr">
        <is>
          <t>FLEN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12172-2022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44636</v>
      </c>
      <c r="E454" s="1" t="n">
        <v>46226</v>
      </c>
      <c r="F454" t="inlineStr">
        <is>
          <t>SÖDERMANLANDS LÄN</t>
        </is>
      </c>
      <c r="G454" t="inlineStr">
        <is>
          <t>FLEN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26050-2026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46226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46226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56393-2022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44887</v>
      </c>
      <c r="E457" s="1" t="n">
        <v>46226</v>
      </c>
      <c r="F457" t="inlineStr">
        <is>
          <t>SÖDERMANLANDS LÄN</t>
        </is>
      </c>
      <c r="G457" t="inlineStr">
        <is>
          <t>FLEN</t>
        </is>
      </c>
      <c r="I457" t="n">
        <v>11.3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38331-2023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45161</v>
      </c>
      <c r="E458" s="1" t="n">
        <v>46226</v>
      </c>
      <c r="F458" t="inlineStr">
        <is>
          <t>SÖDERMANLANDS LÄN</t>
        </is>
      </c>
      <c r="G458" t="inlineStr">
        <is>
          <t>FLEN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60609-2022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44911</v>
      </c>
      <c r="E459" s="1" t="n">
        <v>46226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41800-2021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44425</v>
      </c>
      <c r="E460" s="1" t="n">
        <v>46226</v>
      </c>
      <c r="F460" t="inlineStr">
        <is>
          <t>SÖDERMANLANDS LÄN</t>
        </is>
      </c>
      <c r="G460" t="inlineStr">
        <is>
          <t>FLEN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31214-2023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45114</v>
      </c>
      <c r="E461" s="1" t="n">
        <v>46226</v>
      </c>
      <c r="F461" t="inlineStr">
        <is>
          <t>SÖDERMANLANDS LÄN</t>
        </is>
      </c>
      <c r="G461" t="inlineStr">
        <is>
          <t>FLEN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38217-2023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45161</v>
      </c>
      <c r="E462" s="1" t="n">
        <v>46226</v>
      </c>
      <c r="F462" t="inlineStr">
        <is>
          <t>SÖDERMANLANDS LÄN</t>
        </is>
      </c>
      <c r="G462" t="inlineStr">
        <is>
          <t>FLEN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45012</v>
      </c>
      <c r="E463" s="1" t="n">
        <v>46226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56497-2022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44887</v>
      </c>
      <c r="E464" s="1" t="n">
        <v>46226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44958</v>
      </c>
      <c r="E465" s="1" t="n">
        <v>46226</v>
      </c>
      <c r="F465" t="inlineStr">
        <is>
          <t>SÖDERMANLANDS LÄN</t>
        </is>
      </c>
      <c r="G465" t="inlineStr">
        <is>
          <t>FLEN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59599-2022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44907</v>
      </c>
      <c r="E466" s="1" t="n">
        <v>46226</v>
      </c>
      <c r="F466" t="inlineStr">
        <is>
          <t>SÖDERMANLANDS LÄN</t>
        </is>
      </c>
      <c r="G466" t="inlineStr">
        <is>
          <t>FLEN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44900</v>
      </c>
      <c r="E467" s="1" t="n">
        <v>46226</v>
      </c>
      <c r="F467" t="inlineStr">
        <is>
          <t>SÖDERMANLANDS LÄN</t>
        </is>
      </c>
      <c r="G467" t="inlineStr">
        <is>
          <t>FLEN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22957-2023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46226</v>
      </c>
      <c r="F468" t="inlineStr">
        <is>
          <t>SÖDERMANLANDS LÄN</t>
        </is>
      </c>
      <c r="G468" t="inlineStr">
        <is>
          <t>FLEN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50646-2023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45217</v>
      </c>
      <c r="E469" s="1" t="n">
        <v>46226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45114</v>
      </c>
      <c r="E470" s="1" t="n">
        <v>46226</v>
      </c>
      <c r="F470" t="inlineStr">
        <is>
          <t>SÖDERMANLANDS LÄN</t>
        </is>
      </c>
      <c r="G470" t="inlineStr">
        <is>
          <t>FLEN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45299</v>
      </c>
      <c r="E471" s="1" t="n">
        <v>46226</v>
      </c>
      <c r="F471" t="inlineStr">
        <is>
          <t>SÖDERMANLANDS LÄN</t>
        </is>
      </c>
      <c r="G471" t="inlineStr">
        <is>
          <t>FLEN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45923-2023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45189</v>
      </c>
      <c r="E472" s="1" t="n">
        <v>46226</v>
      </c>
      <c r="F472" t="inlineStr">
        <is>
          <t>SÖDERMANLANDS LÄN</t>
        </is>
      </c>
      <c r="G472" t="inlineStr">
        <is>
          <t>FLEN</t>
        </is>
      </c>
      <c r="H472" t="inlineStr">
        <is>
          <t>Övriga statliga verk och myndigheter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46226</v>
      </c>
      <c r="F473" t="inlineStr">
        <is>
          <t>SÖDERMANLANDS LÄN</t>
        </is>
      </c>
      <c r="G473" t="inlineStr">
        <is>
          <t>FLEN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45030</v>
      </c>
      <c r="E474" s="1" t="n">
        <v>46226</v>
      </c>
      <c r="F474" t="inlineStr">
        <is>
          <t>SÖDERMANLANDS LÄN</t>
        </is>
      </c>
      <c r="G474" t="inlineStr">
        <is>
          <t>FLEN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55445-2022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44887</v>
      </c>
      <c r="E475" s="1" t="n">
        <v>46226</v>
      </c>
      <c r="F475" t="inlineStr">
        <is>
          <t>SÖDERMANLANDS LÄN</t>
        </is>
      </c>
      <c r="G475" t="inlineStr">
        <is>
          <t>FLEN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40286-2023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46226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42936-2021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44431</v>
      </c>
      <c r="E477" s="1" t="n">
        <v>46226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54340-2023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45225</v>
      </c>
      <c r="E478" s="1" t="n">
        <v>46226</v>
      </c>
      <c r="F478" t="inlineStr">
        <is>
          <t>SÖDERMANLANDS LÄN</t>
        </is>
      </c>
      <c r="G478" t="inlineStr">
        <is>
          <t>FLEN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31028-2024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45501</v>
      </c>
      <c r="E479" s="1" t="n">
        <v>46226</v>
      </c>
      <c r="F479" t="inlineStr">
        <is>
          <t>SÖDERMANLANDS LÄN</t>
        </is>
      </c>
      <c r="G479" t="inlineStr">
        <is>
          <t>FLEN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40420-2024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45555</v>
      </c>
      <c r="E480" s="1" t="n">
        <v>46226</v>
      </c>
      <c r="F480" t="inlineStr">
        <is>
          <t>SÖDERMANLANDS LÄN</t>
        </is>
      </c>
      <c r="G480" t="inlineStr">
        <is>
          <t>FLEN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46226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45161</v>
      </c>
      <c r="E482" s="1" t="n">
        <v>46226</v>
      </c>
      <c r="F482" t="inlineStr">
        <is>
          <t>SÖDERMANLANDS LÄN</t>
        </is>
      </c>
      <c r="G482" t="inlineStr">
        <is>
          <t>FLEN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58267-2023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45250</v>
      </c>
      <c r="E483" s="1" t="n">
        <v>46226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14.7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49811-2023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46226</v>
      </c>
      <c r="F484" t="inlineStr">
        <is>
          <t>SÖDERMANLANDS LÄN</t>
        </is>
      </c>
      <c r="G484" t="inlineStr">
        <is>
          <t>FLEN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52481-2023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45225</v>
      </c>
      <c r="E485" s="1" t="n">
        <v>46226</v>
      </c>
      <c r="F485" t="inlineStr">
        <is>
          <t>SÖDERMANLANDS LÄN</t>
        </is>
      </c>
      <c r="G485" t="inlineStr">
        <is>
          <t>FLEN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44848</v>
      </c>
      <c r="E486" s="1" t="n">
        <v>46226</v>
      </c>
      <c r="F486" t="inlineStr">
        <is>
          <t>SÖDERMANLANDS LÄN</t>
        </is>
      </c>
      <c r="G486" t="inlineStr">
        <is>
          <t>FLEN</t>
        </is>
      </c>
      <c r="H486" t="inlineStr">
        <is>
          <t>Övriga statliga verk och myndigheter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21476-2024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45441</v>
      </c>
      <c r="E487" s="1" t="n">
        <v>46226</v>
      </c>
      <c r="F487" t="inlineStr">
        <is>
          <t>SÖDERMANLANDS LÄN</t>
        </is>
      </c>
      <c r="G487" t="inlineStr">
        <is>
          <t>FLEN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44614</v>
      </c>
      <c r="E488" s="1" t="n">
        <v>46226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45720</v>
      </c>
      <c r="E489" s="1" t="n">
        <v>46226</v>
      </c>
      <c r="F489" t="inlineStr">
        <is>
          <t>SÖDERMANLANDS LÄN</t>
        </is>
      </c>
      <c r="G489" t="inlineStr">
        <is>
          <t>FLEN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45230</v>
      </c>
      <c r="E490" s="1" t="n">
        <v>46226</v>
      </c>
      <c r="F490" t="inlineStr">
        <is>
          <t>SÖDERMANLANDS LÄN</t>
        </is>
      </c>
      <c r="G490" t="inlineStr">
        <is>
          <t>FLEN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37286-2024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45540</v>
      </c>
      <c r="E491" s="1" t="n">
        <v>46226</v>
      </c>
      <c r="F491" t="inlineStr">
        <is>
          <t>SÖDERMANLANDS LÄN</t>
        </is>
      </c>
      <c r="G491" t="inlineStr">
        <is>
          <t>FLEN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44614</v>
      </c>
      <c r="E492" s="1" t="n">
        <v>46226</v>
      </c>
      <c r="F492" t="inlineStr">
        <is>
          <t>SÖDERMANLANDS LÄN</t>
        </is>
      </c>
      <c r="G492" t="inlineStr">
        <is>
          <t>FLEN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60034-2022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44909</v>
      </c>
      <c r="E493" s="1" t="n">
        <v>46226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46226</v>
      </c>
      <c r="F494" t="inlineStr">
        <is>
          <t>SÖDERMANLANDS LÄN</t>
        </is>
      </c>
      <c r="G494" t="inlineStr">
        <is>
          <t>FLEN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46226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73923-2021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44553</v>
      </c>
      <c r="E496" s="1" t="n">
        <v>46226</v>
      </c>
      <c r="F496" t="inlineStr">
        <is>
          <t>SÖDERMANLANDS LÄN</t>
        </is>
      </c>
      <c r="G496" t="inlineStr">
        <is>
          <t>FLEN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45345</v>
      </c>
      <c r="E497" s="1" t="n">
        <v>46226</v>
      </c>
      <c r="F497" t="inlineStr">
        <is>
          <t>SÖDERMANLANDS LÄN</t>
        </is>
      </c>
      <c r="G497" t="inlineStr">
        <is>
          <t>FLEN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13587-2022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44648</v>
      </c>
      <c r="E498" s="1" t="n">
        <v>46226</v>
      </c>
      <c r="F498" t="inlineStr">
        <is>
          <t>SÖDERMANLANDS LÄN</t>
        </is>
      </c>
      <c r="G498" t="inlineStr">
        <is>
          <t>FLEN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44739</v>
      </c>
      <c r="E499" s="1" t="n">
        <v>46226</v>
      </c>
      <c r="F499" t="inlineStr">
        <is>
          <t>SÖDERMANLANDS LÄN</t>
        </is>
      </c>
      <c r="G499" t="inlineStr">
        <is>
          <t>FLEN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23716-2024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45454</v>
      </c>
      <c r="E500" s="1" t="n">
        <v>46226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28768-2024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45478</v>
      </c>
      <c r="E501" s="1" t="n">
        <v>46226</v>
      </c>
      <c r="F501" t="inlineStr">
        <is>
          <t>SÖDERMANLANDS LÄN</t>
        </is>
      </c>
      <c r="G501" t="inlineStr">
        <is>
          <t>FLEN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41894-2021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44425</v>
      </c>
      <c r="E502" s="1" t="n">
        <v>46226</v>
      </c>
      <c r="F502" t="inlineStr">
        <is>
          <t>SÖDERMANLANDS LÄN</t>
        </is>
      </c>
      <c r="G502" t="inlineStr">
        <is>
          <t>FLEN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45713</v>
      </c>
      <c r="E503" s="1" t="n">
        <v>46226</v>
      </c>
      <c r="F503" t="inlineStr">
        <is>
          <t>SÖDERMANLANDS LÄN</t>
        </is>
      </c>
      <c r="G503" t="inlineStr">
        <is>
          <t>FLEN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44580</v>
      </c>
      <c r="E504" s="1" t="n">
        <v>46226</v>
      </c>
      <c r="F504" t="inlineStr">
        <is>
          <t>SÖDERMANLANDS LÄN</t>
        </is>
      </c>
      <c r="G504" t="inlineStr">
        <is>
          <t>FLEN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46226</v>
      </c>
      <c r="F505" t="inlineStr">
        <is>
          <t>SÖDERMANLANDS LÄN</t>
        </is>
      </c>
      <c r="G505" t="inlineStr">
        <is>
          <t>FLEN</t>
        </is>
      </c>
      <c r="H505" t="inlineStr">
        <is>
          <t>Kyrkan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39891-2022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46226</v>
      </c>
      <c r="F506" t="inlineStr">
        <is>
          <t>SÖDERMANLANDS LÄN</t>
        </is>
      </c>
      <c r="G506" t="inlineStr">
        <is>
          <t>FLEN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31083-2022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44769</v>
      </c>
      <c r="E507" s="1" t="n">
        <v>46226</v>
      </c>
      <c r="F507" t="inlineStr">
        <is>
          <t>SÖDERMANLANDS LÄN</t>
        </is>
      </c>
      <c r="G507" t="inlineStr">
        <is>
          <t>FLEN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45110</v>
      </c>
      <c r="E508" s="1" t="n">
        <v>46226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46226</v>
      </c>
      <c r="F509" t="inlineStr">
        <is>
          <t>SÖDERMANLANDS LÄN</t>
        </is>
      </c>
      <c r="G509" t="inlineStr">
        <is>
          <t>FLEN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46226</v>
      </c>
      <c r="F510" t="inlineStr">
        <is>
          <t>SÖDERMANLANDS LÄN</t>
        </is>
      </c>
      <c r="G510" t="inlineStr">
        <is>
          <t>FLEN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44960</v>
      </c>
      <c r="E511" s="1" t="n">
        <v>46226</v>
      </c>
      <c r="F511" t="inlineStr">
        <is>
          <t>SÖDERMANLANDS LÄN</t>
        </is>
      </c>
      <c r="G511" t="inlineStr">
        <is>
          <t>FLEN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46226</v>
      </c>
      <c r="F512" t="inlineStr">
        <is>
          <t>SÖDERMANLANDS LÄN</t>
        </is>
      </c>
      <c r="G512" t="inlineStr">
        <is>
          <t>FLEN</t>
        </is>
      </c>
      <c r="H512" t="inlineStr">
        <is>
          <t>Övriga statliga verk och myndigheter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4657-2024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46226</v>
      </c>
      <c r="F513" t="inlineStr">
        <is>
          <t>SÖDERMANLANDS LÄN</t>
        </is>
      </c>
      <c r="G513" t="inlineStr">
        <is>
          <t>FLEN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41630-2023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45175</v>
      </c>
      <c r="E514" s="1" t="n">
        <v>46226</v>
      </c>
      <c r="F514" t="inlineStr">
        <is>
          <t>SÖDERMANLANDS LÄN</t>
        </is>
      </c>
      <c r="G514" t="inlineStr">
        <is>
          <t>FLEN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17654-2023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45036</v>
      </c>
      <c r="E515" s="1" t="n">
        <v>46226</v>
      </c>
      <c r="F515" t="inlineStr">
        <is>
          <t>SÖDERMANLANDS LÄN</t>
        </is>
      </c>
      <c r="G515" t="inlineStr">
        <is>
          <t>FLEN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59439-2022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46226</v>
      </c>
      <c r="F516" t="inlineStr">
        <is>
          <t>SÖDERMANLANDS LÄN</t>
        </is>
      </c>
      <c r="G516" t="inlineStr">
        <is>
          <t>FLEN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10256-2024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45365</v>
      </c>
      <c r="E517" s="1" t="n">
        <v>46226</v>
      </c>
      <c r="F517" t="inlineStr">
        <is>
          <t>SÖDERMANLANDS LÄN</t>
        </is>
      </c>
      <c r="G517" t="inlineStr">
        <is>
          <t>FLEN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56991-2023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45244</v>
      </c>
      <c r="E518" s="1" t="n">
        <v>46226</v>
      </c>
      <c r="F518" t="inlineStr">
        <is>
          <t>SÖDERMANLANDS LÄN</t>
        </is>
      </c>
      <c r="G518" t="inlineStr">
        <is>
          <t>FLEN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11747-2022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44634</v>
      </c>
      <c r="E519" s="1" t="n">
        <v>46226</v>
      </c>
      <c r="F519" t="inlineStr">
        <is>
          <t>SÖDERMANLANDS LÄN</t>
        </is>
      </c>
      <c r="G519" t="inlineStr">
        <is>
          <t>FLEN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41806-2023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45176</v>
      </c>
      <c r="E520" s="1" t="n">
        <v>46226</v>
      </c>
      <c r="F520" t="inlineStr">
        <is>
          <t>SÖDERMANLANDS LÄN</t>
        </is>
      </c>
      <c r="G520" t="inlineStr">
        <is>
          <t>FLEN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46226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42388-2023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45180</v>
      </c>
      <c r="E522" s="1" t="n">
        <v>46226</v>
      </c>
      <c r="F522" t="inlineStr">
        <is>
          <t>SÖDERMANLANDS LÄN</t>
        </is>
      </c>
      <c r="G522" t="inlineStr">
        <is>
          <t>FLEN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45256</v>
      </c>
      <c r="E523" s="1" t="n">
        <v>46226</v>
      </c>
      <c r="F523" t="inlineStr">
        <is>
          <t>SÖDERMANLANDS LÄN</t>
        </is>
      </c>
      <c r="G523" t="inlineStr">
        <is>
          <t>FLEN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45007</v>
      </c>
      <c r="E524" s="1" t="n">
        <v>46226</v>
      </c>
      <c r="F524" t="inlineStr">
        <is>
          <t>SÖDERMANLANDS LÄN</t>
        </is>
      </c>
      <c r="G524" t="inlineStr">
        <is>
          <t>FLEN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45448</v>
      </c>
      <c r="E525" s="1" t="n">
        <v>46226</v>
      </c>
      <c r="F525" t="inlineStr">
        <is>
          <t>SÖDERMANLANDS LÄN</t>
        </is>
      </c>
      <c r="G525" t="inlineStr">
        <is>
          <t>FLEN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13233-2024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45386</v>
      </c>
      <c r="E526" s="1" t="n">
        <v>46226</v>
      </c>
      <c r="F526" t="inlineStr">
        <is>
          <t>SÖDERMANLANDS LÄN</t>
        </is>
      </c>
      <c r="G526" t="inlineStr">
        <is>
          <t>FLEN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8293-2022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44610</v>
      </c>
      <c r="E527" s="1" t="n">
        <v>46226</v>
      </c>
      <c r="F527" t="inlineStr">
        <is>
          <t>SÖDERMANLANDS LÄN</t>
        </is>
      </c>
      <c r="G527" t="inlineStr">
        <is>
          <t>FLEN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14755-2023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45014</v>
      </c>
      <c r="E528" s="1" t="n">
        <v>46226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45671</v>
      </c>
      <c r="E529" s="1" t="n">
        <v>46226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38753-2023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45163</v>
      </c>
      <c r="E530" s="1" t="n">
        <v>46226</v>
      </c>
      <c r="F530" t="inlineStr">
        <is>
          <t>SÖDERMANLANDS LÄN</t>
        </is>
      </c>
      <c r="G530" t="inlineStr">
        <is>
          <t>FLEN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4899-2023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44958</v>
      </c>
      <c r="E531" s="1" t="n">
        <v>46226</v>
      </c>
      <c r="F531" t="inlineStr">
        <is>
          <t>SÖDERMANLANDS LÄN</t>
        </is>
      </c>
      <c r="G531" t="inlineStr">
        <is>
          <t>FLEN</t>
        </is>
      </c>
      <c r="H531" t="inlineStr">
        <is>
          <t>Kyrkan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20952-2025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46226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45414</v>
      </c>
      <c r="E533" s="1" t="n">
        <v>46226</v>
      </c>
      <c r="F533" t="inlineStr">
        <is>
          <t>SÖDERMANLANDS LÄN</t>
        </is>
      </c>
      <c r="G533" t="inlineStr">
        <is>
          <t>FLEN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45252</v>
      </c>
      <c r="E534" s="1" t="n">
        <v>46226</v>
      </c>
      <c r="F534" t="inlineStr">
        <is>
          <t>SÖDERMANLANDS LÄN</t>
        </is>
      </c>
      <c r="G534" t="inlineStr">
        <is>
          <t>FLEN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46226</v>
      </c>
      <c r="F535" t="inlineStr">
        <is>
          <t>SÖDERMANLANDS LÄN</t>
        </is>
      </c>
      <c r="G535" t="inlineStr">
        <is>
          <t>FLEN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54736-2022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44883</v>
      </c>
      <c r="E536" s="1" t="n">
        <v>46226</v>
      </c>
      <c r="F536" t="inlineStr">
        <is>
          <t>SÖDERMANLANDS LÄN</t>
        </is>
      </c>
      <c r="G536" t="inlineStr">
        <is>
          <t>FLEN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47055-2022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44852</v>
      </c>
      <c r="E537" s="1" t="n">
        <v>46226</v>
      </c>
      <c r="F537" t="inlineStr">
        <is>
          <t>SÖDERMANLANDS LÄN</t>
        </is>
      </c>
      <c r="G537" t="inlineStr">
        <is>
          <t>FLEN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13909-2023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45008</v>
      </c>
      <c r="E538" s="1" t="n">
        <v>46226</v>
      </c>
      <c r="F538" t="inlineStr">
        <is>
          <t>SÖDERMANLANDS LÄN</t>
        </is>
      </c>
      <c r="G538" t="inlineStr">
        <is>
          <t>FLEN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22989-2025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45790</v>
      </c>
      <c r="E539" s="1" t="n">
        <v>46226</v>
      </c>
      <c r="F539" t="inlineStr">
        <is>
          <t>SÖDERMANLANDS LÄN</t>
        </is>
      </c>
      <c r="G539" t="inlineStr">
        <is>
          <t>FLEN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22998-2025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46226</v>
      </c>
      <c r="F540" t="inlineStr">
        <is>
          <t>SÖDERMANLANDS LÄN</t>
        </is>
      </c>
      <c r="G540" t="inlineStr">
        <is>
          <t>FLEN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22867-2025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46226</v>
      </c>
      <c r="F541" t="inlineStr">
        <is>
          <t>SÖDERMANLANDS LÄN</t>
        </is>
      </c>
      <c r="G541" t="inlineStr">
        <is>
          <t>FLEN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45610</v>
      </c>
      <c r="E542" s="1" t="n">
        <v>46226</v>
      </c>
      <c r="F542" t="inlineStr">
        <is>
          <t>SÖDERMANLANDS LÄN</t>
        </is>
      </c>
      <c r="G542" t="inlineStr">
        <is>
          <t>FLEN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40412-2024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45555</v>
      </c>
      <c r="E543" s="1" t="n">
        <v>46226</v>
      </c>
      <c r="F543" t="inlineStr">
        <is>
          <t>SÖDERMANLANDS LÄN</t>
        </is>
      </c>
      <c r="G543" t="inlineStr">
        <is>
          <t>FLEN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24414-2025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45797</v>
      </c>
      <c r="E544" s="1" t="n">
        <v>46226</v>
      </c>
      <c r="F544" t="inlineStr">
        <is>
          <t>SÖDERMANLANDS LÄN</t>
        </is>
      </c>
      <c r="G544" t="inlineStr">
        <is>
          <t>FLEN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24541-2025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45798</v>
      </c>
      <c r="E545" s="1" t="n">
        <v>46226</v>
      </c>
      <c r="F545" t="inlineStr">
        <is>
          <t>SÖDERMANLANDS LÄN</t>
        </is>
      </c>
      <c r="G545" t="inlineStr">
        <is>
          <t>FLEN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24557-2025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45798</v>
      </c>
      <c r="E546" s="1" t="n">
        <v>46226</v>
      </c>
      <c r="F546" t="inlineStr">
        <is>
          <t>SÖDERMANLANDS LÄN</t>
        </is>
      </c>
      <c r="G546" t="inlineStr">
        <is>
          <t>FLEN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7313-2025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46226</v>
      </c>
      <c r="F547" t="inlineStr">
        <is>
          <t>SÖDERMANLANDS LÄN</t>
        </is>
      </c>
      <c r="G547" t="inlineStr">
        <is>
          <t>FLEN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46226</v>
      </c>
      <c r="F548" t="inlineStr">
        <is>
          <t>SÖDERMANLANDS LÄN</t>
        </is>
      </c>
      <c r="G548" t="inlineStr">
        <is>
          <t>FLEN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46226</v>
      </c>
      <c r="F549" t="inlineStr">
        <is>
          <t>SÖDERMANLANDS LÄN</t>
        </is>
      </c>
      <c r="G549" t="inlineStr">
        <is>
          <t>FLEN</t>
        </is>
      </c>
      <c r="H549" t="inlineStr">
        <is>
          <t>Holmen skog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46226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46226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46226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46226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46226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46226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46226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46226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2026-07-23T01:42:32Z</dcterms:created>
  <dcterms:modified xmlns:dcterms="http://purl.org/dc/terms/" xmlns:xsi="http://www.w3.org/2001/XMLSchema-instance" xsi:type="dcterms:W3CDTF">2026-07-23T01:42:33Z</dcterms:modified>
</cp:coreProperties>
</file>