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46255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46255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46255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46255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46255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46255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46255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46255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46255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46255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46255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46255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46255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46255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46255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46255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46255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46255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50343-2024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46255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Svartöra
Tallticka
Blåsippa
Vildkaprifol</t>
        </is>
      </c>
      <c r="W37">
        <f>HYPERLINK("https://klasma.github.io/Logging_0482/artfynd/A 50343-2024 artfynd.xlsx", "A 50343-2024")</f>
        <v/>
      </c>
      <c r="X37">
        <f>HYPERLINK("https://klasma.github.io/Logging_0482/kartor/A 50343-2024 karta.png", "A 50343-2024")</f>
        <v/>
      </c>
      <c r="Y37">
        <f>HYPERLINK("https://klasma.github.io/Logging_0482/kartor_geotiff/A 50343-2024 georefererad karta.tif", "A 50343-2024")</f>
        <v/>
      </c>
      <c r="AA37">
        <f>HYPERLINK("https://klasma.github.io/Logging_0482/klagomål/A 50343-2024 FSC-klagomål.docx", "A 50343-2024")</f>
        <v/>
      </c>
      <c r="AB37">
        <f>HYPERLINK("https://klasma.github.io/Logging_0482/klagomålsmail/A 50343-2024 FSC-klagomål mail.docx", "A 50343-2024")</f>
        <v/>
      </c>
      <c r="AC37">
        <f>HYPERLINK("https://klasma.github.io/Logging_0482/tillsyn/A 50343-2024 tillsynsbegäran.docx", "A 50343-2024")</f>
        <v/>
      </c>
      <c r="AD37">
        <f>HYPERLINK("https://klasma.github.io/Logging_0482/tillsynsmail/A 50343-2024 tillsynsbegäran mail.docx", "A 50343-2024")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46255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46255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46255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46255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46255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46255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46255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46255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46255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46255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46255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46255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46255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46255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46255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46255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46255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46255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46255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46255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46255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46255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46255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29895-2026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46255</v>
      </c>
      <c r="F61" t="inlineStr">
        <is>
          <t>SÖDERMANLANDS LÄN</t>
        </is>
      </c>
      <c r="G61" t="inlineStr">
        <is>
          <t>FLEN</t>
        </is>
      </c>
      <c r="I61" t="n">
        <v>0.7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Gullklöver
Svinrot
Revlummer</t>
        </is>
      </c>
      <c r="W61">
        <f>HYPERLINK("https://klasma.github.io/Logging_0482/artfynd/A 29895-2026 artfynd.xlsx", "A 29895-2026")</f>
        <v/>
      </c>
      <c r="X61">
        <f>HYPERLINK("https://klasma.github.io/Logging_0482/kartor/A 29895-2026 karta.png", "A 29895-2026")</f>
        <v/>
      </c>
      <c r="Y61">
        <f>HYPERLINK("https://klasma.github.io/Logging_0482/kartor_geotiff/A 29895-2026 georefererad karta.tif", "A 29895-2026")</f>
        <v/>
      </c>
      <c r="AA61">
        <f>HYPERLINK("https://klasma.github.io/Logging_0482/klagomål/A 29895-2026 FSC-klagomål.docx", "A 29895-2026")</f>
        <v/>
      </c>
      <c r="AB61">
        <f>HYPERLINK("https://klasma.github.io/Logging_0482/klagomålsmail/A 29895-2026 FSC-klagomål mail.docx", "A 29895-2026")</f>
        <v/>
      </c>
      <c r="AC61">
        <f>HYPERLINK("https://klasma.github.io/Logging_0482/tillsyn/A 29895-2026 tillsynsbegäran.docx", "A 29895-2026")</f>
        <v/>
      </c>
      <c r="AD61">
        <f>HYPERLINK("https://klasma.github.io/Logging_0482/tillsynsmail/A 29895-2026 tillsynsbegäran mail.docx", "A 29895-2026")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46255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46255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46255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46255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46255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46255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46255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46255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46255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46255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46255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46255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46255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46255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46255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46255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46255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46255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46255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46255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46255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1</v>
      </c>
      <c r="V82" s="2" t="inlineStr">
        <is>
          <t>Mindre hackspett
Tallticka</t>
        </is>
      </c>
      <c r="W82">
        <f>HYPERLINK("https://klasma.github.io/Logging_0482/artfynd/A 52858-2023 artfynd.xlsx", "A 52858-2023")</f>
        <v/>
      </c>
      <c r="X82">
        <f>HYPERLINK("https://klasma.github.io/Logging_0482/kartor/A 52858-2023 karta.png", "A 52858-2023")</f>
        <v/>
      </c>
      <c r="Y82">
        <f>HYPERLINK("https://klasma.github.io/Logging_0482/kartor_geotiff/A 52858-2023 georefererad karta.tif", "A 52858-2023")</f>
        <v/>
      </c>
      <c r="AA82">
        <f>HYPERLINK("https://klasma.github.io/Logging_0482/klagomål/A 52858-2023 FSC-klagomål.docx", "A 52858-2023")</f>
        <v/>
      </c>
      <c r="AB82">
        <f>HYPERLINK("https://klasma.github.io/Logging_0482/klagomålsmail/A 52858-2023 FSC-klagomål mail.docx", "A 52858-2023")</f>
        <v/>
      </c>
      <c r="AC82">
        <f>HYPERLINK("https://klasma.github.io/Logging_0482/tillsyn/A 52858-2023 tillsynsbegäran.docx", "A 52858-2023")</f>
        <v/>
      </c>
      <c r="AD82">
        <f>HYPERLINK("https://klasma.github.io/Logging_0482/tillsynsmail/A 52858-2023 tillsynsbegäran mail.docx", "A 52858-2023")</f>
        <v/>
      </c>
      <c r="AE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46255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46255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46255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46255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15557-2026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46255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4</v>
      </c>
      <c r="U87" t="n">
        <v>0</v>
      </c>
      <c r="V87" s="2" t="inlineStr">
        <is>
          <t>Gullklöver
Svinrot</t>
        </is>
      </c>
      <c r="W87">
        <f>HYPERLINK("https://klasma.github.io/Logging_0482/artfynd/A 15557-2026 artfynd.xlsx", "A 15557-2026")</f>
        <v/>
      </c>
      <c r="X87">
        <f>HYPERLINK("https://klasma.github.io/Logging_0482/kartor/A 15557-2026 karta.png", "A 15557-2026")</f>
        <v/>
      </c>
      <c r="Y87">
        <f>HYPERLINK("https://klasma.github.io/Logging_0482/kartor_geotiff/A 15557-2026 georefererad karta.tif", "A 15557-2026")</f>
        <v/>
      </c>
      <c r="AA87">
        <f>HYPERLINK("https://klasma.github.io/Logging_0482/klagomål/A 15557-2026 FSC-klagomål.docx", "A 15557-2026")</f>
        <v/>
      </c>
      <c r="AB87">
        <f>HYPERLINK("https://klasma.github.io/Logging_0482/klagomålsmail/A 15557-2026 FSC-klagomål mail.docx", "A 15557-2026")</f>
        <v/>
      </c>
      <c r="AC87">
        <f>HYPERLINK("https://klasma.github.io/Logging_0482/tillsyn/A 15557-2026 tillsynsbegäran.docx", "A 15557-2026")</f>
        <v/>
      </c>
      <c r="AD87">
        <f>HYPERLINK("https://klasma.github.io/Logging_0482/tillsynsmail/A 15557-2026 tillsynsbegäran mail.docx", "A 15557-2026")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46255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46255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46255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46255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46255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46255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46255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46255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46255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46255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46255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45120-2021 artfynd.xlsx", "A 45120-2021")</f>
        <v/>
      </c>
      <c r="X98">
        <f>HYPERLINK("https://klasma.github.io/Logging_0482/kartor/A 45120-2021 karta.png", "A 45120-2021")</f>
        <v/>
      </c>
      <c r="Y98">
        <f>HYPERLINK("https://klasma.github.io/Logging_0482/kartor_geotiff/A 45120-2021 georefererad karta.tif", "A 45120-2021")</f>
        <v/>
      </c>
      <c r="AA98">
        <f>HYPERLINK("https://klasma.github.io/Logging_0482/klagomål/A 45120-2021 FSC-klagomål.docx", "A 45120-2021")</f>
        <v/>
      </c>
      <c r="AB98">
        <f>HYPERLINK("https://klasma.github.io/Logging_0482/klagomålsmail/A 45120-2021 FSC-klagomål mail.docx", "A 45120-2021")</f>
        <v/>
      </c>
      <c r="AC98">
        <f>HYPERLINK("https://klasma.github.io/Logging_0482/tillsyn/A 45120-2021 tillsynsbegäran.docx", "A 45120-2021")</f>
        <v/>
      </c>
      <c r="AD98">
        <f>HYPERLINK("https://klasma.github.io/Logging_0482/tillsynsmail/A 45120-2021 tillsynsbegäran mail.docx", "A 45120-2021")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46255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52546-2021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46255</v>
      </c>
      <c r="F100" t="inlineStr">
        <is>
          <t>SÖDERMANLANDS LÄN</t>
        </is>
      </c>
      <c r="G100" t="inlineStr">
        <is>
          <t>FLEN</t>
        </is>
      </c>
      <c r="I100" t="n">
        <v>6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Mindre bastardsvärmare</t>
        </is>
      </c>
      <c r="W100">
        <f>HYPERLINK("https://klasma.github.io/Logging_0482/artfynd/A 52546-2021 artfynd.xlsx", "A 52546-2021")</f>
        <v/>
      </c>
      <c r="X100">
        <f>HYPERLINK("https://klasma.github.io/Logging_0482/kartor/A 52546-2021 karta.png", "A 52546-2021")</f>
        <v/>
      </c>
      <c r="Y100">
        <f>HYPERLINK("https://klasma.github.io/Logging_0482/kartor_geotiff/A 52546-2021 georefererad karta.tif", "A 52546-2021")</f>
        <v/>
      </c>
      <c r="AA100">
        <f>HYPERLINK("https://klasma.github.io/Logging_0482/klagomål/A 52546-2021 FSC-klagomål.docx", "A 52546-2021")</f>
        <v/>
      </c>
      <c r="AB100">
        <f>HYPERLINK("https://klasma.github.io/Logging_0482/klagomålsmail/A 52546-2021 FSC-klagomål mail.docx", "A 52546-2021")</f>
        <v/>
      </c>
      <c r="AC100">
        <f>HYPERLINK("https://klasma.github.io/Logging_0482/tillsyn/A 52546-2021 tillsynsbegäran.docx", "A 52546-2021")</f>
        <v/>
      </c>
      <c r="AD100">
        <f>HYPERLINK("https://klasma.github.io/Logging_0482/tillsynsmail/A 52546-2021 tillsynsbegäran mail.docx", "A 52546-2021")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46255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12056-2024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46255</v>
      </c>
      <c r="F102" t="inlineStr">
        <is>
          <t>SÖDERMANLANDS LÄN</t>
        </is>
      </c>
      <c r="G102" t="inlineStr">
        <is>
          <t>FLEN</t>
        </is>
      </c>
      <c r="I102" t="n">
        <v>8.4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Fjällig taggsvamp s.str.</t>
        </is>
      </c>
      <c r="W102">
        <f>HYPERLINK("https://klasma.github.io/Logging_0482/artfynd/A 12056-2024 artfynd.xlsx", "A 12056-2024")</f>
        <v/>
      </c>
      <c r="X102">
        <f>HYPERLINK("https://klasma.github.io/Logging_0482/kartor/A 12056-2024 karta.png", "A 12056-2024")</f>
        <v/>
      </c>
      <c r="Y102">
        <f>HYPERLINK("https://klasma.github.io/Logging_0482/kartor_geotiff/A 12056-2024 georefererad karta.tif", "A 12056-2024")</f>
        <v/>
      </c>
      <c r="AA102">
        <f>HYPERLINK("https://klasma.github.io/Logging_0482/klagomål/A 12056-2024 FSC-klagomål.docx", "A 12056-2024")</f>
        <v/>
      </c>
      <c r="AB102">
        <f>HYPERLINK("https://klasma.github.io/Logging_0482/klagomålsmail/A 12056-2024 FSC-klagomål mail.docx", "A 12056-2024")</f>
        <v/>
      </c>
      <c r="AC102">
        <f>HYPERLINK("https://klasma.github.io/Logging_0482/tillsyn/A 12056-2024 tillsynsbegäran.docx", "A 12056-2024")</f>
        <v/>
      </c>
      <c r="AD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46255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46255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46255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46255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46255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46255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46255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46255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46255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50202-2022 artfynd.xlsx", "A 50202-2022")</f>
        <v/>
      </c>
      <c r="X111">
        <f>HYPERLINK("https://klasma.github.io/Logging_0482/kartor/A 50202-2022 karta.png", "A 50202-2022")</f>
        <v/>
      </c>
      <c r="Y111">
        <f>HYPERLINK("https://klasma.github.io/Logging_0482/kartor_geotiff/A 50202-2022 georefererad karta.tif", "A 50202-2022")</f>
        <v/>
      </c>
      <c r="AA111">
        <f>HYPERLINK("https://klasma.github.io/Logging_0482/klagomål/A 50202-2022 FSC-klagomål.docx", "A 50202-2022")</f>
        <v/>
      </c>
      <c r="AB111">
        <f>HYPERLINK("https://klasma.github.io/Logging_0482/klagomålsmail/A 50202-2022 FSC-klagomål mail.docx", "A 50202-2022")</f>
        <v/>
      </c>
      <c r="AC111">
        <f>HYPERLINK("https://klasma.github.io/Logging_0482/tillsyn/A 50202-2022 tillsynsbegäran.docx", "A 50202-2022")</f>
        <v/>
      </c>
      <c r="AD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52563-2021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46255</v>
      </c>
      <c r="F112" t="inlineStr">
        <is>
          <t>SÖDERMANLANDS LÄN</t>
        </is>
      </c>
      <c r="G112" t="inlineStr">
        <is>
          <t>FLEN</t>
        </is>
      </c>
      <c r="I112" t="n">
        <v>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Gulsparv</t>
        </is>
      </c>
      <c r="W112">
        <f>HYPERLINK("https://klasma.github.io/Logging_0482/artfynd/A 52563-2021 artfynd.xlsx", "A 52563-2021")</f>
        <v/>
      </c>
      <c r="X112">
        <f>HYPERLINK("https://klasma.github.io/Logging_0482/kartor/A 52563-2021 karta.png", "A 52563-2021")</f>
        <v/>
      </c>
      <c r="Y112">
        <f>HYPERLINK("https://klasma.github.io/Logging_0482/kartor_geotiff/A 52563-2021 georefererad karta.tif", "A 52563-2021")</f>
        <v/>
      </c>
      <c r="AA112">
        <f>HYPERLINK("https://klasma.github.io/Logging_0482/klagomål/A 52563-2021 FSC-klagomål.docx", "A 52563-2021")</f>
        <v/>
      </c>
      <c r="AB112">
        <f>HYPERLINK("https://klasma.github.io/Logging_0482/klagomålsmail/A 52563-2021 FSC-klagomål mail.docx", "A 52563-2021")</f>
        <v/>
      </c>
      <c r="AC112">
        <f>HYPERLINK("https://klasma.github.io/Logging_0482/tillsyn/A 52563-2021 tillsynsbegäran.docx", "A 52563-2021")</f>
        <v/>
      </c>
      <c r="AD112">
        <f>HYPERLINK("https://klasma.github.io/Logging_0482/tillsynsmail/A 52563-2021 tillsynsbegäran mail.docx", "A 52563-2021")</f>
        <v/>
      </c>
      <c r="AE112">
        <f>HYPERLINK("https://klasma.github.io/Logging_0482/fåglar/A 52563-2021 prioriterade fågelarter.docx", "A 52563-2021")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46255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46255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46255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46255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46255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2.1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Scharlakansvaxing</t>
        </is>
      </c>
      <c r="W117">
        <f>HYPERLINK("https://klasma.github.io/Logging_0482/artfynd/A 2043-2026 artfynd.xlsx", "A 2043-2026")</f>
        <v/>
      </c>
      <c r="X117">
        <f>HYPERLINK("https://klasma.github.io/Logging_0482/kartor/A 2043-2026 karta.png", "A 2043-2026")</f>
        <v/>
      </c>
      <c r="Y117">
        <f>HYPERLINK("https://klasma.github.io/Logging_0482/kartor_geotiff/A 2043-2026 georefererad karta.tif", "A 2043-2026")</f>
        <v/>
      </c>
      <c r="AA117">
        <f>HYPERLINK("https://klasma.github.io/Logging_0482/klagomål/A 2043-2026 FSC-klagomål.docx", "A 2043-2026")</f>
        <v/>
      </c>
      <c r="AB117">
        <f>HYPERLINK("https://klasma.github.io/Logging_0482/klagomålsmail/A 2043-2026 FSC-klagomål mail.docx", "A 2043-2026")</f>
        <v/>
      </c>
      <c r="AC117">
        <f>HYPERLINK("https://klasma.github.io/Logging_0482/tillsyn/A 2043-2026 tillsynsbegäran.docx", "A 2043-2026")</f>
        <v/>
      </c>
      <c r="AD117">
        <f>HYPERLINK("https://klasma.github.io/Logging_0482/tillsynsmail/A 2043-2026 tillsynsbegäran mail.docx", "A 2043-2026")</f>
        <v/>
      </c>
    </row>
    <row r="118" ht="15" customHeight="1">
      <c r="A118" t="inlineStr">
        <is>
          <t>A 2036-2026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46255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HYPERLINK("https://klasma.github.io/Logging_0482/artfynd/A 2036-2026 artfynd.xlsx", "A 2036-2026")</f>
        <v/>
      </c>
      <c r="X118">
        <f>HYPERLINK("https://klasma.github.io/Logging_0482/kartor/A 2036-2026 karta.png", "A 2036-2026")</f>
        <v/>
      </c>
      <c r="Y118">
        <f>HYPERLINK("https://klasma.github.io/Logging_0482/kartor_geotiff/A 2036-2026 georefererad karta.tif", "A 2036-2026")</f>
        <v/>
      </c>
      <c r="Z118">
        <f>HYPERLINK("https://klasma.github.io/Logging_0482/knärot/A 2036-2026 karta knärot.png", "A 2036-2026")</f>
        <v/>
      </c>
      <c r="AA118">
        <f>HYPERLINK("https://klasma.github.io/Logging_0482/klagomål/A 2036-2026 FSC-klagomål.docx", "A 2036-2026")</f>
        <v/>
      </c>
      <c r="AB118">
        <f>HYPERLINK("https://klasma.github.io/Logging_0482/klagomålsmail/A 2036-2026 FSC-klagomål mail.docx", "A 2036-2026")</f>
        <v/>
      </c>
      <c r="AC118">
        <f>HYPERLINK("https://klasma.github.io/Logging_0482/tillsyn/A 2036-2026 tillsynsbegäran.docx", "A 2036-2026")</f>
        <v/>
      </c>
      <c r="AD118">
        <f>HYPERLINK("https://klasma.github.io/Logging_0482/tillsynsmail/A 2036-2026 tillsynsbegäran mail.docx", "A 2036-2026")</f>
        <v/>
      </c>
    </row>
    <row r="119" ht="15" customHeight="1">
      <c r="A119" t="inlineStr">
        <is>
          <t>A 6714-2026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46255</v>
      </c>
      <c r="F119" t="inlineStr">
        <is>
          <t>SÖDERMANLANDS LÄN</t>
        </is>
      </c>
      <c r="G119" t="inlineStr">
        <is>
          <t>FLEN</t>
        </is>
      </c>
      <c r="I119" t="n">
        <v>4.6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6714-2026 artfynd.xlsx", "A 6714-2026")</f>
        <v/>
      </c>
      <c r="X119">
        <f>HYPERLINK("https://klasma.github.io/Logging_0482/kartor/A 6714-2026 karta.png", "A 6714-2026")</f>
        <v/>
      </c>
      <c r="Y119">
        <f>HYPERLINK("https://klasma.github.io/Logging_0482/kartor_geotiff/A 6714-2026 georefererad karta.tif", "A 6714-2026")</f>
        <v/>
      </c>
      <c r="AA119">
        <f>HYPERLINK("https://klasma.github.io/Logging_0482/klagomål/A 6714-2026 FSC-klagomål.docx", "A 6714-2026")</f>
        <v/>
      </c>
      <c r="AB119">
        <f>HYPERLINK("https://klasma.github.io/Logging_0482/klagomålsmail/A 6714-2026 FSC-klagomål mail.docx", "A 6714-2026")</f>
        <v/>
      </c>
      <c r="AC119">
        <f>HYPERLINK("https://klasma.github.io/Logging_0482/tillsyn/A 6714-2026 tillsynsbegäran.docx", "A 6714-2026")</f>
        <v/>
      </c>
      <c r="AD119">
        <f>HYPERLINK("https://klasma.github.io/Logging_0482/tillsynsmail/A 6714-2026 tillsynsbegäran mail.docx", "A 6714-2026")</f>
        <v/>
      </c>
    </row>
    <row r="120" ht="15" customHeight="1">
      <c r="A120" t="inlineStr">
        <is>
          <t>A 45107-2023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46255</v>
      </c>
      <c r="F120" t="inlineStr">
        <is>
          <t>SÖDERMANLANDS LÄN</t>
        </is>
      </c>
      <c r="G120" t="inlineStr">
        <is>
          <t>FLEN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Brudborste</t>
        </is>
      </c>
      <c r="W120">
        <f>HYPERLINK("https://klasma.github.io/Logging_0482/artfynd/A 45107-2023 artfynd.xlsx", "A 45107-2023")</f>
        <v/>
      </c>
      <c r="X120">
        <f>HYPERLINK("https://klasma.github.io/Logging_0482/kartor/A 45107-2023 karta.png", "A 45107-2023")</f>
        <v/>
      </c>
      <c r="Y120">
        <f>HYPERLINK("https://klasma.github.io/Logging_0482/kartor_geotiff/A 45107-2023 georefererad karta.tif", "A 45107-2023")</f>
        <v/>
      </c>
      <c r="AA120">
        <f>HYPERLINK("https://klasma.github.io/Logging_0482/klagomål/A 45107-2023 FSC-klagomål.docx", "A 45107-2023")</f>
        <v/>
      </c>
      <c r="AB120">
        <f>HYPERLINK("https://klasma.github.io/Logging_0482/klagomålsmail/A 45107-2023 FSC-klagomål mail.docx", "A 45107-2023")</f>
        <v/>
      </c>
      <c r="AC120">
        <f>HYPERLINK("https://klasma.github.io/Logging_0482/tillsyn/A 45107-2023 tillsynsbegäran.docx", "A 45107-2023")</f>
        <v/>
      </c>
      <c r="AD120">
        <f>HYPERLINK("https://klasma.github.io/Logging_0482/tillsynsmail/A 45107-2023 tillsynsbegäran mail.docx", "A 45107-2023")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46255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46255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46255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46255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46255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46255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21704-2026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46255</v>
      </c>
      <c r="F127" t="inlineStr">
        <is>
          <t>SÖDERMANLANDS LÄN</t>
        </is>
      </c>
      <c r="G127" t="inlineStr">
        <is>
          <t>FLEN</t>
        </is>
      </c>
      <c r="I127" t="n">
        <v>10.2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Kandelabersvamp</t>
        </is>
      </c>
      <c r="W127">
        <f>HYPERLINK("https://klasma.github.io/Logging_0482/artfynd/A 21704-2026 artfynd.xlsx", "A 21704-2026")</f>
        <v/>
      </c>
      <c r="X127">
        <f>HYPERLINK("https://klasma.github.io/Logging_0482/kartor/A 21704-2026 karta.png", "A 21704-2026")</f>
        <v/>
      </c>
      <c r="Y127">
        <f>HYPERLINK("https://klasma.github.io/Logging_0482/kartor_geotiff/A 21704-2026 georefererad karta.tif", "A 21704-2026")</f>
        <v/>
      </c>
      <c r="AA127">
        <f>HYPERLINK("https://klasma.github.io/Logging_0482/klagomål/A 21704-2026 FSC-klagomål.docx", "A 21704-2026")</f>
        <v/>
      </c>
      <c r="AB127">
        <f>HYPERLINK("https://klasma.github.io/Logging_0482/klagomålsmail/A 21704-2026 FSC-klagomål mail.docx", "A 21704-2026")</f>
        <v/>
      </c>
      <c r="AC127">
        <f>HYPERLINK("https://klasma.github.io/Logging_0482/tillsyn/A 21704-2026 tillsynsbegäran.docx", "A 21704-2026")</f>
        <v/>
      </c>
      <c r="AD127">
        <f>HYPERLINK("https://klasma.github.io/Logging_0482/tillsynsmail/A 21704-2026 tillsynsbegäran mail.docx", "A 21704-2026")</f>
        <v/>
      </c>
    </row>
    <row r="128" ht="15" customHeight="1">
      <c r="A128" t="inlineStr">
        <is>
          <t>A 6982-2024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46255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Fläcknycklar</t>
        </is>
      </c>
      <c r="W128">
        <f>HYPERLINK("https://klasma.github.io/Logging_0482/artfynd/A 6982-2024 artfynd.xlsx", "A 6982-2024")</f>
        <v/>
      </c>
      <c r="X128">
        <f>HYPERLINK("https://klasma.github.io/Logging_0482/kartor/A 6982-2024 karta.png", "A 6982-2024")</f>
        <v/>
      </c>
      <c r="Y128">
        <f>HYPERLINK("https://klasma.github.io/Logging_0482/kartor_geotiff/A 6982-2024 georefererad karta.tif", "A 6982-2024")</f>
        <v/>
      </c>
      <c r="AA128">
        <f>HYPERLINK("https://klasma.github.io/Logging_0482/klagomål/A 6982-2024 FSC-klagomål.docx", "A 6982-2024")</f>
        <v/>
      </c>
      <c r="AB128">
        <f>HYPERLINK("https://klasma.github.io/Logging_0482/klagomålsmail/A 6982-2024 FSC-klagomål mail.docx", "A 6982-2024")</f>
        <v/>
      </c>
      <c r="AC128">
        <f>HYPERLINK("https://klasma.github.io/Logging_0482/tillsyn/A 6982-2024 tillsynsbegäran.docx", "A 6982-2024")</f>
        <v/>
      </c>
      <c r="AD128">
        <f>HYPERLINK("https://klasma.github.io/Logging_0482/tillsynsmail/A 6982-2024 tillsynsbegäran mail.docx", "A 6982-2024")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46255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53339-2023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46255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53339-2023 artfynd.xlsx", "A 53339-2023")</f>
        <v/>
      </c>
      <c r="X130">
        <f>HYPERLINK("https://klasma.github.io/Logging_0482/kartor/A 53339-2023 karta.png", "A 53339-2023")</f>
        <v/>
      </c>
      <c r="Y130">
        <f>HYPERLINK("https://klasma.github.io/Logging_0482/kartor_geotiff/A 53339-2023 georefererad karta.tif", "A 53339-2023")</f>
        <v/>
      </c>
      <c r="AA130">
        <f>HYPERLINK("https://klasma.github.io/Logging_0482/klagomål/A 53339-2023 FSC-klagomål.docx", "A 53339-2023")</f>
        <v/>
      </c>
      <c r="AB130">
        <f>HYPERLINK("https://klasma.github.io/Logging_0482/klagomålsmail/A 53339-2023 FSC-klagomål mail.docx", "A 53339-2023")</f>
        <v/>
      </c>
      <c r="AC130">
        <f>HYPERLINK("https://klasma.github.io/Logging_0482/tillsyn/A 53339-2023 tillsynsbegäran.docx", "A 53339-2023")</f>
        <v/>
      </c>
      <c r="AD130">
        <f>HYPERLINK("https://klasma.github.io/Logging_0482/tillsynsmail/A 53339-2023 tillsynsbegäran mail.docx", "A 53339-2023")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46255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12306-2022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46255</v>
      </c>
      <c r="F132" t="inlineStr">
        <is>
          <t>SÖDERMANLANDS LÄN</t>
        </is>
      </c>
      <c r="G132" t="inlineStr">
        <is>
          <t>FLEN</t>
        </is>
      </c>
      <c r="I132" t="n">
        <v>3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Järnsparv</t>
        </is>
      </c>
      <c r="W132">
        <f>HYPERLINK("https://klasma.github.io/Logging_0482/artfynd/A 12306-2022 artfynd.xlsx", "A 12306-2022")</f>
        <v/>
      </c>
      <c r="X132">
        <f>HYPERLINK("https://klasma.github.io/Logging_0482/kartor/A 12306-2022 karta.png", "A 12306-2022")</f>
        <v/>
      </c>
      <c r="Y132">
        <f>HYPERLINK("https://klasma.github.io/Logging_0482/kartor_geotiff/A 12306-2022 georefererad karta.tif", "A 12306-2022")</f>
        <v/>
      </c>
      <c r="AA132">
        <f>HYPERLINK("https://klasma.github.io/Logging_0482/klagomål/A 12306-2022 FSC-klagomål.docx", "A 12306-2022")</f>
        <v/>
      </c>
      <c r="AB132">
        <f>HYPERLINK("https://klasma.github.io/Logging_0482/klagomålsmail/A 12306-2022 FSC-klagomål mail.docx", "A 12306-2022")</f>
        <v/>
      </c>
      <c r="AC132">
        <f>HYPERLINK("https://klasma.github.io/Logging_0482/tillsyn/A 12306-2022 tillsynsbegäran.docx", "A 12306-2022")</f>
        <v/>
      </c>
      <c r="AD132">
        <f>HYPERLINK("https://klasma.github.io/Logging_0482/tillsynsmail/A 12306-2022 tillsynsbegäran mail.docx", "A 12306-2022")</f>
        <v/>
      </c>
      <c r="AE132">
        <f>HYPERLINK("https://klasma.github.io/Logging_0482/fåglar/A 12306-2022 prioriterade fågelarter.docx", "A 12306-2022")</f>
        <v/>
      </c>
    </row>
    <row r="133" ht="15" customHeight="1">
      <c r="A133" t="inlineStr">
        <is>
          <t>A 46987-2024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46255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HYPERLINK("https://klasma.github.io/Logging_0482/artfynd/A 46987-2024 artfynd.xlsx", "A 46987-2024")</f>
        <v/>
      </c>
      <c r="X133">
        <f>HYPERLINK("https://klasma.github.io/Logging_0482/kartor/A 46987-2024 karta.png", "A 46987-2024")</f>
        <v/>
      </c>
      <c r="Y133">
        <f>HYPERLINK("https://klasma.github.io/Logging_0482/kartor_geotiff/A 46987-2024 georefererad karta.tif", "A 46987-2024")</f>
        <v/>
      </c>
      <c r="AA133">
        <f>HYPERLINK("https://klasma.github.io/Logging_0482/klagomål/A 46987-2024 FSC-klagomål.docx", "A 46987-2024")</f>
        <v/>
      </c>
      <c r="AB133">
        <f>HYPERLINK("https://klasma.github.io/Logging_0482/klagomålsmail/A 46987-2024 FSC-klagomål mail.docx", "A 46987-2024")</f>
        <v/>
      </c>
      <c r="AC133">
        <f>HYPERLINK("https://klasma.github.io/Logging_0482/tillsyn/A 46987-2024 tillsynsbegäran.docx", "A 46987-2024")</f>
        <v/>
      </c>
      <c r="AD133">
        <f>HYPERLINK("https://klasma.github.io/Logging_0482/tillsynsmail/A 46987-2024 tillsynsbegäran mail.docx", "A 46987-2024")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46255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46255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66230-2021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44518</v>
      </c>
      <c r="E136" s="1" t="n">
        <v>46255</v>
      </c>
      <c r="F136" t="inlineStr">
        <is>
          <t>SÖDERMANLANDS LÄN</t>
        </is>
      </c>
      <c r="G136" t="inlineStr">
        <is>
          <t>FLEN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66230-2021 artfynd.xlsx", "A 66230-2021")</f>
        <v/>
      </c>
      <c r="X136">
        <f>HYPERLINK("https://klasma.github.io/Logging_0482/kartor/A 66230-2021 karta.png", "A 66230-2021")</f>
        <v/>
      </c>
      <c r="Y136">
        <f>HYPERLINK("https://klasma.github.io/Logging_0482/kartor_geotiff/A 66230-2021 georefererad karta.tif", "A 66230-2021")</f>
        <v/>
      </c>
      <c r="AA136">
        <f>HYPERLINK("https://klasma.github.io/Logging_0482/klagomål/A 66230-2021 FSC-klagomål.docx", "A 66230-2021")</f>
        <v/>
      </c>
      <c r="AB136">
        <f>HYPERLINK("https://klasma.github.io/Logging_0482/klagomålsmail/A 66230-2021 FSC-klagomål mail.docx", "A 66230-2021")</f>
        <v/>
      </c>
      <c r="AC136">
        <f>HYPERLINK("https://klasma.github.io/Logging_0482/tillsyn/A 66230-2021 tillsynsbegäran.docx", "A 66230-2021")</f>
        <v/>
      </c>
      <c r="AD136">
        <f>HYPERLINK("https://klasma.github.io/Logging_0482/tillsynsmail/A 66230-2021 tillsynsbegäran mail.docx", "A 66230-2021")</f>
        <v/>
      </c>
    </row>
    <row r="137" ht="15" customHeight="1">
      <c r="A137" t="inlineStr">
        <is>
          <t>A 29195-2023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46255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3.9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Plattlummer</t>
        </is>
      </c>
      <c r="W137">
        <f>HYPERLINK("https://klasma.github.io/Logging_0482/artfynd/A 29195-2023 artfynd.xlsx", "A 29195-2023")</f>
        <v/>
      </c>
      <c r="X137">
        <f>HYPERLINK("https://klasma.github.io/Logging_0482/kartor/A 29195-2023 karta.png", "A 29195-2023")</f>
        <v/>
      </c>
      <c r="Y137">
        <f>HYPERLINK("https://klasma.github.io/Logging_0482/kartor_geotiff/A 29195-2023 georefererad karta.tif", "A 29195-2023")</f>
        <v/>
      </c>
      <c r="AA137">
        <f>HYPERLINK("https://klasma.github.io/Logging_0482/klagomål/A 29195-2023 FSC-klagomål.docx", "A 29195-2023")</f>
        <v/>
      </c>
      <c r="AB137">
        <f>HYPERLINK("https://klasma.github.io/Logging_0482/klagomålsmail/A 29195-2023 FSC-klagomål mail.docx", "A 29195-2023")</f>
        <v/>
      </c>
      <c r="AC137">
        <f>HYPERLINK("https://klasma.github.io/Logging_0482/tillsyn/A 29195-2023 tillsynsbegäran.docx", "A 29195-2023")</f>
        <v/>
      </c>
      <c r="AD137">
        <f>HYPERLINK("https://klasma.github.io/Logging_0482/tillsynsmail/A 29195-2023 tillsynsbegäran mail.docx", "A 29195-2023")</f>
        <v/>
      </c>
    </row>
    <row r="138" ht="15" customHeight="1">
      <c r="A138" t="inlineStr">
        <is>
          <t>A 34721-2023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45141</v>
      </c>
      <c r="E138" s="1" t="n">
        <v>46255</v>
      </c>
      <c r="F138" t="inlineStr">
        <is>
          <t>SÖDERMANLANDS LÄN</t>
        </is>
      </c>
      <c r="G138" t="inlineStr">
        <is>
          <t>FLEN</t>
        </is>
      </c>
      <c r="I138" t="n">
        <v>4.1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34721-2023 artfynd.xlsx", "A 34721-2023")</f>
        <v/>
      </c>
      <c r="X138">
        <f>HYPERLINK("https://klasma.github.io/Logging_0482/kartor/A 34721-2023 karta.png", "A 34721-2023")</f>
        <v/>
      </c>
      <c r="Y138">
        <f>HYPERLINK("https://klasma.github.io/Logging_0482/kartor_geotiff/A 34721-2023 georefererad karta.tif", "A 34721-2023")</f>
        <v/>
      </c>
      <c r="AA138">
        <f>HYPERLINK("https://klasma.github.io/Logging_0482/klagomål/A 34721-2023 FSC-klagomål.docx", "A 34721-2023")</f>
        <v/>
      </c>
      <c r="AB138">
        <f>HYPERLINK("https://klasma.github.io/Logging_0482/klagomålsmail/A 34721-2023 FSC-klagomål mail.docx", "A 34721-2023")</f>
        <v/>
      </c>
      <c r="AC138">
        <f>HYPERLINK("https://klasma.github.io/Logging_0482/tillsyn/A 34721-2023 tillsynsbegäran.docx", "A 34721-2023")</f>
        <v/>
      </c>
      <c r="AD138">
        <f>HYPERLINK("https://klasma.github.io/Logging_0482/tillsynsmail/A 34721-2023 tillsynsbegäran mail.docx", "A 34721-2023")</f>
        <v/>
      </c>
    </row>
    <row r="139" ht="15" customHeight="1">
      <c r="A139" t="inlineStr">
        <is>
          <t>A 60591-2022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46255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Grönpyrola</t>
        </is>
      </c>
      <c r="W139">
        <f>HYPERLINK("https://klasma.github.io/Logging_0482/artfynd/A 60591-2022 artfynd.xlsx", "A 60591-2022")</f>
        <v/>
      </c>
      <c r="X139">
        <f>HYPERLINK("https://klasma.github.io/Logging_0482/kartor/A 60591-2022 karta.png", "A 60591-2022")</f>
        <v/>
      </c>
      <c r="Y139">
        <f>HYPERLINK("https://klasma.github.io/Logging_0482/kartor_geotiff/A 60591-2022 georefererad karta.tif", "A 60591-2022")</f>
        <v/>
      </c>
      <c r="AA139">
        <f>HYPERLINK("https://klasma.github.io/Logging_0482/klagomål/A 60591-2022 FSC-klagomål.docx", "A 60591-2022")</f>
        <v/>
      </c>
      <c r="AB139">
        <f>HYPERLINK("https://klasma.github.io/Logging_0482/klagomålsmail/A 60591-2022 FSC-klagomål mail.docx", "A 60591-2022")</f>
        <v/>
      </c>
      <c r="AC139">
        <f>HYPERLINK("https://klasma.github.io/Logging_0482/tillsyn/A 60591-2022 tillsynsbegäran.docx", "A 60591-2022")</f>
        <v/>
      </c>
      <c r="AD139">
        <f>HYPERLINK("https://klasma.github.io/Logging_0482/tillsynsmail/A 60591-2022 tillsynsbegäran mail.docx", "A 60591-2022")</f>
        <v/>
      </c>
    </row>
    <row r="140" ht="15" customHeight="1">
      <c r="A140" t="inlineStr">
        <is>
          <t>A 34823-2023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46255</v>
      </c>
      <c r="F140" t="inlineStr">
        <is>
          <t>SÖDERMANLANDS LÄN</t>
        </is>
      </c>
      <c r="G140" t="inlineStr">
        <is>
          <t>FLEN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Mörk dunört</t>
        </is>
      </c>
      <c r="W140">
        <f>HYPERLINK("https://klasma.github.io/Logging_0482/artfynd/A 34823-2023 artfynd.xlsx", "A 34823-2023")</f>
        <v/>
      </c>
      <c r="X140">
        <f>HYPERLINK("https://klasma.github.io/Logging_0482/kartor/A 34823-2023 karta.png", "A 34823-2023")</f>
        <v/>
      </c>
      <c r="Y140">
        <f>HYPERLINK("https://klasma.github.io/Logging_0482/kartor_geotiff/A 34823-2023 georefererad karta.tif", "A 34823-2023")</f>
        <v/>
      </c>
      <c r="AA140">
        <f>HYPERLINK("https://klasma.github.io/Logging_0482/klagomål/A 34823-2023 FSC-klagomål.docx", "A 34823-2023")</f>
        <v/>
      </c>
      <c r="AB140">
        <f>HYPERLINK("https://klasma.github.io/Logging_0482/klagomålsmail/A 34823-2023 FSC-klagomål mail.docx", "A 34823-2023")</f>
        <v/>
      </c>
      <c r="AC140">
        <f>HYPERLINK("https://klasma.github.io/Logging_0482/tillsyn/A 34823-2023 tillsynsbegäran.docx", "A 34823-2023")</f>
        <v/>
      </c>
      <c r="AD140">
        <f>HYPERLINK("https://klasma.github.io/Logging_0482/tillsynsmail/A 34823-2023 tillsynsbegäran mail.docx", "A 34823-2023")</f>
        <v/>
      </c>
    </row>
    <row r="141" ht="15" customHeight="1">
      <c r="A141" t="inlineStr">
        <is>
          <t>A 60529-2024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46255</v>
      </c>
      <c r="F141" t="inlineStr">
        <is>
          <t>SÖDERMANLANDS LÄN</t>
        </is>
      </c>
      <c r="G141" t="inlineStr">
        <is>
          <t>FLEN</t>
        </is>
      </c>
      <c r="I141" t="n">
        <v>2.5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Skarp dropptaggsvamp</t>
        </is>
      </c>
      <c r="W141">
        <f>HYPERLINK("https://klasma.github.io/Logging_0482/artfynd/A 60529-2024 artfynd.xlsx", "A 60529-2024")</f>
        <v/>
      </c>
      <c r="X141">
        <f>HYPERLINK("https://klasma.github.io/Logging_0482/kartor/A 60529-2024 karta.png", "A 60529-2024")</f>
        <v/>
      </c>
      <c r="Y141">
        <f>HYPERLINK("https://klasma.github.io/Logging_0482/kartor_geotiff/A 60529-2024 georefererad karta.tif", "A 60529-2024")</f>
        <v/>
      </c>
      <c r="AA141">
        <f>HYPERLINK("https://klasma.github.io/Logging_0482/klagomål/A 60529-2024 FSC-klagomål.docx", "A 60529-2024")</f>
        <v/>
      </c>
      <c r="AB141">
        <f>HYPERLINK("https://klasma.github.io/Logging_0482/klagomålsmail/A 60529-2024 FSC-klagomål mail.docx", "A 60529-2024")</f>
        <v/>
      </c>
      <c r="AC141">
        <f>HYPERLINK("https://klasma.github.io/Logging_0482/tillsyn/A 60529-2024 tillsynsbegäran.docx", "A 60529-2024")</f>
        <v/>
      </c>
      <c r="AD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49820-2023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46255</v>
      </c>
      <c r="F142" t="inlineStr">
        <is>
          <t>SÖDERMANLANDS LÄN</t>
        </is>
      </c>
      <c r="G142" t="inlineStr">
        <is>
          <t>FLEN</t>
        </is>
      </c>
      <c r="I142" t="n">
        <v>3.2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Gullviva</t>
        </is>
      </c>
      <c r="W142">
        <f>HYPERLINK("https://klasma.github.io/Logging_0482/artfynd/A 49820-2023 artfynd.xlsx", "A 49820-2023")</f>
        <v/>
      </c>
      <c r="X142">
        <f>HYPERLINK("https://klasma.github.io/Logging_0482/kartor/A 49820-2023 karta.png", "A 49820-2023")</f>
        <v/>
      </c>
      <c r="Y142">
        <f>HYPERLINK("https://klasma.github.io/Logging_0482/kartor_geotiff/A 49820-2023 georefererad karta.tif", "A 49820-2023")</f>
        <v/>
      </c>
      <c r="AA142">
        <f>HYPERLINK("https://klasma.github.io/Logging_0482/klagomål/A 49820-2023 FSC-klagomål.docx", "A 49820-2023")</f>
        <v/>
      </c>
      <c r="AB142">
        <f>HYPERLINK("https://klasma.github.io/Logging_0482/klagomålsmail/A 49820-2023 FSC-klagomål mail.docx", "A 49820-2023")</f>
        <v/>
      </c>
      <c r="AC142">
        <f>HYPERLINK("https://klasma.github.io/Logging_0482/tillsyn/A 49820-2023 tillsynsbegäran.docx", "A 49820-2023")</f>
        <v/>
      </c>
      <c r="AD142">
        <f>HYPERLINK("https://klasma.github.io/Logging_0482/tillsynsmail/A 49820-2023 tillsynsbegäran mail.docx", "A 49820-2023")</f>
        <v/>
      </c>
    </row>
    <row r="143" ht="15" customHeight="1">
      <c r="A143" t="inlineStr">
        <is>
          <t>A 37283-2024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46255</v>
      </c>
      <c r="F143" t="inlineStr">
        <is>
          <t>SÖDERMANLANDS LÄN</t>
        </is>
      </c>
      <c r="G143" t="inlineStr">
        <is>
          <t>FLEN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37283-2024 artfynd.xlsx", "A 37283-2024")</f>
        <v/>
      </c>
      <c r="X143">
        <f>HYPERLINK("https://klasma.github.io/Logging_0482/kartor/A 37283-2024 karta.png", "A 37283-2024")</f>
        <v/>
      </c>
      <c r="Y143">
        <f>HYPERLINK("https://klasma.github.io/Logging_0482/kartor_geotiff/A 37283-2024 georefererad karta.tif", "A 37283-2024")</f>
        <v/>
      </c>
      <c r="AA143">
        <f>HYPERLINK("https://klasma.github.io/Logging_0482/klagomål/A 37283-2024 FSC-klagomål.docx", "A 37283-2024")</f>
        <v/>
      </c>
      <c r="AB143">
        <f>HYPERLINK("https://klasma.github.io/Logging_0482/klagomålsmail/A 37283-2024 FSC-klagomål mail.docx", "A 37283-2024")</f>
        <v/>
      </c>
      <c r="AC143">
        <f>HYPERLINK("https://klasma.github.io/Logging_0482/tillsyn/A 37283-2024 tillsynsbegäran.docx", "A 37283-2024")</f>
        <v/>
      </c>
      <c r="AD143">
        <f>HYPERLINK("https://klasma.github.io/Logging_0482/tillsynsmail/A 37283-2024 tillsynsbegäran mail.docx", "A 37283-2024")</f>
        <v/>
      </c>
    </row>
    <row r="144" ht="15" customHeight="1">
      <c r="A144" t="inlineStr">
        <is>
          <t>A 7973-2024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46255</v>
      </c>
      <c r="F144" t="inlineStr">
        <is>
          <t>SÖDERMANLANDS LÄN</t>
        </is>
      </c>
      <c r="G144" t="inlineStr">
        <is>
          <t>FLEN</t>
        </is>
      </c>
      <c r="I144" t="n">
        <v>0.9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Vippärt</t>
        </is>
      </c>
      <c r="W144">
        <f>HYPERLINK("https://klasma.github.io/Logging_0482/artfynd/A 7973-2024 artfynd.xlsx", "A 7973-2024")</f>
        <v/>
      </c>
      <c r="X144">
        <f>HYPERLINK("https://klasma.github.io/Logging_0482/kartor/A 7973-2024 karta.png", "A 7973-2024")</f>
        <v/>
      </c>
      <c r="Y144">
        <f>HYPERLINK("https://klasma.github.io/Logging_0482/kartor_geotiff/A 7973-2024 georefererad karta.tif", "A 7973-2024")</f>
        <v/>
      </c>
      <c r="AA144">
        <f>HYPERLINK("https://klasma.github.io/Logging_0482/klagomål/A 7973-2024 FSC-klagomål.docx", "A 7973-2024")</f>
        <v/>
      </c>
      <c r="AB144">
        <f>HYPERLINK("https://klasma.github.io/Logging_0482/klagomålsmail/A 7973-2024 FSC-klagomål mail.docx", "A 7973-2024")</f>
        <v/>
      </c>
      <c r="AC144">
        <f>HYPERLINK("https://klasma.github.io/Logging_0482/tillsyn/A 7973-2024 tillsynsbegäran.docx", "A 7973-2024")</f>
        <v/>
      </c>
      <c r="AD144">
        <f>HYPERLINK("https://klasma.github.io/Logging_0482/tillsynsmail/A 7973-2024 tillsynsbegäran mail.docx", "A 7973-2024")</f>
        <v/>
      </c>
    </row>
    <row r="145" ht="15" customHeight="1">
      <c r="A145" t="inlineStr">
        <is>
          <t>A 43008-2023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46255</v>
      </c>
      <c r="F145" t="inlineStr">
        <is>
          <t>SÖDERMANLANDS LÄN</t>
        </is>
      </c>
      <c r="G145" t="inlineStr">
        <is>
          <t>FLEN</t>
        </is>
      </c>
      <c r="I145" t="n">
        <v>1.5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Gullklöver</t>
        </is>
      </c>
      <c r="W145">
        <f>HYPERLINK("https://klasma.github.io/Logging_0482/artfynd/A 43008-2023 artfynd.xlsx", "A 43008-2023")</f>
        <v/>
      </c>
      <c r="X145">
        <f>HYPERLINK("https://klasma.github.io/Logging_0482/kartor/A 43008-2023 karta.png", "A 43008-2023")</f>
        <v/>
      </c>
      <c r="Y145">
        <f>HYPERLINK("https://klasma.github.io/Logging_0482/kartor_geotiff/A 43008-2023 georefererad karta.tif", "A 43008-2023")</f>
        <v/>
      </c>
      <c r="AA145">
        <f>HYPERLINK("https://klasma.github.io/Logging_0482/klagomål/A 43008-2023 FSC-klagomål.docx", "A 43008-2023")</f>
        <v/>
      </c>
      <c r="AB145">
        <f>HYPERLINK("https://klasma.github.io/Logging_0482/klagomålsmail/A 43008-2023 FSC-klagomål mail.docx", "A 43008-2023")</f>
        <v/>
      </c>
      <c r="AC145">
        <f>HYPERLINK("https://klasma.github.io/Logging_0482/tillsyn/A 43008-2023 tillsynsbegäran.docx", "A 43008-2023")</f>
        <v/>
      </c>
      <c r="AD145">
        <f>HYPERLINK("https://klasma.github.io/Logging_0482/tillsynsmail/A 43008-2023 tillsynsbegäran mail.docx", "A 43008-2023")</f>
        <v/>
      </c>
    </row>
    <row r="146" ht="15" customHeight="1">
      <c r="A146" t="inlineStr">
        <is>
          <t>A 37317-2023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46255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5.1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Svavelriska</t>
        </is>
      </c>
      <c r="W146">
        <f>HYPERLINK("https://klasma.github.io/Logging_0482/artfynd/A 37317-2023 artfynd.xlsx", "A 37317-2023")</f>
        <v/>
      </c>
      <c r="X146">
        <f>HYPERLINK("https://klasma.github.io/Logging_0482/kartor/A 37317-2023 karta.png", "A 37317-2023")</f>
        <v/>
      </c>
      <c r="Y146">
        <f>HYPERLINK("https://klasma.github.io/Logging_0482/kartor_geotiff/A 37317-2023 georefererad karta.tif", "A 37317-2023")</f>
        <v/>
      </c>
      <c r="AA146">
        <f>HYPERLINK("https://klasma.github.io/Logging_0482/klagomål/A 37317-2023 FSC-klagomål.docx", "A 37317-2023")</f>
        <v/>
      </c>
      <c r="AB146">
        <f>HYPERLINK("https://klasma.github.io/Logging_0482/klagomålsmail/A 37317-2023 FSC-klagomål mail.docx", "A 37317-2023")</f>
        <v/>
      </c>
      <c r="AC146">
        <f>HYPERLINK("https://klasma.github.io/Logging_0482/tillsyn/A 37317-2023 tillsynsbegäran.docx", "A 37317-2023")</f>
        <v/>
      </c>
      <c r="AD146">
        <f>HYPERLINK("https://klasma.github.io/Logging_0482/tillsynsmail/A 37317-2023 tillsynsbegäran mail.docx", "A 37317-2023")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46255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46255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46255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46255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46255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46255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46255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46255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46255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46255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46255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46255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46255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46255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46255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46255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46255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46255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46255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46255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46255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46255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46255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46255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46255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46255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46255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46255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46255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46255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46255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47644-2021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44448</v>
      </c>
      <c r="E178" s="1" t="n">
        <v>46255</v>
      </c>
      <c r="F178" t="inlineStr">
        <is>
          <t>SÖDERMANLANDS LÄN</t>
        </is>
      </c>
      <c r="G178" t="inlineStr">
        <is>
          <t>FLEN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46255</v>
      </c>
      <c r="F179" t="inlineStr">
        <is>
          <t>SÖDERMANLANDS LÄN</t>
        </is>
      </c>
      <c r="G179" t="inlineStr">
        <is>
          <t>FLEN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46255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46255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46255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46255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46255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46255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46255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46255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46255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46255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46255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46255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46255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46255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46255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46255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46255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46255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46255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46255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46255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44566</v>
      </c>
      <c r="E201" s="1" t="n">
        <v>46255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46255</v>
      </c>
      <c r="F202" t="inlineStr">
        <is>
          <t>SÖDERMANLANDS LÄN</t>
        </is>
      </c>
      <c r="G202" t="inlineStr">
        <is>
          <t>FLEN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46255</v>
      </c>
      <c r="F203" t="inlineStr">
        <is>
          <t>SÖDERMANLANDS LÄN</t>
        </is>
      </c>
      <c r="G203" t="inlineStr">
        <is>
          <t>FLEN</t>
        </is>
      </c>
      <c r="H203" t="inlineStr">
        <is>
          <t>Övriga statliga verk och myndigheter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44643</v>
      </c>
      <c r="E204" s="1" t="n">
        <v>46255</v>
      </c>
      <c r="F204" t="inlineStr">
        <is>
          <t>SÖDERMANLANDS LÄN</t>
        </is>
      </c>
      <c r="G204" t="inlineStr">
        <is>
          <t>FLEN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46255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44705</v>
      </c>
      <c r="E206" s="1" t="n">
        <v>46255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46255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46255</v>
      </c>
      <c r="F208" t="inlineStr">
        <is>
          <t>SÖDERMANLANDS LÄN</t>
        </is>
      </c>
      <c r="G208" t="inlineStr">
        <is>
          <t>FLEN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46255</v>
      </c>
      <c r="F209" t="inlineStr">
        <is>
          <t>SÖDERMANLANDS LÄN</t>
        </is>
      </c>
      <c r="G209" t="inlineStr">
        <is>
          <t>FLEN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45311</v>
      </c>
      <c r="E210" s="1" t="n">
        <v>46255</v>
      </c>
      <c r="F210" t="inlineStr">
        <is>
          <t>SÖDERMANLANDS LÄN</t>
        </is>
      </c>
      <c r="G210" t="inlineStr">
        <is>
          <t>FLEN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46255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46255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46255</v>
      </c>
      <c r="F213" t="inlineStr">
        <is>
          <t>SÖDERMANLANDS LÄN</t>
        </is>
      </c>
      <c r="G213" t="inlineStr">
        <is>
          <t>FLEN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46255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45228</v>
      </c>
      <c r="E215" s="1" t="n">
        <v>46255</v>
      </c>
      <c r="F215" t="inlineStr">
        <is>
          <t>SÖDERMANLANDS LÄN</t>
        </is>
      </c>
      <c r="G215" t="inlineStr">
        <is>
          <t>FLEN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46255</v>
      </c>
      <c r="F216" t="inlineStr">
        <is>
          <t>SÖDERMANLANDS LÄN</t>
        </is>
      </c>
      <c r="G216" t="inlineStr">
        <is>
          <t>FLEN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46255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46255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58926-2023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46255</v>
      </c>
      <c r="F219" t="inlineStr">
        <is>
          <t>SÖDERMANLANDS LÄN</t>
        </is>
      </c>
      <c r="G219" t="inlineStr">
        <is>
          <t>FLEN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46255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46255</v>
      </c>
      <c r="F221" t="inlineStr">
        <is>
          <t>SÖDERMANLANDS LÄN</t>
        </is>
      </c>
      <c r="G221" t="inlineStr">
        <is>
          <t>FLEN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46255</v>
      </c>
      <c r="F222" t="inlineStr">
        <is>
          <t>SÖDERMANLANDS LÄN</t>
        </is>
      </c>
      <c r="G222" t="inlineStr">
        <is>
          <t>FLEN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46255</v>
      </c>
      <c r="F223" t="inlineStr">
        <is>
          <t>SÖDERMANLANDS LÄN</t>
        </is>
      </c>
      <c r="G223" t="inlineStr">
        <is>
          <t>FLEN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42936-2021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44431</v>
      </c>
      <c r="E224" s="1" t="n">
        <v>46255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46255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44887</v>
      </c>
      <c r="E226" s="1" t="n">
        <v>46255</v>
      </c>
      <c r="F226" t="inlineStr">
        <is>
          <t>SÖDERMANLANDS LÄN</t>
        </is>
      </c>
      <c r="G226" t="inlineStr">
        <is>
          <t>FLEN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46255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46255</v>
      </c>
      <c r="F228" t="inlineStr">
        <is>
          <t>SÖDERMANLANDS LÄN</t>
        </is>
      </c>
      <c r="G228" t="inlineStr">
        <is>
          <t>FLEN</t>
        </is>
      </c>
      <c r="I228" t="n">
        <v>14.4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46255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45256</v>
      </c>
      <c r="E230" s="1" t="n">
        <v>46255</v>
      </c>
      <c r="F230" t="inlineStr">
        <is>
          <t>SÖDERMANLANDS LÄN</t>
        </is>
      </c>
      <c r="G230" t="inlineStr">
        <is>
          <t>FLEN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65869-2021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46255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46255</v>
      </c>
      <c r="F232" t="inlineStr">
        <is>
          <t>SÖDERMANLANDS LÄN</t>
        </is>
      </c>
      <c r="G232" t="inlineStr">
        <is>
          <t>FLEN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45478</v>
      </c>
      <c r="E233" s="1" t="n">
        <v>46255</v>
      </c>
      <c r="F233" t="inlineStr">
        <is>
          <t>SÖDERMANLANDS LÄN</t>
        </is>
      </c>
      <c r="G233" t="inlineStr">
        <is>
          <t>FLEN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56497-2022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46255</v>
      </c>
      <c r="F234" t="inlineStr">
        <is>
          <t>SÖDERMANLANDS LÄN</t>
        </is>
      </c>
      <c r="G234" t="inlineStr">
        <is>
          <t>FLEN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46255</v>
      </c>
      <c r="F235" t="inlineStr">
        <is>
          <t>SÖDERMANLANDS LÄN</t>
        </is>
      </c>
      <c r="G235" t="inlineStr">
        <is>
          <t>FLEN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45176</v>
      </c>
      <c r="E236" s="1" t="n">
        <v>46255</v>
      </c>
      <c r="F236" t="inlineStr">
        <is>
          <t>SÖDERMANLANDS LÄN</t>
        </is>
      </c>
      <c r="G236" t="inlineStr">
        <is>
          <t>FLEN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45540</v>
      </c>
      <c r="E237" s="1" t="n">
        <v>46255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66979-2021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46255</v>
      </c>
      <c r="F238" t="inlineStr">
        <is>
          <t>SÖDERMANLANDS LÄN</t>
        </is>
      </c>
      <c r="G238" t="inlineStr">
        <is>
          <t>FLEN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46255</v>
      </c>
      <c r="F239" t="inlineStr">
        <is>
          <t>SÖDERMANLANDS LÄN</t>
        </is>
      </c>
      <c r="G239" t="inlineStr">
        <is>
          <t>FLEN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46255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45280</v>
      </c>
      <c r="E241" s="1" t="n">
        <v>46255</v>
      </c>
      <c r="F241" t="inlineStr">
        <is>
          <t>SÖDERMANLANDS LÄN</t>
        </is>
      </c>
      <c r="G241" t="inlineStr">
        <is>
          <t>FLEN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46255</v>
      </c>
      <c r="F242" t="inlineStr">
        <is>
          <t>SÖDERMANLANDS LÄN</t>
        </is>
      </c>
      <c r="G242" t="inlineStr">
        <is>
          <t>FLEN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57353-2022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46255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46255</v>
      </c>
      <c r="F244" t="inlineStr">
        <is>
          <t>SÖDERMANLANDS LÄN</t>
        </is>
      </c>
      <c r="G244" t="inlineStr">
        <is>
          <t>FLEN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45014</v>
      </c>
      <c r="E245" s="1" t="n">
        <v>46255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44588</v>
      </c>
      <c r="E246" s="1" t="n">
        <v>46255</v>
      </c>
      <c r="F246" t="inlineStr">
        <is>
          <t>SÖDERMANLANDS LÄN</t>
        </is>
      </c>
      <c r="G246" t="inlineStr">
        <is>
          <t>FLEN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44838</v>
      </c>
      <c r="E247" s="1" t="n">
        <v>46255</v>
      </c>
      <c r="F247" t="inlineStr">
        <is>
          <t>SÖDERMANLANDS LÄN</t>
        </is>
      </c>
      <c r="G247" t="inlineStr">
        <is>
          <t>FLEN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4899-2023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44958</v>
      </c>
      <c r="E248" s="1" t="n">
        <v>46255</v>
      </c>
      <c r="F248" t="inlineStr">
        <is>
          <t>SÖDERMANLANDS LÄN</t>
        </is>
      </c>
      <c r="G248" t="inlineStr">
        <is>
          <t>FLEN</t>
        </is>
      </c>
      <c r="H248" t="inlineStr">
        <is>
          <t>Kyrkan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46255</v>
      </c>
      <c r="F249" t="inlineStr">
        <is>
          <t>SÖDERMANLANDS LÄN</t>
        </is>
      </c>
      <c r="G249" t="inlineStr">
        <is>
          <t>FLEN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46255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45830</v>
      </c>
      <c r="E251" s="1" t="n">
        <v>46255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45830</v>
      </c>
      <c r="E252" s="1" t="n">
        <v>46255</v>
      </c>
      <c r="F252" t="inlineStr">
        <is>
          <t>SÖDERMANLANDS LÄN</t>
        </is>
      </c>
      <c r="G252" t="inlineStr">
        <is>
          <t>FLEN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46255</v>
      </c>
      <c r="F253" t="inlineStr">
        <is>
          <t>SÖDERMANLANDS LÄN</t>
        </is>
      </c>
      <c r="G253" t="inlineStr">
        <is>
          <t>FLEN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46255</v>
      </c>
      <c r="F254" t="inlineStr">
        <is>
          <t>SÖDERMANLANDS LÄN</t>
        </is>
      </c>
      <c r="G254" t="inlineStr">
        <is>
          <t>FLEN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44979</v>
      </c>
      <c r="E255" s="1" t="n">
        <v>46255</v>
      </c>
      <c r="F255" t="inlineStr">
        <is>
          <t>SÖDERMANLANDS LÄN</t>
        </is>
      </c>
      <c r="G255" t="inlineStr">
        <is>
          <t>FLEN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67464-2021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46255</v>
      </c>
      <c r="F256" t="inlineStr">
        <is>
          <t>SÖDERMANLANDS LÄN</t>
        </is>
      </c>
      <c r="G256" t="inlineStr">
        <is>
          <t>FLEN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46255</v>
      </c>
      <c r="F257" t="inlineStr">
        <is>
          <t>SÖDERMANLANDS LÄN</t>
        </is>
      </c>
      <c r="G257" t="inlineStr">
        <is>
          <t>FLEN</t>
        </is>
      </c>
      <c r="H257" t="inlineStr">
        <is>
          <t>Övriga statliga verk och myndigheter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47604-2021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44448</v>
      </c>
      <c r="E258" s="1" t="n">
        <v>46255</v>
      </c>
      <c r="F258" t="inlineStr">
        <is>
          <t>SÖDERMANLANDS LÄN</t>
        </is>
      </c>
      <c r="G258" t="inlineStr">
        <is>
          <t>FLEN</t>
        </is>
      </c>
      <c r="I258" t="n">
        <v>11.5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46255</v>
      </c>
      <c r="F259" t="inlineStr">
        <is>
          <t>SÖDERMANLANDS LÄN</t>
        </is>
      </c>
      <c r="G259" t="inlineStr">
        <is>
          <t>FLEN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46255</v>
      </c>
      <c r="F260" t="inlineStr">
        <is>
          <t>SÖDERMANLANDS LÄN</t>
        </is>
      </c>
      <c r="G260" t="inlineStr">
        <is>
          <t>FLEN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45702</v>
      </c>
      <c r="E261" s="1" t="n">
        <v>46255</v>
      </c>
      <c r="F261" t="inlineStr">
        <is>
          <t>SÖDERMANLANDS LÄN</t>
        </is>
      </c>
      <c r="G261" t="inlineStr">
        <is>
          <t>FLEN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44988</v>
      </c>
      <c r="E262" s="1" t="n">
        <v>46255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44778</v>
      </c>
      <c r="E263" s="1" t="n">
        <v>46255</v>
      </c>
      <c r="F263" t="inlineStr">
        <is>
          <t>SÖDERMANLANDS LÄN</t>
        </is>
      </c>
      <c r="G263" t="inlineStr">
        <is>
          <t>FLEN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46255</v>
      </c>
      <c r="F264" t="inlineStr">
        <is>
          <t>SÖDERMANLANDS LÄN</t>
        </is>
      </c>
      <c r="G264" t="inlineStr">
        <is>
          <t>FLEN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46255</v>
      </c>
      <c r="F265" t="inlineStr">
        <is>
          <t>SÖDERMANLANDS LÄN</t>
        </is>
      </c>
      <c r="G265" t="inlineStr">
        <is>
          <t>FLEN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46255</v>
      </c>
      <c r="F266" t="inlineStr">
        <is>
          <t>SÖDERMANLANDS LÄN</t>
        </is>
      </c>
      <c r="G266" t="inlineStr">
        <is>
          <t>FLEN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46255</v>
      </c>
      <c r="F267" t="inlineStr">
        <is>
          <t>SÖDERMANLANDS LÄN</t>
        </is>
      </c>
      <c r="G267" t="inlineStr">
        <is>
          <t>FLEN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46071</v>
      </c>
      <c r="E268" s="1" t="n">
        <v>46255</v>
      </c>
      <c r="F268" t="inlineStr">
        <is>
          <t>SÖDERMANLANDS LÄN</t>
        </is>
      </c>
      <c r="G268" t="inlineStr">
        <is>
          <t>FLEN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39821-2024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45553</v>
      </c>
      <c r="E269" s="1" t="n">
        <v>46255</v>
      </c>
      <c r="F269" t="inlineStr">
        <is>
          <t>SÖDERMANLANDS LÄN</t>
        </is>
      </c>
      <c r="G269" t="inlineStr">
        <is>
          <t>FLEN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44899</v>
      </c>
      <c r="E270" s="1" t="n">
        <v>46255</v>
      </c>
      <c r="F270" t="inlineStr">
        <is>
          <t>SÖDERMANLANDS LÄN</t>
        </is>
      </c>
      <c r="G270" t="inlineStr">
        <is>
          <t>FLEN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44911</v>
      </c>
      <c r="E271" s="1" t="n">
        <v>46255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45581</v>
      </c>
      <c r="E272" s="1" t="n">
        <v>46255</v>
      </c>
      <c r="F272" t="inlineStr">
        <is>
          <t>SÖDERMANLANDS LÄN</t>
        </is>
      </c>
      <c r="G272" t="inlineStr">
        <is>
          <t>FLEN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44761</v>
      </c>
      <c r="E273" s="1" t="n">
        <v>46255</v>
      </c>
      <c r="F273" t="inlineStr">
        <is>
          <t>SÖDERMANLANDS LÄN</t>
        </is>
      </c>
      <c r="G273" t="inlineStr">
        <is>
          <t>FLEN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46255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46255</v>
      </c>
      <c r="F275" t="inlineStr">
        <is>
          <t>SÖDERMANLANDS LÄN</t>
        </is>
      </c>
      <c r="G275" t="inlineStr">
        <is>
          <t>FLEN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45880</v>
      </c>
      <c r="E276" s="1" t="n">
        <v>46255</v>
      </c>
      <c r="F276" t="inlineStr">
        <is>
          <t>SÖDERMANLANDS LÄN</t>
        </is>
      </c>
      <c r="G276" t="inlineStr">
        <is>
          <t>FLEN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46255</v>
      </c>
      <c r="F277" t="inlineStr">
        <is>
          <t>SÖDERMANLANDS LÄN</t>
        </is>
      </c>
      <c r="G277" t="inlineStr">
        <is>
          <t>FLEN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44722</v>
      </c>
      <c r="E278" s="1" t="n">
        <v>46255</v>
      </c>
      <c r="F278" t="inlineStr">
        <is>
          <t>SÖDERMANLANDS LÄN</t>
        </is>
      </c>
      <c r="G278" t="inlineStr">
        <is>
          <t>FLEN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46255</v>
      </c>
      <c r="F279" t="inlineStr">
        <is>
          <t>SÖDERMANLANDS LÄN</t>
        </is>
      </c>
      <c r="G279" t="inlineStr">
        <is>
          <t>FLEN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46255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46255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46255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46255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46255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14412-2023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45012</v>
      </c>
      <c r="E285" s="1" t="n">
        <v>46255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46082</v>
      </c>
      <c r="E286" s="1" t="n">
        <v>46255</v>
      </c>
      <c r="F286" t="inlineStr">
        <is>
          <t>SÖDERMANLANDS LÄN</t>
        </is>
      </c>
      <c r="G286" t="inlineStr">
        <is>
          <t>FLEN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46080</v>
      </c>
      <c r="E287" s="1" t="n">
        <v>46255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46255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46080</v>
      </c>
      <c r="E289" s="1" t="n">
        <v>46255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46255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46255</v>
      </c>
      <c r="F291" t="inlineStr">
        <is>
          <t>SÖDERMANLANDS LÄN</t>
        </is>
      </c>
      <c r="G291" t="inlineStr">
        <is>
          <t>FLEN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46255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46255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46255</v>
      </c>
      <c r="F294" t="inlineStr">
        <is>
          <t>SÖDERMANLANDS LÄN</t>
        </is>
      </c>
      <c r="G294" t="inlineStr">
        <is>
          <t>FLEN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46255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46255</v>
      </c>
      <c r="F296" t="inlineStr">
        <is>
          <t>SÖDERMANLANDS LÄN</t>
        </is>
      </c>
      <c r="G296" t="inlineStr">
        <is>
          <t>FLEN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46255</v>
      </c>
      <c r="F297" t="inlineStr">
        <is>
          <t>SÖDERMANLANDS LÄN</t>
        </is>
      </c>
      <c r="G297" t="inlineStr">
        <is>
          <t>FLEN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46255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46255</v>
      </c>
      <c r="F299" t="inlineStr">
        <is>
          <t>SÖDERMANLANDS LÄN</t>
        </is>
      </c>
      <c r="G299" t="inlineStr">
        <is>
          <t>FLEN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46255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45030</v>
      </c>
      <c r="E301" s="1" t="n">
        <v>46255</v>
      </c>
      <c r="F301" t="inlineStr">
        <is>
          <t>SÖDERMANLANDS LÄN</t>
        </is>
      </c>
      <c r="G301" t="inlineStr">
        <is>
          <t>FLEN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45713</v>
      </c>
      <c r="E302" s="1" t="n">
        <v>46255</v>
      </c>
      <c r="F302" t="inlineStr">
        <is>
          <t>SÖDERMANLANDS LÄN</t>
        </is>
      </c>
      <c r="G302" t="inlineStr">
        <is>
          <t>FLEN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45228</v>
      </c>
      <c r="E303" s="1" t="n">
        <v>46255</v>
      </c>
      <c r="F303" t="inlineStr">
        <is>
          <t>SÖDERMANLANDS LÄN</t>
        </is>
      </c>
      <c r="G303" t="inlineStr">
        <is>
          <t>FLEN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46255</v>
      </c>
      <c r="F304" t="inlineStr">
        <is>
          <t>SÖDERMANLANDS LÄN</t>
        </is>
      </c>
      <c r="G304" t="inlineStr">
        <is>
          <t>FLEN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66867-2021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44522</v>
      </c>
      <c r="E305" s="1" t="n">
        <v>46255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46255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45048</v>
      </c>
      <c r="E307" s="1" t="n">
        <v>46255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45671</v>
      </c>
      <c r="E308" s="1" t="n">
        <v>46255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46255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45345</v>
      </c>
      <c r="E310" s="1" t="n">
        <v>46255</v>
      </c>
      <c r="F310" t="inlineStr">
        <is>
          <t>SÖDERMANLANDS LÄN</t>
        </is>
      </c>
      <c r="G310" t="inlineStr">
        <is>
          <t>FLEN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45082</v>
      </c>
      <c r="E311" s="1" t="n">
        <v>46255</v>
      </c>
      <c r="F311" t="inlineStr">
        <is>
          <t>SÖDERMANLANDS LÄN</t>
        </is>
      </c>
      <c r="G311" t="inlineStr">
        <is>
          <t>FLEN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46255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46255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54282-2025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45964</v>
      </c>
      <c r="E314" s="1" t="n">
        <v>46255</v>
      </c>
      <c r="F314" t="inlineStr">
        <is>
          <t>SÖDERMANLANDS LÄN</t>
        </is>
      </c>
      <c r="G314" t="inlineStr">
        <is>
          <t>FLEN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54283-2025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45964</v>
      </c>
      <c r="E315" s="1" t="n">
        <v>46255</v>
      </c>
      <c r="F315" t="inlineStr">
        <is>
          <t>SÖDERMANLANDS LÄN</t>
        </is>
      </c>
      <c r="G315" t="inlineStr">
        <is>
          <t>FLEN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46255</v>
      </c>
      <c r="F316" t="inlineStr">
        <is>
          <t>SÖDERMANLANDS LÄN</t>
        </is>
      </c>
      <c r="G316" t="inlineStr">
        <is>
          <t>FLEN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45068</v>
      </c>
      <c r="E317" s="1" t="n">
        <v>46255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44848</v>
      </c>
      <c r="E318" s="1" t="n">
        <v>46255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56573-2025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45974</v>
      </c>
      <c r="E319" s="1" t="n">
        <v>46255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46255</v>
      </c>
      <c r="F320" t="inlineStr">
        <is>
          <t>SÖDERMANLANDS LÄN</t>
        </is>
      </c>
      <c r="G320" t="inlineStr">
        <is>
          <t>FLEN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44864</v>
      </c>
      <c r="E321" s="1" t="n">
        <v>46255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50796-2021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46255</v>
      </c>
      <c r="F322" t="inlineStr">
        <is>
          <t>SÖDERMANLANDS LÄN</t>
        </is>
      </c>
      <c r="G322" t="inlineStr">
        <is>
          <t>FLEN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46255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46255</v>
      </c>
      <c r="F324" t="inlineStr">
        <is>
          <t>SÖDERMANLANDS LÄN</t>
        </is>
      </c>
      <c r="G324" t="inlineStr">
        <is>
          <t>FLEN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52692-2021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46255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46255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46255</v>
      </c>
      <c r="F327" t="inlineStr">
        <is>
          <t>SÖDERMANLANDS LÄN</t>
        </is>
      </c>
      <c r="G327" t="inlineStr">
        <is>
          <t>FLEN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46255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46255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46255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46255</v>
      </c>
      <c r="F331" t="inlineStr">
        <is>
          <t>SÖDERMANLANDS LÄN</t>
        </is>
      </c>
      <c r="G331" t="inlineStr">
        <is>
          <t>FLEN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46255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46255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46255</v>
      </c>
      <c r="F334" t="inlineStr">
        <is>
          <t>SÖDERMANLANDS LÄN</t>
        </is>
      </c>
      <c r="G334" t="inlineStr">
        <is>
          <t>FLEN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46255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46255</v>
      </c>
      <c r="F336" t="inlineStr">
        <is>
          <t>SÖDERMANLANDS LÄN</t>
        </is>
      </c>
      <c r="G336" t="inlineStr">
        <is>
          <t>FLEN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46255</v>
      </c>
      <c r="F337" t="inlineStr">
        <is>
          <t>SÖDERMANLANDS LÄN</t>
        </is>
      </c>
      <c r="G337" t="inlineStr">
        <is>
          <t>FLEN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45034</v>
      </c>
      <c r="E338" s="1" t="n">
        <v>46255</v>
      </c>
      <c r="F338" t="inlineStr">
        <is>
          <t>SÖDERMANLANDS LÄN</t>
        </is>
      </c>
      <c r="G338" t="inlineStr">
        <is>
          <t>FLEN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46255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46255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46255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45081</v>
      </c>
      <c r="E342" s="1" t="n">
        <v>46255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45081</v>
      </c>
      <c r="E343" s="1" t="n">
        <v>46255</v>
      </c>
      <c r="F343" t="inlineStr">
        <is>
          <t>SÖDERMANLANDS LÄN</t>
        </is>
      </c>
      <c r="G343" t="inlineStr">
        <is>
          <t>FLEN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46255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46112</v>
      </c>
      <c r="E345" s="1" t="n">
        <v>46255</v>
      </c>
      <c r="F345" t="inlineStr">
        <is>
          <t>SÖDERMANLANDS LÄN</t>
        </is>
      </c>
      <c r="G345" t="inlineStr">
        <is>
          <t>FLEN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46255</v>
      </c>
      <c r="F346" t="inlineStr">
        <is>
          <t>SÖDERMANLANDS LÄN</t>
        </is>
      </c>
      <c r="G346" t="inlineStr">
        <is>
          <t>FLEN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46255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73923-2021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44553</v>
      </c>
      <c r="E348" s="1" t="n">
        <v>46255</v>
      </c>
      <c r="F348" t="inlineStr">
        <is>
          <t>SÖDERMANLANDS LÄN</t>
        </is>
      </c>
      <c r="G348" t="inlineStr">
        <is>
          <t>FLEN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60034-2022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44909</v>
      </c>
      <c r="E349" s="1" t="n">
        <v>46255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46255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38209-2023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45161</v>
      </c>
      <c r="E351" s="1" t="n">
        <v>46255</v>
      </c>
      <c r="F351" t="inlineStr">
        <is>
          <t>SÖDERMANLANDS LÄN</t>
        </is>
      </c>
      <c r="G351" t="inlineStr">
        <is>
          <t>FLEN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46255</v>
      </c>
      <c r="F352" t="inlineStr">
        <is>
          <t>SÖDERMANLANDS LÄN</t>
        </is>
      </c>
      <c r="G352" t="inlineStr">
        <is>
          <t>FLEN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46255</v>
      </c>
      <c r="F353" t="inlineStr">
        <is>
          <t>SÖDERMANLANDS LÄN</t>
        </is>
      </c>
      <c r="G353" t="inlineStr">
        <is>
          <t>FLEN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46255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54666-2021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46255</v>
      </c>
      <c r="F355" t="inlineStr">
        <is>
          <t>SÖDERMANLANDS LÄN</t>
        </is>
      </c>
      <c r="G355" t="inlineStr">
        <is>
          <t>FLEN</t>
        </is>
      </c>
      <c r="I355" t="n">
        <v>10.1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46255</v>
      </c>
      <c r="F356" t="inlineStr">
        <is>
          <t>SÖDERMANLANDS LÄN</t>
        </is>
      </c>
      <c r="G356" t="inlineStr">
        <is>
          <t>FLEN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46255</v>
      </c>
      <c r="F357" t="inlineStr">
        <is>
          <t>SÖDERMANLANDS LÄN</t>
        </is>
      </c>
      <c r="G357" t="inlineStr">
        <is>
          <t>FLEN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46255</v>
      </c>
      <c r="F358" t="inlineStr">
        <is>
          <t>SÖDERMANLANDS LÄN</t>
        </is>
      </c>
      <c r="G358" t="inlineStr">
        <is>
          <t>FLEN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8793-2022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44614</v>
      </c>
      <c r="E359" s="1" t="n">
        <v>46255</v>
      </c>
      <c r="F359" t="inlineStr">
        <is>
          <t>SÖDERMANLANDS LÄN</t>
        </is>
      </c>
      <c r="G359" t="inlineStr">
        <is>
          <t>FLEN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46255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46255</v>
      </c>
      <c r="F361" t="inlineStr">
        <is>
          <t>SÖDERMANLANDS LÄN</t>
        </is>
      </c>
      <c r="G361" t="inlineStr">
        <is>
          <t>FLEN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46255</v>
      </c>
      <c r="F362" t="inlineStr">
        <is>
          <t>SÖDERMANLANDS LÄN</t>
        </is>
      </c>
      <c r="G362" t="inlineStr">
        <is>
          <t>FLEN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45528</v>
      </c>
      <c r="E363" s="1" t="n">
        <v>46255</v>
      </c>
      <c r="F363" t="inlineStr">
        <is>
          <t>SÖDERMANLANDS LÄN</t>
        </is>
      </c>
      <c r="G363" t="inlineStr">
        <is>
          <t>FLEN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46126</v>
      </c>
      <c r="E364" s="1" t="n">
        <v>46255</v>
      </c>
      <c r="F364" t="inlineStr">
        <is>
          <t>SÖDERMANLANDS LÄN</t>
        </is>
      </c>
      <c r="G364" t="inlineStr">
        <is>
          <t>FLEN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72314-2021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44544</v>
      </c>
      <c r="E365" s="1" t="n">
        <v>46255</v>
      </c>
      <c r="F365" t="inlineStr">
        <is>
          <t>SÖDERMANLANDS LÄN</t>
        </is>
      </c>
      <c r="G365" t="inlineStr">
        <is>
          <t>FLEN</t>
        </is>
      </c>
      <c r="I365" t="n">
        <v>13.8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46255</v>
      </c>
      <c r="F366" t="inlineStr">
        <is>
          <t>SÖDERMANLANDS LÄN</t>
        </is>
      </c>
      <c r="G366" t="inlineStr">
        <is>
          <t>FLEN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46129</v>
      </c>
      <c r="E367" s="1" t="n">
        <v>46255</v>
      </c>
      <c r="F367" t="inlineStr">
        <is>
          <t>SÖDERMANLANDS LÄN</t>
        </is>
      </c>
      <c r="G367" t="inlineStr">
        <is>
          <t>FLEN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46255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46255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46255</v>
      </c>
      <c r="F370" t="inlineStr">
        <is>
          <t>SÖDERMANLANDS LÄN</t>
        </is>
      </c>
      <c r="G370" t="inlineStr">
        <is>
          <t>FLEN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46255</v>
      </c>
      <c r="F371" t="inlineStr">
        <is>
          <t>SÖDERMANLANDS LÄN</t>
        </is>
      </c>
      <c r="G371" t="inlineStr">
        <is>
          <t>FLEN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46255</v>
      </c>
      <c r="F372" t="inlineStr">
        <is>
          <t>SÖDERMANLANDS LÄN</t>
        </is>
      </c>
      <c r="G372" t="inlineStr">
        <is>
          <t>FLEN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60255-2021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44495</v>
      </c>
      <c r="E373" s="1" t="n">
        <v>46255</v>
      </c>
      <c r="F373" t="inlineStr">
        <is>
          <t>SÖDERMANLANDS LÄN</t>
        </is>
      </c>
      <c r="G373" t="inlineStr">
        <is>
          <t>FLEN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46255</v>
      </c>
      <c r="F374" t="inlineStr">
        <is>
          <t>SÖDERMANLANDS LÄN</t>
        </is>
      </c>
      <c r="G374" t="inlineStr">
        <is>
          <t>FLEN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46255</v>
      </c>
      <c r="F375" t="inlineStr">
        <is>
          <t>SÖDERMANLANDS LÄN</t>
        </is>
      </c>
      <c r="G375" t="inlineStr">
        <is>
          <t>FLEN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19072-2026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46255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46255</v>
      </c>
      <c r="F377" t="inlineStr">
        <is>
          <t>SÖDERMANLANDS LÄN</t>
        </is>
      </c>
      <c r="G377" t="inlineStr">
        <is>
          <t>FLEN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45327</v>
      </c>
      <c r="E378" s="1" t="n">
        <v>46255</v>
      </c>
      <c r="F378" t="inlineStr">
        <is>
          <t>SÖDERMANLANDS LÄN</t>
        </is>
      </c>
      <c r="G378" t="inlineStr">
        <is>
          <t>FLEN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46255</v>
      </c>
      <c r="F379" t="inlineStr">
        <is>
          <t>SÖDERMANLANDS LÄN</t>
        </is>
      </c>
      <c r="G379" t="inlineStr">
        <is>
          <t>FLEN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45805</v>
      </c>
      <c r="E380" s="1" t="n">
        <v>46255</v>
      </c>
      <c r="F380" t="inlineStr">
        <is>
          <t>SÖDERMANLANDS LÄN</t>
        </is>
      </c>
      <c r="G380" t="inlineStr">
        <is>
          <t>FLEN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46255</v>
      </c>
      <c r="F381" t="inlineStr">
        <is>
          <t>SÖDERMANLANDS LÄN</t>
        </is>
      </c>
      <c r="G381" t="inlineStr">
        <is>
          <t>FLEN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45789</v>
      </c>
      <c r="E382" s="1" t="n">
        <v>46255</v>
      </c>
      <c r="F382" t="inlineStr">
        <is>
          <t>SÖDERMANLANDS LÄN</t>
        </is>
      </c>
      <c r="G382" t="inlineStr">
        <is>
          <t>FLEN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46255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44610</v>
      </c>
      <c r="E384" s="1" t="n">
        <v>46255</v>
      </c>
      <c r="F384" t="inlineStr">
        <is>
          <t>SÖDERMANLANDS LÄN</t>
        </is>
      </c>
      <c r="G384" t="inlineStr">
        <is>
          <t>FLEN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44602</v>
      </c>
      <c r="E385" s="1" t="n">
        <v>46255</v>
      </c>
      <c r="F385" t="inlineStr">
        <is>
          <t>SÖDERMANLANDS LÄN</t>
        </is>
      </c>
      <c r="G385" t="inlineStr">
        <is>
          <t>FLEN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45895</v>
      </c>
      <c r="E386" s="1" t="n">
        <v>46255</v>
      </c>
      <c r="F386" t="inlineStr">
        <is>
          <t>SÖDERMANLANDS LÄN</t>
        </is>
      </c>
      <c r="G386" t="inlineStr">
        <is>
          <t>FLEN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46255</v>
      </c>
      <c r="F387" t="inlineStr">
        <is>
          <t>SÖDERMANLANDS LÄN</t>
        </is>
      </c>
      <c r="G387" t="inlineStr">
        <is>
          <t>FLEN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46255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46255</v>
      </c>
      <c r="F389" t="inlineStr">
        <is>
          <t>SÖDERMANLANDS LÄN</t>
        </is>
      </c>
      <c r="G389" t="inlineStr">
        <is>
          <t>FLEN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37256-2022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44807</v>
      </c>
      <c r="E390" s="1" t="n">
        <v>46255</v>
      </c>
      <c r="F390" t="inlineStr">
        <is>
          <t>SÖDERMANLANDS LÄN</t>
        </is>
      </c>
      <c r="G390" t="inlineStr">
        <is>
          <t>FLEN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46255</v>
      </c>
      <c r="F391" t="inlineStr">
        <is>
          <t>SÖDERMANLANDS LÄN</t>
        </is>
      </c>
      <c r="G391" t="inlineStr">
        <is>
          <t>FLEN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69588-2021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46255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36453-2025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45869</v>
      </c>
      <c r="E393" s="1" t="n">
        <v>46255</v>
      </c>
      <c r="F393" t="inlineStr">
        <is>
          <t>SÖDERMANLANDS LÄN</t>
        </is>
      </c>
      <c r="G393" t="inlineStr">
        <is>
          <t>FLEN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46255</v>
      </c>
      <c r="F394" t="inlineStr">
        <is>
          <t>SÖDERMANLANDS LÄN</t>
        </is>
      </c>
      <c r="G394" t="inlineStr">
        <is>
          <t>FLEN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46255</v>
      </c>
      <c r="F395" t="inlineStr">
        <is>
          <t>SÖDERMANLANDS LÄN</t>
        </is>
      </c>
      <c r="G395" t="inlineStr">
        <is>
          <t>FLEN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45718</v>
      </c>
      <c r="E396" s="1" t="n">
        <v>46255</v>
      </c>
      <c r="F396" t="inlineStr">
        <is>
          <t>SÖDERMANLANDS LÄN</t>
        </is>
      </c>
      <c r="G396" t="inlineStr">
        <is>
          <t>FLEN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44634</v>
      </c>
      <c r="E397" s="1" t="n">
        <v>46255</v>
      </c>
      <c r="F397" t="inlineStr">
        <is>
          <t>SÖDERMANLANDS LÄN</t>
        </is>
      </c>
      <c r="G397" t="inlineStr">
        <is>
          <t>FLEN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46255</v>
      </c>
      <c r="F398" t="inlineStr">
        <is>
          <t>SÖDERMANLANDS LÄN</t>
        </is>
      </c>
      <c r="G398" t="inlineStr">
        <is>
          <t>FLEN</t>
        </is>
      </c>
      <c r="H398" t="inlineStr">
        <is>
          <t>Övriga statliga verk och myndigheter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48858-2023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46255</v>
      </c>
      <c r="F399" t="inlineStr">
        <is>
          <t>SÖDERMANLANDS LÄN</t>
        </is>
      </c>
      <c r="G399" t="inlineStr">
        <is>
          <t>FLEN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46255</v>
      </c>
      <c r="F400" t="inlineStr">
        <is>
          <t>SÖDERMANLANDS LÄN</t>
        </is>
      </c>
      <c r="G400" t="inlineStr">
        <is>
          <t>FLEN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46255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23716-2024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45454</v>
      </c>
      <c r="E402" s="1" t="n">
        <v>46255</v>
      </c>
      <c r="F402" t="inlineStr">
        <is>
          <t>SÖDERMANLANDS LÄN</t>
        </is>
      </c>
      <c r="G402" t="inlineStr">
        <is>
          <t>FLEN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45791</v>
      </c>
      <c r="E403" s="1" t="n">
        <v>46255</v>
      </c>
      <c r="F403" t="inlineStr">
        <is>
          <t>SÖDERMANLANDS LÄN</t>
        </is>
      </c>
      <c r="G403" t="inlineStr">
        <is>
          <t>FLEN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45740</v>
      </c>
      <c r="E404" s="1" t="n">
        <v>46255</v>
      </c>
      <c r="F404" t="inlineStr">
        <is>
          <t>SÖDERMANLANDS LÄN</t>
        </is>
      </c>
      <c r="G404" t="inlineStr">
        <is>
          <t>FLEN</t>
        </is>
      </c>
      <c r="H404" t="inlineStr">
        <is>
          <t>Övriga statliga verk och myndigheter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33024-2022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44785</v>
      </c>
      <c r="E405" s="1" t="n">
        <v>46255</v>
      </c>
      <c r="F405" t="inlineStr">
        <is>
          <t>SÖDERMANLANDS LÄN</t>
        </is>
      </c>
      <c r="G405" t="inlineStr">
        <is>
          <t>FLEN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45230</v>
      </c>
      <c r="E406" s="1" t="n">
        <v>46255</v>
      </c>
      <c r="F406" t="inlineStr">
        <is>
          <t>SÖDERMANLANDS LÄN</t>
        </is>
      </c>
      <c r="G406" t="inlineStr">
        <is>
          <t>FLEN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46255</v>
      </c>
      <c r="F407" t="inlineStr">
        <is>
          <t>SÖDERMANLANDS LÄN</t>
        </is>
      </c>
      <c r="G407" t="inlineStr">
        <is>
          <t>FLEN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46401-2022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44846</v>
      </c>
      <c r="E408" s="1" t="n">
        <v>46255</v>
      </c>
      <c r="F408" t="inlineStr">
        <is>
          <t>SÖDERMANLANDS LÄN</t>
        </is>
      </c>
      <c r="G408" t="inlineStr">
        <is>
          <t>FLEN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44819</v>
      </c>
      <c r="E409" s="1" t="n">
        <v>46255</v>
      </c>
      <c r="F409" t="inlineStr">
        <is>
          <t>SÖDERMANLANDS LÄN</t>
        </is>
      </c>
      <c r="G409" t="inlineStr">
        <is>
          <t>FLEN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46255</v>
      </c>
      <c r="F410" t="inlineStr">
        <is>
          <t>SÖDERMANLANDS LÄN</t>
        </is>
      </c>
      <c r="G410" t="inlineStr">
        <is>
          <t>FLEN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46255</v>
      </c>
      <c r="F411" t="inlineStr">
        <is>
          <t>SÖDERMANLANDS LÄN</t>
        </is>
      </c>
      <c r="G411" t="inlineStr">
        <is>
          <t>FLEN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44733</v>
      </c>
      <c r="E412" s="1" t="n">
        <v>46255</v>
      </c>
      <c r="F412" t="inlineStr">
        <is>
          <t>SÖDERMANLANDS LÄN</t>
        </is>
      </c>
      <c r="G412" t="inlineStr">
        <is>
          <t>FLEN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59599-2022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44907</v>
      </c>
      <c r="E413" s="1" t="n">
        <v>46255</v>
      </c>
      <c r="F413" t="inlineStr">
        <is>
          <t>SÖDERMANLANDS LÄN</t>
        </is>
      </c>
      <c r="G413" t="inlineStr">
        <is>
          <t>FLEN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46255</v>
      </c>
      <c r="F414" t="inlineStr">
        <is>
          <t>SÖDERMANLANDS LÄN</t>
        </is>
      </c>
      <c r="G414" t="inlineStr">
        <is>
          <t>FLEN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44887</v>
      </c>
      <c r="E415" s="1" t="n">
        <v>46255</v>
      </c>
      <c r="F415" t="inlineStr">
        <is>
          <t>SÖDERMANLANDS LÄN</t>
        </is>
      </c>
      <c r="G415" t="inlineStr">
        <is>
          <t>FLEN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46255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39053-2023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45163</v>
      </c>
      <c r="E417" s="1" t="n">
        <v>46255</v>
      </c>
      <c r="F417" t="inlineStr">
        <is>
          <t>SÖDERMANLANDS LÄN</t>
        </is>
      </c>
      <c r="G417" t="inlineStr">
        <is>
          <t>FLEN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46255</v>
      </c>
      <c r="F418" t="inlineStr">
        <is>
          <t>SÖDERMANLANDS LÄN</t>
        </is>
      </c>
      <c r="G418" t="inlineStr">
        <is>
          <t>FLEN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46255</v>
      </c>
      <c r="F419" t="inlineStr">
        <is>
          <t>SÖDERMANLANDS LÄN</t>
        </is>
      </c>
      <c r="G419" t="inlineStr">
        <is>
          <t>FLEN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46255</v>
      </c>
      <c r="F420" t="inlineStr">
        <is>
          <t>SÖDERMANLANDS LÄN</t>
        </is>
      </c>
      <c r="G420" t="inlineStr">
        <is>
          <t>FLEN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45309</v>
      </c>
      <c r="E421" s="1" t="n">
        <v>46255</v>
      </c>
      <c r="F421" t="inlineStr">
        <is>
          <t>SÖDERMANLANDS LÄN</t>
        </is>
      </c>
      <c r="G421" t="inlineStr">
        <is>
          <t>FLEN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52353-2023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46255</v>
      </c>
      <c r="F422" t="inlineStr">
        <is>
          <t>SÖDERMANLANDS LÄN</t>
        </is>
      </c>
      <c r="G422" t="inlineStr">
        <is>
          <t>FLEN</t>
        </is>
      </c>
      <c r="H422" t="inlineStr">
        <is>
          <t>Kyrkan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44958</v>
      </c>
      <c r="E423" s="1" t="n">
        <v>46255</v>
      </c>
      <c r="F423" t="inlineStr">
        <is>
          <t>SÖDERMANLANDS LÄN</t>
        </is>
      </c>
      <c r="G423" t="inlineStr">
        <is>
          <t>FLEN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44868</v>
      </c>
      <c r="E424" s="1" t="n">
        <v>46255</v>
      </c>
      <c r="F424" t="inlineStr">
        <is>
          <t>SÖDERMANLANDS LÄN</t>
        </is>
      </c>
      <c r="G424" t="inlineStr">
        <is>
          <t>FLEN</t>
        </is>
      </c>
      <c r="H424" t="inlineStr">
        <is>
          <t>Övriga statliga verk och myndigheter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46255</v>
      </c>
      <c r="F425" t="inlineStr">
        <is>
          <t>SÖDERMANLANDS LÄN</t>
        </is>
      </c>
      <c r="G425" t="inlineStr">
        <is>
          <t>FLEN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10771-2022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44624</v>
      </c>
      <c r="E426" s="1" t="n">
        <v>46255</v>
      </c>
      <c r="F426" t="inlineStr">
        <is>
          <t>SÖDERMANLANDS LÄN</t>
        </is>
      </c>
      <c r="G426" t="inlineStr">
        <is>
          <t>FLEN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10828-2022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46255</v>
      </c>
      <c r="F427" t="inlineStr">
        <is>
          <t>SÖDERMANLANDS LÄN</t>
        </is>
      </c>
      <c r="G427" t="inlineStr">
        <is>
          <t>FLEN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16908-2024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45411</v>
      </c>
      <c r="E428" s="1" t="n">
        <v>46255</v>
      </c>
      <c r="F428" t="inlineStr">
        <is>
          <t>SÖDERMANLANDS LÄN</t>
        </is>
      </c>
      <c r="G428" t="inlineStr">
        <is>
          <t>FLEN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46255</v>
      </c>
      <c r="F429" t="inlineStr">
        <is>
          <t>SÖDERMANLANDS LÄN</t>
        </is>
      </c>
      <c r="G429" t="inlineStr">
        <is>
          <t>FLEN</t>
        </is>
      </c>
      <c r="H429" t="inlineStr">
        <is>
          <t>Kommuner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46255</v>
      </c>
      <c r="F430" t="inlineStr">
        <is>
          <t>SÖDERMANLANDS LÄN</t>
        </is>
      </c>
      <c r="G430" t="inlineStr">
        <is>
          <t>FLEN</t>
        </is>
      </c>
      <c r="H430" t="inlineStr">
        <is>
          <t>Övriga statliga verk och myndigheter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45244</v>
      </c>
      <c r="E431" s="1" t="n">
        <v>46255</v>
      </c>
      <c r="F431" t="inlineStr">
        <is>
          <t>SÖDERMANLANDS LÄN</t>
        </is>
      </c>
      <c r="G431" t="inlineStr">
        <is>
          <t>FLEN</t>
        </is>
      </c>
      <c r="H431" t="inlineStr">
        <is>
          <t>Övriga statliga verk och myndigheter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46255</v>
      </c>
      <c r="F432" t="inlineStr">
        <is>
          <t>SÖDERMANLANDS LÄN</t>
        </is>
      </c>
      <c r="G432" t="inlineStr">
        <is>
          <t>FLEN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24151-2026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46168</v>
      </c>
      <c r="E433" s="1" t="n">
        <v>46255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46255</v>
      </c>
      <c r="F434" t="inlineStr">
        <is>
          <t>SÖDERMANLANDS LÄN</t>
        </is>
      </c>
      <c r="G434" t="inlineStr">
        <is>
          <t>FLEN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48826-2022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44859</v>
      </c>
      <c r="E435" s="1" t="n">
        <v>46255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45501</v>
      </c>
      <c r="E436" s="1" t="n">
        <v>46255</v>
      </c>
      <c r="F436" t="inlineStr">
        <is>
          <t>SÖDERMANLANDS LÄN</t>
        </is>
      </c>
      <c r="G436" t="inlineStr">
        <is>
          <t>FLEN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46255</v>
      </c>
      <c r="F437" t="inlineStr">
        <is>
          <t>SÖDERMANLANDS LÄN</t>
        </is>
      </c>
      <c r="G437" t="inlineStr">
        <is>
          <t>FLEN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46255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46255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46255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46255</v>
      </c>
      <c r="F441" t="inlineStr">
        <is>
          <t>SÖDERMANLANDS LÄN</t>
        </is>
      </c>
      <c r="G441" t="inlineStr">
        <is>
          <t>FLEN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46255</v>
      </c>
      <c r="F442" t="inlineStr">
        <is>
          <t>SÖDERMANLANDS LÄN</t>
        </is>
      </c>
      <c r="G442" t="inlineStr">
        <is>
          <t>FLEN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44566</v>
      </c>
      <c r="E443" s="1" t="n">
        <v>46255</v>
      </c>
      <c r="F443" t="inlineStr">
        <is>
          <t>SÖDERMANLANDS LÄN</t>
        </is>
      </c>
      <c r="G443" t="inlineStr">
        <is>
          <t>FLEN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54781-2024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45618</v>
      </c>
      <c r="E444" s="1" t="n">
        <v>46255</v>
      </c>
      <c r="F444" t="inlineStr">
        <is>
          <t>SÖDERMANLANDS LÄN</t>
        </is>
      </c>
      <c r="G444" t="inlineStr">
        <is>
          <t>FLEN</t>
        </is>
      </c>
      <c r="I444" t="n">
        <v>10.3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46255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  <c r="Z445">
        <f>HYPERLINK("https://klasma.github.io/Logging_0482/knärot/A 24450-2026 karta knärot.png", "A 24450-2026")</f>
        <v/>
      </c>
      <c r="AA445">
        <f>HYPERLINK("https://klasma.github.io/Logging_0482/klagomål/A 24450-2026 FSC-klagomål.docx", "A 24450-2026")</f>
        <v/>
      </c>
      <c r="AB445">
        <f>HYPERLINK("https://klasma.github.io/Logging_0482/klagomålsmail/A 24450-2026 FSC-klagomål mail.docx", "A 24450-2026")</f>
        <v/>
      </c>
      <c r="AC445">
        <f>HYPERLINK("https://klasma.github.io/Logging_0482/tillsyn/A 24450-2026 tillsynsbegäran.docx", "A 24450-2026")</f>
        <v/>
      </c>
      <c r="AD445">
        <f>HYPERLINK("https://klasma.github.io/Logging_0482/tillsynsmail/A 24450-2026 tillsynsbegäran mail.docx", "A 24450-2026")</f>
        <v/>
      </c>
    </row>
    <row r="446" ht="15" customHeight="1">
      <c r="A446" t="inlineStr">
        <is>
          <t>A 5582-2023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44960</v>
      </c>
      <c r="E446" s="1" t="n">
        <v>46255</v>
      </c>
      <c r="F446" t="inlineStr">
        <is>
          <t>SÖDERMANLANDS LÄN</t>
        </is>
      </c>
      <c r="G446" t="inlineStr">
        <is>
          <t>FLEN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47872-2025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45932</v>
      </c>
      <c r="E447" s="1" t="n">
        <v>46255</v>
      </c>
      <c r="F447" t="inlineStr">
        <is>
          <t>SÖDERMANLANDS LÄN</t>
        </is>
      </c>
      <c r="G447" t="inlineStr">
        <is>
          <t>FLEN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48749-2022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44855</v>
      </c>
      <c r="E448" s="1" t="n">
        <v>46255</v>
      </c>
      <c r="F448" t="inlineStr">
        <is>
          <t>SÖDERMANLANDS LÄN</t>
        </is>
      </c>
      <c r="G448" t="inlineStr">
        <is>
          <t>FLEN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48774-2022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46255</v>
      </c>
      <c r="F449" t="inlineStr">
        <is>
          <t>SÖDERMANLANDS LÄN</t>
        </is>
      </c>
      <c r="G449" t="inlineStr">
        <is>
          <t>FLEN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46255</v>
      </c>
      <c r="F450" t="inlineStr">
        <is>
          <t>SÖDERMANLANDS LÄN</t>
        </is>
      </c>
      <c r="G450" t="inlineStr">
        <is>
          <t>FLEN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46255</v>
      </c>
      <c r="F451" t="inlineStr">
        <is>
          <t>SÖDERMANLANDS LÄN</t>
        </is>
      </c>
      <c r="G451" t="inlineStr">
        <is>
          <t>FLEN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45140</v>
      </c>
      <c r="E452" s="1" t="n">
        <v>46255</v>
      </c>
      <c r="F452" t="inlineStr">
        <is>
          <t>SÖDERMANLANDS LÄN</t>
        </is>
      </c>
      <c r="G452" t="inlineStr">
        <is>
          <t>FLEN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48497-2021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44449</v>
      </c>
      <c r="E453" s="1" t="n">
        <v>46255</v>
      </c>
      <c r="F453" t="inlineStr">
        <is>
          <t>SÖDERMANLANDS LÄN</t>
        </is>
      </c>
      <c r="G453" t="inlineStr">
        <is>
          <t>FLEN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46255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45072</v>
      </c>
      <c r="E455" s="1" t="n">
        <v>46255</v>
      </c>
      <c r="F455" t="inlineStr">
        <is>
          <t>SÖDERMANLANDS LÄN</t>
        </is>
      </c>
      <c r="G455" t="inlineStr">
        <is>
          <t>FLEN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29148-2024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46255</v>
      </c>
      <c r="F456" t="inlineStr">
        <is>
          <t>SÖDERMANLANDS LÄN</t>
        </is>
      </c>
      <c r="G456" t="inlineStr">
        <is>
          <t>FLEN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49891-2023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45213</v>
      </c>
      <c r="E457" s="1" t="n">
        <v>46255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31965-2024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45510</v>
      </c>
      <c r="E458" s="1" t="n">
        <v>46255</v>
      </c>
      <c r="F458" t="inlineStr">
        <is>
          <t>SÖDERMANLANDS LÄN</t>
        </is>
      </c>
      <c r="G458" t="inlineStr">
        <is>
          <t>FLEN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46255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46255</v>
      </c>
      <c r="F460" t="inlineStr">
        <is>
          <t>SÖDERMANLANDS LÄN</t>
        </is>
      </c>
      <c r="G460" t="inlineStr">
        <is>
          <t>FLEN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46255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46255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44914</v>
      </c>
      <c r="E463" s="1" t="n">
        <v>46255</v>
      </c>
      <c r="F463" t="inlineStr">
        <is>
          <t>SÖDERMANLANDS LÄN</t>
        </is>
      </c>
      <c r="G463" t="inlineStr">
        <is>
          <t>FLEN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46255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46229</v>
      </c>
      <c r="E465" s="1" t="n">
        <v>46255</v>
      </c>
      <c r="F465" t="inlineStr">
        <is>
          <t>SÖDERMANLANDS LÄN</t>
        </is>
      </c>
      <c r="G465" t="inlineStr">
        <is>
          <t>FLEN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33103-2022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44785</v>
      </c>
      <c r="E466" s="1" t="n">
        <v>46255</v>
      </c>
      <c r="F466" t="inlineStr">
        <is>
          <t>SÖDERMANLANDS LÄN</t>
        </is>
      </c>
      <c r="G466" t="inlineStr">
        <is>
          <t>FLEN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13587-2022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44648</v>
      </c>
      <c r="E467" s="1" t="n">
        <v>46255</v>
      </c>
      <c r="F467" t="inlineStr">
        <is>
          <t>SÖDERMANLANDS LÄN</t>
        </is>
      </c>
      <c r="G467" t="inlineStr">
        <is>
          <t>FLEN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52541-2021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44463</v>
      </c>
      <c r="E468" s="1" t="n">
        <v>46255</v>
      </c>
      <c r="F468" t="inlineStr">
        <is>
          <t>SÖDERMANLANDS LÄN</t>
        </is>
      </c>
      <c r="G468" t="inlineStr">
        <is>
          <t>FLEN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46255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46255</v>
      </c>
      <c r="F470" t="inlineStr">
        <is>
          <t>SÖDERMANLANDS LÄN</t>
        </is>
      </c>
      <c r="G470" t="inlineStr">
        <is>
          <t>FLEN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46255</v>
      </c>
      <c r="F471" t="inlineStr">
        <is>
          <t>SÖDERMANLANDS LÄN</t>
        </is>
      </c>
      <c r="G471" t="inlineStr">
        <is>
          <t>FLEN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46255</v>
      </c>
      <c r="F472" t="inlineStr">
        <is>
          <t>SÖDERMANLANDS LÄN</t>
        </is>
      </c>
      <c r="G472" t="inlineStr">
        <is>
          <t>FLEN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46185</v>
      </c>
      <c r="E473" s="1" t="n">
        <v>46255</v>
      </c>
      <c r="F473" t="inlineStr">
        <is>
          <t>SÖDERMANLANDS LÄN</t>
        </is>
      </c>
      <c r="G473" t="inlineStr">
        <is>
          <t>FLEN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44769</v>
      </c>
      <c r="E474" s="1" t="n">
        <v>46255</v>
      </c>
      <c r="F474" t="inlineStr">
        <is>
          <t>SÖDERMANLANDS LÄN</t>
        </is>
      </c>
      <c r="G474" t="inlineStr">
        <is>
          <t>FLEN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45036</v>
      </c>
      <c r="E475" s="1" t="n">
        <v>46255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46255</v>
      </c>
      <c r="F476" t="inlineStr">
        <is>
          <t>SÖDERMANLANDS LÄN</t>
        </is>
      </c>
      <c r="G476" t="inlineStr">
        <is>
          <t>FLEN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46255</v>
      </c>
      <c r="F477" t="inlineStr">
        <is>
          <t>SÖDERMANLANDS LÄN</t>
        </is>
      </c>
      <c r="G477" t="inlineStr">
        <is>
          <t>FLEN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46255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44872</v>
      </c>
      <c r="E479" s="1" t="n">
        <v>46255</v>
      </c>
      <c r="F479" t="inlineStr">
        <is>
          <t>SÖDERMANLANDS LÄN</t>
        </is>
      </c>
      <c r="G479" t="inlineStr">
        <is>
          <t>FLEN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45239</v>
      </c>
      <c r="E480" s="1" t="n">
        <v>46255</v>
      </c>
      <c r="F480" t="inlineStr">
        <is>
          <t>SÖDERMANLANDS LÄN</t>
        </is>
      </c>
      <c r="G480" t="inlineStr">
        <is>
          <t>FLEN</t>
        </is>
      </c>
      <c r="H480" t="inlineStr">
        <is>
          <t>Övriga statliga verk och myndigheter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56996-2023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45244</v>
      </c>
      <c r="E481" s="1" t="n">
        <v>46255</v>
      </c>
      <c r="F481" t="inlineStr">
        <is>
          <t>SÖDERMANLANDS LÄN</t>
        </is>
      </c>
      <c r="G481" t="inlineStr">
        <is>
          <t>FLEN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46255</v>
      </c>
      <c r="F482" t="inlineStr">
        <is>
          <t>SÖDERMANLANDS LÄN</t>
        </is>
      </c>
      <c r="G482" t="inlineStr">
        <is>
          <t>FLEN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62579-2023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45270</v>
      </c>
      <c r="E483" s="1" t="n">
        <v>46255</v>
      </c>
      <c r="F483" t="inlineStr">
        <is>
          <t>SÖDERMANLANDS LÄN</t>
        </is>
      </c>
      <c r="G483" t="inlineStr">
        <is>
          <t>FLEN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38135-2023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46255</v>
      </c>
      <c r="F484" t="inlineStr">
        <is>
          <t>SÖDERMANLANDS LÄN</t>
        </is>
      </c>
      <c r="G484" t="inlineStr">
        <is>
          <t>FLEN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45518</v>
      </c>
      <c r="E485" s="1" t="n">
        <v>46255</v>
      </c>
      <c r="F485" t="inlineStr">
        <is>
          <t>SÖDERMANLANDS LÄN</t>
        </is>
      </c>
      <c r="G485" t="inlineStr">
        <is>
          <t>FLEN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44561-2024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45574</v>
      </c>
      <c r="E486" s="1" t="n">
        <v>46255</v>
      </c>
      <c r="F486" t="inlineStr">
        <is>
          <t>SÖDERMANLANDS LÄN</t>
        </is>
      </c>
      <c r="G486" t="inlineStr">
        <is>
          <t>FLEN</t>
        </is>
      </c>
      <c r="H486" t="inlineStr">
        <is>
          <t>Övriga statliga verk och myndigheter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46255</v>
      </c>
      <c r="F487" t="inlineStr">
        <is>
          <t>SÖDERMANLANDS LÄN</t>
        </is>
      </c>
      <c r="G487" t="inlineStr">
        <is>
          <t>FLEN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46240</v>
      </c>
      <c r="E488" s="1" t="n">
        <v>46255</v>
      </c>
      <c r="F488" t="inlineStr">
        <is>
          <t>SÖDERMANLANDS LÄN</t>
        </is>
      </c>
      <c r="G488" t="inlineStr">
        <is>
          <t>FLEN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46255</v>
      </c>
      <c r="F489" t="inlineStr">
        <is>
          <t>SÖDERMANLANDS LÄN</t>
        </is>
      </c>
      <c r="G489" t="inlineStr">
        <is>
          <t>FLEN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45299</v>
      </c>
      <c r="E490" s="1" t="n">
        <v>46255</v>
      </c>
      <c r="F490" t="inlineStr">
        <is>
          <t>SÖDERMANLANDS LÄN</t>
        </is>
      </c>
      <c r="G490" t="inlineStr">
        <is>
          <t>FLEN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46255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45022</v>
      </c>
      <c r="E492" s="1" t="n">
        <v>46255</v>
      </c>
      <c r="F492" t="inlineStr">
        <is>
          <t>SÖDERMANLANDS LÄN</t>
        </is>
      </c>
      <c r="G492" t="inlineStr">
        <is>
          <t>FLEN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46255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36096-2023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45149</v>
      </c>
      <c r="E494" s="1" t="n">
        <v>46255</v>
      </c>
      <c r="F494" t="inlineStr">
        <is>
          <t>SÖDERMANLANDS LÄN</t>
        </is>
      </c>
      <c r="G494" t="inlineStr">
        <is>
          <t>FLEN</t>
        </is>
      </c>
      <c r="H494" t="inlineStr">
        <is>
          <t>Kyrkan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45555</v>
      </c>
      <c r="E495" s="1" t="n">
        <v>46255</v>
      </c>
      <c r="F495" t="inlineStr">
        <is>
          <t>SÖDERMANLANDS LÄN</t>
        </is>
      </c>
      <c r="G495" t="inlineStr">
        <is>
          <t>FLEN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46255</v>
      </c>
      <c r="F496" t="inlineStr">
        <is>
          <t>SÖDERMANLANDS LÄN</t>
        </is>
      </c>
      <c r="G496" t="inlineStr">
        <is>
          <t>FLEN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46255</v>
      </c>
      <c r="F497" t="inlineStr">
        <is>
          <t>SÖDERMANLANDS LÄN</t>
        </is>
      </c>
      <c r="G497" t="inlineStr">
        <is>
          <t>FLEN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46255</v>
      </c>
      <c r="F498" t="inlineStr">
        <is>
          <t>SÖDERMANLANDS LÄN</t>
        </is>
      </c>
      <c r="G498" t="inlineStr">
        <is>
          <t>FLEN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46255</v>
      </c>
      <c r="F499" t="inlineStr">
        <is>
          <t>SÖDERMANLANDS LÄN</t>
        </is>
      </c>
      <c r="G499" t="inlineStr">
        <is>
          <t>FLEN</t>
        </is>
      </c>
      <c r="H499" t="inlineStr">
        <is>
          <t>Kyrkan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46255</v>
      </c>
      <c r="F500" t="inlineStr">
        <is>
          <t>SÖDERMANLANDS LÄN</t>
        </is>
      </c>
      <c r="G500" t="inlineStr">
        <is>
          <t>FLEN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44931</v>
      </c>
      <c r="E501" s="1" t="n">
        <v>46255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44580</v>
      </c>
      <c r="E502" s="1" t="n">
        <v>46255</v>
      </c>
      <c r="F502" t="inlineStr">
        <is>
          <t>SÖDERMANLANDS LÄN</t>
        </is>
      </c>
      <c r="G502" t="inlineStr">
        <is>
          <t>FLEN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50646-2023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45217</v>
      </c>
      <c r="E503" s="1" t="n">
        <v>46255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45066</v>
      </c>
      <c r="E504" s="1" t="n">
        <v>46255</v>
      </c>
      <c r="F504" t="inlineStr">
        <is>
          <t>SÖDERMANLANDS LÄN</t>
        </is>
      </c>
      <c r="G504" t="inlineStr">
        <is>
          <t>FLEN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59439-2022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44907</v>
      </c>
      <c r="E505" s="1" t="n">
        <v>46255</v>
      </c>
      <c r="F505" t="inlineStr">
        <is>
          <t>SÖDERMANLANDS LÄN</t>
        </is>
      </c>
      <c r="G505" t="inlineStr">
        <is>
          <t>FLEN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46255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45667</v>
      </c>
      <c r="E507" s="1" t="n">
        <v>46255</v>
      </c>
      <c r="F507" t="inlineStr">
        <is>
          <t>SÖDERMANLANDS LÄN</t>
        </is>
      </c>
      <c r="G507" t="inlineStr">
        <is>
          <t>FLEN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33936-2026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46250</v>
      </c>
      <c r="E508" s="1" t="n">
        <v>46255</v>
      </c>
      <c r="F508" t="inlineStr">
        <is>
          <t>SÖDERMANLANDS LÄN</t>
        </is>
      </c>
      <c r="G508" t="inlineStr">
        <is>
          <t>FLEN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53507-2023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45230</v>
      </c>
      <c r="E509" s="1" t="n">
        <v>46255</v>
      </c>
      <c r="F509" t="inlineStr">
        <is>
          <t>SÖDERMANLANDS LÄN</t>
        </is>
      </c>
      <c r="G509" t="inlineStr">
        <is>
          <t>FLEN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45230</v>
      </c>
      <c r="E510" s="1" t="n">
        <v>46255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45013</v>
      </c>
      <c r="E511" s="1" t="n">
        <v>46255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33694-2026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46249</v>
      </c>
      <c r="E512" s="1" t="n">
        <v>46255</v>
      </c>
      <c r="F512" t="inlineStr">
        <is>
          <t>SÖDERMANLANDS LÄN</t>
        </is>
      </c>
      <c r="G512" t="inlineStr">
        <is>
          <t>FLEN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46255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33730-2026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46255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42731-2024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45566</v>
      </c>
      <c r="E515" s="1" t="n">
        <v>46255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46255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13233-2024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45386</v>
      </c>
      <c r="E517" s="1" t="n">
        <v>46255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46255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46255</v>
      </c>
      <c r="F519" t="inlineStr">
        <is>
          <t>SÖDERMANLANDS LÄN</t>
        </is>
      </c>
      <c r="G519" t="inlineStr">
        <is>
          <t>FLEN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46255</v>
      </c>
      <c r="F520" t="inlineStr">
        <is>
          <t>SÖDERMANLANDS LÄN</t>
        </is>
      </c>
      <c r="G520" t="inlineStr">
        <is>
          <t>FLEN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46255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46255</v>
      </c>
      <c r="F522" t="inlineStr">
        <is>
          <t>SÖDERMANLANDS LÄN</t>
        </is>
      </c>
      <c r="G522" t="inlineStr">
        <is>
          <t>FLEN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47055-2022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44852</v>
      </c>
      <c r="E523" s="1" t="n">
        <v>46255</v>
      </c>
      <c r="F523" t="inlineStr">
        <is>
          <t>SÖDERMANLANDS LÄN</t>
        </is>
      </c>
      <c r="G523" t="inlineStr">
        <is>
          <t>FLEN</t>
        </is>
      </c>
      <c r="I523" t="n">
        <v>8.699999999999999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54736-2022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44883</v>
      </c>
      <c r="E524" s="1" t="n">
        <v>46255</v>
      </c>
      <c r="F524" t="inlineStr">
        <is>
          <t>SÖDERMANLANDS LÄN</t>
        </is>
      </c>
      <c r="G524" t="inlineStr">
        <is>
          <t>FLEN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46255</v>
      </c>
      <c r="F525" t="inlineStr">
        <is>
          <t>SÖDERMANLANDS LÄN</t>
        </is>
      </c>
      <c r="G525" t="inlineStr">
        <is>
          <t>FLEN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46255</v>
      </c>
      <c r="F526" t="inlineStr">
        <is>
          <t>SÖDERMANLANDS LÄN</t>
        </is>
      </c>
      <c r="G526" t="inlineStr">
        <is>
          <t>FLEN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46255</v>
      </c>
      <c r="F527" t="inlineStr">
        <is>
          <t>SÖDERMANLANDS LÄN</t>
        </is>
      </c>
      <c r="G527" t="inlineStr">
        <is>
          <t>FLEN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46255</v>
      </c>
      <c r="F528" t="inlineStr">
        <is>
          <t>SÖDERMANLANDS LÄN</t>
        </is>
      </c>
      <c r="G528" t="inlineStr">
        <is>
          <t>FLEN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46255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46255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45798</v>
      </c>
      <c r="E531" s="1" t="n">
        <v>46255</v>
      </c>
      <c r="F531" t="inlineStr">
        <is>
          <t>SÖDERMANLANDS LÄN</t>
        </is>
      </c>
      <c r="G531" t="inlineStr">
        <is>
          <t>FLEN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45797</v>
      </c>
      <c r="E532" s="1" t="n">
        <v>46255</v>
      </c>
      <c r="F532" t="inlineStr">
        <is>
          <t>SÖDERMANLANDS LÄN</t>
        </is>
      </c>
      <c r="G532" t="inlineStr">
        <is>
          <t>FLEN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45798</v>
      </c>
      <c r="E533" s="1" t="n">
        <v>46255</v>
      </c>
      <c r="F533" t="inlineStr">
        <is>
          <t>SÖDERMANLANDS LÄN</t>
        </is>
      </c>
      <c r="G533" t="inlineStr">
        <is>
          <t>FLEN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46255</v>
      </c>
      <c r="F534" t="inlineStr">
        <is>
          <t>SÖDERMANLANDS LÄN</t>
        </is>
      </c>
      <c r="G534" t="inlineStr">
        <is>
          <t>FLEN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46255</v>
      </c>
      <c r="F535" t="inlineStr">
        <is>
          <t>SÖDERMANLANDS LÄN</t>
        </is>
      </c>
      <c r="G535" t="inlineStr">
        <is>
          <t>FLEN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45702</v>
      </c>
      <c r="E536" s="1" t="n">
        <v>46255</v>
      </c>
      <c r="F536" t="inlineStr">
        <is>
          <t>SÖDERMANLANDS LÄN</t>
        </is>
      </c>
      <c r="G536" t="inlineStr">
        <is>
          <t>FLEN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45684</v>
      </c>
      <c r="E537" s="1" t="n">
        <v>46255</v>
      </c>
      <c r="F537" t="inlineStr">
        <is>
          <t>SÖDERMANLANDS LÄN</t>
        </is>
      </c>
      <c r="G537" t="inlineStr">
        <is>
          <t>FLEN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45817</v>
      </c>
      <c r="E538" s="1" t="n">
        <v>46255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482-2022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44588</v>
      </c>
      <c r="E539" s="1" t="n">
        <v>46255</v>
      </c>
      <c r="F539" t="inlineStr">
        <is>
          <t>SÖDERMANLANDS LÄN</t>
        </is>
      </c>
      <c r="G539" t="inlineStr">
        <is>
          <t>FLEN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2321-2022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44685</v>
      </c>
      <c r="E540" s="1" t="n">
        <v>46255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458-2023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44964</v>
      </c>
      <c r="E541" s="1" t="n">
        <v>46255</v>
      </c>
      <c r="F541" t="inlineStr">
        <is>
          <t>SÖDERMANLANDS LÄN</t>
        </is>
      </c>
      <c r="G541" t="inlineStr">
        <is>
          <t>FLEN</t>
        </is>
      </c>
      <c r="H541" t="inlineStr">
        <is>
          <t>Kyrkan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292-2025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45686</v>
      </c>
      <c r="E542" s="1" t="n">
        <v>46255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3723-2022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44742</v>
      </c>
      <c r="E543" s="1" t="n">
        <v>46255</v>
      </c>
      <c r="F543" t="inlineStr">
        <is>
          <t>SÖDERMANLANDS LÄN</t>
        </is>
      </c>
      <c r="G543" t="inlineStr">
        <is>
          <t>FLEN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1976-2024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45446</v>
      </c>
      <c r="E544" s="1" t="n">
        <v>46255</v>
      </c>
      <c r="F544" t="inlineStr">
        <is>
          <t>SÖDERMANLANDS LÄN</t>
        </is>
      </c>
      <c r="G544" t="inlineStr">
        <is>
          <t>FLEN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1287-2024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45403</v>
      </c>
      <c r="E545" s="1" t="n">
        <v>46255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1528-2026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46164</v>
      </c>
      <c r="E546" s="1" t="n">
        <v>46255</v>
      </c>
      <c r="F546" t="inlineStr">
        <is>
          <t>SÖDERMANLANDS LÄN</t>
        </is>
      </c>
      <c r="G546" t="inlineStr">
        <is>
          <t>FLEN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2026-08-21T01:52:55Z</dcterms:created>
  <dcterms:modified xmlns:dcterms="http://purl.org/dc/terms/" xmlns:xsi="http://www.w3.org/2001/XMLSchema-instance" xsi:type="dcterms:W3CDTF">2026-08-21T01:52:56Z</dcterms:modified>
</cp:coreProperties>
</file>