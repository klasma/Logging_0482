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46310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46310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46310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46310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46310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46310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46310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46310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46310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2661-2026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46310</v>
      </c>
      <c r="F24" t="inlineStr">
        <is>
          <t>SÖDERMANLANDS LÄN</t>
        </is>
      </c>
      <c r="G24" t="inlineStr">
        <is>
          <t>FLEN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Ekbräken
Hultbräken
Liljekonvalj
Majbräken
Grönvit nattviol</t>
        </is>
      </c>
      <c r="W24">
        <f>HYPERLINK("https://klasma.github.io/Logging_0482/artfynd/A 2661-2026 artfynd.xlsx", "A 2661-2026")</f>
        <v/>
      </c>
      <c r="X24">
        <f>HYPERLINK("https://klasma.github.io/Logging_0482/kartor/A 2661-2026 karta.png", "A 2661-2026")</f>
        <v/>
      </c>
      <c r="Y24">
        <f>HYPERLINK("https://klasma.github.io/Logging_0482/kartor_geotiff/A 2661-2026 georefererad karta.tif", "A 2661-2026")</f>
        <v/>
      </c>
      <c r="AA24">
        <f>HYPERLINK("https://klasma.github.io/Logging_0482/klagomål/A 2661-2026 FSC-klagomål.docx", "A 2661-2026")</f>
        <v/>
      </c>
      <c r="AB24">
        <f>HYPERLINK("https://klasma.github.io/Logging_0482/klagomålsmail/A 2661-2026 FSC-klagomål mail.docx", "A 2661-2026")</f>
        <v/>
      </c>
      <c r="AC24">
        <f>HYPERLINK("https://klasma.github.io/Logging_0482/tillsyn/A 2661-2026 tillsynsbegäran.docx", "A 2661-2026")</f>
        <v/>
      </c>
      <c r="AD24">
        <f>HYPERLINK("https://klasma.github.io/Logging_0482/tillsynsmail/A 2661-2026 tillsynsbegäran mail.docx", "A 2661-2026")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46310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32901-2025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46310</v>
      </c>
      <c r="F26" t="inlineStr">
        <is>
          <t>SÖDERMANLANDS LÄN</t>
        </is>
      </c>
      <c r="G26" t="inlineStr">
        <is>
          <t>FLEN</t>
        </is>
      </c>
      <c r="I26" t="n">
        <v>2.6</v>
      </c>
      <c r="J26" t="n">
        <v>1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5</v>
      </c>
      <c r="V26" s="2" t="inlineStr">
        <is>
          <t>Motaggsvamp
Ullticka
Blomkålssvamp
Flagellkvastmossa
Spillkråka</t>
        </is>
      </c>
      <c r="W26">
        <f>HYPERLINK("https://klasma.github.io/Logging_0482/artfynd/A 32901-2025 artfynd.xlsx", "A 32901-2025")</f>
        <v/>
      </c>
      <c r="X26">
        <f>HYPERLINK("https://klasma.github.io/Logging_0482/kartor/A 32901-2025 karta.png", "A 32901-2025")</f>
        <v/>
      </c>
      <c r="Y26">
        <f>HYPERLINK("https://klasma.github.io/Logging_0482/kartor_geotiff/A 32901-2025 georefererad karta.tif", "A 32901-2025")</f>
        <v/>
      </c>
      <c r="AA26">
        <f>HYPERLINK("https://klasma.github.io/Logging_0482/klagomål/A 32901-2025 FSC-klagomål.docx", "A 32901-2025")</f>
        <v/>
      </c>
      <c r="AB26">
        <f>HYPERLINK("https://klasma.github.io/Logging_0482/klagomålsmail/A 32901-2025 FSC-klagomål mail.docx", "A 32901-2025")</f>
        <v/>
      </c>
      <c r="AC26">
        <f>HYPERLINK("https://klasma.github.io/Logging_0482/tillsyn/A 32901-2025 tillsynsbegäran.docx", "A 32901-2025")</f>
        <v/>
      </c>
      <c r="AD26">
        <f>HYPERLINK("https://klasma.github.io/Logging_0482/tillsynsmail/A 32901-2025 tillsynsbegäran mail.docx", "A 32901-2025")</f>
        <v/>
      </c>
      <c r="AE26">
        <f>HYPERLINK("https://klasma.github.io/Logging_0482/fåglar/A 32901-2025 prioriterade fågelarter.docx", "A 32901-2025")</f>
        <v/>
      </c>
    </row>
    <row r="27" ht="15" customHeight="1">
      <c r="A27" t="inlineStr">
        <is>
          <t>A 50343-2024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45600</v>
      </c>
      <c r="E27" s="1" t="n">
        <v>46310</v>
      </c>
      <c r="F27" t="inlineStr">
        <is>
          <t>SÖDERMANLANDS LÄN</t>
        </is>
      </c>
      <c r="G27" t="inlineStr">
        <is>
          <t>FLEN</t>
        </is>
      </c>
      <c r="H27" t="inlineStr">
        <is>
          <t>Övriga statliga verk och myndigheter</t>
        </is>
      </c>
      <c r="I27" t="n">
        <v>3.6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Svartöra
Tallticka
Blåsippa
Liljekonvalj
Vildkaprifol</t>
        </is>
      </c>
      <c r="W27">
        <f>HYPERLINK("https://klasma.github.io/Logging_0482/artfynd/A 50343-2024 artfynd.xlsx", "A 50343-2024")</f>
        <v/>
      </c>
      <c r="X27">
        <f>HYPERLINK("https://klasma.github.io/Logging_0482/kartor/A 50343-2024 karta.png", "A 50343-2024")</f>
        <v/>
      </c>
      <c r="Y27">
        <f>HYPERLINK("https://klasma.github.io/Logging_0482/kartor_geotiff/A 50343-2024 georefererad karta.tif", "A 50343-2024")</f>
        <v/>
      </c>
      <c r="AA27">
        <f>HYPERLINK("https://klasma.github.io/Logging_0482/klagomål/A 50343-2024 FSC-klagomål.docx", "A 50343-2024")</f>
        <v/>
      </c>
      <c r="AB27">
        <f>HYPERLINK("https://klasma.github.io/Logging_0482/klagomålsmail/A 50343-2024 FSC-klagomål mail.docx", "A 50343-2024")</f>
        <v/>
      </c>
      <c r="AC27">
        <f>HYPERLINK("https://klasma.github.io/Logging_0482/tillsyn/A 50343-2024 tillsynsbegäran.docx", "A 50343-2024")</f>
        <v/>
      </c>
      <c r="AD27">
        <f>HYPERLINK("https://klasma.github.io/Logging_0482/tillsynsmail/A 50343-2024 tillsynsbegäran mail.docx", "A 50343-2024")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46310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46310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46310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46310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46310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46310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46310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46310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16503-2026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46310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1</v>
      </c>
      <c r="V36" s="2" t="inlineStr">
        <is>
          <t>Sexfläckig bastardsvärmare
Gullklöver
Jungfrulin
Svinrot</t>
        </is>
      </c>
      <c r="W36">
        <f>HYPERLINK("https://klasma.github.io/Logging_0482/artfynd/A 16503-2026 artfynd.xlsx", "A 16503-2026")</f>
        <v/>
      </c>
      <c r="X36">
        <f>HYPERLINK("https://klasma.github.io/Logging_0482/kartor/A 16503-2026 karta.png", "A 16503-2026")</f>
        <v/>
      </c>
      <c r="Y36">
        <f>HYPERLINK("https://klasma.github.io/Logging_0482/kartor_geotiff/A 16503-2026 georefererad karta.tif", "A 16503-2026")</f>
        <v/>
      </c>
      <c r="AA36">
        <f>HYPERLINK("https://klasma.github.io/Logging_0482/klagomål/A 16503-2026 FSC-klagomål.docx", "A 16503-2026")</f>
        <v/>
      </c>
      <c r="AB36">
        <f>HYPERLINK("https://klasma.github.io/Logging_0482/klagomålsmail/A 16503-2026 FSC-klagomål mail.docx", "A 16503-2026")</f>
        <v/>
      </c>
      <c r="AC36">
        <f>HYPERLINK("https://klasma.github.io/Logging_0482/tillsyn/A 16503-2026 tillsynsbegäran.docx", "A 16503-2026")</f>
        <v/>
      </c>
      <c r="AD36">
        <f>HYPERLINK("https://klasma.github.io/Logging_0482/tillsynsmail/A 16503-2026 tillsynsbegäran mail.docx", "A 16503-2026")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46310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46310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46310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46310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46310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46310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46310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31238-2022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46310</v>
      </c>
      <c r="F44" t="inlineStr">
        <is>
          <t>SÖDERMANLANDS LÄN</t>
        </is>
      </c>
      <c r="G44" t="inlineStr">
        <is>
          <t>FLEN</t>
        </is>
      </c>
      <c r="I44" t="n">
        <v>7.5</v>
      </c>
      <c r="J44" t="n">
        <v>0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5</v>
      </c>
      <c r="U44" t="n">
        <v>5</v>
      </c>
      <c r="V44" s="2" t="inlineStr">
        <is>
          <t>Svedjenäva
Svinrot
Skogsbräsma</t>
        </is>
      </c>
      <c r="W44">
        <f>HYPERLINK("https://klasma.github.io/Logging_0482/artfynd/A 31238-2022 artfynd.xlsx", "A 31238-2022")</f>
        <v/>
      </c>
      <c r="X44">
        <f>HYPERLINK("https://klasma.github.io/Logging_0482/kartor/A 31238-2022 karta.png", "A 31238-2022")</f>
        <v/>
      </c>
      <c r="Y44">
        <f>HYPERLINK("https://klasma.github.io/Logging_0482/kartor_geotiff/A 31238-2022 georefererad karta.tif", "A 31238-2022")</f>
        <v/>
      </c>
      <c r="AA44">
        <f>HYPERLINK("https://klasma.github.io/Logging_0482/klagomål/A 31238-2022 FSC-klagomål.docx", "A 31238-2022")</f>
        <v/>
      </c>
      <c r="AB44">
        <f>HYPERLINK("https://klasma.github.io/Logging_0482/klagomålsmail/A 31238-2022 FSC-klagomål mail.docx", "A 31238-2022")</f>
        <v/>
      </c>
      <c r="AC44">
        <f>HYPERLINK("https://klasma.github.io/Logging_0482/tillsyn/A 31238-2022 tillsynsbegäran.docx", "A 31238-2022")</f>
        <v/>
      </c>
      <c r="AD44">
        <f>HYPERLINK("https://klasma.github.io/Logging_0482/tillsynsmail/A 31238-2022 tillsynsbegäran mail.docx", "A 31238-2022")</f>
        <v/>
      </c>
    </row>
    <row r="45" ht="15" customHeight="1">
      <c r="A45" t="inlineStr">
        <is>
          <t>A 9539-2026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46310</v>
      </c>
      <c r="F45" t="inlineStr">
        <is>
          <t>SÖDERMANLANDS LÄN</t>
        </is>
      </c>
      <c r="G45" t="inlineStr">
        <is>
          <t>FLEN</t>
        </is>
      </c>
      <c r="I45" t="n">
        <v>7.6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Slåtterfibbla
Blåsippa</t>
        </is>
      </c>
      <c r="W45">
        <f>HYPERLINK("https://klasma.github.io/Logging_0482/artfynd/A 9539-2026 artfynd.xlsx", "A 9539-2026")</f>
        <v/>
      </c>
      <c r="X45">
        <f>HYPERLINK("https://klasma.github.io/Logging_0482/kartor/A 9539-2026 karta.png", "A 9539-2026")</f>
        <v/>
      </c>
      <c r="Y45">
        <f>HYPERLINK("https://klasma.github.io/Logging_0482/kartor_geotiff/A 9539-2026 georefererad karta.tif", "A 9539-2026")</f>
        <v/>
      </c>
      <c r="AA45">
        <f>HYPERLINK("https://klasma.github.io/Logging_0482/klagomål/A 9539-2026 FSC-klagomål.docx", "A 9539-2026")</f>
        <v/>
      </c>
      <c r="AB45">
        <f>HYPERLINK("https://klasma.github.io/Logging_0482/klagomålsmail/A 9539-2026 FSC-klagomål mail.docx", "A 9539-2026")</f>
        <v/>
      </c>
      <c r="AC45">
        <f>HYPERLINK("https://klasma.github.io/Logging_0482/tillsyn/A 9539-2026 tillsynsbegäran.docx", "A 9539-2026")</f>
        <v/>
      </c>
      <c r="AD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46310</v>
      </c>
      <c r="F46" t="inlineStr">
        <is>
          <t>SÖDERMANLANDS LÄN</t>
        </is>
      </c>
      <c r="G46" t="inlineStr">
        <is>
          <t>FLEN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Gullpudra
Bäckbräsma
Hultbräken</t>
        </is>
      </c>
      <c r="W46">
        <f>HYPERLINK("https://klasma.github.io/Logging_0482/artfynd/A 9512-2026 artfynd.xlsx", "A 9512-2026")</f>
        <v/>
      </c>
      <c r="X46">
        <f>HYPERLINK("https://klasma.github.io/Logging_0482/kartor/A 9512-2026 karta.png", "A 9512-2026")</f>
        <v/>
      </c>
      <c r="Y46">
        <f>HYPERLINK("https://klasma.github.io/Logging_0482/kartor_geotiff/A 9512-2026 georefererad karta.tif", "A 9512-2026")</f>
        <v/>
      </c>
      <c r="AA46">
        <f>HYPERLINK("https://klasma.github.io/Logging_0482/klagomål/A 9512-2026 FSC-klagomål.docx", "A 9512-2026")</f>
        <v/>
      </c>
      <c r="AB46">
        <f>HYPERLINK("https://klasma.github.io/Logging_0482/klagomålsmail/A 9512-2026 FSC-klagomål mail.docx", "A 9512-2026")</f>
        <v/>
      </c>
      <c r="AC46">
        <f>HYPERLINK("https://klasma.github.io/Logging_0482/tillsyn/A 9512-2026 tillsynsbegäran.docx", "A 9512-2026")</f>
        <v/>
      </c>
      <c r="AD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46310</v>
      </c>
      <c r="F47" t="inlineStr">
        <is>
          <t>SÖDERMANLANDS LÄN</t>
        </is>
      </c>
      <c r="G47" t="inlineStr">
        <is>
          <t>FLEN</t>
        </is>
      </c>
      <c r="I47" t="n">
        <v>7.4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Blåmossa
Flagellkvastmossa
Tjäder</t>
        </is>
      </c>
      <c r="W47">
        <f>HYPERLINK("https://klasma.github.io/Logging_0482/artfynd/A 9530-2026 artfynd.xlsx", "A 9530-2026")</f>
        <v/>
      </c>
      <c r="X47">
        <f>HYPERLINK("https://klasma.github.io/Logging_0482/kartor/A 9530-2026 karta.png", "A 9530-2026")</f>
        <v/>
      </c>
      <c r="Y47">
        <f>HYPERLINK("https://klasma.github.io/Logging_0482/kartor_geotiff/A 9530-2026 georefererad karta.tif", "A 9530-2026")</f>
        <v/>
      </c>
      <c r="AA47">
        <f>HYPERLINK("https://klasma.github.io/Logging_0482/klagomål/A 9530-2026 FSC-klagomål.docx", "A 9530-2026")</f>
        <v/>
      </c>
      <c r="AB47">
        <f>HYPERLINK("https://klasma.github.io/Logging_0482/klagomålsmail/A 9530-2026 FSC-klagomål mail.docx", "A 9530-2026")</f>
        <v/>
      </c>
      <c r="AC47">
        <f>HYPERLINK("https://klasma.github.io/Logging_0482/tillsyn/A 9530-2026 tillsynsbegäran.docx", "A 9530-2026")</f>
        <v/>
      </c>
      <c r="AD47">
        <f>HYPERLINK("https://klasma.github.io/Logging_0482/tillsynsmail/A 9530-2026 tillsynsbegäran mail.docx", "A 9530-2026")</f>
        <v/>
      </c>
      <c r="AE47">
        <f>HYPERLINK("https://klasma.github.io/Logging_0482/fåglar/A 9530-2026 prioriterade fågelarter.docx", "A 9530-2026")</f>
        <v/>
      </c>
    </row>
    <row r="48" ht="15" customHeight="1">
      <c r="A48" t="inlineStr">
        <is>
          <t>A 22839-2025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46310</v>
      </c>
      <c r="F48" t="inlineStr">
        <is>
          <t>SÖDERMANLANDS LÄN</t>
        </is>
      </c>
      <c r="G48" t="inlineStr">
        <is>
          <t>FLEN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Blåsippa
Ekbräken
Missne</t>
        </is>
      </c>
      <c r="W48">
        <f>HYPERLINK("https://klasma.github.io/Logging_0482/artfynd/A 22839-2025 artfynd.xlsx", "A 22839-2025")</f>
        <v/>
      </c>
      <c r="X48">
        <f>HYPERLINK("https://klasma.github.io/Logging_0482/kartor/A 22839-2025 karta.png", "A 22839-2025")</f>
        <v/>
      </c>
      <c r="Y48">
        <f>HYPERLINK("https://klasma.github.io/Logging_0482/kartor_geotiff/A 22839-2025 georefererad karta.tif", "A 22839-2025")</f>
        <v/>
      </c>
      <c r="AA48">
        <f>HYPERLINK("https://klasma.github.io/Logging_0482/klagomål/A 22839-2025 FSC-klagomål.docx", "A 22839-2025")</f>
        <v/>
      </c>
      <c r="AB48">
        <f>HYPERLINK("https://klasma.github.io/Logging_0482/klagomålsmail/A 22839-2025 FSC-klagomål mail.docx", "A 22839-2025")</f>
        <v/>
      </c>
      <c r="AC48">
        <f>HYPERLINK("https://klasma.github.io/Logging_0482/tillsyn/A 22839-2025 tillsynsbegäran.docx", "A 22839-2025")</f>
        <v/>
      </c>
      <c r="AD48">
        <f>HYPERLINK("https://klasma.github.io/Logging_0482/tillsynsmail/A 22839-2025 tillsynsbegäran mail.docx", "A 22839-2025")</f>
        <v/>
      </c>
    </row>
    <row r="49" ht="15" customHeight="1">
      <c r="A49" t="inlineStr">
        <is>
          <t>A 54302-2025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46310</v>
      </c>
      <c r="F49" t="inlineStr">
        <is>
          <t>SÖDERMANLANDS LÄN</t>
        </is>
      </c>
      <c r="G49" t="inlineStr">
        <is>
          <t>FLEN</t>
        </is>
      </c>
      <c r="I49" t="n">
        <v>12.6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2</v>
      </c>
      <c r="V49" s="2" t="inlineStr">
        <is>
          <t>Dofttaggsvamp
Svinrot
Mattlummer</t>
        </is>
      </c>
      <c r="W49">
        <f>HYPERLINK("https://klasma.github.io/Logging_0482/artfynd/A 54302-2025 artfynd.xlsx", "A 54302-2025")</f>
        <v/>
      </c>
      <c r="X49">
        <f>HYPERLINK("https://klasma.github.io/Logging_0482/kartor/A 54302-2025 karta.png", "A 54302-2025")</f>
        <v/>
      </c>
      <c r="Y49">
        <f>HYPERLINK("https://klasma.github.io/Logging_0482/kartor_geotiff/A 54302-2025 georefererad karta.tif", "A 54302-2025")</f>
        <v/>
      </c>
      <c r="AA49">
        <f>HYPERLINK("https://klasma.github.io/Logging_0482/klagomål/A 54302-2025 FSC-klagomål.docx", "A 54302-2025")</f>
        <v/>
      </c>
      <c r="AB49">
        <f>HYPERLINK("https://klasma.github.io/Logging_0482/klagomålsmail/A 54302-2025 FSC-klagomål mail.docx", "A 54302-2025")</f>
        <v/>
      </c>
      <c r="AC49">
        <f>HYPERLINK("https://klasma.github.io/Logging_0482/tillsyn/A 54302-2025 tillsynsbegäran.docx", "A 54302-2025")</f>
        <v/>
      </c>
      <c r="AD49">
        <f>HYPERLINK("https://klasma.github.io/Logging_0482/tillsynsmail/A 54302-2025 tillsynsbegäran mail.docx", "A 54302-2025")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46310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46310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46310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46310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33853-2022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46310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1.9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Gullklöver
Sädesärla
Svart trolldruva</t>
        </is>
      </c>
      <c r="W54">
        <f>HYPERLINK("https://klasma.github.io/Logging_0482/artfynd/A 33853-2022 artfynd.xlsx", "A 33853-2022")</f>
        <v/>
      </c>
      <c r="X54">
        <f>HYPERLINK("https://klasma.github.io/Logging_0482/kartor/A 33853-2022 karta.png", "A 33853-2022")</f>
        <v/>
      </c>
      <c r="Y54">
        <f>HYPERLINK("https://klasma.github.io/Logging_0482/kartor_geotiff/A 33853-2022 georefererad karta.tif", "A 33853-2022")</f>
        <v/>
      </c>
      <c r="AA54">
        <f>HYPERLINK("https://klasma.github.io/Logging_0482/klagomål/A 33853-2022 FSC-klagomål.docx", "A 33853-2022")</f>
        <v/>
      </c>
      <c r="AB54">
        <f>HYPERLINK("https://klasma.github.io/Logging_0482/klagomålsmail/A 33853-2022 FSC-klagomål mail.docx", "A 33853-2022")</f>
        <v/>
      </c>
      <c r="AC54">
        <f>HYPERLINK("https://klasma.github.io/Logging_0482/tillsyn/A 33853-2022 tillsynsbegäran.docx", "A 33853-2022")</f>
        <v/>
      </c>
      <c r="AD54">
        <f>HYPERLINK("https://klasma.github.io/Logging_0482/tillsynsmail/A 33853-2022 tillsynsbegäran mail.docx", "A 33853-2022")</f>
        <v/>
      </c>
      <c r="AE54">
        <f>HYPERLINK("https://klasma.github.io/Logging_0482/fåglar/A 33853-2022 prioriterade fågelarter.docx", "A 33853-2022")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46310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46310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46310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46310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46310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46310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24464-2025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45798</v>
      </c>
      <c r="E61" s="1" t="n">
        <v>46310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1.1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Motaggsvamp
Vedskivlav</t>
        </is>
      </c>
      <c r="W61">
        <f>HYPERLINK("https://klasma.github.io/Logging_0482/artfynd/A 24464-2025 artfynd.xlsx", "A 24464-2025")</f>
        <v/>
      </c>
      <c r="X61">
        <f>HYPERLINK("https://klasma.github.io/Logging_0482/kartor/A 24464-2025 karta.png", "A 24464-2025")</f>
        <v/>
      </c>
      <c r="Y61">
        <f>HYPERLINK("https://klasma.github.io/Logging_0482/kartor_geotiff/A 24464-2025 georefererad karta.tif", "A 24464-2025")</f>
        <v/>
      </c>
      <c r="AA61">
        <f>HYPERLINK("https://klasma.github.io/Logging_0482/klagomål/A 24464-2025 FSC-klagomål.docx", "A 24464-2025")</f>
        <v/>
      </c>
      <c r="AB61">
        <f>HYPERLINK("https://klasma.github.io/Logging_0482/klagomålsmail/A 24464-2025 FSC-klagomål mail.docx", "A 24464-2025")</f>
        <v/>
      </c>
      <c r="AC61">
        <f>HYPERLINK("https://klasma.github.io/Logging_0482/tillsyn/A 24464-2025 tillsynsbegäran.docx", "A 24464-2025")</f>
        <v/>
      </c>
      <c r="AD61">
        <f>HYPERLINK("https://klasma.github.io/Logging_0482/tillsynsmail/A 24464-2025 tillsynsbegäran mail.docx", "A 24464-2025")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46310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8887-2026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46068</v>
      </c>
      <c r="E63" s="1" t="n">
        <v>46310</v>
      </c>
      <c r="F63" t="inlineStr">
        <is>
          <t>SÖDERMANLANDS LÄN</t>
        </is>
      </c>
      <c r="G63" t="inlineStr">
        <is>
          <t>FLEN</t>
        </is>
      </c>
      <c r="I63" t="n">
        <v>2.1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HYPERLINK("https://klasma.github.io/Logging_0482/artfynd/A 8887-2026 artfynd.xlsx", "A 8887-2026")</f>
        <v/>
      </c>
      <c r="X63">
        <f>HYPERLINK("https://klasma.github.io/Logging_0482/kartor/A 8887-2026 karta.png", "A 8887-2026")</f>
        <v/>
      </c>
      <c r="Y63">
        <f>HYPERLINK("https://klasma.github.io/Logging_0482/kartor_geotiff/A 8887-2026 georefererad karta.tif", "A 8887-2026")</f>
        <v/>
      </c>
      <c r="AA63">
        <f>HYPERLINK("https://klasma.github.io/Logging_0482/klagomål/A 8887-2026 FSC-klagomål.docx", "A 8887-2026")</f>
        <v/>
      </c>
      <c r="AB63">
        <f>HYPERLINK("https://klasma.github.io/Logging_0482/klagomålsmail/A 8887-2026 FSC-klagomål mail.docx", "A 8887-2026")</f>
        <v/>
      </c>
      <c r="AC63">
        <f>HYPERLINK("https://klasma.github.io/Logging_0482/tillsyn/A 8887-2026 tillsynsbegäran.docx", "A 8887-2026")</f>
        <v/>
      </c>
      <c r="AD63">
        <f>HYPERLINK("https://klasma.github.io/Logging_0482/tillsynsmail/A 8887-2026 tillsynsbegäran mail.docx", "A 8887-2026")</f>
        <v/>
      </c>
    </row>
    <row r="64" ht="15" customHeight="1">
      <c r="A64" t="inlineStr">
        <is>
          <t>A 32744-2025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45838</v>
      </c>
      <c r="E64" s="1" t="n">
        <v>46310</v>
      </c>
      <c r="F64" t="inlineStr">
        <is>
          <t>SÖDERMANLANDS LÄN</t>
        </is>
      </c>
      <c r="G64" t="inlineStr">
        <is>
          <t>FLEN</t>
        </is>
      </c>
      <c r="I64" t="n">
        <v>1.8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Ekticka
Klasefibbla</t>
        </is>
      </c>
      <c r="W64">
        <f>HYPERLINK("https://klasma.github.io/Logging_0482/artfynd/A 32744-2025 artfynd.xlsx", "A 32744-2025")</f>
        <v/>
      </c>
      <c r="X64">
        <f>HYPERLINK("https://klasma.github.io/Logging_0482/kartor/A 32744-2025 karta.png", "A 32744-2025")</f>
        <v/>
      </c>
      <c r="Y64">
        <f>HYPERLINK("https://klasma.github.io/Logging_0482/kartor_geotiff/A 32744-2025 georefererad karta.tif", "A 32744-2025")</f>
        <v/>
      </c>
      <c r="AA64">
        <f>HYPERLINK("https://klasma.github.io/Logging_0482/klagomål/A 32744-2025 FSC-klagomål.docx", "A 32744-2025")</f>
        <v/>
      </c>
      <c r="AB64">
        <f>HYPERLINK("https://klasma.github.io/Logging_0482/klagomålsmail/A 32744-2025 FSC-klagomål mail.docx", "A 32744-2025")</f>
        <v/>
      </c>
      <c r="AC64">
        <f>HYPERLINK("https://klasma.github.io/Logging_0482/tillsyn/A 32744-2025 tillsynsbegäran.docx", "A 32744-2025")</f>
        <v/>
      </c>
      <c r="AD64">
        <f>HYPERLINK("https://klasma.github.io/Logging_0482/tillsynsmail/A 32744-2025 tillsynsbegäran mail.docx", "A 32744-2025")</f>
        <v/>
      </c>
    </row>
    <row r="65" ht="15" customHeight="1">
      <c r="A65" t="inlineStr">
        <is>
          <t>A 41435-2022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46310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Vitsippa
Gullviva</t>
        </is>
      </c>
      <c r="W65">
        <f>HYPERLINK("https://klasma.github.io/Logging_0482/artfynd/A 41435-2022 artfynd.xlsx", "A 41435-2022")</f>
        <v/>
      </c>
      <c r="X65">
        <f>HYPERLINK("https://klasma.github.io/Logging_0482/kartor/A 41435-2022 karta.png", "A 41435-2022")</f>
        <v/>
      </c>
      <c r="Y65">
        <f>HYPERLINK("https://klasma.github.io/Logging_0482/kartor_geotiff/A 41435-2022 georefererad karta.tif", "A 41435-2022")</f>
        <v/>
      </c>
      <c r="AA65">
        <f>HYPERLINK("https://klasma.github.io/Logging_0482/klagomål/A 41435-2022 FSC-klagomål.docx", "A 41435-2022")</f>
        <v/>
      </c>
      <c r="AB65">
        <f>HYPERLINK("https://klasma.github.io/Logging_0482/klagomålsmail/A 41435-2022 FSC-klagomål mail.docx", "A 41435-2022")</f>
        <v/>
      </c>
      <c r="AC65">
        <f>HYPERLINK("https://klasma.github.io/Logging_0482/tillsyn/A 41435-2022 tillsynsbegäran.docx", "A 41435-2022")</f>
        <v/>
      </c>
      <c r="AD65">
        <f>HYPERLINK("https://klasma.github.io/Logging_0482/tillsynsmail/A 41435-2022 tillsynsbegäran mail.docx", "A 41435-2022")</f>
        <v/>
      </c>
    </row>
    <row r="66" ht="15" customHeight="1">
      <c r="A66" t="inlineStr">
        <is>
          <t>A 52858-2023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46310</v>
      </c>
      <c r="F66" t="inlineStr">
        <is>
          <t>SÖDERMANLANDS LÄN</t>
        </is>
      </c>
      <c r="G66" t="inlineStr">
        <is>
          <t>FLEN</t>
        </is>
      </c>
      <c r="I66" t="n">
        <v>3.6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1</v>
      </c>
      <c r="V66" s="2" t="inlineStr">
        <is>
          <t>Mindre hackspett
Tallticka</t>
        </is>
      </c>
      <c r="W66">
        <f>HYPERLINK("https://klasma.github.io/Logging_0482/artfynd/A 52858-2023 artfynd.xlsx", "A 52858-2023")</f>
        <v/>
      </c>
      <c r="X66">
        <f>HYPERLINK("https://klasma.github.io/Logging_0482/kartor/A 52858-2023 karta.png", "A 52858-2023")</f>
        <v/>
      </c>
      <c r="Y66">
        <f>HYPERLINK("https://klasma.github.io/Logging_0482/kartor_geotiff/A 52858-2023 georefererad karta.tif", "A 52858-2023")</f>
        <v/>
      </c>
      <c r="AA66">
        <f>HYPERLINK("https://klasma.github.io/Logging_0482/klagomål/A 52858-2023 FSC-klagomål.docx", "A 52858-2023")</f>
        <v/>
      </c>
      <c r="AB66">
        <f>HYPERLINK("https://klasma.github.io/Logging_0482/klagomålsmail/A 52858-2023 FSC-klagomål mail.docx", "A 52858-2023")</f>
        <v/>
      </c>
      <c r="AC66">
        <f>HYPERLINK("https://klasma.github.io/Logging_0482/tillsyn/A 52858-2023 tillsynsbegäran.docx", "A 52858-2023")</f>
        <v/>
      </c>
      <c r="AD66">
        <f>HYPERLINK("https://klasma.github.io/Logging_0482/tillsynsmail/A 52858-2023 tillsynsbegäran mail.docx", "A 52858-2023")</f>
        <v/>
      </c>
      <c r="AE66">
        <f>HYPERLINK("https://klasma.github.io/Logging_0482/fåglar/A 52858-2023 prioriterade fågelarter.docx", "A 52858-2023")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46310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46310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35278-2022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46310</v>
      </c>
      <c r="F69" t="inlineStr">
        <is>
          <t>SÖDERMANLANDS LÄN</t>
        </is>
      </c>
      <c r="G69" t="inlineStr">
        <is>
          <t>FLEN</t>
        </is>
      </c>
      <c r="I69" t="n">
        <v>2.3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2</v>
      </c>
      <c r="V69" s="2" t="inlineStr">
        <is>
          <t>Igelkott
Grönvit nattviol</t>
        </is>
      </c>
      <c r="W69">
        <f>HYPERLINK("https://klasma.github.io/Logging_0482/artfynd/A 35278-2022 artfynd.xlsx", "A 35278-2022")</f>
        <v/>
      </c>
      <c r="X69">
        <f>HYPERLINK("https://klasma.github.io/Logging_0482/kartor/A 35278-2022 karta.png", "A 35278-2022")</f>
        <v/>
      </c>
      <c r="Y69">
        <f>HYPERLINK("https://klasma.github.io/Logging_0482/kartor_geotiff/A 35278-2022 georefererad karta.tif", "A 35278-2022")</f>
        <v/>
      </c>
      <c r="AA69">
        <f>HYPERLINK("https://klasma.github.io/Logging_0482/klagomål/A 35278-2022 FSC-klagomål.docx", "A 35278-2022")</f>
        <v/>
      </c>
      <c r="AB69">
        <f>HYPERLINK("https://klasma.github.io/Logging_0482/klagomålsmail/A 35278-2022 FSC-klagomål mail.docx", "A 35278-2022")</f>
        <v/>
      </c>
      <c r="AC69">
        <f>HYPERLINK("https://klasma.github.io/Logging_0482/tillsyn/A 35278-2022 tillsynsbegäran.docx", "A 35278-2022")</f>
        <v/>
      </c>
      <c r="AD69">
        <f>HYPERLINK("https://klasma.github.io/Logging_0482/tillsynsmail/A 35278-2022 tillsynsbegäran mail.docx", "A 35278-2022")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46310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7506-2023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44971</v>
      </c>
      <c r="E71" s="1" t="n">
        <v>46310</v>
      </c>
      <c r="F71" t="inlineStr">
        <is>
          <t>SÖDERMANLANDS LÄN</t>
        </is>
      </c>
      <c r="G71" t="inlineStr">
        <is>
          <t>FLEN</t>
        </is>
      </c>
      <c r="I71" t="n">
        <v>3.3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Svinrot</t>
        </is>
      </c>
      <c r="W71">
        <f>HYPERLINK("https://klasma.github.io/Logging_0482/artfynd/A 7506-2023 artfynd.xlsx", "A 7506-2023")</f>
        <v/>
      </c>
      <c r="X71">
        <f>HYPERLINK("https://klasma.github.io/Logging_0482/kartor/A 7506-2023 karta.png", "A 7506-2023")</f>
        <v/>
      </c>
      <c r="Y71">
        <f>HYPERLINK("https://klasma.github.io/Logging_0482/kartor_geotiff/A 7506-2023 georefererad karta.tif", "A 7506-2023")</f>
        <v/>
      </c>
      <c r="AA71">
        <f>HYPERLINK("https://klasma.github.io/Logging_0482/klagomål/A 7506-2023 FSC-klagomål.docx", "A 7506-2023")</f>
        <v/>
      </c>
      <c r="AB71">
        <f>HYPERLINK("https://klasma.github.io/Logging_0482/klagomålsmail/A 7506-2023 FSC-klagomål mail.docx", "A 7506-2023")</f>
        <v/>
      </c>
      <c r="AC71">
        <f>HYPERLINK("https://klasma.github.io/Logging_0482/tillsyn/A 7506-2023 tillsynsbegäran.docx", "A 7506-2023")</f>
        <v/>
      </c>
      <c r="AD71">
        <f>HYPERLINK("https://klasma.github.io/Logging_0482/tillsynsmail/A 7506-2023 tillsynsbegäran mail.docx", "A 7506-2023")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46310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22101-2023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45068</v>
      </c>
      <c r="E73" s="1" t="n">
        <v>46310</v>
      </c>
      <c r="F73" t="inlineStr">
        <is>
          <t>SÖDERMANLANDS LÄN</t>
        </is>
      </c>
      <c r="G73" t="inlineStr">
        <is>
          <t>FLEN</t>
        </is>
      </c>
      <c r="I73" t="n">
        <v>2.7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Bombmurkla
Blåsippa</t>
        </is>
      </c>
      <c r="W73">
        <f>HYPERLINK("https://klasma.github.io/Logging_0482/artfynd/A 22101-2023 artfynd.xlsx", "A 22101-2023")</f>
        <v/>
      </c>
      <c r="X73">
        <f>HYPERLINK("https://klasma.github.io/Logging_0482/kartor/A 22101-2023 karta.png", "A 22101-2023")</f>
        <v/>
      </c>
      <c r="Y73">
        <f>HYPERLINK("https://klasma.github.io/Logging_0482/kartor_geotiff/A 22101-2023 georefererad karta.tif", "A 22101-2023")</f>
        <v/>
      </c>
      <c r="AA73">
        <f>HYPERLINK("https://klasma.github.io/Logging_0482/klagomål/A 22101-2023 FSC-klagomål.docx", "A 22101-2023")</f>
        <v/>
      </c>
      <c r="AB73">
        <f>HYPERLINK("https://klasma.github.io/Logging_0482/klagomålsmail/A 22101-2023 FSC-klagomål mail.docx", "A 22101-2023")</f>
        <v/>
      </c>
      <c r="AC73">
        <f>HYPERLINK("https://klasma.github.io/Logging_0482/tillsyn/A 22101-2023 tillsynsbegäran.docx", "A 22101-2023")</f>
        <v/>
      </c>
      <c r="AD73">
        <f>HYPERLINK("https://klasma.github.io/Logging_0482/tillsynsmail/A 22101-2023 tillsynsbegäran mail.docx", "A 22101-2023")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46310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5852-2022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46310</v>
      </c>
      <c r="F75" t="inlineStr">
        <is>
          <t>SÖDERMANLANDS LÄN</t>
        </is>
      </c>
      <c r="G75" t="inlineStr">
        <is>
          <t>FLEN</t>
        </is>
      </c>
      <c r="I75" t="n">
        <v>2.6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Kamjordstjärna
Gullviva</t>
        </is>
      </c>
      <c r="W75">
        <f>HYPERLINK("https://klasma.github.io/Logging_0482/artfynd/A 5852-2022 artfynd.xlsx", "A 5852-2022")</f>
        <v/>
      </c>
      <c r="X75">
        <f>HYPERLINK("https://klasma.github.io/Logging_0482/kartor/A 5852-2022 karta.png", "A 5852-2022")</f>
        <v/>
      </c>
      <c r="Y75">
        <f>HYPERLINK("https://klasma.github.io/Logging_0482/kartor_geotiff/A 5852-2022 georefererad karta.tif", "A 5852-2022")</f>
        <v/>
      </c>
      <c r="AA75">
        <f>HYPERLINK("https://klasma.github.io/Logging_0482/klagomål/A 5852-2022 FSC-klagomål.docx", "A 5852-2022")</f>
        <v/>
      </c>
      <c r="AB75">
        <f>HYPERLINK("https://klasma.github.io/Logging_0482/klagomålsmail/A 5852-2022 FSC-klagomål mail.docx", "A 5852-2022")</f>
        <v/>
      </c>
      <c r="AC75">
        <f>HYPERLINK("https://klasma.github.io/Logging_0482/tillsyn/A 5852-2022 tillsynsbegäran.docx", "A 5852-2022")</f>
        <v/>
      </c>
      <c r="AD75">
        <f>HYPERLINK("https://klasma.github.io/Logging_0482/tillsynsmail/A 5852-2022 tillsynsbegäran mail.docx", "A 5852-2022")</f>
        <v/>
      </c>
    </row>
    <row r="76" ht="15" customHeight="1">
      <c r="A76" t="inlineStr">
        <is>
          <t>A 39240-2023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46310</v>
      </c>
      <c r="F76" t="inlineStr">
        <is>
          <t>SÖDERMANLANDS LÄN</t>
        </is>
      </c>
      <c r="G76" t="inlineStr">
        <is>
          <t>FLEN</t>
        </is>
      </c>
      <c r="H76" t="inlineStr">
        <is>
          <t>Holmen skog AB</t>
        </is>
      </c>
      <c r="I76" t="n">
        <v>4.6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Motaggsvamp
Blodticka</t>
        </is>
      </c>
      <c r="W76">
        <f>HYPERLINK("https://klasma.github.io/Logging_0482/artfynd/A 39240-2023 artfynd.xlsx", "A 39240-2023")</f>
        <v/>
      </c>
      <c r="X76">
        <f>HYPERLINK("https://klasma.github.io/Logging_0482/kartor/A 39240-2023 karta.png", "A 39240-2023")</f>
        <v/>
      </c>
      <c r="Y76">
        <f>HYPERLINK("https://klasma.github.io/Logging_0482/kartor_geotiff/A 39240-2023 georefererad karta.tif", "A 39240-2023")</f>
        <v/>
      </c>
      <c r="AA76">
        <f>HYPERLINK("https://klasma.github.io/Logging_0482/klagomål/A 39240-2023 FSC-klagomål.docx", "A 39240-2023")</f>
        <v/>
      </c>
      <c r="AB76">
        <f>HYPERLINK("https://klasma.github.io/Logging_0482/klagomålsmail/A 39240-2023 FSC-klagomål mail.docx", "A 39240-2023")</f>
        <v/>
      </c>
      <c r="AC76">
        <f>HYPERLINK("https://klasma.github.io/Logging_0482/tillsyn/A 39240-2023 tillsynsbegäran.docx", "A 39240-2023")</f>
        <v/>
      </c>
      <c r="AD76">
        <f>HYPERLINK("https://klasma.github.io/Logging_0482/tillsynsmail/A 39240-2023 tillsynsbegäran mail.docx", "A 39240-2023")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46310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46310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22511-2026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46310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Ormbär
Skriftlav</t>
        </is>
      </c>
      <c r="W79">
        <f>HYPERLINK("https://klasma.github.io/Logging_0482/artfynd/A 22511-2026 artfynd.xlsx", "A 22511-2026")</f>
        <v/>
      </c>
      <c r="X79">
        <f>HYPERLINK("https://klasma.github.io/Logging_0482/kartor/A 22511-2026 karta.png", "A 22511-2026")</f>
        <v/>
      </c>
      <c r="Y79">
        <f>HYPERLINK("https://klasma.github.io/Logging_0482/kartor_geotiff/A 22511-2026 georefererad karta.tif", "A 22511-2026")</f>
        <v/>
      </c>
      <c r="AA79">
        <f>HYPERLINK("https://klasma.github.io/Logging_0482/klagomål/A 22511-2026 FSC-klagomål.docx", "A 22511-2026")</f>
        <v/>
      </c>
      <c r="AB79">
        <f>HYPERLINK("https://klasma.github.io/Logging_0482/klagomålsmail/A 22511-2026 FSC-klagomål mail.docx", "A 22511-2026")</f>
        <v/>
      </c>
      <c r="AC79">
        <f>HYPERLINK("https://klasma.github.io/Logging_0482/tillsyn/A 22511-2026 tillsynsbegäran.docx", "A 22511-2026")</f>
        <v/>
      </c>
      <c r="AD79">
        <f>HYPERLINK("https://klasma.github.io/Logging_0482/tillsynsmail/A 22511-2026 tillsynsbegäran mail.docx", "A 22511-2026")</f>
        <v/>
      </c>
    </row>
    <row r="80" ht="15" customHeight="1">
      <c r="A80" t="inlineStr">
        <is>
          <t>A 10825-2022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46310</v>
      </c>
      <c r="F80" t="inlineStr">
        <is>
          <t>SÖDERMANLANDS LÄN</t>
        </is>
      </c>
      <c r="G80" t="inlineStr">
        <is>
          <t>FLEN</t>
        </is>
      </c>
      <c r="I80" t="n">
        <v>4.7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Svinrot
Vanlig backsmörblomma</t>
        </is>
      </c>
      <c r="W80">
        <f>HYPERLINK("https://klasma.github.io/Logging_0482/artfynd/A 10825-2022 artfynd.xlsx", "A 10825-2022")</f>
        <v/>
      </c>
      <c r="X80">
        <f>HYPERLINK("https://klasma.github.io/Logging_0482/kartor/A 10825-2022 karta.png", "A 10825-2022")</f>
        <v/>
      </c>
      <c r="Y80">
        <f>HYPERLINK("https://klasma.github.io/Logging_0482/kartor_geotiff/A 10825-2022 georefererad karta.tif", "A 10825-2022")</f>
        <v/>
      </c>
      <c r="AA80">
        <f>HYPERLINK("https://klasma.github.io/Logging_0482/klagomål/A 10825-2022 FSC-klagomål.docx", "A 10825-2022")</f>
        <v/>
      </c>
      <c r="AB80">
        <f>HYPERLINK("https://klasma.github.io/Logging_0482/klagomålsmail/A 10825-2022 FSC-klagomål mail.docx", "A 10825-2022")</f>
        <v/>
      </c>
      <c r="AC80">
        <f>HYPERLINK("https://klasma.github.io/Logging_0482/tillsyn/A 10825-2022 tillsynsbegäran.docx", "A 10825-2022")</f>
        <v/>
      </c>
      <c r="AD80">
        <f>HYPERLINK("https://klasma.github.io/Logging_0482/tillsynsmail/A 10825-2022 tillsynsbegäran mail.docx", "A 10825-2022")</f>
        <v/>
      </c>
    </row>
    <row r="81" ht="15" customHeight="1">
      <c r="A81" t="inlineStr">
        <is>
          <t>A 11103-2023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46310</v>
      </c>
      <c r="F81" t="inlineStr">
        <is>
          <t>SÖDERMANLANDS LÄN</t>
        </is>
      </c>
      <c r="G81" t="inlineStr">
        <is>
          <t>FLEN</t>
        </is>
      </c>
      <c r="I81" t="n">
        <v>8.9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Ask
Blåmossa</t>
        </is>
      </c>
      <c r="W81">
        <f>HYPERLINK("https://klasma.github.io/Logging_0482/artfynd/A 11103-2023 artfynd.xlsx", "A 11103-2023")</f>
        <v/>
      </c>
      <c r="X81">
        <f>HYPERLINK("https://klasma.github.io/Logging_0482/kartor/A 11103-2023 karta.png", "A 11103-2023")</f>
        <v/>
      </c>
      <c r="Y81">
        <f>HYPERLINK("https://klasma.github.io/Logging_0482/kartor_geotiff/A 11103-2023 georefererad karta.tif", "A 11103-2023")</f>
        <v/>
      </c>
      <c r="AA81">
        <f>HYPERLINK("https://klasma.github.io/Logging_0482/klagomål/A 11103-2023 FSC-klagomål.docx", "A 11103-2023")</f>
        <v/>
      </c>
      <c r="AB81">
        <f>HYPERLINK("https://klasma.github.io/Logging_0482/klagomålsmail/A 11103-2023 FSC-klagomål mail.docx", "A 11103-2023")</f>
        <v/>
      </c>
      <c r="AC81">
        <f>HYPERLINK("https://klasma.github.io/Logging_0482/tillsyn/A 11103-2023 tillsynsbegäran.docx", "A 11103-2023")</f>
        <v/>
      </c>
      <c r="AD81">
        <f>HYPERLINK("https://klasma.github.io/Logging_0482/tillsynsmail/A 11103-2023 tillsynsbegäran mail.docx", "A 11103-2023")</f>
        <v/>
      </c>
    </row>
    <row r="82" ht="15" customHeight="1">
      <c r="A82" t="inlineStr">
        <is>
          <t>A 34849-2026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46310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5</v>
      </c>
      <c r="U82" t="n">
        <v>0</v>
      </c>
      <c r="V82" s="2" t="inlineStr">
        <is>
          <t>Motaggsvamp
Vedskivlav</t>
        </is>
      </c>
      <c r="W82">
        <f>HYPERLINK("https://klasma.github.io/Logging_0482/artfynd/A 34849-2026 artfynd.xlsx", "A 34849-2026")</f>
        <v/>
      </c>
      <c r="X82">
        <f>HYPERLINK("https://klasma.github.io/Logging_0482/kartor/A 34849-2026 karta.png", "A 34849-2026")</f>
        <v/>
      </c>
      <c r="Y82">
        <f>HYPERLINK("https://klasma.github.io/Logging_0482/kartor_geotiff/A 34849-2026 georefererad karta.tif", "A 34849-2026")</f>
        <v/>
      </c>
      <c r="AA82">
        <f>HYPERLINK("https://klasma.github.io/Logging_0482/klagomål/A 34849-2026 FSC-klagomål.docx", "A 34849-2026")</f>
        <v/>
      </c>
      <c r="AB82">
        <f>HYPERLINK("https://klasma.github.io/Logging_0482/klagomålsmail/A 34849-2026 FSC-klagomål mail.docx", "A 34849-2026")</f>
        <v/>
      </c>
      <c r="AC82">
        <f>HYPERLINK("https://klasma.github.io/Logging_0482/tillsyn/A 34849-2026 tillsynsbegäran.docx", "A 34849-2026")</f>
        <v/>
      </c>
      <c r="AD82">
        <f>HYPERLINK("https://klasma.github.io/Logging_0482/tillsynsmail/A 34849-2026 tillsynsbegäran mail.docx", "A 34849-2026")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46310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46310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46310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46310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46310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43008-2023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45182</v>
      </c>
      <c r="E88" s="1" t="n">
        <v>46310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Gullklöver</t>
        </is>
      </c>
      <c r="W88">
        <f>HYPERLINK("https://klasma.github.io/Logging_0482/artfynd/A 43008-2023 artfynd.xlsx", "A 43008-2023")</f>
        <v/>
      </c>
      <c r="X88">
        <f>HYPERLINK("https://klasma.github.io/Logging_0482/kartor/A 43008-2023 karta.png", "A 43008-2023")</f>
        <v/>
      </c>
      <c r="Y88">
        <f>HYPERLINK("https://klasma.github.io/Logging_0482/kartor_geotiff/A 43008-2023 georefererad karta.tif", "A 43008-2023")</f>
        <v/>
      </c>
      <c r="AA88">
        <f>HYPERLINK("https://klasma.github.io/Logging_0482/klagomål/A 43008-2023 FSC-klagomål.docx", "A 43008-2023")</f>
        <v/>
      </c>
      <c r="AB88">
        <f>HYPERLINK("https://klasma.github.io/Logging_0482/klagomålsmail/A 43008-2023 FSC-klagomål mail.docx", "A 43008-2023")</f>
        <v/>
      </c>
      <c r="AC88">
        <f>HYPERLINK("https://klasma.github.io/Logging_0482/tillsyn/A 43008-2023 tillsynsbegäran.docx", "A 43008-2023")</f>
        <v/>
      </c>
      <c r="AD88">
        <f>HYPERLINK("https://klasma.github.io/Logging_0482/tillsynsmail/A 43008-2023 tillsynsbegäran mail.docx", "A 43008-2023")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46310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34823-2023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46310</v>
      </c>
      <c r="F90" t="inlineStr">
        <is>
          <t>SÖDERMANLANDS LÄN</t>
        </is>
      </c>
      <c r="G90" t="inlineStr">
        <is>
          <t>FLEN</t>
        </is>
      </c>
      <c r="I90" t="n">
        <v>1.3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dunört</t>
        </is>
      </c>
      <c r="W90">
        <f>HYPERLINK("https://klasma.github.io/Logging_0482/artfynd/A 34823-2023 artfynd.xlsx", "A 34823-2023")</f>
        <v/>
      </c>
      <c r="X90">
        <f>HYPERLINK("https://klasma.github.io/Logging_0482/kartor/A 34823-2023 karta.png", "A 34823-2023")</f>
        <v/>
      </c>
      <c r="Y90">
        <f>HYPERLINK("https://klasma.github.io/Logging_0482/kartor_geotiff/A 34823-2023 georefererad karta.tif", "A 34823-2023")</f>
        <v/>
      </c>
      <c r="AA90">
        <f>HYPERLINK("https://klasma.github.io/Logging_0482/klagomål/A 34823-2023 FSC-klagomål.docx", "A 34823-2023")</f>
        <v/>
      </c>
      <c r="AB90">
        <f>HYPERLINK("https://klasma.github.io/Logging_0482/klagomålsmail/A 34823-2023 FSC-klagomål mail.docx", "A 34823-2023")</f>
        <v/>
      </c>
      <c r="AC90">
        <f>HYPERLINK("https://klasma.github.io/Logging_0482/tillsyn/A 34823-2023 tillsynsbegäran.docx", "A 34823-2023")</f>
        <v/>
      </c>
      <c r="AD90">
        <f>HYPERLINK("https://klasma.github.io/Logging_0482/tillsynsmail/A 34823-2023 tillsynsbegäran mail.docx", "A 34823-2023")</f>
        <v/>
      </c>
    </row>
    <row r="91" ht="15" customHeight="1">
      <c r="A91" t="inlineStr">
        <is>
          <t>A 31972-2024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46310</v>
      </c>
      <c r="F91" t="inlineStr">
        <is>
          <t>SÖDERMANLANDS LÄN</t>
        </is>
      </c>
      <c r="G91" t="inlineStr">
        <is>
          <t>FLEN</t>
        </is>
      </c>
      <c r="I91" t="n">
        <v>3.4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Åkerrödtoppa</t>
        </is>
      </c>
      <c r="W91">
        <f>HYPERLINK("https://klasma.github.io/Logging_0482/artfynd/A 31972-2024 artfynd.xlsx", "A 31972-2024")</f>
        <v/>
      </c>
      <c r="X91">
        <f>HYPERLINK("https://klasma.github.io/Logging_0482/kartor/A 31972-2024 karta.png", "A 31972-2024")</f>
        <v/>
      </c>
      <c r="Y91">
        <f>HYPERLINK("https://klasma.github.io/Logging_0482/kartor_geotiff/A 31972-2024 georefererad karta.tif", "A 31972-2024")</f>
        <v/>
      </c>
      <c r="AA91">
        <f>HYPERLINK("https://klasma.github.io/Logging_0482/klagomål/A 31972-2024 FSC-klagomål.docx", "A 31972-2024")</f>
        <v/>
      </c>
      <c r="AB91">
        <f>HYPERLINK("https://klasma.github.io/Logging_0482/klagomålsmail/A 31972-2024 FSC-klagomål mail.docx", "A 31972-2024")</f>
        <v/>
      </c>
      <c r="AC91">
        <f>HYPERLINK("https://klasma.github.io/Logging_0482/tillsyn/A 31972-2024 tillsynsbegäran.docx", "A 31972-2024")</f>
        <v/>
      </c>
      <c r="AD91">
        <f>HYPERLINK("https://klasma.github.io/Logging_0482/tillsynsmail/A 31972-2024 tillsynsbegäran mail.docx", "A 31972-2024")</f>
        <v/>
      </c>
    </row>
    <row r="92" ht="15" customHeight="1">
      <c r="A92" t="inlineStr">
        <is>
          <t>A 33024-2022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44785</v>
      </c>
      <c r="E92" s="1" t="n">
        <v>46310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HYPERLINK("https://klasma.github.io/Logging_0482/artfynd/A 33024-2022 artfynd.xlsx", "A 33024-2022")</f>
        <v/>
      </c>
      <c r="X92">
        <f>HYPERLINK("https://klasma.github.io/Logging_0482/kartor/A 33024-2022 karta.png", "A 33024-2022")</f>
        <v/>
      </c>
      <c r="Y92">
        <f>HYPERLINK("https://klasma.github.io/Logging_0482/kartor_geotiff/A 33024-2022 georefererad karta.tif", "A 33024-2022")</f>
        <v/>
      </c>
      <c r="AA92">
        <f>HYPERLINK("https://klasma.github.io/Logging_0482/klagomål/A 33024-2022 FSC-klagomål.docx", "A 33024-2022")</f>
        <v/>
      </c>
      <c r="AB92">
        <f>HYPERLINK("https://klasma.github.io/Logging_0482/klagomålsmail/A 33024-2022 FSC-klagomål mail.docx", "A 33024-2022")</f>
        <v/>
      </c>
      <c r="AC92">
        <f>HYPERLINK("https://klasma.github.io/Logging_0482/tillsyn/A 33024-2022 tillsynsbegäran.docx", "A 33024-2022")</f>
        <v/>
      </c>
      <c r="AD92">
        <f>HYPERLINK("https://klasma.github.io/Logging_0482/tillsynsmail/A 33024-2022 tillsynsbegäran mail.docx", "A 33024-2022")</f>
        <v/>
      </c>
    </row>
    <row r="93" ht="15" customHeight="1">
      <c r="A93" t="inlineStr">
        <is>
          <t>A 34721-2023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45141</v>
      </c>
      <c r="E93" s="1" t="n">
        <v>46310</v>
      </c>
      <c r="F93" t="inlineStr">
        <is>
          <t>SÖDERMANLANDS LÄN</t>
        </is>
      </c>
      <c r="G93" t="inlineStr">
        <is>
          <t>FLEN</t>
        </is>
      </c>
      <c r="I93" t="n">
        <v>4.1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Gullklöver</t>
        </is>
      </c>
      <c r="W93">
        <f>HYPERLINK("https://klasma.github.io/Logging_0482/artfynd/A 34721-2023 artfynd.xlsx", "A 34721-2023")</f>
        <v/>
      </c>
      <c r="X93">
        <f>HYPERLINK("https://klasma.github.io/Logging_0482/kartor/A 34721-2023 karta.png", "A 34721-2023")</f>
        <v/>
      </c>
      <c r="Y93">
        <f>HYPERLINK("https://klasma.github.io/Logging_0482/kartor_geotiff/A 34721-2023 georefererad karta.tif", "A 34721-2023")</f>
        <v/>
      </c>
      <c r="AA93">
        <f>HYPERLINK("https://klasma.github.io/Logging_0482/klagomål/A 34721-2023 FSC-klagomål.docx", "A 34721-2023")</f>
        <v/>
      </c>
      <c r="AB93">
        <f>HYPERLINK("https://klasma.github.io/Logging_0482/klagomålsmail/A 34721-2023 FSC-klagomål mail.docx", "A 34721-2023")</f>
        <v/>
      </c>
      <c r="AC93">
        <f>HYPERLINK("https://klasma.github.io/Logging_0482/tillsyn/A 34721-2023 tillsynsbegäran.docx", "A 34721-2023")</f>
        <v/>
      </c>
      <c r="AD93">
        <f>HYPERLINK("https://klasma.github.io/Logging_0482/tillsynsmail/A 34721-2023 tillsynsbegäran mail.docx", "A 34721-2023")</f>
        <v/>
      </c>
    </row>
    <row r="94" ht="15" customHeight="1">
      <c r="A94" t="inlineStr">
        <is>
          <t>A 66230-2021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46310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66230-2021 artfynd.xlsx", "A 66230-2021")</f>
        <v/>
      </c>
      <c r="X94">
        <f>HYPERLINK("https://klasma.github.io/Logging_0482/kartor/A 66230-2021 karta.png", "A 66230-2021")</f>
        <v/>
      </c>
      <c r="Y94">
        <f>HYPERLINK("https://klasma.github.io/Logging_0482/kartor_geotiff/A 66230-2021 georefererad karta.tif", "A 66230-2021")</f>
        <v/>
      </c>
      <c r="AA94">
        <f>HYPERLINK("https://klasma.github.io/Logging_0482/klagomål/A 66230-2021 FSC-klagomål.docx", "A 66230-2021")</f>
        <v/>
      </c>
      <c r="AB94">
        <f>HYPERLINK("https://klasma.github.io/Logging_0482/klagomålsmail/A 66230-2021 FSC-klagomål mail.docx", "A 66230-2021")</f>
        <v/>
      </c>
      <c r="AC94">
        <f>HYPERLINK("https://klasma.github.io/Logging_0482/tillsyn/A 66230-2021 tillsynsbegäran.docx", "A 66230-2021")</f>
        <v/>
      </c>
      <c r="AD94">
        <f>HYPERLINK("https://klasma.github.io/Logging_0482/tillsynsmail/A 66230-2021 tillsynsbegäran mail.docx", "A 66230-2021")</f>
        <v/>
      </c>
    </row>
    <row r="95" ht="15" customHeight="1">
      <c r="A95" t="inlineStr">
        <is>
          <t>A 54737-2022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44881</v>
      </c>
      <c r="E95" s="1" t="n">
        <v>46310</v>
      </c>
      <c r="F95" t="inlineStr">
        <is>
          <t>SÖDERMANLANDS LÄN</t>
        </is>
      </c>
      <c r="G95" t="inlineStr">
        <is>
          <t>FLEN</t>
        </is>
      </c>
      <c r="I95" t="n">
        <v>5.7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54737-2022 artfynd.xlsx", "A 54737-2022")</f>
        <v/>
      </c>
      <c r="X95">
        <f>HYPERLINK("https://klasma.github.io/Logging_0482/kartor/A 54737-2022 karta.png", "A 54737-2022")</f>
        <v/>
      </c>
      <c r="Y95">
        <f>HYPERLINK("https://klasma.github.io/Logging_0482/kartor_geotiff/A 54737-2022 georefererad karta.tif", "A 54737-2022")</f>
        <v/>
      </c>
      <c r="AA95">
        <f>HYPERLINK("https://klasma.github.io/Logging_0482/klagomål/A 54737-2022 FSC-klagomål.docx", "A 54737-2022")</f>
        <v/>
      </c>
      <c r="AB95">
        <f>HYPERLINK("https://klasma.github.io/Logging_0482/klagomålsmail/A 54737-2022 FSC-klagomål mail.docx", "A 54737-2022")</f>
        <v/>
      </c>
      <c r="AC95">
        <f>HYPERLINK("https://klasma.github.io/Logging_0482/tillsyn/A 54737-2022 tillsynsbegäran.docx", "A 54737-2022")</f>
        <v/>
      </c>
      <c r="AD95">
        <f>HYPERLINK("https://klasma.github.io/Logging_0482/tillsynsmail/A 54737-2022 tillsynsbegäran mail.docx", "A 54737-2022")</f>
        <v/>
      </c>
    </row>
    <row r="96" ht="15" customHeight="1">
      <c r="A96" t="inlineStr">
        <is>
          <t>A 1242-2022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46310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9.300000000000001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Slåtterfibbla</t>
        </is>
      </c>
      <c r="W96">
        <f>HYPERLINK("https://klasma.github.io/Logging_0482/artfynd/A 1242-2022 artfynd.xlsx", "A 1242-2022")</f>
        <v/>
      </c>
      <c r="X96">
        <f>HYPERLINK("https://klasma.github.io/Logging_0482/kartor/A 1242-2022 karta.png", "A 1242-2022")</f>
        <v/>
      </c>
      <c r="Y96">
        <f>HYPERLINK("https://klasma.github.io/Logging_0482/kartor_geotiff/A 1242-2022 georefererad karta.tif", "A 1242-2022")</f>
        <v/>
      </c>
      <c r="AA96">
        <f>HYPERLINK("https://klasma.github.io/Logging_0482/klagomål/A 1242-2022 FSC-klagomål.docx", "A 1242-2022")</f>
        <v/>
      </c>
      <c r="AB96">
        <f>HYPERLINK("https://klasma.github.io/Logging_0482/klagomålsmail/A 1242-2022 FSC-klagomål mail.docx", "A 1242-2022")</f>
        <v/>
      </c>
      <c r="AC96">
        <f>HYPERLINK("https://klasma.github.io/Logging_0482/tillsyn/A 1242-2022 tillsynsbegäran.docx", "A 1242-2022")</f>
        <v/>
      </c>
      <c r="AD96">
        <f>HYPERLINK("https://klasma.github.io/Logging_0482/tillsynsmail/A 1242-2022 tillsynsbegäran mail.docx", "A 1242-2022")</f>
        <v/>
      </c>
    </row>
    <row r="97" ht="15" customHeight="1">
      <c r="A97" t="inlineStr">
        <is>
          <t>A 14101-2025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46310</v>
      </c>
      <c r="F97" t="inlineStr">
        <is>
          <t>SÖDERMANLANDS LÄN</t>
        </is>
      </c>
      <c r="G97" t="inlineStr">
        <is>
          <t>FLEN</t>
        </is>
      </c>
      <c r="H97" t="inlineStr">
        <is>
          <t>Övriga statliga verk och myndigheter</t>
        </is>
      </c>
      <c r="I97" t="n">
        <v>1.3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Motaggsvamp</t>
        </is>
      </c>
      <c r="W97">
        <f>HYPERLINK("https://klasma.github.io/Logging_0482/artfynd/A 14101-2025 artfynd.xlsx", "A 14101-2025")</f>
        <v/>
      </c>
      <c r="X97">
        <f>HYPERLINK("https://klasma.github.io/Logging_0482/kartor/A 14101-2025 karta.png", "A 14101-2025")</f>
        <v/>
      </c>
      <c r="Y97">
        <f>HYPERLINK("https://klasma.github.io/Logging_0482/kartor_geotiff/A 14101-2025 georefererad karta.tif", "A 14101-2025")</f>
        <v/>
      </c>
      <c r="AA97">
        <f>HYPERLINK("https://klasma.github.io/Logging_0482/klagomål/A 14101-2025 FSC-klagomål.docx", "A 14101-2025")</f>
        <v/>
      </c>
      <c r="AB97">
        <f>HYPERLINK("https://klasma.github.io/Logging_0482/klagomålsmail/A 14101-2025 FSC-klagomål mail.docx", "A 14101-2025")</f>
        <v/>
      </c>
      <c r="AC97">
        <f>HYPERLINK("https://klasma.github.io/Logging_0482/tillsyn/A 14101-2025 tillsynsbegäran.docx", "A 14101-2025")</f>
        <v/>
      </c>
      <c r="AD97">
        <f>HYPERLINK("https://klasma.github.io/Logging_0482/tillsynsmail/A 14101-2025 tillsynsbegäran mail.docx", "A 14101-2025")</f>
        <v/>
      </c>
    </row>
    <row r="98" ht="15" customHeight="1">
      <c r="A98" t="inlineStr">
        <is>
          <t>A 13858-2023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45007</v>
      </c>
      <c r="E98" s="1" t="n">
        <v>46310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Svedjenäva</t>
        </is>
      </c>
      <c r="W98">
        <f>HYPERLINK("https://klasma.github.io/Logging_0482/artfynd/A 13858-2023 artfynd.xlsx", "A 13858-2023")</f>
        <v/>
      </c>
      <c r="X98">
        <f>HYPERLINK("https://klasma.github.io/Logging_0482/kartor/A 13858-2023 karta.png", "A 13858-2023")</f>
        <v/>
      </c>
      <c r="Y98">
        <f>HYPERLINK("https://klasma.github.io/Logging_0482/kartor_geotiff/A 13858-2023 georefererad karta.tif", "A 13858-2023")</f>
        <v/>
      </c>
      <c r="AA98">
        <f>HYPERLINK("https://klasma.github.io/Logging_0482/klagomål/A 13858-2023 FSC-klagomål.docx", "A 13858-2023")</f>
        <v/>
      </c>
      <c r="AB98">
        <f>HYPERLINK("https://klasma.github.io/Logging_0482/klagomålsmail/A 13858-2023 FSC-klagomål mail.docx", "A 13858-2023")</f>
        <v/>
      </c>
      <c r="AC98">
        <f>HYPERLINK("https://klasma.github.io/Logging_0482/tillsyn/A 13858-2023 tillsynsbegäran.docx", "A 13858-2023")</f>
        <v/>
      </c>
      <c r="AD98">
        <f>HYPERLINK("https://klasma.github.io/Logging_0482/tillsynsmail/A 13858-2023 tillsynsbegäran mail.docx", "A 13858-2023")</f>
        <v/>
      </c>
    </row>
    <row r="99" ht="15" customHeight="1">
      <c r="A99" t="inlineStr">
        <is>
          <t>A 37317-2023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45156</v>
      </c>
      <c r="E99" s="1" t="n">
        <v>46310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5.1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Svavelriska</t>
        </is>
      </c>
      <c r="W99">
        <f>HYPERLINK("https://klasma.github.io/Logging_0482/artfynd/A 37317-2023 artfynd.xlsx", "A 37317-2023")</f>
        <v/>
      </c>
      <c r="X99">
        <f>HYPERLINK("https://klasma.github.io/Logging_0482/kartor/A 37317-2023 karta.png", "A 37317-2023")</f>
        <v/>
      </c>
      <c r="Y99">
        <f>HYPERLINK("https://klasma.github.io/Logging_0482/kartor_geotiff/A 37317-2023 georefererad karta.tif", "A 37317-2023")</f>
        <v/>
      </c>
      <c r="AA99">
        <f>HYPERLINK("https://klasma.github.io/Logging_0482/klagomål/A 37317-2023 FSC-klagomål.docx", "A 37317-2023")</f>
        <v/>
      </c>
      <c r="AB99">
        <f>HYPERLINK("https://klasma.github.io/Logging_0482/klagomålsmail/A 37317-2023 FSC-klagomål mail.docx", "A 37317-2023")</f>
        <v/>
      </c>
      <c r="AC99">
        <f>HYPERLINK("https://klasma.github.io/Logging_0482/tillsyn/A 37317-2023 tillsynsbegäran.docx", "A 37317-2023")</f>
        <v/>
      </c>
      <c r="AD99">
        <f>HYPERLINK("https://klasma.github.io/Logging_0482/tillsynsmail/A 37317-2023 tillsynsbegäran mail.docx", "A 37317-2023")</f>
        <v/>
      </c>
    </row>
    <row r="100" ht="15" customHeight="1">
      <c r="A100" t="inlineStr">
        <is>
          <t>A 47581-2025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46310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47581-2025 artfynd.xlsx", "A 47581-2025")</f>
        <v/>
      </c>
      <c r="X100">
        <f>HYPERLINK("https://klasma.github.io/Logging_0482/kartor/A 47581-2025 karta.png", "A 47581-2025")</f>
        <v/>
      </c>
      <c r="Y100">
        <f>HYPERLINK("https://klasma.github.io/Logging_0482/kartor_geotiff/A 47581-2025 georefererad karta.tif", "A 47581-2025")</f>
        <v/>
      </c>
      <c r="AA100">
        <f>HYPERLINK("https://klasma.github.io/Logging_0482/klagomål/A 47581-2025 FSC-klagomål.docx", "A 47581-2025")</f>
        <v/>
      </c>
      <c r="AB100">
        <f>HYPERLINK("https://klasma.github.io/Logging_0482/klagomålsmail/A 47581-2025 FSC-klagomål mail.docx", "A 47581-2025")</f>
        <v/>
      </c>
      <c r="AC100">
        <f>HYPERLINK("https://klasma.github.io/Logging_0482/tillsyn/A 47581-2025 tillsynsbegäran.docx", "A 47581-2025")</f>
        <v/>
      </c>
      <c r="AD100">
        <f>HYPERLINK("https://klasma.github.io/Logging_0482/tillsynsmail/A 47581-2025 tillsynsbegäran mail.docx", "A 47581-2025")</f>
        <v/>
      </c>
    </row>
    <row r="101" ht="15" customHeight="1">
      <c r="A101" t="inlineStr">
        <is>
          <t>A 9446-2026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46310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HYPERLINK("https://klasma.github.io/Logging_0482/artfynd/A 9446-2026 artfynd.xlsx", "A 9446-2026")</f>
        <v/>
      </c>
      <c r="X101">
        <f>HYPERLINK("https://klasma.github.io/Logging_0482/kartor/A 9446-2026 karta.png", "A 9446-2026")</f>
        <v/>
      </c>
      <c r="Y101">
        <f>HYPERLINK("https://klasma.github.io/Logging_0482/kartor_geotiff/A 9446-2026 georefererad karta.tif", "A 9446-2026")</f>
        <v/>
      </c>
      <c r="AA101">
        <f>HYPERLINK("https://klasma.github.io/Logging_0482/klagomål/A 9446-2026 FSC-klagomål.docx", "A 9446-2026")</f>
        <v/>
      </c>
      <c r="AB101">
        <f>HYPERLINK("https://klasma.github.io/Logging_0482/klagomålsmail/A 9446-2026 FSC-klagomål mail.docx", "A 9446-2026")</f>
        <v/>
      </c>
      <c r="AC101">
        <f>HYPERLINK("https://klasma.github.io/Logging_0482/tillsyn/A 9446-2026 tillsynsbegäran.docx", "A 9446-2026")</f>
        <v/>
      </c>
      <c r="AD101">
        <f>HYPERLINK("https://klasma.github.io/Logging_0482/tillsynsmail/A 9446-2026 tillsynsbegäran mail.docx", "A 9446-2026")</f>
        <v/>
      </c>
    </row>
    <row r="102" ht="15" customHeight="1">
      <c r="A102" t="inlineStr">
        <is>
          <t>A 37283-2024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46310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37283-2024 artfynd.xlsx", "A 37283-2024")</f>
        <v/>
      </c>
      <c r="X102">
        <f>HYPERLINK("https://klasma.github.io/Logging_0482/kartor/A 37283-2024 karta.png", "A 37283-2024")</f>
        <v/>
      </c>
      <c r="Y102">
        <f>HYPERLINK("https://klasma.github.io/Logging_0482/kartor_geotiff/A 37283-2024 georefererad karta.tif", "A 37283-2024")</f>
        <v/>
      </c>
      <c r="AA102">
        <f>HYPERLINK("https://klasma.github.io/Logging_0482/klagomål/A 37283-2024 FSC-klagomål.docx", "A 37283-2024")</f>
        <v/>
      </c>
      <c r="AB102">
        <f>HYPERLINK("https://klasma.github.io/Logging_0482/klagomålsmail/A 37283-2024 FSC-klagomål mail.docx", "A 37283-2024")</f>
        <v/>
      </c>
      <c r="AC102">
        <f>HYPERLINK("https://klasma.github.io/Logging_0482/tillsyn/A 37283-2024 tillsynsbegäran.docx", "A 37283-2024")</f>
        <v/>
      </c>
      <c r="AD102">
        <f>HYPERLINK("https://klasma.github.io/Logging_0482/tillsynsmail/A 37283-2024 tillsynsbegäran mail.docx", "A 37283-2024")</f>
        <v/>
      </c>
    </row>
    <row r="103" ht="15" customHeight="1">
      <c r="A103" t="inlineStr">
        <is>
          <t>A 10999-2026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46079</v>
      </c>
      <c r="E103" s="1" t="n">
        <v>46310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HYPERLINK("https://klasma.github.io/Logging_0482/artfynd/A 10999-2026 artfynd.xlsx", "A 10999-2026")</f>
        <v/>
      </c>
      <c r="X103">
        <f>HYPERLINK("https://klasma.github.io/Logging_0482/kartor/A 10999-2026 karta.png", "A 10999-2026")</f>
        <v/>
      </c>
      <c r="Y103">
        <f>HYPERLINK("https://klasma.github.io/Logging_0482/kartor_geotiff/A 10999-2026 georefererad karta.tif", "A 10999-2026")</f>
        <v/>
      </c>
      <c r="AA103">
        <f>HYPERLINK("https://klasma.github.io/Logging_0482/klagomål/A 10999-2026 FSC-klagomål.docx", "A 10999-2026")</f>
        <v/>
      </c>
      <c r="AB103">
        <f>HYPERLINK("https://klasma.github.io/Logging_0482/klagomålsmail/A 10999-2026 FSC-klagomål mail.docx", "A 10999-2026")</f>
        <v/>
      </c>
      <c r="AC103">
        <f>HYPERLINK("https://klasma.github.io/Logging_0482/tillsyn/A 10999-2026 tillsynsbegäran.docx", "A 10999-2026")</f>
        <v/>
      </c>
      <c r="AD103">
        <f>HYPERLINK("https://klasma.github.io/Logging_0482/tillsynsmail/A 10999-2026 tillsynsbegäran mail.docx", "A 10999-2026")</f>
        <v/>
      </c>
    </row>
    <row r="104" ht="15" customHeight="1">
      <c r="A104" t="inlineStr">
        <is>
          <t>A 60529-2024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45643</v>
      </c>
      <c r="E104" s="1" t="n">
        <v>46310</v>
      </c>
      <c r="F104" t="inlineStr">
        <is>
          <t>SÖDERMANLANDS LÄN</t>
        </is>
      </c>
      <c r="G104" t="inlineStr">
        <is>
          <t>FLEN</t>
        </is>
      </c>
      <c r="I104" t="n">
        <v>2.5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Skarp dropptaggsvamp</t>
        </is>
      </c>
      <c r="W104">
        <f>HYPERLINK("https://klasma.github.io/Logging_0482/artfynd/A 60529-2024 artfynd.xlsx", "A 60529-2024")</f>
        <v/>
      </c>
      <c r="X104">
        <f>HYPERLINK("https://klasma.github.io/Logging_0482/kartor/A 60529-2024 karta.png", "A 60529-2024")</f>
        <v/>
      </c>
      <c r="Y104">
        <f>HYPERLINK("https://klasma.github.io/Logging_0482/kartor_geotiff/A 60529-2024 georefererad karta.tif", "A 60529-2024")</f>
        <v/>
      </c>
      <c r="AA104">
        <f>HYPERLINK("https://klasma.github.io/Logging_0482/klagomål/A 60529-2024 FSC-klagomål.docx", "A 60529-2024")</f>
        <v/>
      </c>
      <c r="AB104">
        <f>HYPERLINK("https://klasma.github.io/Logging_0482/klagomålsmail/A 60529-2024 FSC-klagomål mail.docx", "A 60529-2024")</f>
        <v/>
      </c>
      <c r="AC104">
        <f>HYPERLINK("https://klasma.github.io/Logging_0482/tillsyn/A 60529-2024 tillsynsbegäran.docx", "A 60529-2024")</f>
        <v/>
      </c>
      <c r="AD104">
        <f>HYPERLINK("https://klasma.github.io/Logging_0482/tillsynsmail/A 60529-2024 tillsynsbegäran mail.docx", "A 60529-2024")</f>
        <v/>
      </c>
    </row>
    <row r="105" ht="15" customHeight="1">
      <c r="A105" t="inlineStr">
        <is>
          <t>A 7525-2024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45348</v>
      </c>
      <c r="E105" s="1" t="n">
        <v>46310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backsmörblomma</t>
        </is>
      </c>
      <c r="W105">
        <f>HYPERLINK("https://klasma.github.io/Logging_0482/artfynd/A 7525-2024 artfynd.xlsx", "A 7525-2024")</f>
        <v/>
      </c>
      <c r="X105">
        <f>HYPERLINK("https://klasma.github.io/Logging_0482/kartor/A 7525-2024 karta.png", "A 7525-2024")</f>
        <v/>
      </c>
      <c r="Y105">
        <f>HYPERLINK("https://klasma.github.io/Logging_0482/kartor_geotiff/A 7525-2024 georefererad karta.tif", "A 7525-2024")</f>
        <v/>
      </c>
      <c r="AA105">
        <f>HYPERLINK("https://klasma.github.io/Logging_0482/klagomål/A 7525-2024 FSC-klagomål.docx", "A 7525-2024")</f>
        <v/>
      </c>
      <c r="AB105">
        <f>HYPERLINK("https://klasma.github.io/Logging_0482/klagomålsmail/A 7525-2024 FSC-klagomål mail.docx", "A 7525-2024")</f>
        <v/>
      </c>
      <c r="AC105">
        <f>HYPERLINK("https://klasma.github.io/Logging_0482/tillsyn/A 7525-2024 tillsynsbegäran.docx", "A 7525-2024")</f>
        <v/>
      </c>
      <c r="AD105">
        <f>HYPERLINK("https://klasma.github.io/Logging_0482/tillsynsmail/A 7525-2024 tillsynsbegäran mail.docx", "A 7525-2024")</f>
        <v/>
      </c>
    </row>
    <row r="106" ht="15" customHeight="1">
      <c r="A106" t="inlineStr">
        <is>
          <t>A 53339-2023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46310</v>
      </c>
      <c r="F106" t="inlineStr">
        <is>
          <t>SÖDERMANLANDS LÄN</t>
        </is>
      </c>
      <c r="G106" t="inlineStr">
        <is>
          <t>FLEN</t>
        </is>
      </c>
      <c r="I106" t="n">
        <v>1.1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Blåsippa</t>
        </is>
      </c>
      <c r="W106">
        <f>HYPERLINK("https://klasma.github.io/Logging_0482/artfynd/A 53339-2023 artfynd.xlsx", "A 53339-2023")</f>
        <v/>
      </c>
      <c r="X106">
        <f>HYPERLINK("https://klasma.github.io/Logging_0482/kartor/A 53339-2023 karta.png", "A 53339-2023")</f>
        <v/>
      </c>
      <c r="Y106">
        <f>HYPERLINK("https://klasma.github.io/Logging_0482/kartor_geotiff/A 53339-2023 georefererad karta.tif", "A 53339-2023")</f>
        <v/>
      </c>
      <c r="AA106">
        <f>HYPERLINK("https://klasma.github.io/Logging_0482/klagomål/A 53339-2023 FSC-klagomål.docx", "A 53339-2023")</f>
        <v/>
      </c>
      <c r="AB106">
        <f>HYPERLINK("https://klasma.github.io/Logging_0482/klagomålsmail/A 53339-2023 FSC-klagomål mail.docx", "A 53339-2023")</f>
        <v/>
      </c>
      <c r="AC106">
        <f>HYPERLINK("https://klasma.github.io/Logging_0482/tillsyn/A 53339-2023 tillsynsbegäran.docx", "A 53339-2023")</f>
        <v/>
      </c>
      <c r="AD106">
        <f>HYPERLINK("https://klasma.github.io/Logging_0482/tillsynsmail/A 53339-2023 tillsynsbegäran mail.docx", "A 53339-2023")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46310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31427-2022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46310</v>
      </c>
      <c r="F108" t="inlineStr">
        <is>
          <t>SÖDERMANLANDS LÄN</t>
        </is>
      </c>
      <c r="G108" t="inlineStr">
        <is>
          <t>FLEN</t>
        </is>
      </c>
      <c r="I108" t="n">
        <v>3.7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HYPERLINK("https://klasma.github.io/Logging_0482/artfynd/A 31427-2022 artfynd.xlsx", "A 31427-2022")</f>
        <v/>
      </c>
      <c r="X108">
        <f>HYPERLINK("https://klasma.github.io/Logging_0482/kartor/A 31427-2022 karta.png", "A 31427-2022")</f>
        <v/>
      </c>
      <c r="Y108">
        <f>HYPERLINK("https://klasma.github.io/Logging_0482/kartor_geotiff/A 31427-2022 georefererad karta.tif", "A 31427-2022")</f>
        <v/>
      </c>
      <c r="AA108">
        <f>HYPERLINK("https://klasma.github.io/Logging_0482/klagomål/A 31427-2022 FSC-klagomål.docx", "A 31427-2022")</f>
        <v/>
      </c>
      <c r="AB108">
        <f>HYPERLINK("https://klasma.github.io/Logging_0482/klagomålsmail/A 31427-2022 FSC-klagomål mail.docx", "A 31427-2022")</f>
        <v/>
      </c>
      <c r="AC108">
        <f>HYPERLINK("https://klasma.github.io/Logging_0482/tillsyn/A 31427-2022 tillsynsbegäran.docx", "A 31427-2022")</f>
        <v/>
      </c>
      <c r="AD108">
        <f>HYPERLINK("https://klasma.github.io/Logging_0482/tillsynsmail/A 31427-2022 tillsynsbegäran mail.docx", "A 31427-2022")</f>
        <v/>
      </c>
    </row>
    <row r="109" ht="15" customHeight="1">
      <c r="A109" t="inlineStr">
        <is>
          <t>A 14113-2025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46310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3.6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14113-2025 artfynd.xlsx", "A 14113-2025")</f>
        <v/>
      </c>
      <c r="X109">
        <f>HYPERLINK("https://klasma.github.io/Logging_0482/kartor/A 14113-2025 karta.png", "A 14113-2025")</f>
        <v/>
      </c>
      <c r="Y109">
        <f>HYPERLINK("https://klasma.github.io/Logging_0482/kartor_geotiff/A 14113-2025 georefererad karta.tif", "A 14113-2025")</f>
        <v/>
      </c>
      <c r="AA109">
        <f>HYPERLINK("https://klasma.github.io/Logging_0482/klagomål/A 14113-2025 FSC-klagomål.docx", "A 14113-2025")</f>
        <v/>
      </c>
      <c r="AB109">
        <f>HYPERLINK("https://klasma.github.io/Logging_0482/klagomålsmail/A 14113-2025 FSC-klagomål mail.docx", "A 14113-2025")</f>
        <v/>
      </c>
      <c r="AC109">
        <f>HYPERLINK("https://klasma.github.io/Logging_0482/tillsyn/A 14113-2025 tillsynsbegäran.docx", "A 14113-2025")</f>
        <v/>
      </c>
      <c r="AD109">
        <f>HYPERLINK("https://klasma.github.io/Logging_0482/tillsynsmail/A 14113-2025 tillsynsbegäran mail.docx", "A 14113-2025")</f>
        <v/>
      </c>
    </row>
    <row r="110" ht="15" customHeight="1">
      <c r="A110" t="inlineStr">
        <is>
          <t>A 6982-2024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46310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HYPERLINK("https://klasma.github.io/Logging_0482/artfynd/A 6982-2024 artfynd.xlsx", "A 6982-2024")</f>
        <v/>
      </c>
      <c r="X110">
        <f>HYPERLINK("https://klasma.github.io/Logging_0482/kartor/A 6982-2024 karta.png", "A 6982-2024")</f>
        <v/>
      </c>
      <c r="Y110">
        <f>HYPERLINK("https://klasma.github.io/Logging_0482/kartor_geotiff/A 6982-2024 georefererad karta.tif", "A 6982-2024")</f>
        <v/>
      </c>
      <c r="AA110">
        <f>HYPERLINK("https://klasma.github.io/Logging_0482/klagomål/A 6982-2024 FSC-klagomål.docx", "A 6982-2024")</f>
        <v/>
      </c>
      <c r="AB110">
        <f>HYPERLINK("https://klasma.github.io/Logging_0482/klagomålsmail/A 6982-2024 FSC-klagomål mail.docx", "A 6982-2024")</f>
        <v/>
      </c>
      <c r="AC110">
        <f>HYPERLINK("https://klasma.github.io/Logging_0482/tillsyn/A 6982-2024 tillsynsbegäran.docx", "A 6982-2024")</f>
        <v/>
      </c>
      <c r="AD110">
        <f>HYPERLINK("https://klasma.github.io/Logging_0482/tillsynsmail/A 6982-2024 tillsynsbegäran mail.docx", "A 6982-2024")</f>
        <v/>
      </c>
    </row>
    <row r="111" ht="15" customHeight="1">
      <c r="A111" t="inlineStr">
        <is>
          <t>A 2043-2026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46310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2.1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Scharlakansvaxing</t>
        </is>
      </c>
      <c r="W111">
        <f>HYPERLINK("https://klasma.github.io/Logging_0482/artfynd/A 2043-2026 artfynd.xlsx", "A 2043-2026")</f>
        <v/>
      </c>
      <c r="X111">
        <f>HYPERLINK("https://klasma.github.io/Logging_0482/kartor/A 2043-2026 karta.png", "A 2043-2026")</f>
        <v/>
      </c>
      <c r="Y111">
        <f>HYPERLINK("https://klasma.github.io/Logging_0482/kartor_geotiff/A 2043-2026 georefererad karta.tif", "A 2043-2026")</f>
        <v/>
      </c>
      <c r="AA111">
        <f>HYPERLINK("https://klasma.github.io/Logging_0482/klagomål/A 2043-2026 FSC-klagomål.docx", "A 2043-2026")</f>
        <v/>
      </c>
      <c r="AB111">
        <f>HYPERLINK("https://klasma.github.io/Logging_0482/klagomålsmail/A 2043-2026 FSC-klagomål mail.docx", "A 2043-2026")</f>
        <v/>
      </c>
      <c r="AC111">
        <f>HYPERLINK("https://klasma.github.io/Logging_0482/tillsyn/A 2043-2026 tillsynsbegäran.docx", "A 2043-2026")</f>
        <v/>
      </c>
      <c r="AD111">
        <f>HYPERLINK("https://klasma.github.io/Logging_0482/tillsynsmail/A 2043-2026 tillsynsbegäran mail.docx", "A 2043-2026")</f>
        <v/>
      </c>
    </row>
    <row r="112" ht="15" customHeight="1">
      <c r="A112" t="inlineStr">
        <is>
          <t>A 2036-2026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46310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HYPERLINK("https://klasma.github.io/Logging_0482/artfynd/A 2036-2026 artfynd.xlsx", "A 2036-2026")</f>
        <v/>
      </c>
      <c r="X112">
        <f>HYPERLINK("https://klasma.github.io/Logging_0482/kartor/A 2036-2026 karta.png", "A 2036-2026")</f>
        <v/>
      </c>
      <c r="Y112">
        <f>HYPERLINK("https://klasma.github.io/Logging_0482/kartor_geotiff/A 2036-2026 georefererad karta.tif", "A 2036-2026")</f>
        <v/>
      </c>
      <c r="Z112">
        <f>HYPERLINK("https://klasma.github.io/Logging_0482/knärot/A 2036-2026 karta knärot.png", "A 2036-2026")</f>
        <v/>
      </c>
      <c r="AA112">
        <f>HYPERLINK("https://klasma.github.io/Logging_0482/klagomål/A 2036-2026 FSC-klagomål.docx", "A 2036-2026")</f>
        <v/>
      </c>
      <c r="AB112">
        <f>HYPERLINK("https://klasma.github.io/Logging_0482/klagomålsmail/A 2036-2026 FSC-klagomål mail.docx", "A 2036-2026")</f>
        <v/>
      </c>
      <c r="AC112">
        <f>HYPERLINK("https://klasma.github.io/Logging_0482/tillsyn/A 2036-2026 tillsynsbegäran.docx", "A 2036-2026")</f>
        <v/>
      </c>
      <c r="AD112">
        <f>HYPERLINK("https://klasma.github.io/Logging_0482/tillsynsmail/A 2036-2026 tillsynsbegäran mail.docx", "A 2036-2026")</f>
        <v/>
      </c>
    </row>
    <row r="113" ht="15" customHeight="1">
      <c r="A113" t="inlineStr">
        <is>
          <t>A 6714-2026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46310</v>
      </c>
      <c r="F113" t="inlineStr">
        <is>
          <t>SÖDERMANLANDS LÄN</t>
        </is>
      </c>
      <c r="G113" t="inlineStr">
        <is>
          <t>FLEN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HYPERLINK("https://klasma.github.io/Logging_0482/artfynd/A 6714-2026 artfynd.xlsx", "A 6714-2026")</f>
        <v/>
      </c>
      <c r="X113">
        <f>HYPERLINK("https://klasma.github.io/Logging_0482/kartor/A 6714-2026 karta.png", "A 6714-2026")</f>
        <v/>
      </c>
      <c r="Y113">
        <f>HYPERLINK("https://klasma.github.io/Logging_0482/kartor_geotiff/A 6714-2026 georefererad karta.tif", "A 6714-2026")</f>
        <v/>
      </c>
      <c r="AA113">
        <f>HYPERLINK("https://klasma.github.io/Logging_0482/klagomål/A 6714-2026 FSC-klagomål.docx", "A 6714-2026")</f>
        <v/>
      </c>
      <c r="AB113">
        <f>HYPERLINK("https://klasma.github.io/Logging_0482/klagomålsmail/A 6714-2026 FSC-klagomål mail.docx", "A 6714-2026")</f>
        <v/>
      </c>
      <c r="AC113">
        <f>HYPERLINK("https://klasma.github.io/Logging_0482/tillsyn/A 6714-2026 tillsynsbegäran.docx", "A 6714-2026")</f>
        <v/>
      </c>
      <c r="AD113">
        <f>HYPERLINK("https://klasma.github.io/Logging_0482/tillsynsmail/A 6714-2026 tillsynsbegäran mail.docx", "A 6714-2026")</f>
        <v/>
      </c>
    </row>
    <row r="114" ht="15" customHeight="1">
      <c r="A114" t="inlineStr">
        <is>
          <t>A 46987-2024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46310</v>
      </c>
      <c r="F114" t="inlineStr">
        <is>
          <t>SÖDERMANLANDS LÄN</t>
        </is>
      </c>
      <c r="G114" t="inlineStr">
        <is>
          <t>FLEN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Svinrot</t>
        </is>
      </c>
      <c r="W114">
        <f>HYPERLINK("https://klasma.github.io/Logging_0482/artfynd/A 46987-2024 artfynd.xlsx", "A 46987-2024")</f>
        <v/>
      </c>
      <c r="X114">
        <f>HYPERLINK("https://klasma.github.io/Logging_0482/kartor/A 46987-2024 karta.png", "A 46987-2024")</f>
        <v/>
      </c>
      <c r="Y114">
        <f>HYPERLINK("https://klasma.github.io/Logging_0482/kartor_geotiff/A 46987-2024 georefererad karta.tif", "A 46987-2024")</f>
        <v/>
      </c>
      <c r="AA114">
        <f>HYPERLINK("https://klasma.github.io/Logging_0482/klagomål/A 46987-2024 FSC-klagomål.docx", "A 46987-2024")</f>
        <v/>
      </c>
      <c r="AB114">
        <f>HYPERLINK("https://klasma.github.io/Logging_0482/klagomålsmail/A 46987-2024 FSC-klagomål mail.docx", "A 46987-2024")</f>
        <v/>
      </c>
      <c r="AC114">
        <f>HYPERLINK("https://klasma.github.io/Logging_0482/tillsyn/A 46987-2024 tillsynsbegäran.docx", "A 46987-2024")</f>
        <v/>
      </c>
      <c r="AD114">
        <f>HYPERLINK("https://klasma.github.io/Logging_0482/tillsynsmail/A 46987-2024 tillsynsbegäran mail.docx", "A 46987-2024")</f>
        <v/>
      </c>
    </row>
    <row r="115" ht="15" customHeight="1">
      <c r="A115" t="inlineStr">
        <is>
          <t>A 24179-2026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46168</v>
      </c>
      <c r="E115" s="1" t="n">
        <v>46310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24179-2026 artfynd.xlsx", "A 24179-2026")</f>
        <v/>
      </c>
      <c r="X115">
        <f>HYPERLINK("https://klasma.github.io/Logging_0482/kartor/A 24179-2026 karta.png", "A 24179-2026")</f>
        <v/>
      </c>
      <c r="Y115">
        <f>HYPERLINK("https://klasma.github.io/Logging_0482/kartor_geotiff/A 24179-2026 georefererad karta.tif", "A 24179-2026")</f>
        <v/>
      </c>
      <c r="AA115">
        <f>HYPERLINK("https://klasma.github.io/Logging_0482/klagomål/A 24179-2026 FSC-klagomål.docx", "A 24179-2026")</f>
        <v/>
      </c>
      <c r="AB115">
        <f>HYPERLINK("https://klasma.github.io/Logging_0482/klagomålsmail/A 24179-2026 FSC-klagomål mail.docx", "A 24179-2026")</f>
        <v/>
      </c>
      <c r="AC115">
        <f>HYPERLINK("https://klasma.github.io/Logging_0482/tillsyn/A 24179-2026 tillsynsbegäran.docx", "A 24179-2026")</f>
        <v/>
      </c>
      <c r="AD115">
        <f>HYPERLINK("https://klasma.github.io/Logging_0482/tillsynsmail/A 24179-2026 tillsynsbegäran mail.docx", "A 24179-2026")</f>
        <v/>
      </c>
    </row>
    <row r="116" ht="15" customHeight="1">
      <c r="A116" t="inlineStr">
        <is>
          <t>A 10770-2022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46310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Svinrot</t>
        </is>
      </c>
      <c r="W116">
        <f>HYPERLINK("https://klasma.github.io/Logging_0482/artfynd/A 10770-2022 artfynd.xlsx", "A 10770-2022")</f>
        <v/>
      </c>
      <c r="X116">
        <f>HYPERLINK("https://klasma.github.io/Logging_0482/kartor/A 10770-2022 karta.png", "A 10770-2022")</f>
        <v/>
      </c>
      <c r="Y116">
        <f>HYPERLINK("https://klasma.github.io/Logging_0482/kartor_geotiff/A 10770-2022 georefererad karta.tif", "A 10770-2022")</f>
        <v/>
      </c>
      <c r="AA116">
        <f>HYPERLINK("https://klasma.github.io/Logging_0482/klagomål/A 10770-2022 FSC-klagomål.docx", "A 10770-2022")</f>
        <v/>
      </c>
      <c r="AB116">
        <f>HYPERLINK("https://klasma.github.io/Logging_0482/klagomålsmail/A 10770-2022 FSC-klagomål mail.docx", "A 10770-2022")</f>
        <v/>
      </c>
      <c r="AC116">
        <f>HYPERLINK("https://klasma.github.io/Logging_0482/tillsyn/A 10770-2022 tillsynsbegäran.docx", "A 10770-2022")</f>
        <v/>
      </c>
      <c r="AD116">
        <f>HYPERLINK("https://klasma.github.io/Logging_0482/tillsynsmail/A 10770-2022 tillsynsbegäran mail.docx", "A 10770-2022")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46310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39036-2023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46310</v>
      </c>
      <c r="F118" t="inlineStr">
        <is>
          <t>SÖDERMANLANDS LÄN</t>
        </is>
      </c>
      <c r="G118" t="inlineStr">
        <is>
          <t>FLEN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HYPERLINK("https://klasma.github.io/Logging_0482/artfynd/A 39036-2023 artfynd.xlsx", "A 39036-2023")</f>
        <v/>
      </c>
      <c r="X118">
        <f>HYPERLINK("https://klasma.github.io/Logging_0482/kartor/A 39036-2023 karta.png", "A 39036-2023")</f>
        <v/>
      </c>
      <c r="Y118">
        <f>HYPERLINK("https://klasma.github.io/Logging_0482/kartor_geotiff/A 39036-2023 georefererad karta.tif", "A 39036-2023")</f>
        <v/>
      </c>
      <c r="AA118">
        <f>HYPERLINK("https://klasma.github.io/Logging_0482/klagomål/A 39036-2023 FSC-klagomål.docx", "A 39036-2023")</f>
        <v/>
      </c>
      <c r="AB118">
        <f>HYPERLINK("https://klasma.github.io/Logging_0482/klagomålsmail/A 39036-2023 FSC-klagomål mail.docx", "A 39036-2023")</f>
        <v/>
      </c>
      <c r="AC118">
        <f>HYPERLINK("https://klasma.github.io/Logging_0482/tillsyn/A 39036-2023 tillsynsbegäran.docx", "A 39036-2023")</f>
        <v/>
      </c>
      <c r="AD118">
        <f>HYPERLINK("https://klasma.github.io/Logging_0482/tillsynsmail/A 39036-2023 tillsynsbegäran mail.docx", "A 39036-2023")</f>
        <v/>
      </c>
    </row>
    <row r="119" ht="15" customHeight="1">
      <c r="A119" t="inlineStr">
        <is>
          <t>A 26052-2026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46310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Revlummer</t>
        </is>
      </c>
      <c r="W119">
        <f>HYPERLINK("https://klasma.github.io/Logging_0482/artfynd/A 26052-2026 artfynd.xlsx", "A 26052-2026")</f>
        <v/>
      </c>
      <c r="X119">
        <f>HYPERLINK("https://klasma.github.io/Logging_0482/kartor/A 26052-2026 karta.png", "A 26052-2026")</f>
        <v/>
      </c>
      <c r="Y119">
        <f>HYPERLINK("https://klasma.github.io/Logging_0482/kartor_geotiff/A 26052-2026 georefererad karta.tif", "A 26052-2026")</f>
        <v/>
      </c>
      <c r="AA119">
        <f>HYPERLINK("https://klasma.github.io/Logging_0482/klagomål/A 26052-2026 FSC-klagomål.docx", "A 26052-2026")</f>
        <v/>
      </c>
      <c r="AB119">
        <f>HYPERLINK("https://klasma.github.io/Logging_0482/klagomålsmail/A 26052-2026 FSC-klagomål mail.docx", "A 26052-2026")</f>
        <v/>
      </c>
      <c r="AC119">
        <f>HYPERLINK("https://klasma.github.io/Logging_0482/tillsyn/A 26052-2026 tillsynsbegäran.docx", "A 26052-2026")</f>
        <v/>
      </c>
      <c r="AD119">
        <f>HYPERLINK("https://klasma.github.io/Logging_0482/tillsynsmail/A 26052-2026 tillsynsbegäran mail.docx", "A 26052-2026")</f>
        <v/>
      </c>
    </row>
    <row r="120" ht="15" customHeight="1">
      <c r="A120" t="inlineStr">
        <is>
          <t>A 12371-2022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44637</v>
      </c>
      <c r="E120" s="1" t="n">
        <v>46310</v>
      </c>
      <c r="F120" t="inlineStr">
        <is>
          <t>SÖDERMANLANDS LÄN</t>
        </is>
      </c>
      <c r="G120" t="inlineStr">
        <is>
          <t>FLEN</t>
        </is>
      </c>
      <c r="H120" t="inlineStr">
        <is>
          <t>Kommuner</t>
        </is>
      </c>
      <c r="I120" t="n">
        <v>2.1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Gullklöver</t>
        </is>
      </c>
      <c r="W120">
        <f>HYPERLINK("https://klasma.github.io/Logging_0482/artfynd/A 12371-2022 artfynd.xlsx", "A 12371-2022")</f>
        <v/>
      </c>
      <c r="X120">
        <f>HYPERLINK("https://klasma.github.io/Logging_0482/kartor/A 12371-2022 karta.png", "A 12371-2022")</f>
        <v/>
      </c>
      <c r="Y120">
        <f>HYPERLINK("https://klasma.github.io/Logging_0482/kartor_geotiff/A 12371-2022 georefererad karta.tif", "A 12371-2022")</f>
        <v/>
      </c>
      <c r="AA120">
        <f>HYPERLINK("https://klasma.github.io/Logging_0482/klagomål/A 12371-2022 FSC-klagomål.docx", "A 12371-2022")</f>
        <v/>
      </c>
      <c r="AB120">
        <f>HYPERLINK("https://klasma.github.io/Logging_0482/klagomålsmail/A 12371-2022 FSC-klagomål mail.docx", "A 12371-2022")</f>
        <v/>
      </c>
      <c r="AC120">
        <f>HYPERLINK("https://klasma.github.io/Logging_0482/tillsyn/A 12371-2022 tillsynsbegäran.docx", "A 12371-2022")</f>
        <v/>
      </c>
      <c r="AD120">
        <f>HYPERLINK("https://klasma.github.io/Logging_0482/tillsynsmail/A 12371-2022 tillsynsbegäran mail.docx", "A 12371-2022")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46310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4259-2023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46310</v>
      </c>
      <c r="F122" t="inlineStr">
        <is>
          <t>SÖDERMANLANDS LÄN</t>
        </is>
      </c>
      <c r="G122" t="inlineStr">
        <is>
          <t>FLEN</t>
        </is>
      </c>
      <c r="I122" t="n">
        <v>1.3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Blåsippa</t>
        </is>
      </c>
      <c r="W122">
        <f>HYPERLINK("https://klasma.github.io/Logging_0482/artfynd/A 4259-2023 artfynd.xlsx", "A 4259-2023")</f>
        <v/>
      </c>
      <c r="X122">
        <f>HYPERLINK("https://klasma.github.io/Logging_0482/kartor/A 4259-2023 karta.png", "A 4259-2023")</f>
        <v/>
      </c>
      <c r="Y122">
        <f>HYPERLINK("https://klasma.github.io/Logging_0482/kartor_geotiff/A 4259-2023 georefererad karta.tif", "A 4259-2023")</f>
        <v/>
      </c>
      <c r="AA122">
        <f>HYPERLINK("https://klasma.github.io/Logging_0482/klagomål/A 4259-2023 FSC-klagomål.docx", "A 4259-2023")</f>
        <v/>
      </c>
      <c r="AB122">
        <f>HYPERLINK("https://klasma.github.io/Logging_0482/klagomålsmail/A 4259-2023 FSC-klagomål mail.docx", "A 4259-2023")</f>
        <v/>
      </c>
      <c r="AC122">
        <f>HYPERLINK("https://klasma.github.io/Logging_0482/tillsyn/A 4259-2023 tillsynsbegäran.docx", "A 4259-2023")</f>
        <v/>
      </c>
      <c r="AD122">
        <f>HYPERLINK("https://klasma.github.io/Logging_0482/tillsynsmail/A 4259-2023 tillsynsbegäran mail.docx", "A 4259-2023")</f>
        <v/>
      </c>
    </row>
    <row r="123" ht="15" customHeight="1">
      <c r="A123" t="inlineStr">
        <is>
          <t>A 12306-2022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46310</v>
      </c>
      <c r="F123" t="inlineStr">
        <is>
          <t>SÖDERMANLANDS LÄN</t>
        </is>
      </c>
      <c r="G123" t="inlineStr">
        <is>
          <t>FLEN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Järnsparv</t>
        </is>
      </c>
      <c r="W123">
        <f>HYPERLINK("https://klasma.github.io/Logging_0482/artfynd/A 12306-2022 artfynd.xlsx", "A 12306-2022")</f>
        <v/>
      </c>
      <c r="X123">
        <f>HYPERLINK("https://klasma.github.io/Logging_0482/kartor/A 12306-2022 karta.png", "A 12306-2022")</f>
        <v/>
      </c>
      <c r="Y123">
        <f>HYPERLINK("https://klasma.github.io/Logging_0482/kartor_geotiff/A 12306-2022 georefererad karta.tif", "A 12306-2022")</f>
        <v/>
      </c>
      <c r="AA123">
        <f>HYPERLINK("https://klasma.github.io/Logging_0482/klagomål/A 12306-2022 FSC-klagomål.docx", "A 12306-2022")</f>
        <v/>
      </c>
      <c r="AB123">
        <f>HYPERLINK("https://klasma.github.io/Logging_0482/klagomålsmail/A 12306-2022 FSC-klagomål mail.docx", "A 12306-2022")</f>
        <v/>
      </c>
      <c r="AC123">
        <f>HYPERLINK("https://klasma.github.io/Logging_0482/tillsyn/A 12306-2022 tillsynsbegäran.docx", "A 12306-2022")</f>
        <v/>
      </c>
      <c r="AD123">
        <f>HYPERLINK("https://klasma.github.io/Logging_0482/tillsynsmail/A 12306-2022 tillsynsbegäran mail.docx", "A 12306-2022")</f>
        <v/>
      </c>
      <c r="AE123">
        <f>HYPERLINK("https://klasma.github.io/Logging_0482/fåglar/A 12306-2022 prioriterade fågelarter.docx", "A 12306-2022")</f>
        <v/>
      </c>
    </row>
    <row r="124" ht="15" customHeight="1">
      <c r="A124" t="inlineStr">
        <is>
          <t>A 29195-2023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45105</v>
      </c>
      <c r="E124" s="1" t="n">
        <v>46310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3.9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HYPERLINK("https://klasma.github.io/Logging_0482/artfynd/A 29195-2023 artfynd.xlsx", "A 29195-2023")</f>
        <v/>
      </c>
      <c r="X124">
        <f>HYPERLINK("https://klasma.github.io/Logging_0482/kartor/A 29195-2023 karta.png", "A 29195-2023")</f>
        <v/>
      </c>
      <c r="Y124">
        <f>HYPERLINK("https://klasma.github.io/Logging_0482/kartor_geotiff/A 29195-2023 georefererad karta.tif", "A 29195-2023")</f>
        <v/>
      </c>
      <c r="AA124">
        <f>HYPERLINK("https://klasma.github.io/Logging_0482/klagomål/A 29195-2023 FSC-klagomål.docx", "A 29195-2023")</f>
        <v/>
      </c>
      <c r="AB124">
        <f>HYPERLINK("https://klasma.github.io/Logging_0482/klagomålsmail/A 29195-2023 FSC-klagomål mail.docx", "A 29195-2023")</f>
        <v/>
      </c>
      <c r="AC124">
        <f>HYPERLINK("https://klasma.github.io/Logging_0482/tillsyn/A 29195-2023 tillsynsbegäran.docx", "A 29195-2023")</f>
        <v/>
      </c>
      <c r="AD124">
        <f>HYPERLINK("https://klasma.github.io/Logging_0482/tillsynsmail/A 29195-2023 tillsynsbegäran mail.docx", "A 29195-2023")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46310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46310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50202-2022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46310</v>
      </c>
      <c r="F127" t="inlineStr">
        <is>
          <t>SÖDERMANLANDS LÄN</t>
        </is>
      </c>
      <c r="G127" t="inlineStr">
        <is>
          <t>FLEN</t>
        </is>
      </c>
      <c r="H127" t="inlineStr">
        <is>
          <t>Kyrkan</t>
        </is>
      </c>
      <c r="I127" t="n">
        <v>5.8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50202-2022 artfynd.xlsx", "A 50202-2022")</f>
        <v/>
      </c>
      <c r="X127">
        <f>HYPERLINK("https://klasma.github.io/Logging_0482/kartor/A 50202-2022 karta.png", "A 50202-2022")</f>
        <v/>
      </c>
      <c r="Y127">
        <f>HYPERLINK("https://klasma.github.io/Logging_0482/kartor_geotiff/A 50202-2022 georefererad karta.tif", "A 50202-2022")</f>
        <v/>
      </c>
      <c r="AA127">
        <f>HYPERLINK("https://klasma.github.io/Logging_0482/klagomål/A 50202-2022 FSC-klagomål.docx", "A 50202-2022")</f>
        <v/>
      </c>
      <c r="AB127">
        <f>HYPERLINK("https://klasma.github.io/Logging_0482/klagomålsmail/A 50202-2022 FSC-klagomål mail.docx", "A 50202-2022")</f>
        <v/>
      </c>
      <c r="AC127">
        <f>HYPERLINK("https://klasma.github.io/Logging_0482/tillsyn/A 50202-2022 tillsynsbegäran.docx", "A 50202-2022")</f>
        <v/>
      </c>
      <c r="AD127">
        <f>HYPERLINK("https://klasma.github.io/Logging_0482/tillsynsmail/A 50202-2022 tillsynsbegäran mail.docx", "A 50202-2022")</f>
        <v/>
      </c>
    </row>
    <row r="128" ht="15" customHeight="1">
      <c r="A128" t="inlineStr">
        <is>
          <t>A 7973-2024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46310</v>
      </c>
      <c r="F128" t="inlineStr">
        <is>
          <t>SÖDERMANLANDS LÄN</t>
        </is>
      </c>
      <c r="G128" t="inlineStr">
        <is>
          <t>FLEN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Vippärt</t>
        </is>
      </c>
      <c r="W128">
        <f>HYPERLINK("https://klasma.github.io/Logging_0482/artfynd/A 7973-2024 artfynd.xlsx", "A 7973-2024")</f>
        <v/>
      </c>
      <c r="X128">
        <f>HYPERLINK("https://klasma.github.io/Logging_0482/kartor/A 7973-2024 karta.png", "A 7973-2024")</f>
        <v/>
      </c>
      <c r="Y128">
        <f>HYPERLINK("https://klasma.github.io/Logging_0482/kartor_geotiff/A 7973-2024 georefererad karta.tif", "A 7973-2024")</f>
        <v/>
      </c>
      <c r="AA128">
        <f>HYPERLINK("https://klasma.github.io/Logging_0482/klagomål/A 7973-2024 FSC-klagomål.docx", "A 7973-2024")</f>
        <v/>
      </c>
      <c r="AB128">
        <f>HYPERLINK("https://klasma.github.io/Logging_0482/klagomålsmail/A 7973-2024 FSC-klagomål mail.docx", "A 7973-2024")</f>
        <v/>
      </c>
      <c r="AC128">
        <f>HYPERLINK("https://klasma.github.io/Logging_0482/tillsyn/A 7973-2024 tillsynsbegäran.docx", "A 7973-2024")</f>
        <v/>
      </c>
      <c r="AD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46310</v>
      </c>
      <c r="F129" t="inlineStr">
        <is>
          <t>SÖDERMANLANDS LÄN</t>
        </is>
      </c>
      <c r="G129" t="inlineStr">
        <is>
          <t>FLEN</t>
        </is>
      </c>
      <c r="I129" t="n">
        <v>8.4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Fjällig taggsvamp s.str.</t>
        </is>
      </c>
      <c r="W129">
        <f>HYPERLINK("https://klasma.github.io/Logging_0482/artfynd/A 12056-2024 artfynd.xlsx", "A 12056-2024")</f>
        <v/>
      </c>
      <c r="X129">
        <f>HYPERLINK("https://klasma.github.io/Logging_0482/kartor/A 12056-2024 karta.png", "A 12056-2024")</f>
        <v/>
      </c>
      <c r="Y129">
        <f>HYPERLINK("https://klasma.github.io/Logging_0482/kartor_geotiff/A 12056-2024 georefererad karta.tif", "A 12056-2024")</f>
        <v/>
      </c>
      <c r="AA129">
        <f>HYPERLINK("https://klasma.github.io/Logging_0482/klagomål/A 12056-2024 FSC-klagomål.docx", "A 12056-2024")</f>
        <v/>
      </c>
      <c r="AB129">
        <f>HYPERLINK("https://klasma.github.io/Logging_0482/klagomålsmail/A 12056-2024 FSC-klagomål mail.docx", "A 12056-2024")</f>
        <v/>
      </c>
      <c r="AC129">
        <f>HYPERLINK("https://klasma.github.io/Logging_0482/tillsyn/A 12056-2024 tillsynsbegäran.docx", "A 12056-2024")</f>
        <v/>
      </c>
      <c r="AD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47756-2022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46310</v>
      </c>
      <c r="F130" t="inlineStr">
        <is>
          <t>SÖDERMANLANDS LÄN</t>
        </is>
      </c>
      <c r="G130" t="inlineStr">
        <is>
          <t>FLEN</t>
        </is>
      </c>
      <c r="I130" t="n">
        <v>2.4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47756-2022 artfynd.xlsx", "A 47756-2022")</f>
        <v/>
      </c>
      <c r="X130">
        <f>HYPERLINK("https://klasma.github.io/Logging_0482/kartor/A 47756-2022 karta.png", "A 47756-2022")</f>
        <v/>
      </c>
      <c r="Y130">
        <f>HYPERLINK("https://klasma.github.io/Logging_0482/kartor_geotiff/A 47756-2022 georefererad karta.tif", "A 47756-2022")</f>
        <v/>
      </c>
      <c r="AA130">
        <f>HYPERLINK("https://klasma.github.io/Logging_0482/klagomål/A 47756-2022 FSC-klagomål.docx", "A 47756-2022")</f>
        <v/>
      </c>
      <c r="AB130">
        <f>HYPERLINK("https://klasma.github.io/Logging_0482/klagomålsmail/A 47756-2022 FSC-klagomål mail.docx", "A 47756-2022")</f>
        <v/>
      </c>
      <c r="AC130">
        <f>HYPERLINK("https://klasma.github.io/Logging_0482/tillsyn/A 47756-2022 tillsynsbegäran.docx", "A 47756-2022")</f>
        <v/>
      </c>
      <c r="AD130">
        <f>HYPERLINK("https://klasma.github.io/Logging_0482/tillsynsmail/A 47756-2022 tillsynsbegäran mail.docx", "A 47756-2022")</f>
        <v/>
      </c>
    </row>
    <row r="131" ht="15" customHeight="1">
      <c r="A131" t="inlineStr">
        <is>
          <t>A 62535-2021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46310</v>
      </c>
      <c r="F131" t="inlineStr">
        <is>
          <t>SÖDERMANLANDS LÄN</t>
        </is>
      </c>
      <c r="G131" t="inlineStr">
        <is>
          <t>FLEN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HYPERLINK("https://klasma.github.io/Logging_0482/artfynd/A 62535-2021 artfynd.xlsx", "A 62535-2021")</f>
        <v/>
      </c>
      <c r="X131">
        <f>HYPERLINK("https://klasma.github.io/Logging_0482/kartor/A 62535-2021 karta.png", "A 62535-2021")</f>
        <v/>
      </c>
      <c r="Y131">
        <f>HYPERLINK("https://klasma.github.io/Logging_0482/kartor_geotiff/A 62535-2021 georefererad karta.tif", "A 62535-2021")</f>
        <v/>
      </c>
      <c r="AA131">
        <f>HYPERLINK("https://klasma.github.io/Logging_0482/klagomål/A 62535-2021 FSC-klagomål.docx", "A 62535-2021")</f>
        <v/>
      </c>
      <c r="AB131">
        <f>HYPERLINK("https://klasma.github.io/Logging_0482/klagomålsmail/A 62535-2021 FSC-klagomål mail.docx", "A 62535-2021")</f>
        <v/>
      </c>
      <c r="AC131">
        <f>HYPERLINK("https://klasma.github.io/Logging_0482/tillsyn/A 62535-2021 tillsynsbegäran.docx", "A 62535-2021")</f>
        <v/>
      </c>
      <c r="AD131">
        <f>HYPERLINK("https://klasma.github.io/Logging_0482/tillsynsmail/A 62535-2021 tillsynsbegäran mail.docx", "A 62535-2021")</f>
        <v/>
      </c>
    </row>
    <row r="132" ht="15" customHeight="1">
      <c r="A132" t="inlineStr">
        <is>
          <t>A 14273-2025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46310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Vedskivlav</t>
        </is>
      </c>
      <c r="W132">
        <f>HYPERLINK("https://klasma.github.io/Logging_0482/artfynd/A 14273-2025 artfynd.xlsx", "A 14273-2025")</f>
        <v/>
      </c>
      <c r="X132">
        <f>HYPERLINK("https://klasma.github.io/Logging_0482/kartor/A 14273-2025 karta.png", "A 14273-2025")</f>
        <v/>
      </c>
      <c r="Y132">
        <f>HYPERLINK("https://klasma.github.io/Logging_0482/kartor_geotiff/A 14273-2025 georefererad karta.tif", "A 14273-2025")</f>
        <v/>
      </c>
      <c r="AA132">
        <f>HYPERLINK("https://klasma.github.io/Logging_0482/klagomål/A 14273-2025 FSC-klagomål.docx", "A 14273-2025")</f>
        <v/>
      </c>
      <c r="AB132">
        <f>HYPERLINK("https://klasma.github.io/Logging_0482/klagomålsmail/A 14273-2025 FSC-klagomål mail.docx", "A 14273-2025")</f>
        <v/>
      </c>
      <c r="AC132">
        <f>HYPERLINK("https://klasma.github.io/Logging_0482/tillsyn/A 14273-2025 tillsynsbegäran.docx", "A 14273-2025")</f>
        <v/>
      </c>
      <c r="AD132">
        <f>HYPERLINK("https://klasma.github.io/Logging_0482/tillsynsmail/A 14273-2025 tillsynsbegäran mail.docx", "A 14273-2025")</f>
        <v/>
      </c>
    </row>
    <row r="133" ht="15" customHeight="1">
      <c r="A133" t="inlineStr">
        <is>
          <t>A 49820-2023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46310</v>
      </c>
      <c r="F133" t="inlineStr">
        <is>
          <t>SÖDERMANLANDS LÄN</t>
        </is>
      </c>
      <c r="G133" t="inlineStr">
        <is>
          <t>FLEN</t>
        </is>
      </c>
      <c r="I133" t="n">
        <v>3.2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Gullviva</t>
        </is>
      </c>
      <c r="W133">
        <f>HYPERLINK("https://klasma.github.io/Logging_0482/artfynd/A 49820-2023 artfynd.xlsx", "A 49820-2023")</f>
        <v/>
      </c>
      <c r="X133">
        <f>HYPERLINK("https://klasma.github.io/Logging_0482/kartor/A 49820-2023 karta.png", "A 49820-2023")</f>
        <v/>
      </c>
      <c r="Y133">
        <f>HYPERLINK("https://klasma.github.io/Logging_0482/kartor_geotiff/A 49820-2023 georefererad karta.tif", "A 49820-2023")</f>
        <v/>
      </c>
      <c r="AA133">
        <f>HYPERLINK("https://klasma.github.io/Logging_0482/klagomål/A 49820-2023 FSC-klagomål.docx", "A 49820-2023")</f>
        <v/>
      </c>
      <c r="AB133">
        <f>HYPERLINK("https://klasma.github.io/Logging_0482/klagomålsmail/A 49820-2023 FSC-klagomål mail.docx", "A 49820-2023")</f>
        <v/>
      </c>
      <c r="AC133">
        <f>HYPERLINK("https://klasma.github.io/Logging_0482/tillsyn/A 49820-2023 tillsynsbegäran.docx", "A 49820-2023")</f>
        <v/>
      </c>
      <c r="AD133">
        <f>HYPERLINK("https://klasma.github.io/Logging_0482/tillsynsmail/A 49820-2023 tillsynsbegäran mail.docx", "A 49820-2023")</f>
        <v/>
      </c>
    </row>
    <row r="134" ht="15" customHeight="1">
      <c r="A134" t="inlineStr">
        <is>
          <t>A 40333-2026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46294</v>
      </c>
      <c r="E134" s="1" t="n">
        <v>46310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Gullviva</t>
        </is>
      </c>
      <c r="W134">
        <f>HYPERLINK("https://klasma.github.io/Logging_0482/artfynd/A 40333-2026 artfynd.xlsx", "A 40333-2026")</f>
        <v/>
      </c>
      <c r="X134">
        <f>HYPERLINK("https://klasma.github.io/Logging_0482/kartor/A 40333-2026 karta.png", "A 40333-2026")</f>
        <v/>
      </c>
      <c r="Y134">
        <f>HYPERLINK("https://klasma.github.io/Logging_0482/kartor_geotiff/A 40333-2026 georefererad karta.tif", "A 40333-2026")</f>
        <v/>
      </c>
      <c r="AA134">
        <f>HYPERLINK("https://klasma.github.io/Logging_0482/klagomål/A 40333-2026 FSC-klagomål.docx", "A 40333-2026")</f>
        <v/>
      </c>
      <c r="AB134">
        <f>HYPERLINK("https://klasma.github.io/Logging_0482/klagomålsmail/A 40333-2026 FSC-klagomål mail.docx", "A 40333-2026")</f>
        <v/>
      </c>
      <c r="AC134">
        <f>HYPERLINK("https://klasma.github.io/Logging_0482/tillsyn/A 40333-2026 tillsynsbegäran.docx", "A 40333-2026")</f>
        <v/>
      </c>
      <c r="AD134">
        <f>HYPERLINK("https://klasma.github.io/Logging_0482/tillsynsmail/A 40333-2026 tillsynsbegäran mail.docx", "A 40333-2026")</f>
        <v/>
      </c>
    </row>
    <row r="135" ht="15" customHeight="1">
      <c r="A135" t="inlineStr">
        <is>
          <t>A 45107-2023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45191</v>
      </c>
      <c r="E135" s="1" t="n">
        <v>46310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Brudborste</t>
        </is>
      </c>
      <c r="W135">
        <f>HYPERLINK("https://klasma.github.io/Logging_0482/artfynd/A 45107-2023 artfynd.xlsx", "A 45107-2023")</f>
        <v/>
      </c>
      <c r="X135">
        <f>HYPERLINK("https://klasma.github.io/Logging_0482/kartor/A 45107-2023 karta.png", "A 45107-2023")</f>
        <v/>
      </c>
      <c r="Y135">
        <f>HYPERLINK("https://klasma.github.io/Logging_0482/kartor_geotiff/A 45107-2023 georefererad karta.tif", "A 45107-2023")</f>
        <v/>
      </c>
      <c r="AA135">
        <f>HYPERLINK("https://klasma.github.io/Logging_0482/klagomål/A 45107-2023 FSC-klagomål.docx", "A 45107-2023")</f>
        <v/>
      </c>
      <c r="AB135">
        <f>HYPERLINK("https://klasma.github.io/Logging_0482/klagomålsmail/A 45107-2023 FSC-klagomål mail.docx", "A 45107-2023")</f>
        <v/>
      </c>
      <c r="AC135">
        <f>HYPERLINK("https://klasma.github.io/Logging_0482/tillsyn/A 45107-2023 tillsynsbegäran.docx", "A 45107-2023")</f>
        <v/>
      </c>
      <c r="AD135">
        <f>HYPERLINK("https://klasma.github.io/Logging_0482/tillsynsmail/A 45107-2023 tillsynsbegäran mail.docx", "A 45107-2023")</f>
        <v/>
      </c>
    </row>
    <row r="136" ht="15" customHeight="1">
      <c r="A136" t="inlineStr">
        <is>
          <t>A 21704-2026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46310</v>
      </c>
      <c r="F136" t="inlineStr">
        <is>
          <t>SÖDERMANLANDS LÄN</t>
        </is>
      </c>
      <c r="G136" t="inlineStr">
        <is>
          <t>FLEN</t>
        </is>
      </c>
      <c r="I136" t="n">
        <v>10.2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Kandelabersvamp</t>
        </is>
      </c>
      <c r="W136">
        <f>HYPERLINK("https://klasma.github.io/Logging_0482/artfynd/A 21704-2026 artfynd.xlsx", "A 21704-2026")</f>
        <v/>
      </c>
      <c r="X136">
        <f>HYPERLINK("https://klasma.github.io/Logging_0482/kartor/A 21704-2026 karta.png", "A 21704-2026")</f>
        <v/>
      </c>
      <c r="Y136">
        <f>HYPERLINK("https://klasma.github.io/Logging_0482/kartor_geotiff/A 21704-2026 georefererad karta.tif", "A 21704-2026")</f>
        <v/>
      </c>
      <c r="AA136">
        <f>HYPERLINK("https://klasma.github.io/Logging_0482/klagomål/A 21704-2026 FSC-klagomål.docx", "A 21704-2026")</f>
        <v/>
      </c>
      <c r="AB136">
        <f>HYPERLINK("https://klasma.github.io/Logging_0482/klagomålsmail/A 21704-2026 FSC-klagomål mail.docx", "A 21704-2026")</f>
        <v/>
      </c>
      <c r="AC136">
        <f>HYPERLINK("https://klasma.github.io/Logging_0482/tillsyn/A 21704-2026 tillsynsbegäran.docx", "A 21704-2026")</f>
        <v/>
      </c>
      <c r="AD136">
        <f>HYPERLINK("https://klasma.github.io/Logging_0482/tillsynsmail/A 21704-2026 tillsynsbegäran mail.docx", "A 21704-2026")</f>
        <v/>
      </c>
    </row>
    <row r="137" ht="15" customHeight="1">
      <c r="A137" t="inlineStr">
        <is>
          <t>A 46115-2023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46310</v>
      </c>
      <c r="F137" t="inlineStr">
        <is>
          <t>SÖDERMANLANDS LÄN</t>
        </is>
      </c>
      <c r="G137" t="inlineStr">
        <is>
          <t>FLEN</t>
        </is>
      </c>
      <c r="H137" t="inlineStr">
        <is>
          <t>Kyrkan</t>
        </is>
      </c>
      <c r="I137" t="n">
        <v>3.3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HYPERLINK("https://klasma.github.io/Logging_0482/artfynd/A 46115-2023 artfynd.xlsx", "A 46115-2023")</f>
        <v/>
      </c>
      <c r="X137">
        <f>HYPERLINK("https://klasma.github.io/Logging_0482/kartor/A 46115-2023 karta.png", "A 46115-2023")</f>
        <v/>
      </c>
      <c r="Y137">
        <f>HYPERLINK("https://klasma.github.io/Logging_0482/kartor_geotiff/A 46115-2023 georefererad karta.tif", "A 46115-2023")</f>
        <v/>
      </c>
      <c r="AA137">
        <f>HYPERLINK("https://klasma.github.io/Logging_0482/klagomål/A 46115-2023 FSC-klagomål.docx", "A 46115-2023")</f>
        <v/>
      </c>
      <c r="AB137">
        <f>HYPERLINK("https://klasma.github.io/Logging_0482/klagomålsmail/A 46115-2023 FSC-klagomål mail.docx", "A 46115-2023")</f>
        <v/>
      </c>
      <c r="AC137">
        <f>HYPERLINK("https://klasma.github.io/Logging_0482/tillsyn/A 46115-2023 tillsynsbegäran.docx", "A 46115-2023")</f>
        <v/>
      </c>
      <c r="AD137">
        <f>HYPERLINK("https://klasma.github.io/Logging_0482/tillsynsmail/A 46115-2023 tillsynsbegäran mail.docx", "A 46115-2023")</f>
        <v/>
      </c>
    </row>
    <row r="138" ht="15" customHeight="1">
      <c r="A138" t="inlineStr">
        <is>
          <t>A 56308-2024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46310</v>
      </c>
      <c r="F138" t="inlineStr">
        <is>
          <t>SÖDERMANLANDS LÄN</t>
        </is>
      </c>
      <c r="G138" t="inlineStr">
        <is>
          <t>FLEN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56308-2024 artfynd.xlsx", "A 56308-2024")</f>
        <v/>
      </c>
      <c r="X138">
        <f>HYPERLINK("https://klasma.github.io/Logging_0482/kartor/A 56308-2024 karta.png", "A 56308-2024")</f>
        <v/>
      </c>
      <c r="Y138">
        <f>HYPERLINK("https://klasma.github.io/Logging_0482/kartor_geotiff/A 56308-2024 georefererad karta.tif", "A 56308-2024")</f>
        <v/>
      </c>
      <c r="AA138">
        <f>HYPERLINK("https://klasma.github.io/Logging_0482/klagomål/A 56308-2024 FSC-klagomål.docx", "A 56308-2024")</f>
        <v/>
      </c>
      <c r="AB138">
        <f>HYPERLINK("https://klasma.github.io/Logging_0482/klagomålsmail/A 56308-2024 FSC-klagomål mail.docx", "A 56308-2024")</f>
        <v/>
      </c>
      <c r="AC138">
        <f>HYPERLINK("https://klasma.github.io/Logging_0482/tillsyn/A 56308-2024 tillsynsbegäran.docx", "A 56308-2024")</f>
        <v/>
      </c>
      <c r="AD138">
        <f>HYPERLINK("https://klasma.github.io/Logging_0482/tillsynsmail/A 56308-2024 tillsynsbegäran mail.docx", "A 56308-2024")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46310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46310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46310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46310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46310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46310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44752</v>
      </c>
      <c r="E145" s="1" t="n">
        <v>46310</v>
      </c>
      <c r="F145" t="inlineStr">
        <is>
          <t>SÖDERMANLANDS LÄN</t>
        </is>
      </c>
      <c r="G145" t="inlineStr">
        <is>
          <t>FLEN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46310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46310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46310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46310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46310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46310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46310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46310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46310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46310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46310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46310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46310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46310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46310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46310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46310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46310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46310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46310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46310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46310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46310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46310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46310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46310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46310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45081</v>
      </c>
      <c r="E173" s="1" t="n">
        <v>46310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45081</v>
      </c>
      <c r="E174" s="1" t="n">
        <v>46310</v>
      </c>
      <c r="F174" t="inlineStr">
        <is>
          <t>SÖDERMANLANDS LÄN</t>
        </is>
      </c>
      <c r="G174" t="inlineStr">
        <is>
          <t>FLEN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44610</v>
      </c>
      <c r="E175" s="1" t="n">
        <v>46310</v>
      </c>
      <c r="F175" t="inlineStr">
        <is>
          <t>SÖDERMANLANDS LÄN</t>
        </is>
      </c>
      <c r="G175" t="inlineStr">
        <is>
          <t>FLEN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44988</v>
      </c>
      <c r="E176" s="1" t="n">
        <v>46310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45228</v>
      </c>
      <c r="E177" s="1" t="n">
        <v>46310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46310</v>
      </c>
      <c r="F178" t="inlineStr">
        <is>
          <t>SÖDERMANLANDS LÄN</t>
        </is>
      </c>
      <c r="G178" t="inlineStr">
        <is>
          <t>FLEN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46310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45022</v>
      </c>
      <c r="E180" s="1" t="n">
        <v>46310</v>
      </c>
      <c r="F180" t="inlineStr">
        <is>
          <t>SÖDERMANLANDS LÄN</t>
        </is>
      </c>
      <c r="G180" t="inlineStr">
        <is>
          <t>FLEN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45555</v>
      </c>
      <c r="E181" s="1" t="n">
        <v>46310</v>
      </c>
      <c r="F181" t="inlineStr">
        <is>
          <t>SÖDERMANLANDS LÄN</t>
        </is>
      </c>
      <c r="G181" t="inlineStr">
        <is>
          <t>FLEN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45797</v>
      </c>
      <c r="E182" s="1" t="n">
        <v>46310</v>
      </c>
      <c r="F182" t="inlineStr">
        <is>
          <t>SÖDERMANLANDS LÄN</t>
        </is>
      </c>
      <c r="G182" t="inlineStr">
        <is>
          <t>FLEN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46310</v>
      </c>
      <c r="F183" t="inlineStr">
        <is>
          <t>SÖDERMANLANDS LÄN</t>
        </is>
      </c>
      <c r="G183" t="inlineStr">
        <is>
          <t>FLEN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45022</v>
      </c>
      <c r="E184" s="1" t="n">
        <v>46310</v>
      </c>
      <c r="F184" t="inlineStr">
        <is>
          <t>SÖDERMANLANDS LÄN</t>
        </is>
      </c>
      <c r="G184" t="inlineStr">
        <is>
          <t>FLEN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45798</v>
      </c>
      <c r="E185" s="1" t="n">
        <v>46310</v>
      </c>
      <c r="F185" t="inlineStr">
        <is>
          <t>SÖDERMANLANDS LÄN</t>
        </is>
      </c>
      <c r="G185" t="inlineStr">
        <is>
          <t>FLEN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45798</v>
      </c>
      <c r="E186" s="1" t="n">
        <v>46310</v>
      </c>
      <c r="F186" t="inlineStr">
        <is>
          <t>SÖDERMANLANDS LÄN</t>
        </is>
      </c>
      <c r="G186" t="inlineStr">
        <is>
          <t>FLEN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46310</v>
      </c>
      <c r="F187" t="inlineStr">
        <is>
          <t>SÖDERMANLANDS LÄN</t>
        </is>
      </c>
      <c r="G187" t="inlineStr">
        <is>
          <t>FLEN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45702</v>
      </c>
      <c r="E188" s="1" t="n">
        <v>46310</v>
      </c>
      <c r="F188" t="inlineStr">
        <is>
          <t>SÖDERMANLANDS LÄN</t>
        </is>
      </c>
      <c r="G188" t="inlineStr">
        <is>
          <t>FLEN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46310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46310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46310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46310</v>
      </c>
      <c r="F192" t="inlineStr">
        <is>
          <t>SÖDERMANLANDS LÄN</t>
        </is>
      </c>
      <c r="G192" t="inlineStr">
        <is>
          <t>FLEN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46310</v>
      </c>
      <c r="F193" t="inlineStr">
        <is>
          <t>SÖDERMANLANDS LÄN</t>
        </is>
      </c>
      <c r="G193" t="inlineStr">
        <is>
          <t>FLEN</t>
        </is>
      </c>
      <c r="H193" t="inlineStr">
        <is>
          <t>Holmen skog AB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44636</v>
      </c>
      <c r="E194" s="1" t="n">
        <v>46310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9257-2023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46310</v>
      </c>
      <c r="F195" t="inlineStr">
        <is>
          <t>SÖDERMANLANDS LÄN</t>
        </is>
      </c>
      <c r="G195" t="inlineStr">
        <is>
          <t>FLEN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29378-2022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44752</v>
      </c>
      <c r="E196" s="1" t="n">
        <v>46310</v>
      </c>
      <c r="F196" t="inlineStr">
        <is>
          <t>SÖDERMANLANDS LÄN</t>
        </is>
      </c>
      <c r="G196" t="inlineStr">
        <is>
          <t>FLEN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29384-2022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46310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44868</v>
      </c>
      <c r="E198" s="1" t="n">
        <v>46310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44778</v>
      </c>
      <c r="E199" s="1" t="n">
        <v>46310</v>
      </c>
      <c r="F199" t="inlineStr">
        <is>
          <t>SÖDERMANLANDS LÄN</t>
        </is>
      </c>
      <c r="G199" t="inlineStr">
        <is>
          <t>FLEN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44566</v>
      </c>
      <c r="E200" s="1" t="n">
        <v>46310</v>
      </c>
      <c r="F200" t="inlineStr">
        <is>
          <t>SÖDERMANLANDS LÄN</t>
        </is>
      </c>
      <c r="G200" t="inlineStr">
        <is>
          <t>FLEN</t>
        </is>
      </c>
      <c r="H200" t="inlineStr">
        <is>
          <t>Kyrkan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46310</v>
      </c>
      <c r="F201" t="inlineStr">
        <is>
          <t>SÖDERMANLANDS LÄN</t>
        </is>
      </c>
      <c r="G201" t="inlineStr">
        <is>
          <t>FLEN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46310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46310</v>
      </c>
      <c r="F203" t="inlineStr">
        <is>
          <t>SÖDERMANLANDS LÄN</t>
        </is>
      </c>
      <c r="G203" t="inlineStr">
        <is>
          <t>FLEN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46310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46310</v>
      </c>
      <c r="F205" t="inlineStr">
        <is>
          <t>SÖDERMANLANDS LÄN</t>
        </is>
      </c>
      <c r="G205" t="inlineStr">
        <is>
          <t>FLEN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27827-2025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46310</v>
      </c>
      <c r="F206" t="inlineStr">
        <is>
          <t>SÖDERMANLANDS LÄN</t>
        </is>
      </c>
      <c r="G206" t="inlineStr">
        <is>
          <t>FLEN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65869-2021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46310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69588-2021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46310</v>
      </c>
      <c r="F208" t="inlineStr">
        <is>
          <t>SÖDERMANLANDS LÄN</t>
        </is>
      </c>
      <c r="G208" t="inlineStr">
        <is>
          <t>FLEN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46310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45066</v>
      </c>
      <c r="E210" s="1" t="n">
        <v>46310</v>
      </c>
      <c r="F210" t="inlineStr">
        <is>
          <t>SÖDERMANLANDS LÄN</t>
        </is>
      </c>
      <c r="G210" t="inlineStr">
        <is>
          <t>FLEN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46310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45830</v>
      </c>
      <c r="E212" s="1" t="n">
        <v>46310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45830</v>
      </c>
      <c r="E213" s="1" t="n">
        <v>46310</v>
      </c>
      <c r="F213" t="inlineStr">
        <is>
          <t>SÖDERMANLANDS LÄN</t>
        </is>
      </c>
      <c r="G213" t="inlineStr">
        <is>
          <t>FLEN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46310</v>
      </c>
      <c r="F214" t="inlineStr">
        <is>
          <t>SÖDERMANLANDS LÄN</t>
        </is>
      </c>
      <c r="G214" t="inlineStr">
        <is>
          <t>FLEN</t>
        </is>
      </c>
      <c r="H214" t="inlineStr">
        <is>
          <t>Övriga statliga verk och myndigheter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46310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46310</v>
      </c>
      <c r="F216" t="inlineStr">
        <is>
          <t>SÖDERMANLANDS LÄN</t>
        </is>
      </c>
      <c r="G216" t="inlineStr">
        <is>
          <t>FLEN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44864</v>
      </c>
      <c r="E217" s="1" t="n">
        <v>46310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60255-2021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44495</v>
      </c>
      <c r="E218" s="1" t="n">
        <v>46310</v>
      </c>
      <c r="F218" t="inlineStr">
        <is>
          <t>SÖDERMANLANDS LÄN</t>
        </is>
      </c>
      <c r="G218" t="inlineStr">
        <is>
          <t>FLEN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48749-2022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46310</v>
      </c>
      <c r="F219" t="inlineStr">
        <is>
          <t>SÖDERMANLANDS LÄN</t>
        </is>
      </c>
      <c r="G219" t="inlineStr">
        <is>
          <t>FLEN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46310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46310</v>
      </c>
      <c r="F221" t="inlineStr">
        <is>
          <t>SÖDERMANLANDS LÄN</t>
        </is>
      </c>
      <c r="G221" t="inlineStr">
        <is>
          <t>FLEN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44855</v>
      </c>
      <c r="E222" s="1" t="n">
        <v>46310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72314-2021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44544</v>
      </c>
      <c r="E223" s="1" t="n">
        <v>46310</v>
      </c>
      <c r="F223" t="inlineStr">
        <is>
          <t>SÖDERMANLANDS LÄN</t>
        </is>
      </c>
      <c r="G223" t="inlineStr">
        <is>
          <t>FLEN</t>
        </is>
      </c>
      <c r="I223" t="n">
        <v>13.8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45702</v>
      </c>
      <c r="E224" s="1" t="n">
        <v>46310</v>
      </c>
      <c r="F224" t="inlineStr">
        <is>
          <t>SÖDERMANLANDS LÄN</t>
        </is>
      </c>
      <c r="G224" t="inlineStr">
        <is>
          <t>FLEN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46310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46310</v>
      </c>
      <c r="F226" t="inlineStr">
        <is>
          <t>SÖDERMANLANDS LÄN</t>
        </is>
      </c>
      <c r="G226" t="inlineStr">
        <is>
          <t>FLEN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45068</v>
      </c>
      <c r="E227" s="1" t="n">
        <v>46310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46310</v>
      </c>
      <c r="F228" t="inlineStr">
        <is>
          <t>SÖDERMANLANDS LÄN</t>
        </is>
      </c>
      <c r="G228" t="inlineStr">
        <is>
          <t>FLEN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46310</v>
      </c>
      <c r="F229" t="inlineStr">
        <is>
          <t>SÖDERMANLANDS LÄN</t>
        </is>
      </c>
      <c r="G229" t="inlineStr">
        <is>
          <t>FLEN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44796</v>
      </c>
      <c r="E230" s="1" t="n">
        <v>46310</v>
      </c>
      <c r="F230" t="inlineStr">
        <is>
          <t>SÖDERMANLANDS LÄN</t>
        </is>
      </c>
      <c r="G230" t="inlineStr">
        <is>
          <t>FLEN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45482</v>
      </c>
      <c r="E231" s="1" t="n">
        <v>46310</v>
      </c>
      <c r="F231" t="inlineStr">
        <is>
          <t>SÖDERMANLANDS LÄN</t>
        </is>
      </c>
      <c r="G231" t="inlineStr">
        <is>
          <t>FLEN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46310</v>
      </c>
      <c r="F232" t="inlineStr">
        <is>
          <t>SÖDERMANLANDS LÄN</t>
        </is>
      </c>
      <c r="G232" t="inlineStr">
        <is>
          <t>FLEN</t>
        </is>
      </c>
      <c r="H232" t="inlineStr">
        <is>
          <t>Övriga statliga verk och myndigheter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44899</v>
      </c>
      <c r="E233" s="1" t="n">
        <v>46310</v>
      </c>
      <c r="F233" t="inlineStr">
        <is>
          <t>SÖDERMANLANDS LÄN</t>
        </is>
      </c>
      <c r="G233" t="inlineStr">
        <is>
          <t>FLEN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45597</v>
      </c>
      <c r="E234" s="1" t="n">
        <v>46310</v>
      </c>
      <c r="F234" t="inlineStr">
        <is>
          <t>SÖDERMANLANDS LÄN</t>
        </is>
      </c>
      <c r="G234" t="inlineStr">
        <is>
          <t>FLEN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52980-2023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45226</v>
      </c>
      <c r="E235" s="1" t="n">
        <v>46310</v>
      </c>
      <c r="F235" t="inlineStr">
        <is>
          <t>SÖDERMANLANDS LÄN</t>
        </is>
      </c>
      <c r="G235" t="inlineStr">
        <is>
          <t>FLEN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35118-2024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45528</v>
      </c>
      <c r="E236" s="1" t="n">
        <v>46310</v>
      </c>
      <c r="F236" t="inlineStr">
        <is>
          <t>SÖDERMANLANDS LÄN</t>
        </is>
      </c>
      <c r="G236" t="inlineStr">
        <is>
          <t>FLEN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62579-2023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45270</v>
      </c>
      <c r="E237" s="1" t="n">
        <v>46310</v>
      </c>
      <c r="F237" t="inlineStr">
        <is>
          <t>SÖDERMANLANDS LÄN</t>
        </is>
      </c>
      <c r="G237" t="inlineStr">
        <is>
          <t>FLEN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44970</v>
      </c>
      <c r="E238" s="1" t="n">
        <v>46310</v>
      </c>
      <c r="F238" t="inlineStr">
        <is>
          <t>SÖDERMANLANDS LÄN</t>
        </is>
      </c>
      <c r="G238" t="inlineStr">
        <is>
          <t>FLEN</t>
        </is>
      </c>
      <c r="H238" t="inlineStr">
        <is>
          <t>Kommuner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46310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46310</v>
      </c>
      <c r="F240" t="inlineStr">
        <is>
          <t>SÖDERMANLANDS LÄN</t>
        </is>
      </c>
      <c r="G240" t="inlineStr">
        <is>
          <t>FLEN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46310</v>
      </c>
      <c r="F241" t="inlineStr">
        <is>
          <t>SÖDERMANLANDS LÄN</t>
        </is>
      </c>
      <c r="G241" t="inlineStr">
        <is>
          <t>FLEN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45309</v>
      </c>
      <c r="E242" s="1" t="n">
        <v>46310</v>
      </c>
      <c r="F242" t="inlineStr">
        <is>
          <t>SÖDERMANLANDS LÄN</t>
        </is>
      </c>
      <c r="G242" t="inlineStr">
        <is>
          <t>FLEN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44733</v>
      </c>
      <c r="E243" s="1" t="n">
        <v>46310</v>
      </c>
      <c r="F243" t="inlineStr">
        <is>
          <t>SÖDERMANLANDS LÄN</t>
        </is>
      </c>
      <c r="G243" t="inlineStr">
        <is>
          <t>FLEN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46310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46310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46310</v>
      </c>
      <c r="F246" t="inlineStr">
        <is>
          <t>SÖDERMANLANDS LÄN</t>
        </is>
      </c>
      <c r="G246" t="inlineStr">
        <is>
          <t>FLEN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57353-2022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46310</v>
      </c>
      <c r="F247" t="inlineStr">
        <is>
          <t>SÖDERMANLANDS LÄN</t>
        </is>
      </c>
      <c r="G247" t="inlineStr">
        <is>
          <t>FLEN</t>
        </is>
      </c>
      <c r="H247" t="inlineStr">
        <is>
          <t>Övriga statliga verk och myndigheter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66867-2021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44522</v>
      </c>
      <c r="E248" s="1" t="n">
        <v>46310</v>
      </c>
      <c r="F248" t="inlineStr">
        <is>
          <t>SÖDERMANLANDS LÄN</t>
        </is>
      </c>
      <c r="G248" t="inlineStr">
        <is>
          <t>FLEN</t>
        </is>
      </c>
      <c r="H248" t="inlineStr">
        <is>
          <t>Kyrkan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46310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46310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9.1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44931</v>
      </c>
      <c r="E251" s="1" t="n">
        <v>46310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44979</v>
      </c>
      <c r="E252" s="1" t="n">
        <v>46310</v>
      </c>
      <c r="F252" t="inlineStr">
        <is>
          <t>SÖDERMANLANDS LÄN</t>
        </is>
      </c>
      <c r="G252" t="inlineStr">
        <is>
          <t>FLEN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46310</v>
      </c>
      <c r="F253" t="inlineStr">
        <is>
          <t>SÖDERMANLANDS LÄN</t>
        </is>
      </c>
      <c r="G253" t="inlineStr">
        <is>
          <t>FLEN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46310</v>
      </c>
      <c r="F254" t="inlineStr">
        <is>
          <t>SÖDERMANLANDS LÄN</t>
        </is>
      </c>
      <c r="G254" t="inlineStr">
        <is>
          <t>FLEN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45147</v>
      </c>
      <c r="E255" s="1" t="n">
        <v>46310</v>
      </c>
      <c r="F255" t="inlineStr">
        <is>
          <t>SÖDERMANLANDS LÄN</t>
        </is>
      </c>
      <c r="G255" t="inlineStr">
        <is>
          <t>FLEN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46310</v>
      </c>
      <c r="F256" t="inlineStr">
        <is>
          <t>SÖDERMANLANDS LÄN</t>
        </is>
      </c>
      <c r="G256" t="inlineStr">
        <is>
          <t>FLEN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46310</v>
      </c>
      <c r="F257" t="inlineStr">
        <is>
          <t>SÖDERMANLANDS LÄN</t>
        </is>
      </c>
      <c r="G257" t="inlineStr">
        <is>
          <t>FLEN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46310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46080</v>
      </c>
      <c r="E259" s="1" t="n">
        <v>46310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46310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46310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46310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45140</v>
      </c>
      <c r="E263" s="1" t="n">
        <v>46310</v>
      </c>
      <c r="F263" t="inlineStr">
        <is>
          <t>SÖDERMANLANDS LÄN</t>
        </is>
      </c>
      <c r="G263" t="inlineStr">
        <is>
          <t>FLEN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46080</v>
      </c>
      <c r="E264" s="1" t="n">
        <v>46310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11339-2026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46082</v>
      </c>
      <c r="E265" s="1" t="n">
        <v>46310</v>
      </c>
      <c r="F265" t="inlineStr">
        <is>
          <t>SÖDERMANLANDS LÄN</t>
        </is>
      </c>
      <c r="G265" t="inlineStr">
        <is>
          <t>FLEN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46310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46310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46310</v>
      </c>
      <c r="F268" t="inlineStr">
        <is>
          <t>SÖDERMANLANDS LÄN</t>
        </is>
      </c>
      <c r="G268" t="inlineStr">
        <is>
          <t>FLEN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44624</v>
      </c>
      <c r="E269" s="1" t="n">
        <v>46310</v>
      </c>
      <c r="F269" t="inlineStr">
        <is>
          <t>SÖDERMANLANDS LÄN</t>
        </is>
      </c>
      <c r="G269" t="inlineStr">
        <is>
          <t>FLEN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45163</v>
      </c>
      <c r="E270" s="1" t="n">
        <v>46310</v>
      </c>
      <c r="F270" t="inlineStr">
        <is>
          <t>SÖDERMANLANDS LÄN</t>
        </is>
      </c>
      <c r="G270" t="inlineStr">
        <is>
          <t>FLEN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46310</v>
      </c>
      <c r="F271" t="inlineStr">
        <is>
          <t>SÖDERMANLANDS LÄN</t>
        </is>
      </c>
      <c r="G271" t="inlineStr">
        <is>
          <t>FLEN</t>
        </is>
      </c>
      <c r="H271" t="inlineStr">
        <is>
          <t>Övriga statliga verk och myndigheter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45311</v>
      </c>
      <c r="E272" s="1" t="n">
        <v>46310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44588</v>
      </c>
      <c r="E273" s="1" t="n">
        <v>46310</v>
      </c>
      <c r="F273" t="inlineStr">
        <is>
          <t>SÖDERMANLANDS LÄN</t>
        </is>
      </c>
      <c r="G273" t="inlineStr">
        <is>
          <t>FLEN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46310</v>
      </c>
      <c r="F274" t="inlineStr">
        <is>
          <t>SÖDERMANLANDS LÄN</t>
        </is>
      </c>
      <c r="G274" t="inlineStr">
        <is>
          <t>FLEN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54283-2025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45964</v>
      </c>
      <c r="E275" s="1" t="n">
        <v>46310</v>
      </c>
      <c r="F275" t="inlineStr">
        <is>
          <t>SÖDERMANLANDS LÄN</t>
        </is>
      </c>
      <c r="G275" t="inlineStr">
        <is>
          <t>FLEN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54282-2025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45964</v>
      </c>
      <c r="E276" s="1" t="n">
        <v>46310</v>
      </c>
      <c r="F276" t="inlineStr">
        <is>
          <t>SÖDERMANLANDS LÄN</t>
        </is>
      </c>
      <c r="G276" t="inlineStr">
        <is>
          <t>FLEN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46310</v>
      </c>
      <c r="F277" t="inlineStr">
        <is>
          <t>SÖDERMANLANDS LÄN</t>
        </is>
      </c>
      <c r="G277" t="inlineStr">
        <is>
          <t>FLEN</t>
        </is>
      </c>
      <c r="H277" t="inlineStr">
        <is>
          <t>Övriga statliga verk och myndigheter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51872-2022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44872</v>
      </c>
      <c r="E278" s="1" t="n">
        <v>46310</v>
      </c>
      <c r="F278" t="inlineStr">
        <is>
          <t>SÖDERMANLANDS LÄN</t>
        </is>
      </c>
      <c r="G278" t="inlineStr">
        <is>
          <t>FLEN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46310</v>
      </c>
      <c r="F279" t="inlineStr">
        <is>
          <t>SÖDERMANLANDS LÄN</t>
        </is>
      </c>
      <c r="G279" t="inlineStr">
        <is>
          <t>FLEN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48826-2022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44859</v>
      </c>
      <c r="E280" s="1" t="n">
        <v>46310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45057</v>
      </c>
      <c r="E281" s="1" t="n">
        <v>46310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44957</v>
      </c>
      <c r="E282" s="1" t="n">
        <v>46310</v>
      </c>
      <c r="F282" t="inlineStr">
        <is>
          <t>SÖDERMANLANDS LÄN</t>
        </is>
      </c>
      <c r="G282" t="inlineStr">
        <is>
          <t>FLEN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45228</v>
      </c>
      <c r="E283" s="1" t="n">
        <v>46310</v>
      </c>
      <c r="F283" t="inlineStr">
        <is>
          <t>SÖDERMANLANDS LÄN</t>
        </is>
      </c>
      <c r="G283" t="inlineStr">
        <is>
          <t>FLEN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46310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56573-2025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45974</v>
      </c>
      <c r="E285" s="1" t="n">
        <v>46310</v>
      </c>
      <c r="F285" t="inlineStr">
        <is>
          <t>SÖDERMANLANDS LÄN</t>
        </is>
      </c>
      <c r="G285" t="inlineStr">
        <is>
          <t>FLEN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46108</v>
      </c>
      <c r="E286" s="1" t="n">
        <v>46310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46310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46310</v>
      </c>
      <c r="F288" t="inlineStr">
        <is>
          <t>SÖDERMANLANDS LÄN</t>
        </is>
      </c>
      <c r="G288" t="inlineStr">
        <is>
          <t>FLEN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46310</v>
      </c>
      <c r="F289" t="inlineStr">
        <is>
          <t>SÖDERMANLANDS LÄN</t>
        </is>
      </c>
      <c r="G289" t="inlineStr">
        <is>
          <t>FLEN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46310</v>
      </c>
      <c r="F290" t="inlineStr">
        <is>
          <t>SÖDERMANLANDS LÄN</t>
        </is>
      </c>
      <c r="G290" t="inlineStr">
        <is>
          <t>FLEN</t>
        </is>
      </c>
      <c r="H290" t="inlineStr">
        <is>
          <t>Övriga statliga verk och myndigheter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6725-2022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44602</v>
      </c>
      <c r="E291" s="1" t="n">
        <v>46310</v>
      </c>
      <c r="F291" t="inlineStr">
        <is>
          <t>SÖDERMANLANDS LÄN</t>
        </is>
      </c>
      <c r="G291" t="inlineStr">
        <is>
          <t>FLEN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46310</v>
      </c>
      <c r="F292" t="inlineStr">
        <is>
          <t>SÖDERMANLANDS LÄN</t>
        </is>
      </c>
      <c r="G292" t="inlineStr">
        <is>
          <t>FLEN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46310</v>
      </c>
      <c r="F293" t="inlineStr">
        <is>
          <t>SÖDERMANLANDS LÄN</t>
        </is>
      </c>
      <c r="G293" t="inlineStr">
        <is>
          <t>FLEN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18000-2026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46310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46310</v>
      </c>
      <c r="F295" t="inlineStr">
        <is>
          <t>SÖDERMANLANDS LÄN</t>
        </is>
      </c>
      <c r="G295" t="inlineStr">
        <is>
          <t>FLEN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46310</v>
      </c>
      <c r="F296" t="inlineStr">
        <is>
          <t>SÖDERMANLANDS LÄN</t>
        </is>
      </c>
      <c r="G296" t="inlineStr">
        <is>
          <t>FLEN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46310</v>
      </c>
      <c r="F297" t="inlineStr">
        <is>
          <t>SÖDERMANLANDS LÄN</t>
        </is>
      </c>
      <c r="G297" t="inlineStr">
        <is>
          <t>FLEN</t>
        </is>
      </c>
      <c r="I297" t="n">
        <v>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46310</v>
      </c>
      <c r="F298" t="inlineStr">
        <is>
          <t>SÖDERMANLANDS LÄN</t>
        </is>
      </c>
      <c r="G298" t="inlineStr">
        <is>
          <t>FLEN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17840-2026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46310</v>
      </c>
      <c r="F299" t="inlineStr">
        <is>
          <t>SÖDERMANLANDS LÄN</t>
        </is>
      </c>
      <c r="G299" t="inlineStr">
        <is>
          <t>FLEN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17847-2026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46310</v>
      </c>
      <c r="F300" t="inlineStr">
        <is>
          <t>SÖDERMANLANDS LÄN</t>
        </is>
      </c>
      <c r="G300" t="inlineStr">
        <is>
          <t>FLEN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46310</v>
      </c>
      <c r="F301" t="inlineStr">
        <is>
          <t>SÖDERMANLANDS LÄN</t>
        </is>
      </c>
      <c r="G301" t="inlineStr">
        <is>
          <t>FLEN</t>
        </is>
      </c>
      <c r="H301" t="inlineStr">
        <is>
          <t>Kyrkan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46310</v>
      </c>
      <c r="F302" t="inlineStr">
        <is>
          <t>SÖDERMANLANDS LÄN</t>
        </is>
      </c>
      <c r="G302" t="inlineStr">
        <is>
          <t>FLEN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45398</v>
      </c>
      <c r="E303" s="1" t="n">
        <v>46310</v>
      </c>
      <c r="F303" t="inlineStr">
        <is>
          <t>SÖDERMANLANDS LÄN</t>
        </is>
      </c>
      <c r="G303" t="inlineStr">
        <is>
          <t>FLEN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46310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46310</v>
      </c>
      <c r="F305" t="inlineStr">
        <is>
          <t>SÖDERMANLANDS LÄN</t>
        </is>
      </c>
      <c r="G305" t="inlineStr">
        <is>
          <t>FLEN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46310</v>
      </c>
      <c r="F306" t="inlineStr">
        <is>
          <t>SÖDERMANLANDS LÄN</t>
        </is>
      </c>
      <c r="G306" t="inlineStr">
        <is>
          <t>FLEN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60206-2025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46310</v>
      </c>
      <c r="F307" t="inlineStr">
        <is>
          <t>SÖDERMANLANDS LÄN</t>
        </is>
      </c>
      <c r="G307" t="inlineStr">
        <is>
          <t>FLEN</t>
        </is>
      </c>
      <c r="H307" t="inlineStr">
        <is>
          <t>Kyrkan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46310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46310</v>
      </c>
      <c r="F309" t="inlineStr">
        <is>
          <t>SÖDERMANLANDS LÄN</t>
        </is>
      </c>
      <c r="G309" t="inlineStr">
        <is>
          <t>FLEN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46310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46310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46310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30423-2022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44761</v>
      </c>
      <c r="E313" s="1" t="n">
        <v>46310</v>
      </c>
      <c r="F313" t="inlineStr">
        <is>
          <t>SÖDERMANLANDS LÄN</t>
        </is>
      </c>
      <c r="G313" t="inlineStr">
        <is>
          <t>FLEN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45566</v>
      </c>
      <c r="E314" s="1" t="n">
        <v>46310</v>
      </c>
      <c r="F314" t="inlineStr">
        <is>
          <t>SÖDERMANLANDS LÄN</t>
        </is>
      </c>
      <c r="G314" t="inlineStr">
        <is>
          <t>FLEN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46310</v>
      </c>
      <c r="F315" t="inlineStr">
        <is>
          <t>SÖDERMANLANDS LÄN</t>
        </is>
      </c>
      <c r="G315" t="inlineStr">
        <is>
          <t>FLEN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46310</v>
      </c>
      <c r="F316" t="inlineStr">
        <is>
          <t>SÖDERMANLANDS LÄN</t>
        </is>
      </c>
      <c r="G316" t="inlineStr">
        <is>
          <t>FLEN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44838</v>
      </c>
      <c r="E317" s="1" t="n">
        <v>46310</v>
      </c>
      <c r="F317" t="inlineStr">
        <is>
          <t>SÖDERMANLANDS LÄN</t>
        </is>
      </c>
      <c r="G317" t="inlineStr">
        <is>
          <t>FLEN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46310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46310</v>
      </c>
      <c r="F319" t="inlineStr">
        <is>
          <t>SÖDERMANLANDS LÄN</t>
        </is>
      </c>
      <c r="G319" t="inlineStr">
        <is>
          <t>FLEN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45358</v>
      </c>
      <c r="E320" s="1" t="n">
        <v>46310</v>
      </c>
      <c r="F320" t="inlineStr">
        <is>
          <t>SÖDERMANLANDS LÄN</t>
        </is>
      </c>
      <c r="G320" t="inlineStr">
        <is>
          <t>FLEN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46310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44722</v>
      </c>
      <c r="E322" s="1" t="n">
        <v>46310</v>
      </c>
      <c r="F322" t="inlineStr">
        <is>
          <t>SÖDERMANLANDS LÄN</t>
        </is>
      </c>
      <c r="G322" t="inlineStr">
        <is>
          <t>FLEN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44722</v>
      </c>
      <c r="E323" s="1" t="n">
        <v>46310</v>
      </c>
      <c r="F323" t="inlineStr">
        <is>
          <t>SÖDERMANLANDS LÄN</t>
        </is>
      </c>
      <c r="G323" t="inlineStr">
        <is>
          <t>FLEN</t>
        </is>
      </c>
      <c r="I323" t="n">
        <v>7.1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33103-2022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44785</v>
      </c>
      <c r="E324" s="1" t="n">
        <v>46310</v>
      </c>
      <c r="F324" t="inlineStr">
        <is>
          <t>SÖDERMANLANDS LÄN</t>
        </is>
      </c>
      <c r="G324" t="inlineStr">
        <is>
          <t>FLEN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44616</v>
      </c>
      <c r="E325" s="1" t="n">
        <v>46310</v>
      </c>
      <c r="F325" t="inlineStr">
        <is>
          <t>SÖDERMANLANDS LÄN</t>
        </is>
      </c>
      <c r="G325" t="inlineStr">
        <is>
          <t>FLEN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46310</v>
      </c>
      <c r="F326" t="inlineStr">
        <is>
          <t>SÖDERMANLANDS LÄN</t>
        </is>
      </c>
      <c r="G326" t="inlineStr">
        <is>
          <t>FLEN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45553</v>
      </c>
      <c r="E327" s="1" t="n">
        <v>46310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46310</v>
      </c>
      <c r="F328" t="inlineStr">
        <is>
          <t>SÖDERMANLANDS LÄN</t>
        </is>
      </c>
      <c r="G328" t="inlineStr">
        <is>
          <t>FLEN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46310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45213</v>
      </c>
      <c r="E330" s="1" t="n">
        <v>46310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45104</v>
      </c>
      <c r="E331" s="1" t="n">
        <v>46310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46310</v>
      </c>
      <c r="F332" t="inlineStr">
        <is>
          <t>SÖDERMANLANDS LÄN</t>
        </is>
      </c>
      <c r="G332" t="inlineStr">
        <is>
          <t>FLEN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36453-2025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45869</v>
      </c>
      <c r="E333" s="1" t="n">
        <v>46310</v>
      </c>
      <c r="F333" t="inlineStr">
        <is>
          <t>SÖDERMANLANDS LÄN</t>
        </is>
      </c>
      <c r="G333" t="inlineStr">
        <is>
          <t>FLEN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46310</v>
      </c>
      <c r="F334" t="inlineStr">
        <is>
          <t>SÖDERMANLANDS LÄN</t>
        </is>
      </c>
      <c r="G334" t="inlineStr">
        <is>
          <t>FLEN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46310</v>
      </c>
      <c r="F335" t="inlineStr">
        <is>
          <t>SÖDERMANLANDS LÄN</t>
        </is>
      </c>
      <c r="G335" t="inlineStr">
        <is>
          <t>FLEN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46310</v>
      </c>
      <c r="F336" t="inlineStr">
        <is>
          <t>SÖDERMANLANDS LÄN</t>
        </is>
      </c>
      <c r="G336" t="inlineStr">
        <is>
          <t>FLEN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46310</v>
      </c>
      <c r="F337" t="inlineStr">
        <is>
          <t>SÖDERMANLANDS LÄN</t>
        </is>
      </c>
      <c r="G337" t="inlineStr">
        <is>
          <t>FLEN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37256-2022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44807</v>
      </c>
      <c r="E338" s="1" t="n">
        <v>46310</v>
      </c>
      <c r="F338" t="inlineStr">
        <is>
          <t>SÖDERMANLANDS LÄN</t>
        </is>
      </c>
      <c r="G338" t="inlineStr">
        <is>
          <t>FLEN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49828-2022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44862</v>
      </c>
      <c r="E339" s="1" t="n">
        <v>46310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67464-2021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44524</v>
      </c>
      <c r="E340" s="1" t="n">
        <v>46310</v>
      </c>
      <c r="F340" t="inlineStr">
        <is>
          <t>SÖDERMANLANDS LÄN</t>
        </is>
      </c>
      <c r="G340" t="inlineStr">
        <is>
          <t>FLEN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66979-2021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44522</v>
      </c>
      <c r="E341" s="1" t="n">
        <v>46310</v>
      </c>
      <c r="F341" t="inlineStr">
        <is>
          <t>SÖDERMANLANDS LÄN</t>
        </is>
      </c>
      <c r="G341" t="inlineStr">
        <is>
          <t>FLEN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16908-2024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45411</v>
      </c>
      <c r="E342" s="1" t="n">
        <v>46310</v>
      </c>
      <c r="F342" t="inlineStr">
        <is>
          <t>SÖDERMANLANDS LÄN</t>
        </is>
      </c>
      <c r="G342" t="inlineStr">
        <is>
          <t>FLEN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46310</v>
      </c>
      <c r="F343" t="inlineStr">
        <is>
          <t>SÖDERMANLANDS LÄN</t>
        </is>
      </c>
      <c r="G343" t="inlineStr">
        <is>
          <t>FLEN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8883-2023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44979</v>
      </c>
      <c r="E344" s="1" t="n">
        <v>46310</v>
      </c>
      <c r="F344" t="inlineStr">
        <is>
          <t>SÖDERMANLANDS LÄN</t>
        </is>
      </c>
      <c r="G344" t="inlineStr">
        <is>
          <t>FLEN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40404-2024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45555</v>
      </c>
      <c r="E345" s="1" t="n">
        <v>46310</v>
      </c>
      <c r="F345" t="inlineStr">
        <is>
          <t>SÖDERMANLANDS LÄN</t>
        </is>
      </c>
      <c r="G345" t="inlineStr">
        <is>
          <t>FLEN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46310</v>
      </c>
      <c r="F346" t="inlineStr">
        <is>
          <t>SÖDERMANLANDS LÄN</t>
        </is>
      </c>
      <c r="G346" t="inlineStr">
        <is>
          <t>FLEN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45993</v>
      </c>
      <c r="E347" s="1" t="n">
        <v>46310</v>
      </c>
      <c r="F347" t="inlineStr">
        <is>
          <t>SÖDERMANLANDS LÄN</t>
        </is>
      </c>
      <c r="G347" t="inlineStr">
        <is>
          <t>FLEN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46310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45056</v>
      </c>
      <c r="E349" s="1" t="n">
        <v>46310</v>
      </c>
      <c r="F349" t="inlineStr">
        <is>
          <t>SÖDERMANLANDS LÄN</t>
        </is>
      </c>
      <c r="G349" t="inlineStr">
        <is>
          <t>FLEN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46310</v>
      </c>
      <c r="F350" t="inlineStr">
        <is>
          <t>SÖDERMANLANDS LÄN</t>
        </is>
      </c>
      <c r="G350" t="inlineStr">
        <is>
          <t>FLEN</t>
        </is>
      </c>
      <c r="H350" t="inlineStr">
        <is>
          <t>Övriga statliga verk och myndigheter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46310</v>
      </c>
      <c r="F351" t="inlineStr">
        <is>
          <t>SÖDERMANLANDS LÄN</t>
        </is>
      </c>
      <c r="G351" t="inlineStr">
        <is>
          <t>FLEN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46310</v>
      </c>
      <c r="F352" t="inlineStr">
        <is>
          <t>SÖDERMANLANDS LÄN</t>
        </is>
      </c>
      <c r="G352" t="inlineStr">
        <is>
          <t>FLEN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44566</v>
      </c>
      <c r="E353" s="1" t="n">
        <v>46310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10828-2022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44624</v>
      </c>
      <c r="E354" s="1" t="n">
        <v>46310</v>
      </c>
      <c r="F354" t="inlineStr">
        <is>
          <t>SÖDERMANLANDS LÄN</t>
        </is>
      </c>
      <c r="G354" t="inlineStr">
        <is>
          <t>FLEN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46310</v>
      </c>
      <c r="F355" t="inlineStr">
        <is>
          <t>SÖDERMANLANDS LÄN</t>
        </is>
      </c>
      <c r="G355" t="inlineStr">
        <is>
          <t>FLEN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51768-2023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46310</v>
      </c>
      <c r="F356" t="inlineStr">
        <is>
          <t>SÖDERMANLANDS LÄN</t>
        </is>
      </c>
      <c r="G356" t="inlineStr">
        <is>
          <t>FLEN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39335-2023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46310</v>
      </c>
      <c r="F357" t="inlineStr">
        <is>
          <t>SÖDERMANLANDS LÄN</t>
        </is>
      </c>
      <c r="G357" t="inlineStr">
        <is>
          <t>FLEN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44701</v>
      </c>
      <c r="E358" s="1" t="n">
        <v>46310</v>
      </c>
      <c r="F358" t="inlineStr">
        <is>
          <t>SÖDERMANLANDS LÄN</t>
        </is>
      </c>
      <c r="G358" t="inlineStr">
        <is>
          <t>FLEN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14260-2025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46310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60150-2022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44909</v>
      </c>
      <c r="E360" s="1" t="n">
        <v>46310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46310</v>
      </c>
      <c r="F361" t="inlineStr">
        <is>
          <t>SÖDERMANLANDS LÄN</t>
        </is>
      </c>
      <c r="G361" t="inlineStr">
        <is>
          <t>FLEN</t>
        </is>
      </c>
      <c r="H361" t="inlineStr">
        <is>
          <t>Kyrkan</t>
        </is>
      </c>
      <c r="I361" t="n">
        <v>8.199999999999999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45518</v>
      </c>
      <c r="E362" s="1" t="n">
        <v>46310</v>
      </c>
      <c r="F362" t="inlineStr">
        <is>
          <t>SÖDERMANLANDS LÄN</t>
        </is>
      </c>
      <c r="G362" t="inlineStr">
        <is>
          <t>FLEN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62763-2023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46310</v>
      </c>
      <c r="F363" t="inlineStr">
        <is>
          <t>SÖDERMANLANDS LÄN</t>
        </is>
      </c>
      <c r="G363" t="inlineStr">
        <is>
          <t>FLEN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59779-2023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45257</v>
      </c>
      <c r="E364" s="1" t="n">
        <v>46310</v>
      </c>
      <c r="F364" t="inlineStr">
        <is>
          <t>SÖDERMANLANDS LÄN</t>
        </is>
      </c>
      <c r="G364" t="inlineStr">
        <is>
          <t>FLEN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46310</v>
      </c>
      <c r="F365" t="inlineStr">
        <is>
          <t>SÖDERMANLANDS LÄN</t>
        </is>
      </c>
      <c r="G365" t="inlineStr">
        <is>
          <t>FLEN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46310</v>
      </c>
      <c r="F366" t="inlineStr">
        <is>
          <t>SÖDERMANLANDS LÄN</t>
        </is>
      </c>
      <c r="G366" t="inlineStr">
        <is>
          <t>FLEN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45321</v>
      </c>
      <c r="E367" s="1" t="n">
        <v>46310</v>
      </c>
      <c r="F367" t="inlineStr">
        <is>
          <t>SÖDERMANLANDS LÄN</t>
        </is>
      </c>
      <c r="G367" t="inlineStr">
        <is>
          <t>FLEN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44676</v>
      </c>
      <c r="E368" s="1" t="n">
        <v>46310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14599-2023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45013</v>
      </c>
      <c r="E369" s="1" t="n">
        <v>46310</v>
      </c>
      <c r="F369" t="inlineStr">
        <is>
          <t>SÖDERMANLANDS LÄN</t>
        </is>
      </c>
      <c r="G369" t="inlineStr">
        <is>
          <t>FLEN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46310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46310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45230</v>
      </c>
      <c r="E372" s="1" t="n">
        <v>46310</v>
      </c>
      <c r="F372" t="inlineStr">
        <is>
          <t>SÖDERMANLANDS LÄN</t>
        </is>
      </c>
      <c r="G372" t="inlineStr">
        <is>
          <t>FLEN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45230</v>
      </c>
      <c r="E373" s="1" t="n">
        <v>46310</v>
      </c>
      <c r="F373" t="inlineStr">
        <is>
          <t>SÖDERMANLANDS LÄN</t>
        </is>
      </c>
      <c r="G373" t="inlineStr">
        <is>
          <t>FLEN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46310</v>
      </c>
      <c r="F374" t="inlineStr">
        <is>
          <t>SÖDERMANLANDS LÄN</t>
        </is>
      </c>
      <c r="G374" t="inlineStr">
        <is>
          <t>FLEN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24151-2026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46168</v>
      </c>
      <c r="E375" s="1" t="n">
        <v>46310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46310</v>
      </c>
      <c r="F376" t="inlineStr">
        <is>
          <t>SÖDERMANLANDS LÄN</t>
        </is>
      </c>
      <c r="G376" t="inlineStr">
        <is>
          <t>FLEN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46310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46310</v>
      </c>
      <c r="F378" t="inlineStr">
        <is>
          <t>SÖDERMANLANDS LÄN</t>
        </is>
      </c>
      <c r="G378" t="inlineStr">
        <is>
          <t>FLEN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46310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HYPERLINK("https://klasma.github.io/Logging_0482/knärot/A 24450-2026 karta knärot.png", "A 24450-2026")</f>
        <v/>
      </c>
      <c r="AA379">
        <f>HYPERLINK("https://klasma.github.io/Logging_0482/klagomål/A 24450-2026 FSC-klagomål.docx", "A 24450-2026")</f>
        <v/>
      </c>
      <c r="AB379">
        <f>HYPERLINK("https://klasma.github.io/Logging_0482/klagomålsmail/A 24450-2026 FSC-klagomål mail.docx", "A 24450-2026")</f>
        <v/>
      </c>
      <c r="AC379">
        <f>HYPERLINK("https://klasma.github.io/Logging_0482/tillsyn/A 24450-2026 tillsynsbegäran.docx", "A 24450-2026")</f>
        <v/>
      </c>
      <c r="AD379">
        <f>HYPERLINK("https://klasma.github.io/Logging_0482/tillsynsmail/A 24450-2026 tillsynsbegäran mail.docx", "A 24450-2026")</f>
        <v/>
      </c>
    </row>
    <row r="380" ht="15" customHeight="1">
      <c r="A380" t="inlineStr">
        <is>
          <t>A 54781-2024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45618</v>
      </c>
      <c r="E380" s="1" t="n">
        <v>46310</v>
      </c>
      <c r="F380" t="inlineStr">
        <is>
          <t>SÖDERMANLANDS LÄN</t>
        </is>
      </c>
      <c r="G380" t="inlineStr">
        <is>
          <t>FLEN</t>
        </is>
      </c>
      <c r="I380" t="n">
        <v>10.3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47872-2025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45932</v>
      </c>
      <c r="E381" s="1" t="n">
        <v>46310</v>
      </c>
      <c r="F381" t="inlineStr">
        <is>
          <t>SÖDERMANLANDS LÄN</t>
        </is>
      </c>
      <c r="G381" t="inlineStr">
        <is>
          <t>FLEN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46310</v>
      </c>
      <c r="F382" t="inlineStr">
        <is>
          <t>SÖDERMANLANDS LÄN</t>
        </is>
      </c>
      <c r="G382" t="inlineStr">
        <is>
          <t>FLEN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46310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46310</v>
      </c>
      <c r="F384" t="inlineStr">
        <is>
          <t>SÖDERMANLANDS LÄN</t>
        </is>
      </c>
      <c r="G384" t="inlineStr">
        <is>
          <t>FLEN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46310</v>
      </c>
      <c r="F385" t="inlineStr">
        <is>
          <t>SÖDERMANLANDS LÄN</t>
        </is>
      </c>
      <c r="G385" t="inlineStr">
        <is>
          <t>FLEN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39053-2023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46310</v>
      </c>
      <c r="F386" t="inlineStr">
        <is>
          <t>SÖDERMANLANDS LÄN</t>
        </is>
      </c>
      <c r="G386" t="inlineStr">
        <is>
          <t>FLEN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44741</v>
      </c>
      <c r="E387" s="1" t="n">
        <v>46310</v>
      </c>
      <c r="F387" t="inlineStr">
        <is>
          <t>SÖDERMANLANDS LÄN</t>
        </is>
      </c>
      <c r="G387" t="inlineStr">
        <is>
          <t>FLEN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12172-2022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44636</v>
      </c>
      <c r="E388" s="1" t="n">
        <v>46310</v>
      </c>
      <c r="F388" t="inlineStr">
        <is>
          <t>SÖDERMANLANDS LÄN</t>
        </is>
      </c>
      <c r="G388" t="inlineStr">
        <is>
          <t>FLEN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46310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46310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46310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46310</v>
      </c>
      <c r="F392" t="inlineStr">
        <is>
          <t>SÖDERMANLANDS LÄN</t>
        </is>
      </c>
      <c r="G392" t="inlineStr">
        <is>
          <t>FLEN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56393-2022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46310</v>
      </c>
      <c r="F393" t="inlineStr">
        <is>
          <t>SÖDERMANLANDS LÄN</t>
        </is>
      </c>
      <c r="G393" t="inlineStr">
        <is>
          <t>FLEN</t>
        </is>
      </c>
      <c r="I393" t="n">
        <v>11.3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46310</v>
      </c>
      <c r="F394" t="inlineStr">
        <is>
          <t>SÖDERMANLANDS LÄN</t>
        </is>
      </c>
      <c r="G394" t="inlineStr">
        <is>
          <t>FLEN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27328-2026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46310</v>
      </c>
      <c r="F395" t="inlineStr">
        <is>
          <t>SÖDERMANLANDS LÄN</t>
        </is>
      </c>
      <c r="G395" t="inlineStr">
        <is>
          <t>FLEN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46310</v>
      </c>
      <c r="F396" t="inlineStr">
        <is>
          <t>SÖDERMANLANDS LÄN</t>
        </is>
      </c>
      <c r="G396" t="inlineStr">
        <is>
          <t>FLEN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44911</v>
      </c>
      <c r="E397" s="1" t="n">
        <v>46310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31214-2023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46310</v>
      </c>
      <c r="F398" t="inlineStr">
        <is>
          <t>SÖDERMANLANDS LÄN</t>
        </is>
      </c>
      <c r="G398" t="inlineStr">
        <is>
          <t>FLEN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46310</v>
      </c>
      <c r="F399" t="inlineStr">
        <is>
          <t>SÖDERMANLANDS LÄN</t>
        </is>
      </c>
      <c r="G399" t="inlineStr">
        <is>
          <t>FLEN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46310</v>
      </c>
      <c r="F400" t="inlineStr">
        <is>
          <t>SÖDERMANLANDS LÄN</t>
        </is>
      </c>
      <c r="G400" t="inlineStr">
        <is>
          <t>FLEN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46310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46310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46310</v>
      </c>
      <c r="F403" t="inlineStr">
        <is>
          <t>SÖDERMANLANDS LÄN</t>
        </is>
      </c>
      <c r="G403" t="inlineStr">
        <is>
          <t>FLEN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44907</v>
      </c>
      <c r="E404" s="1" t="n">
        <v>46310</v>
      </c>
      <c r="F404" t="inlineStr">
        <is>
          <t>SÖDERMANLANDS LÄN</t>
        </is>
      </c>
      <c r="G404" t="inlineStr">
        <is>
          <t>FLEN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46310</v>
      </c>
      <c r="F405" t="inlineStr">
        <is>
          <t>SÖDERMANLANDS LÄN</t>
        </is>
      </c>
      <c r="G405" t="inlineStr">
        <is>
          <t>FLEN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22957-2023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45072</v>
      </c>
      <c r="E406" s="1" t="n">
        <v>46310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45217</v>
      </c>
      <c r="E407" s="1" t="n">
        <v>46310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46310</v>
      </c>
      <c r="F408" t="inlineStr">
        <is>
          <t>SÖDERMANLANDS LÄN</t>
        </is>
      </c>
      <c r="G408" t="inlineStr">
        <is>
          <t>FLEN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45299</v>
      </c>
      <c r="E409" s="1" t="n">
        <v>46310</v>
      </c>
      <c r="F409" t="inlineStr">
        <is>
          <t>SÖDERMANLANDS LÄN</t>
        </is>
      </c>
      <c r="G409" t="inlineStr">
        <is>
          <t>FLEN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45923-2023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46310</v>
      </c>
      <c r="F410" t="inlineStr">
        <is>
          <t>SÖDERMANLANDS LÄN</t>
        </is>
      </c>
      <c r="G410" t="inlineStr">
        <is>
          <t>FLEN</t>
        </is>
      </c>
      <c r="H410" t="inlineStr">
        <is>
          <t>Övriga statliga verk och myndigheter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46310</v>
      </c>
      <c r="F411" t="inlineStr">
        <is>
          <t>SÖDERMANLANDS LÄN</t>
        </is>
      </c>
      <c r="G411" t="inlineStr">
        <is>
          <t>FLEN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45030</v>
      </c>
      <c r="E412" s="1" t="n">
        <v>46310</v>
      </c>
      <c r="F412" t="inlineStr">
        <is>
          <t>SÖDERMANLANDS LÄN</t>
        </is>
      </c>
      <c r="G412" t="inlineStr">
        <is>
          <t>FLEN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44887</v>
      </c>
      <c r="E413" s="1" t="n">
        <v>46310</v>
      </c>
      <c r="F413" t="inlineStr">
        <is>
          <t>SÖDERMANLANDS LÄN</t>
        </is>
      </c>
      <c r="G413" t="inlineStr">
        <is>
          <t>FLEN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46310</v>
      </c>
      <c r="F414" t="inlineStr">
        <is>
          <t>SÖDERMANLANDS LÄN</t>
        </is>
      </c>
      <c r="G414" t="inlineStr">
        <is>
          <t>FLEN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54340-2023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45225</v>
      </c>
      <c r="E415" s="1" t="n">
        <v>46310</v>
      </c>
      <c r="F415" t="inlineStr">
        <is>
          <t>SÖDERMANLANDS LÄN</t>
        </is>
      </c>
      <c r="G415" t="inlineStr">
        <is>
          <t>FLEN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45501</v>
      </c>
      <c r="E416" s="1" t="n">
        <v>46310</v>
      </c>
      <c r="F416" t="inlineStr">
        <is>
          <t>SÖDERMANLANDS LÄN</t>
        </is>
      </c>
      <c r="G416" t="inlineStr">
        <is>
          <t>FLEN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46310</v>
      </c>
      <c r="F417" t="inlineStr">
        <is>
          <t>SÖDERMANLANDS LÄN</t>
        </is>
      </c>
      <c r="G417" t="inlineStr">
        <is>
          <t>FLEN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44846</v>
      </c>
      <c r="E418" s="1" t="n">
        <v>46310</v>
      </c>
      <c r="F418" t="inlineStr">
        <is>
          <t>SÖDERMANLANDS LÄN</t>
        </is>
      </c>
      <c r="G418" t="inlineStr">
        <is>
          <t>FLEN</t>
        </is>
      </c>
      <c r="H418" t="inlineStr">
        <is>
          <t>Kyrkan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45161</v>
      </c>
      <c r="E419" s="1" t="n">
        <v>46310</v>
      </c>
      <c r="F419" t="inlineStr">
        <is>
          <t>SÖDERMANLANDS LÄN</t>
        </is>
      </c>
      <c r="G419" t="inlineStr">
        <is>
          <t>FLEN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46273</v>
      </c>
      <c r="E420" s="1" t="n">
        <v>46310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46310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37002-2026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46273</v>
      </c>
      <c r="E422" s="1" t="n">
        <v>46310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46229</v>
      </c>
      <c r="E423" s="1" t="n">
        <v>46310</v>
      </c>
      <c r="F423" t="inlineStr">
        <is>
          <t>SÖDERMANLANDS LÄN</t>
        </is>
      </c>
      <c r="G423" t="inlineStr">
        <is>
          <t>FLEN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36982-2026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46273</v>
      </c>
      <c r="E424" s="1" t="n">
        <v>46310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49811-2023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46310</v>
      </c>
      <c r="F425" t="inlineStr">
        <is>
          <t>SÖDERMANLANDS LÄN</t>
        </is>
      </c>
      <c r="G425" t="inlineStr">
        <is>
          <t>FLEN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52481-2023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45225</v>
      </c>
      <c r="E426" s="1" t="n">
        <v>46310</v>
      </c>
      <c r="F426" t="inlineStr">
        <is>
          <t>SÖDERMANLANDS LÄN</t>
        </is>
      </c>
      <c r="G426" t="inlineStr">
        <is>
          <t>FLEN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44848</v>
      </c>
      <c r="E427" s="1" t="n">
        <v>46310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46310</v>
      </c>
      <c r="F428" t="inlineStr">
        <is>
          <t>SÖDERMANLANDS LÄN</t>
        </is>
      </c>
      <c r="G428" t="inlineStr">
        <is>
          <t>FLEN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8903-2022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44614</v>
      </c>
      <c r="E429" s="1" t="n">
        <v>46310</v>
      </c>
      <c r="F429" t="inlineStr">
        <is>
          <t>SÖDERMANLANDS LÄN</t>
        </is>
      </c>
      <c r="G429" t="inlineStr">
        <is>
          <t>FLEN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10281-2025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45720</v>
      </c>
      <c r="E430" s="1" t="n">
        <v>46310</v>
      </c>
      <c r="F430" t="inlineStr">
        <is>
          <t>SÖDERMANLANDS LÄN</t>
        </is>
      </c>
      <c r="G430" t="inlineStr">
        <is>
          <t>FLEN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53517-2023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45230</v>
      </c>
      <c r="E431" s="1" t="n">
        <v>46310</v>
      </c>
      <c r="F431" t="inlineStr">
        <is>
          <t>SÖDERMANLANDS LÄN</t>
        </is>
      </c>
      <c r="G431" t="inlineStr">
        <is>
          <t>FLEN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46310</v>
      </c>
      <c r="F432" t="inlineStr">
        <is>
          <t>SÖDERMANLANDS LÄN</t>
        </is>
      </c>
      <c r="G432" t="inlineStr">
        <is>
          <t>FLEN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45540</v>
      </c>
      <c r="E433" s="1" t="n">
        <v>46310</v>
      </c>
      <c r="F433" t="inlineStr">
        <is>
          <t>SÖDERMANLANDS LÄN</t>
        </is>
      </c>
      <c r="G433" t="inlineStr">
        <is>
          <t>FLEN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44614</v>
      </c>
      <c r="E434" s="1" t="n">
        <v>46310</v>
      </c>
      <c r="F434" t="inlineStr">
        <is>
          <t>SÖDERMANLANDS LÄN</t>
        </is>
      </c>
      <c r="G434" t="inlineStr">
        <is>
          <t>FLEN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46283</v>
      </c>
      <c r="E435" s="1" t="n">
        <v>46310</v>
      </c>
      <c r="F435" t="inlineStr">
        <is>
          <t>SÖDERMANLANDS LÄN</t>
        </is>
      </c>
      <c r="G435" t="inlineStr">
        <is>
          <t>FLEN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46310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44909</v>
      </c>
      <c r="E437" s="1" t="n">
        <v>46310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45327</v>
      </c>
      <c r="E438" s="1" t="n">
        <v>46310</v>
      </c>
      <c r="F438" t="inlineStr">
        <is>
          <t>SÖDERMANLANDS LÄN</t>
        </is>
      </c>
      <c r="G438" t="inlineStr">
        <is>
          <t>FLEN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45001</v>
      </c>
      <c r="E439" s="1" t="n">
        <v>46310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39133-2026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46286</v>
      </c>
      <c r="E440" s="1" t="n">
        <v>46310</v>
      </c>
      <c r="F440" t="inlineStr">
        <is>
          <t>SÖDERMANLANDS LÄN</t>
        </is>
      </c>
      <c r="G440" t="inlineStr">
        <is>
          <t>FLEN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73923-2021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44553</v>
      </c>
      <c r="E441" s="1" t="n">
        <v>46310</v>
      </c>
      <c r="F441" t="inlineStr">
        <is>
          <t>SÖDERMANLANDS LÄN</t>
        </is>
      </c>
      <c r="G441" t="inlineStr">
        <is>
          <t>FLEN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46310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46244</v>
      </c>
      <c r="E443" s="1" t="n">
        <v>46310</v>
      </c>
      <c r="F443" t="inlineStr">
        <is>
          <t>SÖDERMANLANDS LÄN</t>
        </is>
      </c>
      <c r="G443" t="inlineStr">
        <is>
          <t>FLEN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13587-2022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44648</v>
      </c>
      <c r="E444" s="1" t="n">
        <v>46310</v>
      </c>
      <c r="F444" t="inlineStr">
        <is>
          <t>SÖDERMANLANDS LÄN</t>
        </is>
      </c>
      <c r="G444" t="inlineStr">
        <is>
          <t>FLEN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26663-2022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44739</v>
      </c>
      <c r="E445" s="1" t="n">
        <v>46310</v>
      </c>
      <c r="F445" t="inlineStr">
        <is>
          <t>SÖDERMANLANDS LÄN</t>
        </is>
      </c>
      <c r="G445" t="inlineStr">
        <is>
          <t>FLEN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23716-2024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45454</v>
      </c>
      <c r="E446" s="1" t="n">
        <v>46310</v>
      </c>
      <c r="F446" t="inlineStr">
        <is>
          <t>SÖDERMANLANDS LÄN</t>
        </is>
      </c>
      <c r="G446" t="inlineStr">
        <is>
          <t>FLEN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45478</v>
      </c>
      <c r="E447" s="1" t="n">
        <v>46310</v>
      </c>
      <c r="F447" t="inlineStr">
        <is>
          <t>SÖDERMANLANDS LÄN</t>
        </is>
      </c>
      <c r="G447" t="inlineStr">
        <is>
          <t>FLEN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46250</v>
      </c>
      <c r="E448" s="1" t="n">
        <v>46310</v>
      </c>
      <c r="F448" t="inlineStr">
        <is>
          <t>SÖDERMANLANDS LÄN</t>
        </is>
      </c>
      <c r="G448" t="inlineStr">
        <is>
          <t>FLEN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46310</v>
      </c>
      <c r="F449" t="inlineStr">
        <is>
          <t>SÖDERMANLANDS LÄN</t>
        </is>
      </c>
      <c r="G449" t="inlineStr">
        <is>
          <t>FLEN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45713</v>
      </c>
      <c r="E450" s="1" t="n">
        <v>46310</v>
      </c>
      <c r="F450" t="inlineStr">
        <is>
          <t>SÖDERMANLANDS LÄN</t>
        </is>
      </c>
      <c r="G450" t="inlineStr">
        <is>
          <t>FLEN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46310</v>
      </c>
      <c r="F451" t="inlineStr">
        <is>
          <t>SÖDERMANLANDS LÄN</t>
        </is>
      </c>
      <c r="G451" t="inlineStr">
        <is>
          <t>FLEN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45140</v>
      </c>
      <c r="E452" s="1" t="n">
        <v>46310</v>
      </c>
      <c r="F452" t="inlineStr">
        <is>
          <t>SÖDERMANLANDS LÄN</t>
        </is>
      </c>
      <c r="G452" t="inlineStr">
        <is>
          <t>FLEN</t>
        </is>
      </c>
      <c r="H452" t="inlineStr">
        <is>
          <t>Kyrkan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39891-2022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44819</v>
      </c>
      <c r="E453" s="1" t="n">
        <v>46310</v>
      </c>
      <c r="F453" t="inlineStr">
        <is>
          <t>SÖDERMANLANDS LÄN</t>
        </is>
      </c>
      <c r="G453" t="inlineStr">
        <is>
          <t>FLEN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46293</v>
      </c>
      <c r="E454" s="1" t="n">
        <v>46310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31083-2022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44769</v>
      </c>
      <c r="E455" s="1" t="n">
        <v>46310</v>
      </c>
      <c r="F455" t="inlineStr">
        <is>
          <t>SÖDERMANLANDS LÄN</t>
        </is>
      </c>
      <c r="G455" t="inlineStr">
        <is>
          <t>FLEN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46310</v>
      </c>
      <c r="F456" t="inlineStr">
        <is>
          <t>SÖDERMANLANDS LÄN</t>
        </is>
      </c>
      <c r="G456" t="inlineStr">
        <is>
          <t>FLEN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46310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38135-2023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46310</v>
      </c>
      <c r="F458" t="inlineStr">
        <is>
          <t>SÖDERMANLANDS LÄN</t>
        </is>
      </c>
      <c r="G458" t="inlineStr">
        <is>
          <t>FLEN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46310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44960</v>
      </c>
      <c r="E460" s="1" t="n">
        <v>46310</v>
      </c>
      <c r="F460" t="inlineStr">
        <is>
          <t>SÖDERMANLANDS LÄN</t>
        </is>
      </c>
      <c r="G460" t="inlineStr">
        <is>
          <t>FLEN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45244</v>
      </c>
      <c r="E461" s="1" t="n">
        <v>46310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34325-2026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46310</v>
      </c>
      <c r="F462" t="inlineStr">
        <is>
          <t>SÖDERMANLANDS LÄN</t>
        </is>
      </c>
      <c r="G462" t="inlineStr">
        <is>
          <t>FLEN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46310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46310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46310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45175</v>
      </c>
      <c r="E466" s="1" t="n">
        <v>46310</v>
      </c>
      <c r="F466" t="inlineStr">
        <is>
          <t>SÖDERMANLANDS LÄN</t>
        </is>
      </c>
      <c r="G466" t="inlineStr">
        <is>
          <t>FLEN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17654-2023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45036</v>
      </c>
      <c r="E467" s="1" t="n">
        <v>46310</v>
      </c>
      <c r="F467" t="inlineStr">
        <is>
          <t>SÖDERMANLANDS LÄN</t>
        </is>
      </c>
      <c r="G467" t="inlineStr">
        <is>
          <t>FLEN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44907</v>
      </c>
      <c r="E468" s="1" t="n">
        <v>46310</v>
      </c>
      <c r="F468" t="inlineStr">
        <is>
          <t>SÖDERMANLANDS LÄN</t>
        </is>
      </c>
      <c r="G468" t="inlineStr">
        <is>
          <t>FLEN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10256-2024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45365</v>
      </c>
      <c r="E469" s="1" t="n">
        <v>46310</v>
      </c>
      <c r="F469" t="inlineStr">
        <is>
          <t>SÖDERMANLANDS LÄN</t>
        </is>
      </c>
      <c r="G469" t="inlineStr">
        <is>
          <t>FLEN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45244</v>
      </c>
      <c r="E470" s="1" t="n">
        <v>46310</v>
      </c>
      <c r="F470" t="inlineStr">
        <is>
          <t>SÖDERMANLANDS LÄN</t>
        </is>
      </c>
      <c r="G470" t="inlineStr">
        <is>
          <t>FLEN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29897-2026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46310</v>
      </c>
      <c r="F471" t="inlineStr">
        <is>
          <t>SÖDERMANLANDS LÄN</t>
        </is>
      </c>
      <c r="G471" t="inlineStr">
        <is>
          <t>FLEN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46295</v>
      </c>
      <c r="E472" s="1" t="n">
        <v>46310</v>
      </c>
      <c r="F472" t="inlineStr">
        <is>
          <t>SÖDERMANLANDS LÄN</t>
        </is>
      </c>
      <c r="G472" t="inlineStr">
        <is>
          <t>FLEN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11747-2022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44634</v>
      </c>
      <c r="E473" s="1" t="n">
        <v>46310</v>
      </c>
      <c r="F473" t="inlineStr">
        <is>
          <t>SÖDERMANLANDS LÄN</t>
        </is>
      </c>
      <c r="G473" t="inlineStr">
        <is>
          <t>FLEN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41806-2023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45176</v>
      </c>
      <c r="E474" s="1" t="n">
        <v>46310</v>
      </c>
      <c r="F474" t="inlineStr">
        <is>
          <t>SÖDERMANLANDS LÄN</t>
        </is>
      </c>
      <c r="G474" t="inlineStr">
        <is>
          <t>FLEN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50358-2023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45216</v>
      </c>
      <c r="E475" s="1" t="n">
        <v>46310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46310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34851-2026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46310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46258</v>
      </c>
      <c r="E478" s="1" t="n">
        <v>46310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8.5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46310</v>
      </c>
      <c r="F479" t="inlineStr">
        <is>
          <t>SÖDERMANLANDS LÄN</t>
        </is>
      </c>
      <c r="G479" t="inlineStr">
        <is>
          <t>FLEN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40663-2026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46296</v>
      </c>
      <c r="E480" s="1" t="n">
        <v>46310</v>
      </c>
      <c r="F480" t="inlineStr">
        <is>
          <t>SÖDERMANLANDS LÄN</t>
        </is>
      </c>
      <c r="G480" t="inlineStr">
        <is>
          <t>FLEN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45256</v>
      </c>
      <c r="E481" s="1" t="n">
        <v>46310</v>
      </c>
      <c r="F481" t="inlineStr">
        <is>
          <t>SÖDERMANLANDS LÄN</t>
        </is>
      </c>
      <c r="G481" t="inlineStr">
        <is>
          <t>FLEN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45007</v>
      </c>
      <c r="E482" s="1" t="n">
        <v>46310</v>
      </c>
      <c r="F482" t="inlineStr">
        <is>
          <t>SÖDERMANLANDS LÄN</t>
        </is>
      </c>
      <c r="G482" t="inlineStr">
        <is>
          <t>FLEN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22827-2024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46310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13233-2024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45386</v>
      </c>
      <c r="E484" s="1" t="n">
        <v>46310</v>
      </c>
      <c r="F484" t="inlineStr">
        <is>
          <t>SÖDERMANLANDS LÄN</t>
        </is>
      </c>
      <c r="G484" t="inlineStr">
        <is>
          <t>FLEN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8293-2022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44610</v>
      </c>
      <c r="E485" s="1" t="n">
        <v>46310</v>
      </c>
      <c r="F485" t="inlineStr">
        <is>
          <t>SÖDERMANLANDS LÄN</t>
        </is>
      </c>
      <c r="G485" t="inlineStr">
        <is>
          <t>FLEN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14755-2023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45014</v>
      </c>
      <c r="E486" s="1" t="n">
        <v>46310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45671</v>
      </c>
      <c r="E487" s="1" t="n">
        <v>46310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45163</v>
      </c>
      <c r="E488" s="1" t="n">
        <v>46310</v>
      </c>
      <c r="F488" t="inlineStr">
        <is>
          <t>SÖDERMANLANDS LÄN</t>
        </is>
      </c>
      <c r="G488" t="inlineStr">
        <is>
          <t>FLEN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4899-2023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44958</v>
      </c>
      <c r="E489" s="1" t="n">
        <v>46310</v>
      </c>
      <c r="F489" t="inlineStr">
        <is>
          <t>SÖDERMANLANDS LÄN</t>
        </is>
      </c>
      <c r="G489" t="inlineStr">
        <is>
          <t>FLEN</t>
        </is>
      </c>
      <c r="H489" t="inlineStr">
        <is>
          <t>Kyrkan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45777</v>
      </c>
      <c r="E490" s="1" t="n">
        <v>46310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34055-2026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46310</v>
      </c>
      <c r="F491" t="inlineStr">
        <is>
          <t>SÖDERMANLANDS LÄN</t>
        </is>
      </c>
      <c r="G491" t="inlineStr">
        <is>
          <t>FLEN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46307</v>
      </c>
      <c r="E492" s="1" t="n">
        <v>46310</v>
      </c>
      <c r="F492" t="inlineStr">
        <is>
          <t>SÖDERMANLANDS LÄN</t>
        </is>
      </c>
      <c r="G492" t="inlineStr">
        <is>
          <t>FLEN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34097-2026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46252</v>
      </c>
      <c r="E493" s="1" t="n">
        <v>46310</v>
      </c>
      <c r="F493" t="inlineStr">
        <is>
          <t>SÖDERMANLANDS LÄN</t>
        </is>
      </c>
      <c r="G493" t="inlineStr">
        <is>
          <t>FLEN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26854-2026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46310</v>
      </c>
      <c r="F494" t="inlineStr">
        <is>
          <t>SÖDERMANLANDS LÄN</t>
        </is>
      </c>
      <c r="G494" t="inlineStr">
        <is>
          <t>FLEN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46249</v>
      </c>
      <c r="E495" s="1" t="n">
        <v>46310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17290-2024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45414</v>
      </c>
      <c r="E496" s="1" t="n">
        <v>46310</v>
      </c>
      <c r="F496" t="inlineStr">
        <is>
          <t>SÖDERMANLANDS LÄN</t>
        </is>
      </c>
      <c r="G496" t="inlineStr">
        <is>
          <t>FLEN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59051-2023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45252</v>
      </c>
      <c r="E497" s="1" t="n">
        <v>46310</v>
      </c>
      <c r="F497" t="inlineStr">
        <is>
          <t>SÖDERMANLANDS LÄN</t>
        </is>
      </c>
      <c r="G497" t="inlineStr">
        <is>
          <t>FLEN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7960-2024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45350</v>
      </c>
      <c r="E498" s="1" t="n">
        <v>46310</v>
      </c>
      <c r="F498" t="inlineStr">
        <is>
          <t>SÖDERMANLANDS LÄN</t>
        </is>
      </c>
      <c r="G498" t="inlineStr">
        <is>
          <t>FLEN</t>
        </is>
      </c>
      <c r="I498" t="n">
        <v>10.4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54736-2022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44883</v>
      </c>
      <c r="E499" s="1" t="n">
        <v>46310</v>
      </c>
      <c r="F499" t="inlineStr">
        <is>
          <t>SÖDERMANLANDS LÄN</t>
        </is>
      </c>
      <c r="G499" t="inlineStr">
        <is>
          <t>FLEN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46310</v>
      </c>
      <c r="F500" t="inlineStr">
        <is>
          <t>SÖDERMANLANDS LÄN</t>
        </is>
      </c>
      <c r="G500" t="inlineStr">
        <is>
          <t>FLEN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45008</v>
      </c>
      <c r="E501" s="1" t="n">
        <v>46310</v>
      </c>
      <c r="F501" t="inlineStr">
        <is>
          <t>SÖDERMANLANDS LÄN</t>
        </is>
      </c>
      <c r="G501" t="inlineStr">
        <is>
          <t>FLEN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46310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46310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46310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22989-2025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45790</v>
      </c>
      <c r="E505" s="1" t="n">
        <v>46310</v>
      </c>
      <c r="F505" t="inlineStr">
        <is>
          <t>SÖDERMANLANDS LÄN</t>
        </is>
      </c>
      <c r="G505" t="inlineStr">
        <is>
          <t>FLEN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46310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22998-2025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45790</v>
      </c>
      <c r="E507" s="1" t="n">
        <v>46310</v>
      </c>
      <c r="F507" t="inlineStr">
        <is>
          <t>SÖDERMANLANDS LÄN</t>
        </is>
      </c>
      <c r="G507" t="inlineStr">
        <is>
          <t>FLEN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46310</v>
      </c>
      <c r="F508" t="inlineStr">
        <is>
          <t>SÖDERMANLANDS LÄN</t>
        </is>
      </c>
      <c r="G508" t="inlineStr">
        <is>
          <t>FLEN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46310</v>
      </c>
      <c r="F509" t="inlineStr">
        <is>
          <t>SÖDERMANLANDS LÄN</t>
        </is>
      </c>
      <c r="G509" t="inlineStr">
        <is>
          <t>FLEN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458-2023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44964</v>
      </c>
      <c r="E510" s="1" t="n">
        <v>46310</v>
      </c>
      <c r="F510" t="inlineStr">
        <is>
          <t>SÖDERMANLANDS LÄN</t>
        </is>
      </c>
      <c r="G510" t="inlineStr">
        <is>
          <t>FLEN</t>
        </is>
      </c>
      <c r="H510" t="inlineStr">
        <is>
          <t>Kyrkan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292-2025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45686</v>
      </c>
      <c r="E511" s="1" t="n">
        <v>46310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3723-2022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44742</v>
      </c>
      <c r="E512" s="1" t="n">
        <v>46310</v>
      </c>
      <c r="F512" t="inlineStr">
        <is>
          <t>SÖDERMANLANDS LÄN</t>
        </is>
      </c>
      <c r="G512" t="inlineStr">
        <is>
          <t>FLEN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482-2022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44588</v>
      </c>
      <c r="E513" s="1" t="n">
        <v>46310</v>
      </c>
      <c r="F513" t="inlineStr">
        <is>
          <t>SÖDERMANLANDS LÄN</t>
        </is>
      </c>
      <c r="G513" t="inlineStr">
        <is>
          <t>FLEN</t>
        </is>
      </c>
      <c r="I513" t="n">
        <v>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2321-2022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44685</v>
      </c>
      <c r="E514" s="1" t="n">
        <v>46310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46310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46310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46310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2026-10-15T02:06:24Z</dcterms:created>
  <dcterms:modified xmlns:dcterms="http://purl.org/dc/terms/" xmlns:xsi="http://www.w3.org/2001/XMLSchema-instance" xsi:type="dcterms:W3CDTF">2026-10-15T02:06:25Z</dcterms:modified>
</cp:coreProperties>
</file>