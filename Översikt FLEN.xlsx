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45879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45879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45879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45879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45879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45879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45879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45879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45879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45879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45879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45879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45879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45879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45879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10107-2023</t>
        </is>
      </c>
      <c r="B17" s="1" t="n">
        <v>44986.31693287037</v>
      </c>
      <c r="C17" s="1" t="n">
        <v>45879</v>
      </c>
      <c r="D17" t="inlineStr">
        <is>
          <t>SÖDERMANLANDS LÄN</t>
        </is>
      </c>
      <c r="E17" t="inlineStr">
        <is>
          <t>FLEN</t>
        </is>
      </c>
      <c r="G17" t="n">
        <v>21.1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Bombmurkla
Svedjenäva
Mattlummer</t>
        </is>
      </c>
      <c r="S17">
        <f>HYPERLINK("https://klasma.github.io/Logging_0482/artfynd/A 10107-2023 artfynd.xlsx", "A 10107-2023")</f>
        <v/>
      </c>
      <c r="T17">
        <f>HYPERLINK("https://klasma.github.io/Logging_0482/kartor/A 10107-2023 karta.png", "A 10107-2023")</f>
        <v/>
      </c>
      <c r="V17">
        <f>HYPERLINK("https://klasma.github.io/Logging_0482/klagomål/A 10107-2023 FSC-klagomål.docx", "A 10107-2023")</f>
        <v/>
      </c>
      <c r="W17">
        <f>HYPERLINK("https://klasma.github.io/Logging_0482/klagomålsmail/A 10107-2023 FSC-klagomål mail.docx", "A 10107-2023")</f>
        <v/>
      </c>
      <c r="X17">
        <f>HYPERLINK("https://klasma.github.io/Logging_0482/tillsyn/A 10107-2023 tillsynsbegäran.docx", "A 10107-2023")</f>
        <v/>
      </c>
      <c r="Y17">
        <f>HYPERLINK("https://klasma.github.io/Logging_0482/tillsynsmail/A 10107-2023 tillsynsbegäran mail.docx", "A 10107-2023")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45879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45879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45879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45879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45879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31238-2022</t>
        </is>
      </c>
      <c r="B23" s="1" t="n">
        <v>44771</v>
      </c>
      <c r="C23" s="1" t="n">
        <v>45879</v>
      </c>
      <c r="D23" t="inlineStr">
        <is>
          <t>SÖDERMANLANDS LÄN</t>
        </is>
      </c>
      <c r="E23" t="inlineStr">
        <is>
          <t>FLEN</t>
        </is>
      </c>
      <c r="G23" t="n">
        <v>7.5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Svedjenäva
Svinrot
Skogsbräsma</t>
        </is>
      </c>
      <c r="S23">
        <f>HYPERLINK("https://klasma.github.io/Logging_0482/artfynd/A 31238-2022 artfynd.xlsx", "A 31238-2022")</f>
        <v/>
      </c>
      <c r="T23">
        <f>HYPERLINK("https://klasma.github.io/Logging_0482/kartor/A 31238-2022 karta.png", "A 31238-2022")</f>
        <v/>
      </c>
      <c r="V23">
        <f>HYPERLINK("https://klasma.github.io/Logging_0482/klagomål/A 31238-2022 FSC-klagomål.docx", "A 31238-2022")</f>
        <v/>
      </c>
      <c r="W23">
        <f>HYPERLINK("https://klasma.github.io/Logging_0482/klagomålsmail/A 31238-2022 FSC-klagomål mail.docx", "A 31238-2022")</f>
        <v/>
      </c>
      <c r="X23">
        <f>HYPERLINK("https://klasma.github.io/Logging_0482/tillsyn/A 31238-2022 tillsynsbegäran.docx", "A 31238-2022")</f>
        <v/>
      </c>
      <c r="Y23">
        <f>HYPERLINK("https://klasma.github.io/Logging_0482/tillsynsmail/A 31238-2022 tillsynsbegäran mail.docx", "A 31238-2022")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45879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45879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45879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45879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11103-2023</t>
        </is>
      </c>
      <c r="B28" s="1" t="n">
        <v>44986</v>
      </c>
      <c r="C28" s="1" t="n">
        <v>45879</v>
      </c>
      <c r="D28" t="inlineStr">
        <is>
          <t>SÖDERMANLANDS LÄN</t>
        </is>
      </c>
      <c r="E28" t="inlineStr">
        <is>
          <t>FLEN</t>
        </is>
      </c>
      <c r="G28" t="n">
        <v>8.9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Blåmossa</t>
        </is>
      </c>
      <c r="S28">
        <f>HYPERLINK("https://klasma.github.io/Logging_0482/artfynd/A 11103-2023 artfynd.xlsx", "A 11103-2023")</f>
        <v/>
      </c>
      <c r="T28">
        <f>HYPERLINK("https://klasma.github.io/Logging_0482/kartor/A 11103-2023 karta.png", "A 11103-2023")</f>
        <v/>
      </c>
      <c r="V28">
        <f>HYPERLINK("https://klasma.github.io/Logging_0482/klagomål/A 11103-2023 FSC-klagomål.docx", "A 11103-2023")</f>
        <v/>
      </c>
      <c r="W28">
        <f>HYPERLINK("https://klasma.github.io/Logging_0482/klagomålsmail/A 11103-2023 FSC-klagomål mail.docx", "A 11103-2023")</f>
        <v/>
      </c>
      <c r="X28">
        <f>HYPERLINK("https://klasma.github.io/Logging_0482/tillsyn/A 11103-2023 tillsynsbegäran.docx", "A 11103-2023")</f>
        <v/>
      </c>
      <c r="Y28">
        <f>HYPERLINK("https://klasma.github.io/Logging_0482/tillsynsmail/A 11103-2023 tillsynsbegäran mail.docx", "A 11103-2023")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45879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45879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45879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45879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45879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45879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45879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45879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8176-2021</t>
        </is>
      </c>
      <c r="B37" s="1" t="n">
        <v>44242</v>
      </c>
      <c r="C37" s="1" t="n">
        <v>45879</v>
      </c>
      <c r="D37" t="inlineStr">
        <is>
          <t>SÖDERMANLANDS LÄN</t>
        </is>
      </c>
      <c r="E37" t="inlineStr">
        <is>
          <t>FLEN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HYPERLINK("https://klasma.github.io/Logging_0482/artfynd/A 8176-2021 artfynd.xlsx", "A 8176-2021")</f>
        <v/>
      </c>
      <c r="T37">
        <f>HYPERLINK("https://klasma.github.io/Logging_0482/kartor/A 8176-2021 karta.png", "A 8176-2021")</f>
        <v/>
      </c>
      <c r="U37">
        <f>HYPERLINK("https://klasma.github.io/Logging_0482/knärot/A 8176-2021 karta knärot.png", "A 8176-2021")</f>
        <v/>
      </c>
      <c r="V37">
        <f>HYPERLINK("https://klasma.github.io/Logging_0482/klagomål/A 8176-2021 FSC-klagomål.docx", "A 8176-2021")</f>
        <v/>
      </c>
      <c r="W37">
        <f>HYPERLINK("https://klasma.github.io/Logging_0482/klagomålsmail/A 8176-2021 FSC-klagomål mail.docx", "A 8176-2021")</f>
        <v/>
      </c>
      <c r="X37">
        <f>HYPERLINK("https://klasma.github.io/Logging_0482/tillsyn/A 8176-2021 tillsynsbegäran.docx", "A 8176-2021")</f>
        <v/>
      </c>
      <c r="Y37">
        <f>HYPERLINK("https://klasma.github.io/Logging_0482/tillsynsmail/A 8176-2021 tillsynsbegäran mail.docx", "A 8176-2021")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45879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62355-2021</t>
        </is>
      </c>
      <c r="B39" s="1" t="n">
        <v>44503</v>
      </c>
      <c r="C39" s="1" t="n">
        <v>45879</v>
      </c>
      <c r="D39" t="inlineStr">
        <is>
          <t>SÖDERMANLANDS LÄN</t>
        </is>
      </c>
      <c r="E39" t="inlineStr">
        <is>
          <t>FLEN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HYPERLINK("https://klasma.github.io/Logging_0482/artfynd/A 62355-2021 artfynd.xlsx", "A 62355-2021")</f>
        <v/>
      </c>
      <c r="T39">
        <f>HYPERLINK("https://klasma.github.io/Logging_0482/kartor/A 62355-2021 karta.png", "A 62355-2021")</f>
        <v/>
      </c>
      <c r="V39">
        <f>HYPERLINK("https://klasma.github.io/Logging_0482/klagomål/A 62355-2021 FSC-klagomål.docx", "A 62355-2021")</f>
        <v/>
      </c>
      <c r="W39">
        <f>HYPERLINK("https://klasma.github.io/Logging_0482/klagomålsmail/A 62355-2021 FSC-klagomål mail.docx", "A 62355-2021")</f>
        <v/>
      </c>
      <c r="X39">
        <f>HYPERLINK("https://klasma.github.io/Logging_0482/tillsyn/A 62355-2021 tillsynsbegäran.docx", "A 62355-2021")</f>
        <v/>
      </c>
      <c r="Y39">
        <f>HYPERLINK("https://klasma.github.io/Logging_0482/tillsynsmail/A 62355-2021 tillsynsbegäran mail.docx", "A 62355-2021")</f>
        <v/>
      </c>
    </row>
    <row r="40" ht="15" customHeight="1">
      <c r="A40" t="inlineStr">
        <is>
          <t>A 26245-2022</t>
        </is>
      </c>
      <c r="B40" s="1" t="n">
        <v>44735.4858912037</v>
      </c>
      <c r="C40" s="1" t="n">
        <v>45879</v>
      </c>
      <c r="D40" t="inlineStr">
        <is>
          <t>SÖDERMANLANDS LÄN</t>
        </is>
      </c>
      <c r="E40" t="inlineStr">
        <is>
          <t>FLEN</t>
        </is>
      </c>
      <c r="G40" t="n">
        <v>2.9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Blanksvart trämyra</t>
        </is>
      </c>
      <c r="S40">
        <f>HYPERLINK("https://klasma.github.io/Logging_0482/artfynd/A 26245-2022 artfynd.xlsx", "A 26245-2022")</f>
        <v/>
      </c>
      <c r="T40">
        <f>HYPERLINK("https://klasma.github.io/Logging_0482/kartor/A 26245-2022 karta.png", "A 26245-2022")</f>
        <v/>
      </c>
      <c r="V40">
        <f>HYPERLINK("https://klasma.github.io/Logging_0482/klagomål/A 26245-2022 FSC-klagomål.docx", "A 26245-2022")</f>
        <v/>
      </c>
      <c r="W40">
        <f>HYPERLINK("https://klasma.github.io/Logging_0482/klagomålsmail/A 26245-2022 FSC-klagomål mail.docx", "A 26245-2022")</f>
        <v/>
      </c>
      <c r="X40">
        <f>HYPERLINK("https://klasma.github.io/Logging_0482/tillsyn/A 26245-2022 tillsynsbegäran.docx", "A 26245-2022")</f>
        <v/>
      </c>
      <c r="Y40">
        <f>HYPERLINK("https://klasma.github.io/Logging_0482/tillsynsmail/A 26245-2022 tillsynsbegäran mail.docx", "A 26245-2022")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45879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45879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45879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57173-2020</t>
        </is>
      </c>
      <c r="B44" s="1" t="n">
        <v>44138</v>
      </c>
      <c r="C44" s="1" t="n">
        <v>45879</v>
      </c>
      <c r="D44" t="inlineStr">
        <is>
          <t>SÖDERMANLANDS LÄN</t>
        </is>
      </c>
      <c r="E44" t="inlineStr">
        <is>
          <t>FLEN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57173-2020 artfynd.xlsx", "A 57173-2020")</f>
        <v/>
      </c>
      <c r="T44">
        <f>HYPERLINK("https://klasma.github.io/Logging_0482/kartor/A 57173-2020 karta.png", "A 57173-2020")</f>
        <v/>
      </c>
      <c r="U44">
        <f>HYPERLINK("https://klasma.github.io/Logging_0482/knärot/A 57173-2020 karta knärot.png", "A 57173-2020")</f>
        <v/>
      </c>
      <c r="V44">
        <f>HYPERLINK("https://klasma.github.io/Logging_0482/klagomål/A 57173-2020 FSC-klagomål.docx", "A 57173-2020")</f>
        <v/>
      </c>
      <c r="W44">
        <f>HYPERLINK("https://klasma.github.io/Logging_0482/klagomålsmail/A 57173-2020 FSC-klagomål mail.docx", "A 57173-2020")</f>
        <v/>
      </c>
      <c r="X44">
        <f>HYPERLINK("https://klasma.github.io/Logging_0482/tillsyn/A 57173-2020 tillsynsbegäran.docx", "A 57173-2020")</f>
        <v/>
      </c>
      <c r="Y44">
        <f>HYPERLINK("https://klasma.github.io/Logging_0482/tillsynsmail/A 57173-2020 tillsynsbegäran mail.docx", "A 57173-2020")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45879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60591-2022</t>
        </is>
      </c>
      <c r="B46" s="1" t="n">
        <v>44911</v>
      </c>
      <c r="C46" s="1" t="n">
        <v>45879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HYPERLINK("https://klasma.github.io/Logging_0482/artfynd/A 60591-2022 artfynd.xlsx", "A 60591-2022")</f>
        <v/>
      </c>
      <c r="T46">
        <f>HYPERLINK("https://klasma.github.io/Logging_0482/kartor/A 60591-2022 karta.png", "A 60591-2022")</f>
        <v/>
      </c>
      <c r="V46">
        <f>HYPERLINK("https://klasma.github.io/Logging_0482/klagomål/A 60591-2022 FSC-klagomål.docx", "A 60591-2022")</f>
        <v/>
      </c>
      <c r="W46">
        <f>HYPERLINK("https://klasma.github.io/Logging_0482/klagomålsmail/A 60591-2022 FSC-klagomål mail.docx", "A 60591-2022")</f>
        <v/>
      </c>
      <c r="X46">
        <f>HYPERLINK("https://klasma.github.io/Logging_0482/tillsyn/A 60591-2022 tillsynsbegäran.docx", "A 60591-2022")</f>
        <v/>
      </c>
      <c r="Y46">
        <f>HYPERLINK("https://klasma.github.io/Logging_0482/tillsynsmail/A 60591-2022 tillsynsbegäran mail.docx", "A 60591-2022")</f>
        <v/>
      </c>
    </row>
    <row r="47" ht="15" customHeight="1">
      <c r="A47" t="inlineStr">
        <is>
          <t>A 62535-2021</t>
        </is>
      </c>
      <c r="B47" s="1" t="n">
        <v>44503</v>
      </c>
      <c r="C47" s="1" t="n">
        <v>45879</v>
      </c>
      <c r="D47" t="inlineStr">
        <is>
          <t>SÖDERMANLANDS LÄN</t>
        </is>
      </c>
      <c r="E47" t="inlineStr">
        <is>
          <t>FLEN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62535-2021 artfynd.xlsx", "A 62535-2021")</f>
        <v/>
      </c>
      <c r="T47">
        <f>HYPERLINK("https://klasma.github.io/Logging_0482/kartor/A 62535-2021 karta.png", "A 62535-2021")</f>
        <v/>
      </c>
      <c r="V47">
        <f>HYPERLINK("https://klasma.github.io/Logging_0482/klagomål/A 62535-2021 FSC-klagomål.docx", "A 62535-2021")</f>
        <v/>
      </c>
      <c r="W47">
        <f>HYPERLINK("https://klasma.github.io/Logging_0482/klagomålsmail/A 62535-2021 FSC-klagomål mail.docx", "A 62535-2021")</f>
        <v/>
      </c>
      <c r="X47">
        <f>HYPERLINK("https://klasma.github.io/Logging_0482/tillsyn/A 62535-2021 tillsynsbegäran.docx", "A 62535-2021")</f>
        <v/>
      </c>
      <c r="Y47">
        <f>HYPERLINK("https://klasma.github.io/Logging_0482/tillsynsmail/A 62535-2021 tillsynsbegäran mail.docx", "A 62535-2021")</f>
        <v/>
      </c>
    </row>
    <row r="48" ht="15" customHeight="1">
      <c r="A48" t="inlineStr">
        <is>
          <t>A 55092-2021</t>
        </is>
      </c>
      <c r="B48" s="1" t="n">
        <v>44474.66891203704</v>
      </c>
      <c r="C48" s="1" t="n">
        <v>45879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HYPERLINK("https://klasma.github.io/Logging_0482/artfynd/A 55092-2021 artfynd.xlsx", "A 55092-2021")</f>
        <v/>
      </c>
      <c r="T48">
        <f>HYPERLINK("https://klasma.github.io/Logging_0482/kartor/A 55092-2021 karta.png", "A 55092-2021")</f>
        <v/>
      </c>
      <c r="V48">
        <f>HYPERLINK("https://klasma.github.io/Logging_0482/klagomål/A 55092-2021 FSC-klagomål.docx", "A 55092-2021")</f>
        <v/>
      </c>
      <c r="W48">
        <f>HYPERLINK("https://klasma.github.io/Logging_0482/klagomålsmail/A 55092-2021 FSC-klagomål mail.docx", "A 55092-2021")</f>
        <v/>
      </c>
      <c r="X48">
        <f>HYPERLINK("https://klasma.github.io/Logging_0482/tillsyn/A 55092-2021 tillsynsbegäran.docx", "A 55092-2021")</f>
        <v/>
      </c>
      <c r="Y48">
        <f>HYPERLINK("https://klasma.github.io/Logging_0482/tillsynsmail/A 55092-2021 tillsynsbegäran mail.docx", "A 55092-2021")</f>
        <v/>
      </c>
    </row>
    <row r="49" ht="15" customHeight="1">
      <c r="A49" t="inlineStr">
        <is>
          <t>A 50202-2022</t>
        </is>
      </c>
      <c r="B49" s="1" t="n">
        <v>44865</v>
      </c>
      <c r="C49" s="1" t="n">
        <v>45879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HYPERLINK("https://klasma.github.io/Logging_0482/artfynd/A 50202-2022 artfynd.xlsx", "A 50202-2022")</f>
        <v/>
      </c>
      <c r="T49">
        <f>HYPERLINK("https://klasma.github.io/Logging_0482/kartor/A 50202-2022 karta.png", "A 50202-2022")</f>
        <v/>
      </c>
      <c r="V49">
        <f>HYPERLINK("https://klasma.github.io/Logging_0482/klagomål/A 50202-2022 FSC-klagomål.docx", "A 50202-2022")</f>
        <v/>
      </c>
      <c r="W49">
        <f>HYPERLINK("https://klasma.github.io/Logging_0482/klagomålsmail/A 50202-2022 FSC-klagomål mail.docx", "A 50202-2022")</f>
        <v/>
      </c>
      <c r="X49">
        <f>HYPERLINK("https://klasma.github.io/Logging_0482/tillsyn/A 50202-2022 tillsynsbegäran.docx", "A 50202-2022")</f>
        <v/>
      </c>
      <c r="Y49">
        <f>HYPERLINK("https://klasma.github.io/Logging_0482/tillsynsmail/A 50202-2022 tillsynsbegäran mail.docx", "A 50202-2022")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45879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30584-2023</t>
        </is>
      </c>
      <c r="B51" s="1" t="n">
        <v>45112.3309375</v>
      </c>
      <c r="C51" s="1" t="n">
        <v>45879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HYPERLINK("https://klasma.github.io/Logging_0482/artfynd/A 30584-2023 artfynd.xlsx", "A 30584-2023")</f>
        <v/>
      </c>
      <c r="T51">
        <f>HYPERLINK("https://klasma.github.io/Logging_0482/kartor/A 30584-2023 karta.png", "A 30584-2023")</f>
        <v/>
      </c>
      <c r="V51">
        <f>HYPERLINK("https://klasma.github.io/Logging_0482/klagomål/A 30584-2023 FSC-klagomål.docx", "A 30584-2023")</f>
        <v/>
      </c>
      <c r="W51">
        <f>HYPERLINK("https://klasma.github.io/Logging_0482/klagomålsmail/A 30584-2023 FSC-klagomål mail.docx", "A 30584-2023")</f>
        <v/>
      </c>
      <c r="X51">
        <f>HYPERLINK("https://klasma.github.io/Logging_0482/tillsyn/A 30584-2023 tillsynsbegäran.docx", "A 30584-2023")</f>
        <v/>
      </c>
      <c r="Y51">
        <f>HYPERLINK("https://klasma.github.io/Logging_0482/tillsynsmail/A 30584-2023 tillsynsbegäran mail.docx", "A 30584-2023")</f>
        <v/>
      </c>
      <c r="Z51">
        <f>HYPERLINK("https://klasma.github.io/Logging_0482/fåglar/A 30584-2023 prioriterade fågelarter.docx", "A 30584-2023")</f>
        <v/>
      </c>
    </row>
    <row r="52" ht="15" customHeight="1">
      <c r="A52" t="inlineStr">
        <is>
          <t>A 49808-2023</t>
        </is>
      </c>
      <c r="B52" s="1" t="n">
        <v>45212</v>
      </c>
      <c r="C52" s="1" t="n">
        <v>45879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49808-2023 artfynd.xlsx", "A 49808-2023")</f>
        <v/>
      </c>
      <c r="T52">
        <f>HYPERLINK("https://klasma.github.io/Logging_0482/kartor/A 49808-2023 karta.png", "A 49808-2023")</f>
        <v/>
      </c>
      <c r="V52">
        <f>HYPERLINK("https://klasma.github.io/Logging_0482/klagomål/A 49808-2023 FSC-klagomål.docx", "A 49808-2023")</f>
        <v/>
      </c>
      <c r="W52">
        <f>HYPERLINK("https://klasma.github.io/Logging_0482/klagomålsmail/A 49808-2023 FSC-klagomål mail.docx", "A 49808-2023")</f>
        <v/>
      </c>
      <c r="X52">
        <f>HYPERLINK("https://klasma.github.io/Logging_0482/tillsyn/A 49808-2023 tillsynsbegäran.docx", "A 49808-2023")</f>
        <v/>
      </c>
      <c r="Y52">
        <f>HYPERLINK("https://klasma.github.io/Logging_0482/tillsynsmail/A 49808-2023 tillsynsbegäran mail.docx", "A 49808-2023")</f>
        <v/>
      </c>
    </row>
    <row r="53" ht="15" customHeight="1">
      <c r="A53" t="inlineStr">
        <is>
          <t>A 60529-2024</t>
        </is>
      </c>
      <c r="B53" s="1" t="n">
        <v>45643.70822916667</v>
      </c>
      <c r="C53" s="1" t="n">
        <v>45879</v>
      </c>
      <c r="D53" t="inlineStr">
        <is>
          <t>SÖDERMANLANDS LÄN</t>
        </is>
      </c>
      <c r="E53" t="inlineStr">
        <is>
          <t>FLEN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HYPERLINK("https://klasma.github.io/Logging_0482/artfynd/A 60529-2024 artfynd.xlsx", "A 60529-2024")</f>
        <v/>
      </c>
      <c r="T53">
        <f>HYPERLINK("https://klasma.github.io/Logging_0482/kartor/A 60529-2024 karta.png", "A 60529-2024")</f>
        <v/>
      </c>
      <c r="V53">
        <f>HYPERLINK("https://klasma.github.io/Logging_0482/klagomål/A 60529-2024 FSC-klagomål.docx", "A 60529-2024")</f>
        <v/>
      </c>
      <c r="W53">
        <f>HYPERLINK("https://klasma.github.io/Logging_0482/klagomålsmail/A 60529-2024 FSC-klagomål mail.docx", "A 60529-2024")</f>
        <v/>
      </c>
      <c r="X53">
        <f>HYPERLINK("https://klasma.github.io/Logging_0482/tillsyn/A 60529-2024 tillsynsbegäran.docx", "A 60529-2024")</f>
        <v/>
      </c>
      <c r="Y53">
        <f>HYPERLINK("https://klasma.github.io/Logging_0482/tillsynsmail/A 60529-2024 tillsynsbegäran mail.docx", "A 60529-2024")</f>
        <v/>
      </c>
    </row>
    <row r="54" ht="15" customHeight="1">
      <c r="A54" t="inlineStr">
        <is>
          <t>A 7506-2023</t>
        </is>
      </c>
      <c r="B54" s="1" t="n">
        <v>44971</v>
      </c>
      <c r="C54" s="1" t="n">
        <v>45879</v>
      </c>
      <c r="D54" t="inlineStr">
        <is>
          <t>SÖDERMANLANDS LÄN</t>
        </is>
      </c>
      <c r="E54" t="inlineStr">
        <is>
          <t>FLEN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7506-2023 artfynd.xlsx", "A 7506-2023")</f>
        <v/>
      </c>
      <c r="T54">
        <f>HYPERLINK("https://klasma.github.io/Logging_0482/kartor/A 7506-2023 karta.png", "A 7506-2023")</f>
        <v/>
      </c>
      <c r="V54">
        <f>HYPERLINK("https://klasma.github.io/Logging_0482/klagomål/A 7506-2023 FSC-klagomål.docx", "A 7506-2023")</f>
        <v/>
      </c>
      <c r="W54">
        <f>HYPERLINK("https://klasma.github.io/Logging_0482/klagomålsmail/A 7506-2023 FSC-klagomål mail.docx", "A 7506-2023")</f>
        <v/>
      </c>
      <c r="X54">
        <f>HYPERLINK("https://klasma.github.io/Logging_0482/tillsyn/A 7506-2023 tillsynsbegäran.docx", "A 7506-2023")</f>
        <v/>
      </c>
      <c r="Y54">
        <f>HYPERLINK("https://klasma.github.io/Logging_0482/tillsynsmail/A 7506-2023 tillsynsbegäran mail.docx", "A 7506-2023")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45879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14101-2025</t>
        </is>
      </c>
      <c r="B56" s="1" t="n">
        <v>45740</v>
      </c>
      <c r="C56" s="1" t="n">
        <v>45879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14101-2025 artfynd.xlsx", "A 14101-2025")</f>
        <v/>
      </c>
      <c r="T56">
        <f>HYPERLINK("https://klasma.github.io/Logging_0482/kartor/A 14101-2025 karta.png", "A 14101-2025")</f>
        <v/>
      </c>
      <c r="V56">
        <f>HYPERLINK("https://klasma.github.io/Logging_0482/klagomål/A 14101-2025 FSC-klagomål.docx", "A 14101-2025")</f>
        <v/>
      </c>
      <c r="W56">
        <f>HYPERLINK("https://klasma.github.io/Logging_0482/klagomålsmail/A 14101-2025 FSC-klagomål mail.docx", "A 14101-2025")</f>
        <v/>
      </c>
      <c r="X56">
        <f>HYPERLINK("https://klasma.github.io/Logging_0482/tillsyn/A 14101-2025 tillsynsbegäran.docx", "A 14101-2025")</f>
        <v/>
      </c>
      <c r="Y56">
        <f>HYPERLINK("https://klasma.github.io/Logging_0482/tillsynsmail/A 14101-2025 tillsynsbegäran mail.docx", "A 14101-2025")</f>
        <v/>
      </c>
    </row>
    <row r="57" ht="15" customHeight="1">
      <c r="A57" t="inlineStr">
        <is>
          <t>A 7973-2024</t>
        </is>
      </c>
      <c r="B57" s="1" t="n">
        <v>45350.58791666666</v>
      </c>
      <c r="C57" s="1" t="n">
        <v>45879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HYPERLINK("https://klasma.github.io/Logging_0482/artfynd/A 7973-2024 artfynd.xlsx", "A 7973-2024")</f>
        <v/>
      </c>
      <c r="T57">
        <f>HYPERLINK("https://klasma.github.io/Logging_0482/kartor/A 7973-2024 karta.png", "A 7973-2024")</f>
        <v/>
      </c>
      <c r="V57">
        <f>HYPERLINK("https://klasma.github.io/Logging_0482/klagomål/A 7973-2024 FSC-klagomål.docx", "A 7973-2024")</f>
        <v/>
      </c>
      <c r="W57">
        <f>HYPERLINK("https://klasma.github.io/Logging_0482/klagomålsmail/A 7973-2024 FSC-klagomål mail.docx", "A 7973-2024")</f>
        <v/>
      </c>
      <c r="X57">
        <f>HYPERLINK("https://klasma.github.io/Logging_0482/tillsyn/A 7973-2024 tillsynsbegäran.docx", "A 7973-2024")</f>
        <v/>
      </c>
      <c r="Y57">
        <f>HYPERLINK("https://klasma.github.io/Logging_0482/tillsynsmail/A 7973-2024 tillsynsbegäran mail.docx", "A 7973-2024")</f>
        <v/>
      </c>
    </row>
    <row r="58" ht="15" customHeight="1">
      <c r="A58" t="inlineStr">
        <is>
          <t>A 49594-2024</t>
        </is>
      </c>
      <c r="B58" s="1" t="n">
        <v>45596</v>
      </c>
      <c r="C58" s="1" t="n">
        <v>45879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HYPERLINK("https://klasma.github.io/Logging_0482/artfynd/A 49594-2024 artfynd.xlsx", "A 49594-2024")</f>
        <v/>
      </c>
      <c r="T58">
        <f>HYPERLINK("https://klasma.github.io/Logging_0482/kartor/A 49594-2024 karta.png", "A 49594-2024")</f>
        <v/>
      </c>
      <c r="V58">
        <f>HYPERLINK("https://klasma.github.io/Logging_0482/klagomål/A 49594-2024 FSC-klagomål.docx", "A 49594-2024")</f>
        <v/>
      </c>
      <c r="W58">
        <f>HYPERLINK("https://klasma.github.io/Logging_0482/klagomålsmail/A 49594-2024 FSC-klagomål mail.docx", "A 49594-2024")</f>
        <v/>
      </c>
      <c r="X58">
        <f>HYPERLINK("https://klasma.github.io/Logging_0482/tillsyn/A 49594-2024 tillsynsbegäran.docx", "A 49594-2024")</f>
        <v/>
      </c>
      <c r="Y58">
        <f>HYPERLINK("https://klasma.github.io/Logging_0482/tillsynsmail/A 49594-2024 tillsynsbegäran mail.docx", "A 49594-2024")</f>
        <v/>
      </c>
      <c r="Z58">
        <f>HYPERLINK("https://klasma.github.io/Logging_0482/fåglar/A 49594-2024 prioriterade fågelarter.docx", "A 49594-2024")</f>
        <v/>
      </c>
    </row>
    <row r="59" ht="15" customHeight="1">
      <c r="A59" t="inlineStr">
        <is>
          <t>A 70039-2021</t>
        </is>
      </c>
      <c r="B59" s="1" t="n">
        <v>44533</v>
      </c>
      <c r="C59" s="1" t="n">
        <v>45879</v>
      </c>
      <c r="D59" t="inlineStr">
        <is>
          <t>SÖDERMANLANDS LÄN</t>
        </is>
      </c>
      <c r="E59" t="inlineStr">
        <is>
          <t>FLEN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Svedjenäva</t>
        </is>
      </c>
      <c r="S59">
        <f>HYPERLINK("https://klasma.github.io/Logging_0482/artfynd/A 70039-2021 artfynd.xlsx", "A 70039-2021")</f>
        <v/>
      </c>
      <c r="T59">
        <f>HYPERLINK("https://klasma.github.io/Logging_0482/kartor/A 70039-2021 karta.png", "A 70039-2021")</f>
        <v/>
      </c>
      <c r="V59">
        <f>HYPERLINK("https://klasma.github.io/Logging_0482/klagomål/A 70039-2021 FSC-klagomål.docx", "A 70039-2021")</f>
        <v/>
      </c>
      <c r="W59">
        <f>HYPERLINK("https://klasma.github.io/Logging_0482/klagomålsmail/A 70039-2021 FSC-klagomål mail.docx", "A 70039-2021")</f>
        <v/>
      </c>
      <c r="X59">
        <f>HYPERLINK("https://klasma.github.io/Logging_0482/tillsyn/A 70039-2021 tillsynsbegäran.docx", "A 70039-2021")</f>
        <v/>
      </c>
      <c r="Y59">
        <f>HYPERLINK("https://klasma.github.io/Logging_0482/tillsynsmail/A 70039-2021 tillsynsbegäran mail.docx", "A 70039-2021")</f>
        <v/>
      </c>
    </row>
    <row r="60" ht="15" customHeight="1">
      <c r="A60" t="inlineStr">
        <is>
          <t>A 37317-2023</t>
        </is>
      </c>
      <c r="B60" s="1" t="n">
        <v>45156</v>
      </c>
      <c r="C60" s="1" t="n">
        <v>45879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Svavelriska</t>
        </is>
      </c>
      <c r="S60">
        <f>HYPERLINK("https://klasma.github.io/Logging_0482/artfynd/A 37317-2023 artfynd.xlsx", "A 37317-2023")</f>
        <v/>
      </c>
      <c r="T60">
        <f>HYPERLINK("https://klasma.github.io/Logging_0482/kartor/A 37317-2023 karta.png", "A 37317-2023")</f>
        <v/>
      </c>
      <c r="V60">
        <f>HYPERLINK("https://klasma.github.io/Logging_0482/klagomål/A 37317-2023 FSC-klagomål.docx", "A 37317-2023")</f>
        <v/>
      </c>
      <c r="W60">
        <f>HYPERLINK("https://klasma.github.io/Logging_0482/klagomålsmail/A 37317-2023 FSC-klagomål mail.docx", "A 37317-2023")</f>
        <v/>
      </c>
      <c r="X60">
        <f>HYPERLINK("https://klasma.github.io/Logging_0482/tillsyn/A 37317-2023 tillsynsbegäran.docx", "A 37317-2023")</f>
        <v/>
      </c>
      <c r="Y60">
        <f>HYPERLINK("https://klasma.github.io/Logging_0482/tillsynsmail/A 37317-2023 tillsynsbegäran mail.docx", "A 37317-2023")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45879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12056-2024</t>
        </is>
      </c>
      <c r="B62" s="1" t="n">
        <v>45377</v>
      </c>
      <c r="C62" s="1" t="n">
        <v>45879</v>
      </c>
      <c r="D62" t="inlineStr">
        <is>
          <t>SÖDERMANLANDS LÄN</t>
        </is>
      </c>
      <c r="E62" t="inlineStr">
        <is>
          <t>FLEN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Fjällig taggsvamp s.str.</t>
        </is>
      </c>
      <c r="S62">
        <f>HYPERLINK("https://klasma.github.io/Logging_0482/artfynd/A 12056-2024 artfynd.xlsx", "A 12056-2024")</f>
        <v/>
      </c>
      <c r="T62">
        <f>HYPERLINK("https://klasma.github.io/Logging_0482/kartor/A 12056-2024 karta.png", "A 12056-2024")</f>
        <v/>
      </c>
      <c r="V62">
        <f>HYPERLINK("https://klasma.github.io/Logging_0482/klagomål/A 12056-2024 FSC-klagomål.docx", "A 12056-2024")</f>
        <v/>
      </c>
      <c r="W62">
        <f>HYPERLINK("https://klasma.github.io/Logging_0482/klagomålsmail/A 12056-2024 FSC-klagomål mail.docx", "A 12056-2024")</f>
        <v/>
      </c>
      <c r="X62">
        <f>HYPERLINK("https://klasma.github.io/Logging_0482/tillsyn/A 12056-2024 tillsynsbegäran.docx", "A 12056-2024")</f>
        <v/>
      </c>
      <c r="Y62">
        <f>HYPERLINK("https://klasma.github.io/Logging_0482/tillsynsmail/A 12056-2024 tillsynsbegäran mail.docx", "A 12056-2024")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45879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45879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13858-2023</t>
        </is>
      </c>
      <c r="B65" s="1" t="n">
        <v>45007</v>
      </c>
      <c r="C65" s="1" t="n">
        <v>45879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13858-2023 artfynd.xlsx", "A 13858-2023")</f>
        <v/>
      </c>
      <c r="T65">
        <f>HYPERLINK("https://klasma.github.io/Logging_0482/kartor/A 13858-2023 karta.png", "A 13858-2023")</f>
        <v/>
      </c>
      <c r="V65">
        <f>HYPERLINK("https://klasma.github.io/Logging_0482/klagomål/A 13858-2023 FSC-klagomål.docx", "A 13858-2023")</f>
        <v/>
      </c>
      <c r="W65">
        <f>HYPERLINK("https://klasma.github.io/Logging_0482/klagomålsmail/A 13858-2023 FSC-klagomål mail.docx", "A 13858-2023")</f>
        <v/>
      </c>
      <c r="X65">
        <f>HYPERLINK("https://klasma.github.io/Logging_0482/tillsyn/A 13858-2023 tillsynsbegäran.docx", "A 13858-2023")</f>
        <v/>
      </c>
      <c r="Y65">
        <f>HYPERLINK("https://klasma.github.io/Logging_0482/tillsynsmail/A 13858-2023 tillsynsbegäran mail.docx", "A 13858-2023")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45879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45879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45879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45879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24464-2025</t>
        </is>
      </c>
      <c r="B70" s="1" t="n">
        <v>45798.3537037037</v>
      </c>
      <c r="C70" s="1" t="n">
        <v>45879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24464-2025 artfynd.xlsx", "A 24464-2025")</f>
        <v/>
      </c>
      <c r="T70">
        <f>HYPERLINK("https://klasma.github.io/Logging_0482/kartor/A 24464-2025 karta.png", "A 24464-2025")</f>
        <v/>
      </c>
      <c r="V70">
        <f>HYPERLINK("https://klasma.github.io/Logging_0482/klagomål/A 24464-2025 FSC-klagomål.docx", "A 24464-2025")</f>
        <v/>
      </c>
      <c r="W70">
        <f>HYPERLINK("https://klasma.github.io/Logging_0482/klagomålsmail/A 24464-2025 FSC-klagomål mail.docx", "A 24464-2025")</f>
        <v/>
      </c>
      <c r="X70">
        <f>HYPERLINK("https://klasma.github.io/Logging_0482/tillsyn/A 24464-2025 tillsynsbegäran.docx", "A 24464-2025")</f>
        <v/>
      </c>
      <c r="Y70">
        <f>HYPERLINK("https://klasma.github.io/Logging_0482/tillsynsmail/A 24464-2025 tillsynsbegäran mail.docx", "A 24464-2025")</f>
        <v/>
      </c>
    </row>
    <row r="71" ht="15" customHeight="1">
      <c r="A71" t="inlineStr">
        <is>
          <t>A 16831-2025</t>
        </is>
      </c>
      <c r="B71" s="1" t="n">
        <v>45754.65902777778</v>
      </c>
      <c r="C71" s="1" t="n">
        <v>45879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16831-2025 artfynd.xlsx", "A 16831-2025")</f>
        <v/>
      </c>
      <c r="T71">
        <f>HYPERLINK("https://klasma.github.io/Logging_0482/kartor/A 16831-2025 karta.png", "A 16831-2025")</f>
        <v/>
      </c>
      <c r="V71">
        <f>HYPERLINK("https://klasma.github.io/Logging_0482/klagomål/A 16831-2025 FSC-klagomål.docx", "A 16831-2025")</f>
        <v/>
      </c>
      <c r="W71">
        <f>HYPERLINK("https://klasma.github.io/Logging_0482/klagomålsmail/A 16831-2025 FSC-klagomål mail.docx", "A 16831-2025")</f>
        <v/>
      </c>
      <c r="X71">
        <f>HYPERLINK("https://klasma.github.io/Logging_0482/tillsyn/A 16831-2025 tillsynsbegäran.docx", "A 16831-2025")</f>
        <v/>
      </c>
      <c r="Y71">
        <f>HYPERLINK("https://klasma.github.io/Logging_0482/tillsynsmail/A 16831-2025 tillsynsbegäran mail.docx", "A 16831-2025")</f>
        <v/>
      </c>
    </row>
    <row r="72" ht="15" customHeight="1">
      <c r="A72" t="inlineStr">
        <is>
          <t>A 9066-2025</t>
        </is>
      </c>
      <c r="B72" s="1" t="n">
        <v>45713.6522800926</v>
      </c>
      <c r="C72" s="1" t="n">
        <v>45879</v>
      </c>
      <c r="D72" t="inlineStr">
        <is>
          <t>SÖDERMANLANDS LÄN</t>
        </is>
      </c>
      <c r="E72" t="inlineStr">
        <is>
          <t>FLEN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9066-2025 artfynd.xlsx", "A 9066-2025")</f>
        <v/>
      </c>
      <c r="T72">
        <f>HYPERLINK("https://klasma.github.io/Logging_0482/kartor/A 9066-2025 karta.png", "A 9066-2025")</f>
        <v/>
      </c>
      <c r="V72">
        <f>HYPERLINK("https://klasma.github.io/Logging_0482/klagomål/A 9066-2025 FSC-klagomål.docx", "A 9066-2025")</f>
        <v/>
      </c>
      <c r="W72">
        <f>HYPERLINK("https://klasma.github.io/Logging_0482/klagomålsmail/A 9066-2025 FSC-klagomål mail.docx", "A 9066-2025")</f>
        <v/>
      </c>
      <c r="X72">
        <f>HYPERLINK("https://klasma.github.io/Logging_0482/tillsyn/A 9066-2025 tillsynsbegäran.docx", "A 9066-2025")</f>
        <v/>
      </c>
      <c r="Y72">
        <f>HYPERLINK("https://klasma.github.io/Logging_0482/tillsynsmail/A 9066-2025 tillsynsbegäran mail.docx", "A 9066-2025")</f>
        <v/>
      </c>
    </row>
    <row r="73" ht="15" customHeight="1">
      <c r="A73" t="inlineStr">
        <is>
          <t>A 12371-2022</t>
        </is>
      </c>
      <c r="B73" s="1" t="n">
        <v>44637.78113425926</v>
      </c>
      <c r="C73" s="1" t="n">
        <v>45879</v>
      </c>
      <c r="D73" t="inlineStr">
        <is>
          <t>SÖDERMANLANDS LÄN</t>
        </is>
      </c>
      <c r="E73" t="inlineStr">
        <is>
          <t>FLEN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12371-2022 artfynd.xlsx", "A 12371-2022")</f>
        <v/>
      </c>
      <c r="T73">
        <f>HYPERLINK("https://klasma.github.io/Logging_0482/kartor/A 12371-2022 karta.png", "A 12371-2022")</f>
        <v/>
      </c>
      <c r="V73">
        <f>HYPERLINK("https://klasma.github.io/Logging_0482/klagomål/A 12371-2022 FSC-klagomål.docx", "A 12371-2022")</f>
        <v/>
      </c>
      <c r="W73">
        <f>HYPERLINK("https://klasma.github.io/Logging_0482/klagomålsmail/A 12371-2022 FSC-klagomål mail.docx", "A 12371-2022")</f>
        <v/>
      </c>
      <c r="X73">
        <f>HYPERLINK("https://klasma.github.io/Logging_0482/tillsyn/A 12371-2022 tillsynsbegäran.docx", "A 12371-2022")</f>
        <v/>
      </c>
      <c r="Y73">
        <f>HYPERLINK("https://klasma.github.io/Logging_0482/tillsynsmail/A 12371-2022 tillsynsbegäran mail.docx", "A 12371-2022")</f>
        <v/>
      </c>
    </row>
    <row r="74" ht="15" customHeight="1">
      <c r="A74" t="inlineStr">
        <is>
          <t>A 14113-2025</t>
        </is>
      </c>
      <c r="B74" s="1" t="n">
        <v>45740</v>
      </c>
      <c r="C74" s="1" t="n">
        <v>45879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14113-2025 artfynd.xlsx", "A 14113-2025")</f>
        <v/>
      </c>
      <c r="T74">
        <f>HYPERLINK("https://klasma.github.io/Logging_0482/kartor/A 14113-2025 karta.png", "A 14113-2025")</f>
        <v/>
      </c>
      <c r="V74">
        <f>HYPERLINK("https://klasma.github.io/Logging_0482/klagomål/A 14113-2025 FSC-klagomål.docx", "A 14113-2025")</f>
        <v/>
      </c>
      <c r="W74">
        <f>HYPERLINK("https://klasma.github.io/Logging_0482/klagomålsmail/A 14113-2025 FSC-klagomål mail.docx", "A 14113-2025")</f>
        <v/>
      </c>
      <c r="X74">
        <f>HYPERLINK("https://klasma.github.io/Logging_0482/tillsyn/A 14113-2025 tillsynsbegäran.docx", "A 14113-2025")</f>
        <v/>
      </c>
      <c r="Y74">
        <f>HYPERLINK("https://klasma.github.io/Logging_0482/tillsynsmail/A 14113-2025 tillsynsbegäran mail.docx", "A 14113-2025")</f>
        <v/>
      </c>
    </row>
    <row r="75" ht="15" customHeight="1">
      <c r="A75" t="inlineStr">
        <is>
          <t>A 59607-2022</t>
        </is>
      </c>
      <c r="B75" s="1" t="n">
        <v>44907.73267361111</v>
      </c>
      <c r="C75" s="1" t="n">
        <v>45879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59607-2022 artfynd.xlsx", "A 59607-2022")</f>
        <v/>
      </c>
      <c r="T75">
        <f>HYPERLINK("https://klasma.github.io/Logging_0482/kartor/A 59607-2022 karta.png", "A 59607-2022")</f>
        <v/>
      </c>
      <c r="V75">
        <f>HYPERLINK("https://klasma.github.io/Logging_0482/klagomål/A 59607-2022 FSC-klagomål.docx", "A 59607-2022")</f>
        <v/>
      </c>
      <c r="W75">
        <f>HYPERLINK("https://klasma.github.io/Logging_0482/klagomålsmail/A 59607-2022 FSC-klagomål mail.docx", "A 59607-2022")</f>
        <v/>
      </c>
      <c r="X75">
        <f>HYPERLINK("https://klasma.github.io/Logging_0482/tillsyn/A 59607-2022 tillsynsbegäran.docx", "A 59607-2022")</f>
        <v/>
      </c>
      <c r="Y75">
        <f>HYPERLINK("https://klasma.github.io/Logging_0482/tillsynsmail/A 59607-2022 tillsynsbegäran mail.docx", "A 59607-2022")</f>
        <v/>
      </c>
    </row>
    <row r="76" ht="15" customHeight="1">
      <c r="A76" t="inlineStr">
        <is>
          <t>A 32901-2025</t>
        </is>
      </c>
      <c r="B76" s="1" t="n">
        <v>45839</v>
      </c>
      <c r="C76" s="1" t="n">
        <v>45879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HYPERLINK("https://klasma.github.io/Logging_0482/artfynd/A 32901-2025 artfynd.xlsx", "A 32901-2025")</f>
        <v/>
      </c>
      <c r="T76">
        <f>HYPERLINK("https://klasma.github.io/Logging_0482/kartor/A 32901-2025 karta.png", "A 32901-2025")</f>
        <v/>
      </c>
      <c r="V76">
        <f>HYPERLINK("https://klasma.github.io/Logging_0482/klagomål/A 32901-2025 FSC-klagomål.docx", "A 32901-2025")</f>
        <v/>
      </c>
      <c r="W76">
        <f>HYPERLINK("https://klasma.github.io/Logging_0482/klagomålsmail/A 32901-2025 FSC-klagomål mail.docx", "A 32901-2025")</f>
        <v/>
      </c>
      <c r="X76">
        <f>HYPERLINK("https://klasma.github.io/Logging_0482/tillsyn/A 32901-2025 tillsynsbegäran.docx", "A 32901-2025")</f>
        <v/>
      </c>
      <c r="Y76">
        <f>HYPERLINK("https://klasma.github.io/Logging_0482/tillsynsmail/A 32901-2025 tillsynsbegäran mail.docx", "A 32901-2025")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45879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45879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45879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45879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12306-2022</t>
        </is>
      </c>
      <c r="B81" s="1" t="n">
        <v>44637</v>
      </c>
      <c r="C81" s="1" t="n">
        <v>45879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HYPERLINK("https://klasma.github.io/Logging_0482/artfynd/A 12306-2022 artfynd.xlsx", "A 12306-2022")</f>
        <v/>
      </c>
      <c r="T81">
        <f>HYPERLINK("https://klasma.github.io/Logging_0482/kartor/A 12306-2022 karta.png", "A 12306-2022")</f>
        <v/>
      </c>
      <c r="V81">
        <f>HYPERLINK("https://klasma.github.io/Logging_0482/klagomål/A 12306-2022 FSC-klagomål.docx", "A 12306-2022")</f>
        <v/>
      </c>
      <c r="W81">
        <f>HYPERLINK("https://klasma.github.io/Logging_0482/klagomålsmail/A 12306-2022 FSC-klagomål mail.docx", "A 12306-2022")</f>
        <v/>
      </c>
      <c r="X81">
        <f>HYPERLINK("https://klasma.github.io/Logging_0482/tillsyn/A 12306-2022 tillsynsbegäran.docx", "A 12306-2022")</f>
        <v/>
      </c>
      <c r="Y81">
        <f>HYPERLINK("https://klasma.github.io/Logging_0482/tillsynsmail/A 12306-2022 tillsynsbegäran mail.docx", "A 12306-2022")</f>
        <v/>
      </c>
      <c r="Z81">
        <f>HYPERLINK("https://klasma.github.io/Logging_0482/fåglar/A 12306-2022 prioriterade fågelarter.docx", "A 12306-2022")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45879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49255-2021</t>
        </is>
      </c>
      <c r="B83" s="1" t="n">
        <v>44454</v>
      </c>
      <c r="C83" s="1" t="n">
        <v>45879</v>
      </c>
      <c r="D83" t="inlineStr">
        <is>
          <t>SÖDERMANLANDS LÄN</t>
        </is>
      </c>
      <c r="E83" t="inlineStr">
        <is>
          <t>FLEN</t>
        </is>
      </c>
      <c r="G83" t="n">
        <v>15.6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HYPERLINK("https://klasma.github.io/Logging_0482/artfynd/A 49255-2021 artfynd.xlsx", "A 49255-2021")</f>
        <v/>
      </c>
      <c r="T83">
        <f>HYPERLINK("https://klasma.github.io/Logging_0482/kartor/A 49255-2021 karta.png", "A 49255-2021")</f>
        <v/>
      </c>
      <c r="V83">
        <f>HYPERLINK("https://klasma.github.io/Logging_0482/klagomål/A 49255-2021 FSC-klagomål.docx", "A 49255-2021")</f>
        <v/>
      </c>
      <c r="W83">
        <f>HYPERLINK("https://klasma.github.io/Logging_0482/klagomålsmail/A 49255-2021 FSC-klagomål mail.docx", "A 49255-2021")</f>
        <v/>
      </c>
      <c r="X83">
        <f>HYPERLINK("https://klasma.github.io/Logging_0482/tillsyn/A 49255-2021 tillsynsbegäran.docx", "A 49255-2021")</f>
        <v/>
      </c>
      <c r="Y83">
        <f>HYPERLINK("https://klasma.github.io/Logging_0482/tillsynsmail/A 49255-2021 tillsynsbegäran mail.docx", "A 49255-2021")</f>
        <v/>
      </c>
    </row>
    <row r="84" ht="15" customHeight="1">
      <c r="A84" t="inlineStr">
        <is>
          <t>A 29236-2021</t>
        </is>
      </c>
      <c r="B84" s="1" t="n">
        <v>44360</v>
      </c>
      <c r="C84" s="1" t="n">
        <v>45879</v>
      </c>
      <c r="D84" t="inlineStr">
        <is>
          <t>SÖDERMANLANDS LÄN</t>
        </is>
      </c>
      <c r="E84" t="inlineStr">
        <is>
          <t>FLEN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15062-2021</t>
        </is>
      </c>
      <c r="B85" s="1" t="n">
        <v>44281</v>
      </c>
      <c r="C85" s="1" t="n">
        <v>45879</v>
      </c>
      <c r="D85" t="inlineStr">
        <is>
          <t>SÖDERMANLANDS LÄN</t>
        </is>
      </c>
      <c r="E85" t="inlineStr">
        <is>
          <t>FLEN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62223-2021</t>
        </is>
      </c>
      <c r="B86" s="1" t="n">
        <v>44501</v>
      </c>
      <c r="C86" s="1" t="n">
        <v>45879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16520-2021</t>
        </is>
      </c>
      <c r="B87" s="1" t="n">
        <v>44293</v>
      </c>
      <c r="C87" s="1" t="n">
        <v>45879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39513-2021</t>
        </is>
      </c>
      <c r="B88" s="1" t="n">
        <v>44414</v>
      </c>
      <c r="C88" s="1" t="n">
        <v>45879</v>
      </c>
      <c r="D88" t="inlineStr">
        <is>
          <t>SÖDERMANLANDS LÄN</t>
        </is>
      </c>
      <c r="E88" t="inlineStr">
        <is>
          <t>FLEN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24037-2022</t>
        </is>
      </c>
      <c r="B89" s="1" t="n">
        <v>44724.49127314815</v>
      </c>
      <c r="C89" s="1" t="n">
        <v>45879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587-2021</t>
        </is>
      </c>
      <c r="B90" s="1" t="n">
        <v>44203</v>
      </c>
      <c r="C90" s="1" t="n">
        <v>45879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70701-2021</t>
        </is>
      </c>
      <c r="B91" s="1" t="n">
        <v>44536</v>
      </c>
      <c r="C91" s="1" t="n">
        <v>45879</v>
      </c>
      <c r="D91" t="inlineStr">
        <is>
          <t>SÖDERMANLANDS LÄN</t>
        </is>
      </c>
      <c r="E91" t="inlineStr">
        <is>
          <t>FLEN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50500-2021</t>
        </is>
      </c>
      <c r="B92" s="1" t="n">
        <v>44458</v>
      </c>
      <c r="C92" s="1" t="n">
        <v>45879</v>
      </c>
      <c r="D92" t="inlineStr">
        <is>
          <t>SÖDERMANLANDS LÄN</t>
        </is>
      </c>
      <c r="E92" t="inlineStr">
        <is>
          <t>FLEN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8990-2022</t>
        </is>
      </c>
      <c r="B93" s="1" t="n">
        <v>44614</v>
      </c>
      <c r="C93" s="1" t="n">
        <v>45879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70215-2021</t>
        </is>
      </c>
      <c r="B94" s="1" t="n">
        <v>44535</v>
      </c>
      <c r="C94" s="1" t="n">
        <v>45879</v>
      </c>
      <c r="D94" t="inlineStr">
        <is>
          <t>SÖDERMANLANDS LÄN</t>
        </is>
      </c>
      <c r="E94" t="inlineStr">
        <is>
          <t>FLEN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39518-2021</t>
        </is>
      </c>
      <c r="B95" s="1" t="n">
        <v>44414</v>
      </c>
      <c r="C95" s="1" t="n">
        <v>45879</v>
      </c>
      <c r="D95" t="inlineStr">
        <is>
          <t>SÖDERMANLANDS LÄN</t>
        </is>
      </c>
      <c r="E95" t="inlineStr">
        <is>
          <t>FLEN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3513-2021</t>
        </is>
      </c>
      <c r="B96" s="1" t="n">
        <v>44218</v>
      </c>
      <c r="C96" s="1" t="n">
        <v>45879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9373-2021</t>
        </is>
      </c>
      <c r="B97" s="1" t="n">
        <v>44250</v>
      </c>
      <c r="C97" s="1" t="n">
        <v>45879</v>
      </c>
      <c r="D97" t="inlineStr">
        <is>
          <t>SÖDERMANLANDS LÄN</t>
        </is>
      </c>
      <c r="E97" t="inlineStr">
        <is>
          <t>FLEN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14973-2021</t>
        </is>
      </c>
      <c r="B98" s="1" t="n">
        <v>44281</v>
      </c>
      <c r="C98" s="1" t="n">
        <v>45879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29234-2021</t>
        </is>
      </c>
      <c r="B99" s="1" t="n">
        <v>44360.70498842592</v>
      </c>
      <c r="C99" s="1" t="n">
        <v>45879</v>
      </c>
      <c r="D99" t="inlineStr">
        <is>
          <t>SÖDERMANLANDS LÄN</t>
        </is>
      </c>
      <c r="E99" t="inlineStr">
        <is>
          <t>FLEN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17987-2021</t>
        </is>
      </c>
      <c r="B100" s="1" t="n">
        <v>44301</v>
      </c>
      <c r="C100" s="1" t="n">
        <v>45879</v>
      </c>
      <c r="D100" t="inlineStr">
        <is>
          <t>SÖDERMANLANDS LÄN</t>
        </is>
      </c>
      <c r="E100" t="inlineStr">
        <is>
          <t>FLEN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2488-2021</t>
        </is>
      </c>
      <c r="B101" s="1" t="n">
        <v>44214</v>
      </c>
      <c r="C101" s="1" t="n">
        <v>45879</v>
      </c>
      <c r="D101" t="inlineStr">
        <is>
          <t>SÖDERMANLANDS LÄN</t>
        </is>
      </c>
      <c r="E101" t="inlineStr">
        <is>
          <t>FLEN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45879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19387-2021</t>
        </is>
      </c>
      <c r="B103" s="1" t="n">
        <v>44309</v>
      </c>
      <c r="C103" s="1" t="n">
        <v>45879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48925-2021</t>
        </is>
      </c>
      <c r="B104" s="1" t="n">
        <v>44452</v>
      </c>
      <c r="C104" s="1" t="n">
        <v>45879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23960-2022</t>
        </is>
      </c>
      <c r="B105" s="1" t="n">
        <v>44722.6921875</v>
      </c>
      <c r="C105" s="1" t="n">
        <v>45879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52257-2022</t>
        </is>
      </c>
      <c r="B106" s="1" t="n">
        <v>44869</v>
      </c>
      <c r="C106" s="1" t="n">
        <v>45879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45879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54645-2021</t>
        </is>
      </c>
      <c r="B108" s="1" t="n">
        <v>44473</v>
      </c>
      <c r="C108" s="1" t="n">
        <v>45879</v>
      </c>
      <c r="D108" t="inlineStr">
        <is>
          <t>SÖDERMANLANDS LÄN</t>
        </is>
      </c>
      <c r="E108" t="inlineStr">
        <is>
          <t>FLEN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12303-2022</t>
        </is>
      </c>
      <c r="B109" s="1" t="n">
        <v>44637</v>
      </c>
      <c r="C109" s="1" t="n">
        <v>45879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41638-2021</t>
        </is>
      </c>
      <c r="B110" s="1" t="n">
        <v>44425.46734953704</v>
      </c>
      <c r="C110" s="1" t="n">
        <v>45879</v>
      </c>
      <c r="D110" t="inlineStr">
        <is>
          <t>SÖDERMANLANDS LÄN</t>
        </is>
      </c>
      <c r="E110" t="inlineStr">
        <is>
          <t>FLEN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19994-2022</t>
        </is>
      </c>
      <c r="B111" s="1" t="n">
        <v>44697</v>
      </c>
      <c r="C111" s="1" t="n">
        <v>45879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7863-2022</t>
        </is>
      </c>
      <c r="B112" s="1" t="n">
        <v>44608</v>
      </c>
      <c r="C112" s="1" t="n">
        <v>45879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29367-2022</t>
        </is>
      </c>
      <c r="B113" s="1" t="n">
        <v>44752</v>
      </c>
      <c r="C113" s="1" t="n">
        <v>45879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23294-2022</t>
        </is>
      </c>
      <c r="B114" s="1" t="n">
        <v>44720.45049768518</v>
      </c>
      <c r="C114" s="1" t="n">
        <v>45879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52050-2022</t>
        </is>
      </c>
      <c r="B115" s="1" t="n">
        <v>44873</v>
      </c>
      <c r="C115" s="1" t="n">
        <v>45879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30847-2021</t>
        </is>
      </c>
      <c r="B116" s="1" t="n">
        <v>44365</v>
      </c>
      <c r="C116" s="1" t="n">
        <v>45879</v>
      </c>
      <c r="D116" t="inlineStr">
        <is>
          <t>SÖDERMANLANDS LÄN</t>
        </is>
      </c>
      <c r="E116" t="inlineStr">
        <is>
          <t>FLEN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45315-2020</t>
        </is>
      </c>
      <c r="B117" s="1" t="n">
        <v>44085</v>
      </c>
      <c r="C117" s="1" t="n">
        <v>45879</v>
      </c>
      <c r="D117" t="inlineStr">
        <is>
          <t>SÖDERMANLANDS LÄN</t>
        </is>
      </c>
      <c r="E117" t="inlineStr">
        <is>
          <t>FLEN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57689-2020</t>
        </is>
      </c>
      <c r="B118" s="1" t="n">
        <v>44140</v>
      </c>
      <c r="C118" s="1" t="n">
        <v>45879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31077-2022</t>
        </is>
      </c>
      <c r="B119" s="1" t="n">
        <v>44769</v>
      </c>
      <c r="C119" s="1" t="n">
        <v>45879</v>
      </c>
      <c r="D119" t="inlineStr">
        <is>
          <t>SÖDERMANLANDS LÄN</t>
        </is>
      </c>
      <c r="E119" t="inlineStr">
        <is>
          <t>FLEN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16275-2021</t>
        </is>
      </c>
      <c r="B120" s="1" t="n">
        <v>44292</v>
      </c>
      <c r="C120" s="1" t="n">
        <v>45879</v>
      </c>
      <c r="D120" t="inlineStr">
        <is>
          <t>SÖDERMANLANDS LÄN</t>
        </is>
      </c>
      <c r="E120" t="inlineStr">
        <is>
          <t>FLEN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27992-2022</t>
        </is>
      </c>
      <c r="B121" s="1" t="n">
        <v>44745.82652777778</v>
      </c>
      <c r="C121" s="1" t="n">
        <v>45879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45879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44172-2022</t>
        </is>
      </c>
      <c r="B123" s="1" t="n">
        <v>44839</v>
      </c>
      <c r="C123" s="1" t="n">
        <v>45879</v>
      </c>
      <c r="D123" t="inlineStr">
        <is>
          <t>SÖDERMANLANDS LÄN</t>
        </is>
      </c>
      <c r="E123" t="inlineStr">
        <is>
          <t>FLEN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28153-2022</t>
        </is>
      </c>
      <c r="B124" s="1" t="n">
        <v>44746</v>
      </c>
      <c r="C124" s="1" t="n">
        <v>45879</v>
      </c>
      <c r="D124" t="inlineStr">
        <is>
          <t>SÖDERMANLANDS LÄN</t>
        </is>
      </c>
      <c r="E124" t="inlineStr">
        <is>
          <t>FLEN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45879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58592-2020</t>
        </is>
      </c>
      <c r="B126" s="1" t="n">
        <v>44145</v>
      </c>
      <c r="C126" s="1" t="n">
        <v>45879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27184-2021</t>
        </is>
      </c>
      <c r="B127" s="1" t="n">
        <v>44350</v>
      </c>
      <c r="C127" s="1" t="n">
        <v>45879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49252-2021</t>
        </is>
      </c>
      <c r="B128" s="1" t="n">
        <v>44454</v>
      </c>
      <c r="C128" s="1" t="n">
        <v>45879</v>
      </c>
      <c r="D128" t="inlineStr">
        <is>
          <t>SÖDERMANLANDS LÄN</t>
        </is>
      </c>
      <c r="E128" t="inlineStr">
        <is>
          <t>FLEN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18185-2021</t>
        </is>
      </c>
      <c r="B129" s="1" t="n">
        <v>44302</v>
      </c>
      <c r="C129" s="1" t="n">
        <v>45879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34448-2021</t>
        </is>
      </c>
      <c r="B130" s="1" t="n">
        <v>44381.50788194445</v>
      </c>
      <c r="C130" s="1" t="n">
        <v>45879</v>
      </c>
      <c r="D130" t="inlineStr">
        <is>
          <t>SÖDERMANLANDS LÄN</t>
        </is>
      </c>
      <c r="E130" t="inlineStr">
        <is>
          <t>FLEN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45879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45879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69015-2020</t>
        </is>
      </c>
      <c r="B133" s="1" t="n">
        <v>44188</v>
      </c>
      <c r="C133" s="1" t="n">
        <v>45879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48791-2022</t>
        </is>
      </c>
      <c r="B134" s="1" t="n">
        <v>44855</v>
      </c>
      <c r="C134" s="1" t="n">
        <v>45879</v>
      </c>
      <c r="D134" t="inlineStr">
        <is>
          <t>SÖDERMANLANDS LÄN</t>
        </is>
      </c>
      <c r="E134" t="inlineStr">
        <is>
          <t>FLEN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8749-2021</t>
        </is>
      </c>
      <c r="B135" s="1" t="n">
        <v>44246</v>
      </c>
      <c r="C135" s="1" t="n">
        <v>45879</v>
      </c>
      <c r="D135" t="inlineStr">
        <is>
          <t>SÖDERMANLANDS LÄN</t>
        </is>
      </c>
      <c r="E135" t="inlineStr">
        <is>
          <t>FLEN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44359-2021</t>
        </is>
      </c>
      <c r="B136" s="1" t="n">
        <v>44435</v>
      </c>
      <c r="C136" s="1" t="n">
        <v>45879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41148-2021</t>
        </is>
      </c>
      <c r="B137" s="1" t="n">
        <v>44423</v>
      </c>
      <c r="C137" s="1" t="n">
        <v>45879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41150-2021</t>
        </is>
      </c>
      <c r="B138" s="1" t="n">
        <v>44423</v>
      </c>
      <c r="C138" s="1" t="n">
        <v>45879</v>
      </c>
      <c r="D138" t="inlineStr">
        <is>
          <t>SÖDERMANLANDS LÄN</t>
        </is>
      </c>
      <c r="E138" t="inlineStr">
        <is>
          <t>FLEN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45879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45879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45879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48166-2021</t>
        </is>
      </c>
      <c r="B142" s="1" t="n">
        <v>44449</v>
      </c>
      <c r="C142" s="1" t="n">
        <v>45879</v>
      </c>
      <c r="D142" t="inlineStr">
        <is>
          <t>SÖDERMANLANDS LÄN</t>
        </is>
      </c>
      <c r="E142" t="inlineStr">
        <is>
          <t>FLEN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52519-2021</t>
        </is>
      </c>
      <c r="B143" s="1" t="n">
        <v>44463</v>
      </c>
      <c r="C143" s="1" t="n">
        <v>45879</v>
      </c>
      <c r="D143" t="inlineStr">
        <is>
          <t>SÖDERMANLANDS LÄN</t>
        </is>
      </c>
      <c r="E143" t="inlineStr">
        <is>
          <t>FLEN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65233-2020</t>
        </is>
      </c>
      <c r="B144" s="1" t="n">
        <v>44172</v>
      </c>
      <c r="C144" s="1" t="n">
        <v>45879</v>
      </c>
      <c r="D144" t="inlineStr">
        <is>
          <t>SÖDERMANLANDS LÄN</t>
        </is>
      </c>
      <c r="E144" t="inlineStr">
        <is>
          <t>FLEN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29233-2021</t>
        </is>
      </c>
      <c r="B145" s="1" t="n">
        <v>44360.70159722222</v>
      </c>
      <c r="C145" s="1" t="n">
        <v>45879</v>
      </c>
      <c r="D145" t="inlineStr">
        <is>
          <t>SÖDERMANLANDS LÄN</t>
        </is>
      </c>
      <c r="E145" t="inlineStr">
        <is>
          <t>FLEN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26513-2022</t>
        </is>
      </c>
      <c r="B146" s="1" t="n">
        <v>44739</v>
      </c>
      <c r="C146" s="1" t="n">
        <v>45879</v>
      </c>
      <c r="D146" t="inlineStr">
        <is>
          <t>SÖDERMANLANDS LÄN</t>
        </is>
      </c>
      <c r="E146" t="inlineStr">
        <is>
          <t>FLEN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38849-2020</t>
        </is>
      </c>
      <c r="B147" s="1" t="n">
        <v>44062</v>
      </c>
      <c r="C147" s="1" t="n">
        <v>45879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31175-2022</t>
        </is>
      </c>
      <c r="B148" s="1" t="n">
        <v>44770</v>
      </c>
      <c r="C148" s="1" t="n">
        <v>45879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51864-2020</t>
        </is>
      </c>
      <c r="B149" s="1" t="n">
        <v>44113</v>
      </c>
      <c r="C149" s="1" t="n">
        <v>45879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56863-2020</t>
        </is>
      </c>
      <c r="B150" s="1" t="n">
        <v>44138</v>
      </c>
      <c r="C150" s="1" t="n">
        <v>45879</v>
      </c>
      <c r="D150" t="inlineStr">
        <is>
          <t>SÖDERMANLANDS LÄN</t>
        </is>
      </c>
      <c r="E150" t="inlineStr">
        <is>
          <t>FLEN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47681-2020</t>
        </is>
      </c>
      <c r="B151" s="1" t="n">
        <v>44098</v>
      </c>
      <c r="C151" s="1" t="n">
        <v>45879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45879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53424-2020</t>
        </is>
      </c>
      <c r="B153" s="1" t="n">
        <v>44123.62645833333</v>
      </c>
      <c r="C153" s="1" t="n">
        <v>45879</v>
      </c>
      <c r="D153" t="inlineStr">
        <is>
          <t>SÖDERMANLANDS LÄN</t>
        </is>
      </c>
      <c r="E153" t="inlineStr">
        <is>
          <t>FLEN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45879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45879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22883-2022</t>
        </is>
      </c>
      <c r="B156" s="1" t="n">
        <v>44715</v>
      </c>
      <c r="C156" s="1" t="n">
        <v>45879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44161-2022</t>
        </is>
      </c>
      <c r="B157" s="1" t="n">
        <v>44839</v>
      </c>
      <c r="C157" s="1" t="n">
        <v>45879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45879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45879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45879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550-2022</t>
        </is>
      </c>
      <c r="B161" s="1" t="n">
        <v>44566</v>
      </c>
      <c r="C161" s="1" t="n">
        <v>45879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18053-2021</t>
        </is>
      </c>
      <c r="B162" s="1" t="n">
        <v>44302.41196759259</v>
      </c>
      <c r="C162" s="1" t="n">
        <v>45879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45879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45879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45879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45879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45879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42177-2022</t>
        </is>
      </c>
      <c r="B168" s="1" t="n">
        <v>44830</v>
      </c>
      <c r="C168" s="1" t="n">
        <v>45879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24212-2022</t>
        </is>
      </c>
      <c r="B169" s="1" t="n">
        <v>44725</v>
      </c>
      <c r="C169" s="1" t="n">
        <v>45879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45879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37385-2021</t>
        </is>
      </c>
      <c r="B171" s="1" t="n">
        <v>44398</v>
      </c>
      <c r="C171" s="1" t="n">
        <v>45879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45879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45879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45879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45879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13529-2022</t>
        </is>
      </c>
      <c r="B176" s="1" t="n">
        <v>44643</v>
      </c>
      <c r="C176" s="1" t="n">
        <v>45879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13533-2022</t>
        </is>
      </c>
      <c r="B177" s="1" t="n">
        <v>44643</v>
      </c>
      <c r="C177" s="1" t="n">
        <v>45879</v>
      </c>
      <c r="D177" t="inlineStr">
        <is>
          <t>SÖDERMANLANDS LÄN</t>
        </is>
      </c>
      <c r="E177" t="inlineStr">
        <is>
          <t>FLEN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45879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12774-2021</t>
        </is>
      </c>
      <c r="B179" s="1" t="n">
        <v>44270</v>
      </c>
      <c r="C179" s="1" t="n">
        <v>45879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45879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17985-2021</t>
        </is>
      </c>
      <c r="B181" s="1" t="n">
        <v>44301</v>
      </c>
      <c r="C181" s="1" t="n">
        <v>45879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2162-2022</t>
        </is>
      </c>
      <c r="B182" s="1" t="n">
        <v>44578</v>
      </c>
      <c r="C182" s="1" t="n">
        <v>45879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31096-2022</t>
        </is>
      </c>
      <c r="B183" s="1" t="n">
        <v>44769</v>
      </c>
      <c r="C183" s="1" t="n">
        <v>45879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45879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45879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45879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37274-2020</t>
        </is>
      </c>
      <c r="B187" s="1" t="n">
        <v>44054</v>
      </c>
      <c r="C187" s="1" t="n">
        <v>45879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47613-2021</t>
        </is>
      </c>
      <c r="B188" s="1" t="n">
        <v>44448.35070601852</v>
      </c>
      <c r="C188" s="1" t="n">
        <v>45879</v>
      </c>
      <c r="D188" t="inlineStr">
        <is>
          <t>SÖDERMANLANDS LÄN</t>
        </is>
      </c>
      <c r="E188" t="inlineStr">
        <is>
          <t>FLEN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45879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1565-2021</t>
        </is>
      </c>
      <c r="B190" s="1" t="n">
        <v>44209</v>
      </c>
      <c r="C190" s="1" t="n">
        <v>45879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45879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23004-2021</t>
        </is>
      </c>
      <c r="B192" s="1" t="n">
        <v>44328</v>
      </c>
      <c r="C192" s="1" t="n">
        <v>45879</v>
      </c>
      <c r="D192" t="inlineStr">
        <is>
          <t>SÖDERMANLANDS LÄN</t>
        </is>
      </c>
      <c r="E192" t="inlineStr">
        <is>
          <t>FLEN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45468-2021</t>
        </is>
      </c>
      <c r="B193" s="1" t="n">
        <v>44440</v>
      </c>
      <c r="C193" s="1" t="n">
        <v>45879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45879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9674-2021</t>
        </is>
      </c>
      <c r="B195" s="1" t="n">
        <v>44252</v>
      </c>
      <c r="C195" s="1" t="n">
        <v>45879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46414-2022</t>
        </is>
      </c>
      <c r="B196" s="1" t="n">
        <v>44846</v>
      </c>
      <c r="C196" s="1" t="n">
        <v>45879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45879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35714-2021</t>
        </is>
      </c>
      <c r="B198" s="1" t="n">
        <v>44386</v>
      </c>
      <c r="C198" s="1" t="n">
        <v>45879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35250-2021</t>
        </is>
      </c>
      <c r="B199" s="1" t="n">
        <v>44384</v>
      </c>
      <c r="C199" s="1" t="n">
        <v>45879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45879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45879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45879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45879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45879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4065-2022</t>
        </is>
      </c>
      <c r="B205" s="1" t="n">
        <v>44588</v>
      </c>
      <c r="C205" s="1" t="n">
        <v>45879</v>
      </c>
      <c r="D205" t="inlineStr">
        <is>
          <t>SÖDERMANLANDS LÄN</t>
        </is>
      </c>
      <c r="E205" t="inlineStr">
        <is>
          <t>FLEN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12295-2025</t>
        </is>
      </c>
      <c r="B206" s="1" t="n">
        <v>45729</v>
      </c>
      <c r="C206" s="1" t="n">
        <v>45879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2388-2025</t>
        </is>
      </c>
      <c r="B207" s="1" t="n">
        <v>45672</v>
      </c>
      <c r="C207" s="1" t="n">
        <v>45879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49811-2023</t>
        </is>
      </c>
      <c r="B208" s="1" t="n">
        <v>45211</v>
      </c>
      <c r="C208" s="1" t="n">
        <v>45879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10281-2025</t>
        </is>
      </c>
      <c r="B209" s="1" t="n">
        <v>45720.40424768518</v>
      </c>
      <c r="C209" s="1" t="n">
        <v>45879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19150-2023</t>
        </is>
      </c>
      <c r="B210" s="1" t="n">
        <v>45048</v>
      </c>
      <c r="C210" s="1" t="n">
        <v>45879</v>
      </c>
      <c r="D210" t="inlineStr">
        <is>
          <t>SÖDERMANLANDS LÄN</t>
        </is>
      </c>
      <c r="E210" t="inlineStr">
        <is>
          <t>FLEN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51872-2022</t>
        </is>
      </c>
      <c r="B211" s="1" t="n">
        <v>44872.59371527778</v>
      </c>
      <c r="C211" s="1" t="n">
        <v>45879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45305-2020</t>
        </is>
      </c>
      <c r="B212" s="1" t="n">
        <v>44085</v>
      </c>
      <c r="C212" s="1" t="n">
        <v>45879</v>
      </c>
      <c r="D212" t="inlineStr">
        <is>
          <t>SÖDERMANLANDS LÄN</t>
        </is>
      </c>
      <c r="E212" t="inlineStr">
        <is>
          <t>FLEN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31068-2022</t>
        </is>
      </c>
      <c r="B213" s="1" t="n">
        <v>44769</v>
      </c>
      <c r="C213" s="1" t="n">
        <v>45879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1899-2025</t>
        </is>
      </c>
      <c r="B214" s="1" t="n">
        <v>45671</v>
      </c>
      <c r="C214" s="1" t="n">
        <v>45879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13824-2023</t>
        </is>
      </c>
      <c r="B215" s="1" t="n">
        <v>45007</v>
      </c>
      <c r="C215" s="1" t="n">
        <v>45879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45879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7381-2024</t>
        </is>
      </c>
      <c r="B217" s="1" t="n">
        <v>45345.53630787037</v>
      </c>
      <c r="C217" s="1" t="n">
        <v>45879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2448-2024</t>
        </is>
      </c>
      <c r="B218" s="1" t="n">
        <v>45311.73829861111</v>
      </c>
      <c r="C218" s="1" t="n">
        <v>45879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9147-2024</t>
        </is>
      </c>
      <c r="B219" s="1" t="n">
        <v>45358.37712962963</v>
      </c>
      <c r="C219" s="1" t="n">
        <v>45879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24348-2023</t>
        </is>
      </c>
      <c r="B220" s="1" t="n">
        <v>45082</v>
      </c>
      <c r="C220" s="1" t="n">
        <v>45879</v>
      </c>
      <c r="D220" t="inlineStr">
        <is>
          <t>SÖDERMANLANDS LÄN</t>
        </is>
      </c>
      <c r="E220" t="inlineStr">
        <is>
          <t>FLEN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60150-2022</t>
        </is>
      </c>
      <c r="B221" s="1" t="n">
        <v>44909</v>
      </c>
      <c r="C221" s="1" t="n">
        <v>45879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27146-2022</t>
        </is>
      </c>
      <c r="B222" s="1" t="n">
        <v>44741</v>
      </c>
      <c r="C222" s="1" t="n">
        <v>45879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18511-2023</t>
        </is>
      </c>
      <c r="B223" s="1" t="n">
        <v>45041</v>
      </c>
      <c r="C223" s="1" t="n">
        <v>45879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53121-2023</t>
        </is>
      </c>
      <c r="B224" s="1" t="n">
        <v>45228</v>
      </c>
      <c r="C224" s="1" t="n">
        <v>45879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49828-2022</t>
        </is>
      </c>
      <c r="B225" s="1" t="n">
        <v>44862</v>
      </c>
      <c r="C225" s="1" t="n">
        <v>45879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10999-2025</t>
        </is>
      </c>
      <c r="B226" s="1" t="n">
        <v>45723.44172453704</v>
      </c>
      <c r="C226" s="1" t="n">
        <v>45879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19389-2025</t>
        </is>
      </c>
      <c r="B227" s="1" t="n">
        <v>45769</v>
      </c>
      <c r="C227" s="1" t="n">
        <v>45879</v>
      </c>
      <c r="D227" t="inlineStr">
        <is>
          <t>SÖDERMANLANDS LÄN</t>
        </is>
      </c>
      <c r="E227" t="inlineStr">
        <is>
          <t>FLEN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1180-2025</t>
        </is>
      </c>
      <c r="B228" s="1" t="n">
        <v>45667</v>
      </c>
      <c r="C228" s="1" t="n">
        <v>45879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23650-2023</t>
        </is>
      </c>
      <c r="B229" s="1" t="n">
        <v>45073</v>
      </c>
      <c r="C229" s="1" t="n">
        <v>45879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8883-2023</t>
        </is>
      </c>
      <c r="B230" s="1" t="n">
        <v>44979.27921296296</v>
      </c>
      <c r="C230" s="1" t="n">
        <v>45879</v>
      </c>
      <c r="D230" t="inlineStr">
        <is>
          <t>SÖDERMANLANDS LÄN</t>
        </is>
      </c>
      <c r="E230" t="inlineStr">
        <is>
          <t>FLEN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6668-2025</t>
        </is>
      </c>
      <c r="B231" s="1" t="n">
        <v>45700</v>
      </c>
      <c r="C231" s="1" t="n">
        <v>45879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21822-2023</t>
        </is>
      </c>
      <c r="B232" s="1" t="n">
        <v>45068.36099537037</v>
      </c>
      <c r="C232" s="1" t="n">
        <v>45879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34095-2022</t>
        </is>
      </c>
      <c r="B233" s="1" t="n">
        <v>44791</v>
      </c>
      <c r="C233" s="1" t="n">
        <v>45879</v>
      </c>
      <c r="D233" t="inlineStr">
        <is>
          <t>SÖDERMANLANDS LÄN</t>
        </is>
      </c>
      <c r="E233" t="inlineStr">
        <is>
          <t>FLEN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34823-2023</t>
        </is>
      </c>
      <c r="B234" s="1" t="n">
        <v>45140</v>
      </c>
      <c r="C234" s="1" t="n">
        <v>45879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56869-2023</t>
        </is>
      </c>
      <c r="B235" s="1" t="n">
        <v>45239</v>
      </c>
      <c r="C235" s="1" t="n">
        <v>45879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56996-2023</t>
        </is>
      </c>
      <c r="B236" s="1" t="n">
        <v>45244.67170138889</v>
      </c>
      <c r="C236" s="1" t="n">
        <v>45879</v>
      </c>
      <c r="D236" t="inlineStr">
        <is>
          <t>SÖDERMANLANDS LÄN</t>
        </is>
      </c>
      <c r="E236" t="inlineStr">
        <is>
          <t>FLEN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20791-2022</t>
        </is>
      </c>
      <c r="B237" s="1" t="n">
        <v>44701</v>
      </c>
      <c r="C237" s="1" t="n">
        <v>45879</v>
      </c>
      <c r="D237" t="inlineStr">
        <is>
          <t>SÖDERMANLANDS LÄN</t>
        </is>
      </c>
      <c r="E237" t="inlineStr">
        <is>
          <t>FLEN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16938-2025</t>
        </is>
      </c>
      <c r="B238" s="1" t="n">
        <v>45755.41969907407</v>
      </c>
      <c r="C238" s="1" t="n">
        <v>45879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17183-2021</t>
        </is>
      </c>
      <c r="B239" s="1" t="n">
        <v>44297</v>
      </c>
      <c r="C239" s="1" t="n">
        <v>45879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16276-2021</t>
        </is>
      </c>
      <c r="B240" s="1" t="n">
        <v>44292</v>
      </c>
      <c r="C240" s="1" t="n">
        <v>45879</v>
      </c>
      <c r="D240" t="inlineStr">
        <is>
          <t>SÖDERMANLANDS LÄN</t>
        </is>
      </c>
      <c r="E240" t="inlineStr">
        <is>
          <t>FLEN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62579-2023</t>
        </is>
      </c>
      <c r="B241" s="1" t="n">
        <v>45270</v>
      </c>
      <c r="C241" s="1" t="n">
        <v>45879</v>
      </c>
      <c r="D241" t="inlineStr">
        <is>
          <t>SÖDERMANLANDS LÄN</t>
        </is>
      </c>
      <c r="E241" t="inlineStr">
        <is>
          <t>FLEN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47187-2022</t>
        </is>
      </c>
      <c r="B242" s="1" t="n">
        <v>44848</v>
      </c>
      <c r="C242" s="1" t="n">
        <v>45879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51768-2023</t>
        </is>
      </c>
      <c r="B243" s="1" t="n">
        <v>45222</v>
      </c>
      <c r="C243" s="1" t="n">
        <v>45879</v>
      </c>
      <c r="D243" t="inlineStr">
        <is>
          <t>SÖDERMANLANDS LÄN</t>
        </is>
      </c>
      <c r="E243" t="inlineStr">
        <is>
          <t>FLEN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5194-2024</t>
        </is>
      </c>
      <c r="B244" s="1" t="n">
        <v>45330</v>
      </c>
      <c r="C244" s="1" t="n">
        <v>45879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1617-2025</t>
        </is>
      </c>
      <c r="B245" s="1" t="n">
        <v>45670</v>
      </c>
      <c r="C245" s="1" t="n">
        <v>45879</v>
      </c>
      <c r="D245" t="inlineStr">
        <is>
          <t>SÖDERMANLANDS LÄN</t>
        </is>
      </c>
      <c r="E245" t="inlineStr">
        <is>
          <t>FLEN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38135-2023</t>
        </is>
      </c>
      <c r="B246" s="1" t="n">
        <v>45161</v>
      </c>
      <c r="C246" s="1" t="n">
        <v>45879</v>
      </c>
      <c r="D246" t="inlineStr">
        <is>
          <t>SÖDERMANLANDS LÄN</t>
        </is>
      </c>
      <c r="E246" t="inlineStr">
        <is>
          <t>FLEN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2460-2021</t>
        </is>
      </c>
      <c r="B247" s="1" t="n">
        <v>44214.53769675926</v>
      </c>
      <c r="C247" s="1" t="n">
        <v>45879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33228-2024</t>
        </is>
      </c>
      <c r="B248" s="1" t="n">
        <v>45518.57210648148</v>
      </c>
      <c r="C248" s="1" t="n">
        <v>45879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54340-2023</t>
        </is>
      </c>
      <c r="B249" s="1" t="n">
        <v>45225</v>
      </c>
      <c r="C249" s="1" t="n">
        <v>45879</v>
      </c>
      <c r="D249" t="inlineStr">
        <is>
          <t>SÖDERMANLANDS LÄN</t>
        </is>
      </c>
      <c r="E249" t="inlineStr">
        <is>
          <t>FLEN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44561-2024</t>
        </is>
      </c>
      <c r="B250" s="1" t="n">
        <v>45574</v>
      </c>
      <c r="C250" s="1" t="n">
        <v>45879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52563-2021</t>
        </is>
      </c>
      <c r="B251" s="1" t="n">
        <v>44463</v>
      </c>
      <c r="C251" s="1" t="n">
        <v>45879</v>
      </c>
      <c r="D251" t="inlineStr">
        <is>
          <t>SÖDERMANLANDS LÄN</t>
        </is>
      </c>
      <c r="E251" t="inlineStr">
        <is>
          <t>FLEN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61713-2020</t>
        </is>
      </c>
      <c r="B252" s="1" t="n">
        <v>44158</v>
      </c>
      <c r="C252" s="1" t="n">
        <v>45879</v>
      </c>
      <c r="D252" t="inlineStr">
        <is>
          <t>SÖDERMANLANDS LÄN</t>
        </is>
      </c>
      <c r="E252" t="inlineStr">
        <is>
          <t>FLEN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58926-2023</t>
        </is>
      </c>
      <c r="B253" s="1" t="n">
        <v>45250</v>
      </c>
      <c r="C253" s="1" t="n">
        <v>45879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58267-2023</t>
        </is>
      </c>
      <c r="B254" s="1" t="n">
        <v>45250</v>
      </c>
      <c r="C254" s="1" t="n">
        <v>45879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8141-2021</t>
        </is>
      </c>
      <c r="B255" s="1" t="n">
        <v>44242</v>
      </c>
      <c r="C255" s="1" t="n">
        <v>45879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14859-2024</t>
        </is>
      </c>
      <c r="B256" s="1" t="n">
        <v>45398.45043981481</v>
      </c>
      <c r="C256" s="1" t="n">
        <v>45879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60409-2020</t>
        </is>
      </c>
      <c r="B257" s="1" t="n">
        <v>44152</v>
      </c>
      <c r="C257" s="1" t="n">
        <v>45879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10205-2025</t>
        </is>
      </c>
      <c r="B258" s="1" t="n">
        <v>45719.8153125</v>
      </c>
      <c r="C258" s="1" t="n">
        <v>45879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10256-2024</t>
        </is>
      </c>
      <c r="B259" s="1" t="n">
        <v>45365</v>
      </c>
      <c r="C259" s="1" t="n">
        <v>45879</v>
      </c>
      <c r="D259" t="inlineStr">
        <is>
          <t>SÖDERMANLANDS LÄN</t>
        </is>
      </c>
      <c r="E259" t="inlineStr">
        <is>
          <t>FLEN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21476-2024</t>
        </is>
      </c>
      <c r="B260" s="1" t="n">
        <v>45441.51645833333</v>
      </c>
      <c r="C260" s="1" t="n">
        <v>45879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33225-2024</t>
        </is>
      </c>
      <c r="B261" s="1" t="n">
        <v>45518.56827546296</v>
      </c>
      <c r="C261" s="1" t="n">
        <v>45879</v>
      </c>
      <c r="D261" t="inlineStr">
        <is>
          <t>SÖDERMANLANDS LÄN</t>
        </is>
      </c>
      <c r="E261" t="inlineStr">
        <is>
          <t>FLEN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543-2024</t>
        </is>
      </c>
      <c r="B262" s="1" t="n">
        <v>45299</v>
      </c>
      <c r="C262" s="1" t="n">
        <v>45879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545-2024</t>
        </is>
      </c>
      <c r="B263" s="1" t="n">
        <v>45299</v>
      </c>
      <c r="C263" s="1" t="n">
        <v>45879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50898-2022</t>
        </is>
      </c>
      <c r="B264" s="1" t="n">
        <v>44864</v>
      </c>
      <c r="C264" s="1" t="n">
        <v>45879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50796-2021</t>
        </is>
      </c>
      <c r="B265" s="1" t="n">
        <v>44459</v>
      </c>
      <c r="C265" s="1" t="n">
        <v>45879</v>
      </c>
      <c r="D265" t="inlineStr">
        <is>
          <t>SÖDERMANLANDS LÄN</t>
        </is>
      </c>
      <c r="E265" t="inlineStr">
        <is>
          <t>FLEN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34817-2022</t>
        </is>
      </c>
      <c r="B266" s="1" t="n">
        <v>44796</v>
      </c>
      <c r="C266" s="1" t="n">
        <v>45879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15904-2023</t>
        </is>
      </c>
      <c r="B267" s="1" t="n">
        <v>45022</v>
      </c>
      <c r="C267" s="1" t="n">
        <v>45879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50358-2023</t>
        </is>
      </c>
      <c r="B268" s="1" t="n">
        <v>45216</v>
      </c>
      <c r="C268" s="1" t="n">
        <v>45879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32407-2023</t>
        </is>
      </c>
      <c r="B269" s="1" t="n">
        <v>45110</v>
      </c>
      <c r="C269" s="1" t="n">
        <v>45879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22015-2021</t>
        </is>
      </c>
      <c r="B270" s="1" t="n">
        <v>44323</v>
      </c>
      <c r="C270" s="1" t="n">
        <v>45879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40404-2024</t>
        </is>
      </c>
      <c r="B271" s="1" t="n">
        <v>45555</v>
      </c>
      <c r="C271" s="1" t="n">
        <v>45879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36096-2023</t>
        </is>
      </c>
      <c r="B272" s="1" t="n">
        <v>45149</v>
      </c>
      <c r="C272" s="1" t="n">
        <v>45879</v>
      </c>
      <c r="D272" t="inlineStr">
        <is>
          <t>SÖDERMANLANDS LÄN</t>
        </is>
      </c>
      <c r="E272" t="inlineStr">
        <is>
          <t>FLEN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31214-2023</t>
        </is>
      </c>
      <c r="B273" s="1" t="n">
        <v>45114.25847222222</v>
      </c>
      <c r="C273" s="1" t="n">
        <v>45879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40408-2024</t>
        </is>
      </c>
      <c r="B274" s="1" t="n">
        <v>45555</v>
      </c>
      <c r="C274" s="1" t="n">
        <v>45879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42936-2021</t>
        </is>
      </c>
      <c r="B275" s="1" t="n">
        <v>44431</v>
      </c>
      <c r="C275" s="1" t="n">
        <v>45879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49820-2023</t>
        </is>
      </c>
      <c r="B276" s="1" t="n">
        <v>45211</v>
      </c>
      <c r="C276" s="1" t="n">
        <v>45879</v>
      </c>
      <c r="D276" t="inlineStr">
        <is>
          <t>SÖDERMANLANDS LÄN</t>
        </is>
      </c>
      <c r="E276" t="inlineStr">
        <is>
          <t>FLEN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59779-2023</t>
        </is>
      </c>
      <c r="B277" s="1" t="n">
        <v>45257.43989583333</v>
      </c>
      <c r="C277" s="1" t="n">
        <v>45879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45879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52692-2021</t>
        </is>
      </c>
      <c r="B279" s="1" t="n">
        <v>44466</v>
      </c>
      <c r="C279" s="1" t="n">
        <v>45879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5331-2024</t>
        </is>
      </c>
      <c r="B280" s="1" t="n">
        <v>45331</v>
      </c>
      <c r="C280" s="1" t="n">
        <v>45879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38832-2022</t>
        </is>
      </c>
      <c r="B281" s="1" t="n">
        <v>44814</v>
      </c>
      <c r="C281" s="1" t="n">
        <v>45879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14260-2025</t>
        </is>
      </c>
      <c r="B282" s="1" t="n">
        <v>45740.6271875</v>
      </c>
      <c r="C282" s="1" t="n">
        <v>45879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14117-2025</t>
        </is>
      </c>
      <c r="B283" s="1" t="n">
        <v>45740</v>
      </c>
      <c r="C283" s="1" t="n">
        <v>45879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59135-2023</t>
        </is>
      </c>
      <c r="B284" s="1" t="n">
        <v>45253</v>
      </c>
      <c r="C284" s="1" t="n">
        <v>45879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1186-2025</t>
        </is>
      </c>
      <c r="B285" s="1" t="n">
        <v>45667</v>
      </c>
      <c r="C285" s="1" t="n">
        <v>45879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33742-2023</t>
        </is>
      </c>
      <c r="B286" s="1" t="n">
        <v>45119</v>
      </c>
      <c r="C286" s="1" t="n">
        <v>45879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6827-2021</t>
        </is>
      </c>
      <c r="B287" s="1" t="n">
        <v>44237.34643518519</v>
      </c>
      <c r="C287" s="1" t="n">
        <v>45879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37283-2024</t>
        </is>
      </c>
      <c r="B288" s="1" t="n">
        <v>45540.43278935185</v>
      </c>
      <c r="C288" s="1" t="n">
        <v>45879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11068-2021</t>
        </is>
      </c>
      <c r="B289" s="1" t="n">
        <v>44260.58606481482</v>
      </c>
      <c r="C289" s="1" t="n">
        <v>45879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56393-2022</t>
        </is>
      </c>
      <c r="B290" s="1" t="n">
        <v>44887</v>
      </c>
      <c r="C290" s="1" t="n">
        <v>45879</v>
      </c>
      <c r="D290" t="inlineStr">
        <is>
          <t>SÖDERMANLANDS LÄN</t>
        </is>
      </c>
      <c r="E290" t="inlineStr">
        <is>
          <t>FLEN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20868-2024</t>
        </is>
      </c>
      <c r="B291" s="1" t="n">
        <v>45439.4372337963</v>
      </c>
      <c r="C291" s="1" t="n">
        <v>45879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60613-2023</t>
        </is>
      </c>
      <c r="B292" s="1" t="n">
        <v>45260.36072916666</v>
      </c>
      <c r="C292" s="1" t="n">
        <v>45879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34612-2023</t>
        </is>
      </c>
      <c r="B293" s="1" t="n">
        <v>45140</v>
      </c>
      <c r="C293" s="1" t="n">
        <v>45879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43394-2021</t>
        </is>
      </c>
      <c r="B294" s="1" t="n">
        <v>44432</v>
      </c>
      <c r="C294" s="1" t="n">
        <v>45879</v>
      </c>
      <c r="D294" t="inlineStr">
        <is>
          <t>SÖDERMANLANDS LÄN</t>
        </is>
      </c>
      <c r="E294" t="inlineStr">
        <is>
          <t>FLEN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62763-2023</t>
        </is>
      </c>
      <c r="B295" s="1" t="n">
        <v>45271.64175925926</v>
      </c>
      <c r="C295" s="1" t="n">
        <v>45879</v>
      </c>
      <c r="D295" t="inlineStr">
        <is>
          <t>SÖDERMANLANDS LÄN</t>
        </is>
      </c>
      <c r="E295" t="inlineStr">
        <is>
          <t>FLEN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780-2023</t>
        </is>
      </c>
      <c r="B296" s="1" t="n">
        <v>44931</v>
      </c>
      <c r="C296" s="1" t="n">
        <v>45879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65869-2021</t>
        </is>
      </c>
      <c r="B297" s="1" t="n">
        <v>44517.39820601852</v>
      </c>
      <c r="C297" s="1" t="n">
        <v>45879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28529-2023</t>
        </is>
      </c>
      <c r="B298" s="1" t="n">
        <v>45103.48629629629</v>
      </c>
      <c r="C298" s="1" t="n">
        <v>45879</v>
      </c>
      <c r="D298" t="inlineStr">
        <is>
          <t>SÖDERMANLANDS LÄN</t>
        </is>
      </c>
      <c r="E298" t="inlineStr">
        <is>
          <t>FLEN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1330-2021</t>
        </is>
      </c>
      <c r="B299" s="1" t="n">
        <v>44208</v>
      </c>
      <c r="C299" s="1" t="n">
        <v>45879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2738-2022</t>
        </is>
      </c>
      <c r="B300" s="1" t="n">
        <v>44580.82798611111</v>
      </c>
      <c r="C300" s="1" t="n">
        <v>45879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3926-2024</t>
        </is>
      </c>
      <c r="B301" s="1" t="n">
        <v>45322.59059027778</v>
      </c>
      <c r="C301" s="1" t="n">
        <v>45879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43008-2023</t>
        </is>
      </c>
      <c r="B302" s="1" t="n">
        <v>45182</v>
      </c>
      <c r="C302" s="1" t="n">
        <v>45879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59690-2023</t>
        </is>
      </c>
      <c r="B303" s="1" t="n">
        <v>45256.76922453703</v>
      </c>
      <c r="C303" s="1" t="n">
        <v>45879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50646-2023</t>
        </is>
      </c>
      <c r="B304" s="1" t="n">
        <v>45217.47643518518</v>
      </c>
      <c r="C304" s="1" t="n">
        <v>45879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22028-2023</t>
        </is>
      </c>
      <c r="B305" s="1" t="n">
        <v>45066</v>
      </c>
      <c r="C305" s="1" t="n">
        <v>45879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41709-2021</t>
        </is>
      </c>
      <c r="B306" s="1" t="n">
        <v>44425</v>
      </c>
      <c r="C306" s="1" t="n">
        <v>45879</v>
      </c>
      <c r="D306" t="inlineStr">
        <is>
          <t>SÖDERMANLANDS LÄN</t>
        </is>
      </c>
      <c r="E306" t="inlineStr">
        <is>
          <t>FLEN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39427-2024</t>
        </is>
      </c>
      <c r="B307" s="1" t="n">
        <v>45551.58553240741</v>
      </c>
      <c r="C307" s="1" t="n">
        <v>45879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59439-2022</t>
        </is>
      </c>
      <c r="B308" s="1" t="n">
        <v>44907.39300925926</v>
      </c>
      <c r="C308" s="1" t="n">
        <v>45879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15897-2023</t>
        </is>
      </c>
      <c r="B309" s="1" t="n">
        <v>45022</v>
      </c>
      <c r="C309" s="1" t="n">
        <v>45879</v>
      </c>
      <c r="D309" t="inlineStr">
        <is>
          <t>SÖDERMANLANDS LÄN</t>
        </is>
      </c>
      <c r="E309" t="inlineStr">
        <is>
          <t>FLEN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17125-2023</t>
        </is>
      </c>
      <c r="B310" s="1" t="n">
        <v>45034</v>
      </c>
      <c r="C310" s="1" t="n">
        <v>45879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28938-2023</t>
        </is>
      </c>
      <c r="B311" s="1" t="n">
        <v>45104</v>
      </c>
      <c r="C311" s="1" t="n">
        <v>45879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1209-2025</t>
        </is>
      </c>
      <c r="B312" s="1" t="n">
        <v>45667</v>
      </c>
      <c r="C312" s="1" t="n">
        <v>45879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22101-2023</t>
        </is>
      </c>
      <c r="B313" s="1" t="n">
        <v>45068</v>
      </c>
      <c r="C313" s="1" t="n">
        <v>45879</v>
      </c>
      <c r="D313" t="inlineStr">
        <is>
          <t>SÖDERMANLANDS LÄN</t>
        </is>
      </c>
      <c r="E313" t="inlineStr">
        <is>
          <t>FLEN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1575-2024</t>
        </is>
      </c>
      <c r="B314" s="1" t="n">
        <v>45306</v>
      </c>
      <c r="C314" s="1" t="n">
        <v>45879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25467-2023</t>
        </is>
      </c>
      <c r="B315" s="1" t="n">
        <v>45081</v>
      </c>
      <c r="C315" s="1" t="n">
        <v>45879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25474-2023</t>
        </is>
      </c>
      <c r="B316" s="1" t="n">
        <v>45081</v>
      </c>
      <c r="C316" s="1" t="n">
        <v>45879</v>
      </c>
      <c r="D316" t="inlineStr">
        <is>
          <t>SÖDERMANLANDS LÄN</t>
        </is>
      </c>
      <c r="E316" t="inlineStr">
        <is>
          <t>FLEN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45879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53507-2023</t>
        </is>
      </c>
      <c r="B318" s="1" t="n">
        <v>45230</v>
      </c>
      <c r="C318" s="1" t="n">
        <v>45879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53513-2023</t>
        </is>
      </c>
      <c r="B319" s="1" t="n">
        <v>45230</v>
      </c>
      <c r="C319" s="1" t="n">
        <v>45879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53518-2023</t>
        </is>
      </c>
      <c r="B320" s="1" t="n">
        <v>45230</v>
      </c>
      <c r="C320" s="1" t="n">
        <v>45879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12936-2023</t>
        </is>
      </c>
      <c r="B321" s="1" t="n">
        <v>45001</v>
      </c>
      <c r="C321" s="1" t="n">
        <v>45879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50467-2020</t>
        </is>
      </c>
      <c r="B322" s="1" t="n">
        <v>44110</v>
      </c>
      <c r="C322" s="1" t="n">
        <v>45879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14599-2023</t>
        </is>
      </c>
      <c r="B323" s="1" t="n">
        <v>45013</v>
      </c>
      <c r="C323" s="1" t="n">
        <v>45879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54737-2022</t>
        </is>
      </c>
      <c r="B324" s="1" t="n">
        <v>44881</v>
      </c>
      <c r="C324" s="1" t="n">
        <v>45879</v>
      </c>
      <c r="D324" t="inlineStr">
        <is>
          <t>SÖDERMANLANDS LÄN</t>
        </is>
      </c>
      <c r="E324" t="inlineStr">
        <is>
          <t>FLEN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45879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45265-2020</t>
        </is>
      </c>
      <c r="B326" s="1" t="n">
        <v>44089</v>
      </c>
      <c r="C326" s="1" t="n">
        <v>45879</v>
      </c>
      <c r="D326" t="inlineStr">
        <is>
          <t>SÖDERMANLANDS LÄN</t>
        </is>
      </c>
      <c r="E326" t="inlineStr">
        <is>
          <t>FLEN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HYPERLINK("https://klasma.github.io/Logging_0482/knärot/A 45265-2020 karta knärot.png", "A 45265-2020")</f>
        <v/>
      </c>
      <c r="V326">
        <f>HYPERLINK("https://klasma.github.io/Logging_0482/klagomål/A 45265-2020 FSC-klagomål.docx", "A 45265-2020")</f>
        <v/>
      </c>
      <c r="W326">
        <f>HYPERLINK("https://klasma.github.io/Logging_0482/klagomålsmail/A 45265-2020 FSC-klagomål mail.docx", "A 45265-2020")</f>
        <v/>
      </c>
      <c r="X326">
        <f>HYPERLINK("https://klasma.github.io/Logging_0482/tillsyn/A 45265-2020 tillsynsbegäran.docx", "A 45265-2020")</f>
        <v/>
      </c>
      <c r="Y326">
        <f>HYPERLINK("https://klasma.github.io/Logging_0482/tillsynsmail/A 45265-2020 tillsynsbegäran mail.docx", "A 45265-2020")</f>
        <v/>
      </c>
    </row>
    <row r="327" ht="15" customHeight="1">
      <c r="A327" t="inlineStr">
        <is>
          <t>A 54919-2020</t>
        </is>
      </c>
      <c r="B327" s="1" t="n">
        <v>44127</v>
      </c>
      <c r="C327" s="1" t="n">
        <v>45879</v>
      </c>
      <c r="D327" t="inlineStr">
        <is>
          <t>SÖDERMANLANDS LÄN</t>
        </is>
      </c>
      <c r="E327" t="inlineStr">
        <is>
          <t>FLEN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12704-2025</t>
        </is>
      </c>
      <c r="B328" s="1" t="n">
        <v>45733.46799768518</v>
      </c>
      <c r="C328" s="1" t="n">
        <v>45879</v>
      </c>
      <c r="D328" t="inlineStr">
        <is>
          <t>SÖDERMANLANDS LÄN</t>
        </is>
      </c>
      <c r="E328" t="inlineStr">
        <is>
          <t>FLEN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60034-2022</t>
        </is>
      </c>
      <c r="B329" s="1" t="n">
        <v>44909</v>
      </c>
      <c r="C329" s="1" t="n">
        <v>45879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56497-2022</t>
        </is>
      </c>
      <c r="B330" s="1" t="n">
        <v>44887</v>
      </c>
      <c r="C330" s="1" t="n">
        <v>45879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28768-2024</t>
        </is>
      </c>
      <c r="B331" s="1" t="n">
        <v>45478</v>
      </c>
      <c r="C331" s="1" t="n">
        <v>45879</v>
      </c>
      <c r="D331" t="inlineStr">
        <is>
          <t>SÖDERMANLANDS LÄN</t>
        </is>
      </c>
      <c r="E331" t="inlineStr">
        <is>
          <t>FLEN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60562-2021</t>
        </is>
      </c>
      <c r="B332" s="1" t="n">
        <v>44495</v>
      </c>
      <c r="C332" s="1" t="n">
        <v>45879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42731-2024</t>
        </is>
      </c>
      <c r="B333" s="1" t="n">
        <v>45566</v>
      </c>
      <c r="C333" s="1" t="n">
        <v>45879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57251-2020</t>
        </is>
      </c>
      <c r="B334" s="1" t="n">
        <v>44139</v>
      </c>
      <c r="C334" s="1" t="n">
        <v>45879</v>
      </c>
      <c r="D334" t="inlineStr">
        <is>
          <t>SÖDERMANLANDS LÄN</t>
        </is>
      </c>
      <c r="E334" t="inlineStr">
        <is>
          <t>FLEN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57044-2023</t>
        </is>
      </c>
      <c r="B335" s="1" t="n">
        <v>45244</v>
      </c>
      <c r="C335" s="1" t="n">
        <v>45879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58364-2023</t>
        </is>
      </c>
      <c r="B336" s="1" t="n">
        <v>45250</v>
      </c>
      <c r="C336" s="1" t="n">
        <v>45879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13233-2024</t>
        </is>
      </c>
      <c r="B337" s="1" t="n">
        <v>45386</v>
      </c>
      <c r="C337" s="1" t="n">
        <v>45879</v>
      </c>
      <c r="D337" t="inlineStr">
        <is>
          <t>SÖDERMANLANDS LÄN</t>
        </is>
      </c>
      <c r="E337" t="inlineStr">
        <is>
          <t>FLEN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38209-2023</t>
        </is>
      </c>
      <c r="B338" s="1" t="n">
        <v>45161.52697916667</v>
      </c>
      <c r="C338" s="1" t="n">
        <v>45879</v>
      </c>
      <c r="D338" t="inlineStr">
        <is>
          <t>SÖDERMANLANDS LÄN</t>
        </is>
      </c>
      <c r="E338" t="inlineStr">
        <is>
          <t>FLEN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37428-2023</t>
        </is>
      </c>
      <c r="B339" s="1" t="n">
        <v>45156.63482638889</v>
      </c>
      <c r="C339" s="1" t="n">
        <v>45879</v>
      </c>
      <c r="D339" t="inlineStr">
        <is>
          <t>SÖDERMANLANDS LÄN</t>
        </is>
      </c>
      <c r="E339" t="inlineStr">
        <is>
          <t>FLEN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1239-2025</t>
        </is>
      </c>
      <c r="B340" s="1" t="n">
        <v>45667</v>
      </c>
      <c r="C340" s="1" t="n">
        <v>45879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52546-2021</t>
        </is>
      </c>
      <c r="B341" s="1" t="n">
        <v>44463</v>
      </c>
      <c r="C341" s="1" t="n">
        <v>45879</v>
      </c>
      <c r="D341" t="inlineStr">
        <is>
          <t>SÖDERMANLANDS LÄN</t>
        </is>
      </c>
      <c r="E341" t="inlineStr">
        <is>
          <t>FLEN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58631-2024</t>
        </is>
      </c>
      <c r="B342" s="1" t="n">
        <v>45632</v>
      </c>
      <c r="C342" s="1" t="n">
        <v>45879</v>
      </c>
      <c r="D342" t="inlineStr">
        <is>
          <t>SÖDERMANLANDS LÄN</t>
        </is>
      </c>
      <c r="E342" t="inlineStr">
        <is>
          <t>FLEN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20788-2025</t>
        </is>
      </c>
      <c r="B343" s="1" t="n">
        <v>45776.62307870371</v>
      </c>
      <c r="C343" s="1" t="n">
        <v>45879</v>
      </c>
      <c r="D343" t="inlineStr">
        <is>
          <t>SÖDERMANLANDS LÄN</t>
        </is>
      </c>
      <c r="E343" t="inlineStr">
        <is>
          <t>FLEN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41806-2023</t>
        </is>
      </c>
      <c r="B344" s="1" t="n">
        <v>45176</v>
      </c>
      <c r="C344" s="1" t="n">
        <v>45879</v>
      </c>
      <c r="D344" t="inlineStr">
        <is>
          <t>SÖDERMANLANDS LÄN</t>
        </is>
      </c>
      <c r="E344" t="inlineStr">
        <is>
          <t>FLEN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20833-2025</t>
        </is>
      </c>
      <c r="B345" s="1" t="n">
        <v>45776.80291666667</v>
      </c>
      <c r="C345" s="1" t="n">
        <v>45879</v>
      </c>
      <c r="D345" t="inlineStr">
        <is>
          <t>SÖDERMANLANDS LÄN</t>
        </is>
      </c>
      <c r="E345" t="inlineStr">
        <is>
          <t>FLEN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45879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38762-2023</t>
        </is>
      </c>
      <c r="B347" s="1" t="n">
        <v>45163</v>
      </c>
      <c r="C347" s="1" t="n">
        <v>45879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20952-2025</t>
        </is>
      </c>
      <c r="B348" s="1" t="n">
        <v>45777.44011574074</v>
      </c>
      <c r="C348" s="1" t="n">
        <v>45879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20875-2025</t>
        </is>
      </c>
      <c r="B349" s="1" t="n">
        <v>45777</v>
      </c>
      <c r="C349" s="1" t="n">
        <v>45879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21004-2025</t>
        </is>
      </c>
      <c r="B350" s="1" t="n">
        <v>45777.491875</v>
      </c>
      <c r="C350" s="1" t="n">
        <v>45879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20849-2025</t>
        </is>
      </c>
      <c r="B351" s="1" t="n">
        <v>45777</v>
      </c>
      <c r="C351" s="1" t="n">
        <v>45879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54781-2024</t>
        </is>
      </c>
      <c r="B352" s="1" t="n">
        <v>45618</v>
      </c>
      <c r="C352" s="1" t="n">
        <v>45879</v>
      </c>
      <c r="D352" t="inlineStr">
        <is>
          <t>SÖDERMANLANDS LÄN</t>
        </is>
      </c>
      <c r="E352" t="inlineStr">
        <is>
          <t>FLEN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37286-2024</t>
        </is>
      </c>
      <c r="B353" s="1" t="n">
        <v>45540.43818287037</v>
      </c>
      <c r="C353" s="1" t="n">
        <v>45879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38217-2023</t>
        </is>
      </c>
      <c r="B354" s="1" t="n">
        <v>45161.53572916667</v>
      </c>
      <c r="C354" s="1" t="n">
        <v>45879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9257-2023</t>
        </is>
      </c>
      <c r="B355" s="1" t="n">
        <v>44980</v>
      </c>
      <c r="C355" s="1" t="n">
        <v>45879</v>
      </c>
      <c r="D355" t="inlineStr">
        <is>
          <t>SÖDERMANLANDS LÄN</t>
        </is>
      </c>
      <c r="E355" t="inlineStr">
        <is>
          <t>FLEN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14040-2025</t>
        </is>
      </c>
      <c r="B356" s="1" t="n">
        <v>45740.36704861111</v>
      </c>
      <c r="C356" s="1" t="n">
        <v>45879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12172-2022</t>
        </is>
      </c>
      <c r="B357" s="1" t="n">
        <v>44636</v>
      </c>
      <c r="C357" s="1" t="n">
        <v>45879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48785-2022</t>
        </is>
      </c>
      <c r="B358" s="1" t="n">
        <v>44859</v>
      </c>
      <c r="C358" s="1" t="n">
        <v>45879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64480-2023</t>
        </is>
      </c>
      <c r="B359" s="1" t="n">
        <v>45280.90018518519</v>
      </c>
      <c r="C359" s="1" t="n">
        <v>45879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59776-2022</t>
        </is>
      </c>
      <c r="B360" s="1" t="n">
        <v>44908</v>
      </c>
      <c r="C360" s="1" t="n">
        <v>45879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20702-2025</t>
        </is>
      </c>
      <c r="B361" s="1" t="n">
        <v>45776</v>
      </c>
      <c r="C361" s="1" t="n">
        <v>45879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54666-2021</t>
        </is>
      </c>
      <c r="B362" s="1" t="n">
        <v>44473</v>
      </c>
      <c r="C362" s="1" t="n">
        <v>45879</v>
      </c>
      <c r="D362" t="inlineStr">
        <is>
          <t>SÖDERMANLANDS LÄN</t>
        </is>
      </c>
      <c r="E362" t="inlineStr">
        <is>
          <t>FLEN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10886-2023</t>
        </is>
      </c>
      <c r="B363" s="1" t="n">
        <v>44991</v>
      </c>
      <c r="C363" s="1" t="n">
        <v>45879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7960-2024</t>
        </is>
      </c>
      <c r="B364" s="1" t="n">
        <v>45350.57226851852</v>
      </c>
      <c r="C364" s="1" t="n">
        <v>45879</v>
      </c>
      <c r="D364" t="inlineStr">
        <is>
          <t>SÖDERMANLANDS LÄN</t>
        </is>
      </c>
      <c r="E364" t="inlineStr">
        <is>
          <t>FLEN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59051-2023</t>
        </is>
      </c>
      <c r="B365" s="1" t="n">
        <v>45252.77672453703</v>
      </c>
      <c r="C365" s="1" t="n">
        <v>45879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13909-2023</t>
        </is>
      </c>
      <c r="B366" s="1" t="n">
        <v>45008.36534722222</v>
      </c>
      <c r="C366" s="1" t="n">
        <v>45879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47055-2022</t>
        </is>
      </c>
      <c r="B367" s="1" t="n">
        <v>44852.40068287037</v>
      </c>
      <c r="C367" s="1" t="n">
        <v>45879</v>
      </c>
      <c r="D367" t="inlineStr">
        <is>
          <t>SÖDERMANLANDS LÄN</t>
        </is>
      </c>
      <c r="E367" t="inlineStr">
        <is>
          <t>FLEN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4742-2023</t>
        </is>
      </c>
      <c r="B368" s="1" t="n">
        <v>44957</v>
      </c>
      <c r="C368" s="1" t="n">
        <v>45879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8793-2022</t>
        </is>
      </c>
      <c r="B369" s="1" t="n">
        <v>44614</v>
      </c>
      <c r="C369" s="1" t="n">
        <v>45879</v>
      </c>
      <c r="D369" t="inlineStr">
        <is>
          <t>SÖDERMANLANDS LÄN</t>
        </is>
      </c>
      <c r="E369" t="inlineStr">
        <is>
          <t>FLEN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46115-2023</t>
        </is>
      </c>
      <c r="B370" s="1" t="n">
        <v>45196</v>
      </c>
      <c r="C370" s="1" t="n">
        <v>45879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54736-2022</t>
        </is>
      </c>
      <c r="B371" s="1" t="n">
        <v>44883.57304398148</v>
      </c>
      <c r="C371" s="1" t="n">
        <v>45879</v>
      </c>
      <c r="D371" t="inlineStr">
        <is>
          <t>SÖDERMANLANDS LÄN</t>
        </is>
      </c>
      <c r="E371" t="inlineStr">
        <is>
          <t>FLEN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27724-2023</t>
        </is>
      </c>
      <c r="B372" s="1" t="n">
        <v>45097</v>
      </c>
      <c r="C372" s="1" t="n">
        <v>45879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42388-2023</t>
        </is>
      </c>
      <c r="B373" s="1" t="n">
        <v>45180</v>
      </c>
      <c r="C373" s="1" t="n">
        <v>45879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35118-2024</t>
        </is>
      </c>
      <c r="B374" s="1" t="n">
        <v>45528</v>
      </c>
      <c r="C374" s="1" t="n">
        <v>45879</v>
      </c>
      <c r="D374" t="inlineStr">
        <is>
          <t>SÖDERMANLANDS LÄN</t>
        </is>
      </c>
      <c r="E374" t="inlineStr">
        <is>
          <t>FLEN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49816-2023</t>
        </is>
      </c>
      <c r="B375" s="1" t="n">
        <v>45211</v>
      </c>
      <c r="C375" s="1" t="n">
        <v>45879</v>
      </c>
      <c r="D375" t="inlineStr">
        <is>
          <t>SÖDERMANLANDS LÄN</t>
        </is>
      </c>
      <c r="E375" t="inlineStr">
        <is>
          <t>FLEN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72314-2021</t>
        </is>
      </c>
      <c r="B376" s="1" t="n">
        <v>44544</v>
      </c>
      <c r="C376" s="1" t="n">
        <v>45879</v>
      </c>
      <c r="D376" t="inlineStr">
        <is>
          <t>SÖDERMANLANDS LÄN</t>
        </is>
      </c>
      <c r="E376" t="inlineStr">
        <is>
          <t>FLEN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56308-2024</t>
        </is>
      </c>
      <c r="B377" s="1" t="n">
        <v>45624.70232638889</v>
      </c>
      <c r="C377" s="1" t="n">
        <v>45879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41630-2023</t>
        </is>
      </c>
      <c r="B378" s="1" t="n">
        <v>45175</v>
      </c>
      <c r="C378" s="1" t="n">
        <v>45879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38753-2023</t>
        </is>
      </c>
      <c r="B379" s="1" t="n">
        <v>45163.40603009259</v>
      </c>
      <c r="C379" s="1" t="n">
        <v>45879</v>
      </c>
      <c r="D379" t="inlineStr">
        <is>
          <t>SÖDERMANLANDS LÄN</t>
        </is>
      </c>
      <c r="E379" t="inlineStr">
        <is>
          <t>FLEN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57353-2022</t>
        </is>
      </c>
      <c r="B380" s="1" t="n">
        <v>44896</v>
      </c>
      <c r="C380" s="1" t="n">
        <v>45879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17290-2024</t>
        </is>
      </c>
      <c r="B381" s="1" t="n">
        <v>45414</v>
      </c>
      <c r="C381" s="1" t="n">
        <v>45879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58507-2022</t>
        </is>
      </c>
      <c r="B382" s="1" t="n">
        <v>44902.39163194445</v>
      </c>
      <c r="C382" s="1" t="n">
        <v>45879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46103-2024</t>
        </is>
      </c>
      <c r="B383" s="1" t="n">
        <v>45581</v>
      </c>
      <c r="C383" s="1" t="n">
        <v>45879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22882-2025</t>
        </is>
      </c>
      <c r="B384" s="1" t="n">
        <v>45790.38300925926</v>
      </c>
      <c r="C384" s="1" t="n">
        <v>45879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60255-2021</t>
        </is>
      </c>
      <c r="B385" s="1" t="n">
        <v>44495</v>
      </c>
      <c r="C385" s="1" t="n">
        <v>45879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22892-2025</t>
        </is>
      </c>
      <c r="B386" s="1" t="n">
        <v>45790.39479166667</v>
      </c>
      <c r="C386" s="1" t="n">
        <v>45879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9431-2022</t>
        </is>
      </c>
      <c r="B387" s="1" t="n">
        <v>44616</v>
      </c>
      <c r="C387" s="1" t="n">
        <v>45879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14755-2023</t>
        </is>
      </c>
      <c r="B388" s="1" t="n">
        <v>45014</v>
      </c>
      <c r="C388" s="1" t="n">
        <v>45879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57686-2024</t>
        </is>
      </c>
      <c r="B389" s="1" t="n">
        <v>45630</v>
      </c>
      <c r="C389" s="1" t="n">
        <v>45879</v>
      </c>
      <c r="D389" t="inlineStr">
        <is>
          <t>SÖDERMANLANDS LÄN</t>
        </is>
      </c>
      <c r="E389" t="inlineStr">
        <is>
          <t>FLEN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22873-2025</t>
        </is>
      </c>
      <c r="B390" s="1" t="n">
        <v>45790.37265046296</v>
      </c>
      <c r="C390" s="1" t="n">
        <v>45879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4216-2022</t>
        </is>
      </c>
      <c r="B391" s="1" t="n">
        <v>44588</v>
      </c>
      <c r="C391" s="1" t="n">
        <v>45879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4536-2024</t>
        </is>
      </c>
      <c r="B392" s="1" t="n">
        <v>45327.68914351852</v>
      </c>
      <c r="C392" s="1" t="n">
        <v>45879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44006-2022</t>
        </is>
      </c>
      <c r="B393" s="1" t="n">
        <v>44838</v>
      </c>
      <c r="C393" s="1" t="n">
        <v>45879</v>
      </c>
      <c r="D393" t="inlineStr">
        <is>
          <t>SÖDERMANLANDS LÄN</t>
        </is>
      </c>
      <c r="E393" t="inlineStr">
        <is>
          <t>FLEN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4899-2023</t>
        </is>
      </c>
      <c r="B394" s="1" t="n">
        <v>44958</v>
      </c>
      <c r="C394" s="1" t="n">
        <v>45879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22989-2025</t>
        </is>
      </c>
      <c r="B395" s="1" t="n">
        <v>45790.57600694444</v>
      </c>
      <c r="C395" s="1" t="n">
        <v>45879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8888-2021</t>
        </is>
      </c>
      <c r="B396" s="1" t="n">
        <v>44248</v>
      </c>
      <c r="C396" s="1" t="n">
        <v>45879</v>
      </c>
      <c r="D396" t="inlineStr">
        <is>
          <t>SÖDERMANLANDS LÄN</t>
        </is>
      </c>
      <c r="E396" t="inlineStr">
        <is>
          <t>FLEN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22839-2025</t>
        </is>
      </c>
      <c r="B397" s="1" t="n">
        <v>45789</v>
      </c>
      <c r="C397" s="1" t="n">
        <v>45879</v>
      </c>
      <c r="D397" t="inlineStr">
        <is>
          <t>SÖDERMANLANDS LÄN</t>
        </is>
      </c>
      <c r="E397" t="inlineStr">
        <is>
          <t>FLEN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22867-2025</t>
        </is>
      </c>
      <c r="B398" s="1" t="n">
        <v>45790.36635416667</v>
      </c>
      <c r="C398" s="1" t="n">
        <v>45879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52980-2023</t>
        </is>
      </c>
      <c r="B399" s="1" t="n">
        <v>45226</v>
      </c>
      <c r="C399" s="1" t="n">
        <v>45879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38331-2023</t>
        </is>
      </c>
      <c r="B400" s="1" t="n">
        <v>45161</v>
      </c>
      <c r="C400" s="1" t="n">
        <v>45879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22998-2025</t>
        </is>
      </c>
      <c r="B401" s="1" t="n">
        <v>45790.585625</v>
      </c>
      <c r="C401" s="1" t="n">
        <v>45879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4724-2024</t>
        </is>
      </c>
      <c r="B402" s="1" t="n">
        <v>45328.60582175926</v>
      </c>
      <c r="C402" s="1" t="n">
        <v>45879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23218-2025</t>
        </is>
      </c>
      <c r="B403" s="1" t="n">
        <v>45791</v>
      </c>
      <c r="C403" s="1" t="n">
        <v>45879</v>
      </c>
      <c r="D403" t="inlineStr">
        <is>
          <t>SÖDERMANLANDS LÄN</t>
        </is>
      </c>
      <c r="E403" t="inlineStr">
        <is>
          <t>FLEN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56991-2023</t>
        </is>
      </c>
      <c r="B404" s="1" t="n">
        <v>45244</v>
      </c>
      <c r="C404" s="1" t="n">
        <v>45879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23513-2025</t>
        </is>
      </c>
      <c r="B405" s="1" t="n">
        <v>45792</v>
      </c>
      <c r="C405" s="1" t="n">
        <v>45879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23216-2025</t>
        </is>
      </c>
      <c r="B406" s="1" t="n">
        <v>45791</v>
      </c>
      <c r="C406" s="1" t="n">
        <v>45879</v>
      </c>
      <c r="D406" t="inlineStr">
        <is>
          <t>SÖDERMANLANDS LÄN</t>
        </is>
      </c>
      <c r="E406" t="inlineStr">
        <is>
          <t>FLEN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39226-2023</t>
        </is>
      </c>
      <c r="B407" s="1" t="n">
        <v>45166</v>
      </c>
      <c r="C407" s="1" t="n">
        <v>45879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9894-2023</t>
        </is>
      </c>
      <c r="B408" s="1" t="n">
        <v>44979</v>
      </c>
      <c r="C408" s="1" t="n">
        <v>45879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23222-2025</t>
        </is>
      </c>
      <c r="B409" s="1" t="n">
        <v>45791</v>
      </c>
      <c r="C409" s="1" t="n">
        <v>45879</v>
      </c>
      <c r="D409" t="inlineStr">
        <is>
          <t>SÖDERMANLANDS LÄN</t>
        </is>
      </c>
      <c r="E409" t="inlineStr">
        <is>
          <t>FLEN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45879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40412-2024</t>
        </is>
      </c>
      <c r="B411" s="1" t="n">
        <v>45555</v>
      </c>
      <c r="C411" s="1" t="n">
        <v>45879</v>
      </c>
      <c r="D411" t="inlineStr">
        <is>
          <t>SÖDERMANLANDS LÄN</t>
        </is>
      </c>
      <c r="E411" t="inlineStr">
        <is>
          <t>FLEN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52775-2024</t>
        </is>
      </c>
      <c r="B412" s="1" t="n">
        <v>45610</v>
      </c>
      <c r="C412" s="1" t="n">
        <v>45879</v>
      </c>
      <c r="D412" t="inlineStr">
        <is>
          <t>SÖDERMANLANDS LÄN</t>
        </is>
      </c>
      <c r="E412" t="inlineStr">
        <is>
          <t>FLEN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67464-2021</t>
        </is>
      </c>
      <c r="B413" s="1" t="n">
        <v>44524</v>
      </c>
      <c r="C413" s="1" t="n">
        <v>45879</v>
      </c>
      <c r="D413" t="inlineStr">
        <is>
          <t>SÖDERMANLANDS LÄN</t>
        </is>
      </c>
      <c r="E413" t="inlineStr">
        <is>
          <t>FLEN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59258-2022</t>
        </is>
      </c>
      <c r="B414" s="1" t="n">
        <v>44897</v>
      </c>
      <c r="C414" s="1" t="n">
        <v>45879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7312-2025</t>
        </is>
      </c>
      <c r="B415" s="1" t="n">
        <v>45702.71366898148</v>
      </c>
      <c r="C415" s="1" t="n">
        <v>45879</v>
      </c>
      <c r="D415" t="inlineStr">
        <is>
          <t>SÖDERMANLANDS LÄN</t>
        </is>
      </c>
      <c r="E415" t="inlineStr">
        <is>
          <t>FLEN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45879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10745-2022</t>
        </is>
      </c>
      <c r="B417" s="1" t="n">
        <v>44624</v>
      </c>
      <c r="C417" s="1" t="n">
        <v>45879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8293-2022</t>
        </is>
      </c>
      <c r="B418" s="1" t="n">
        <v>44610.44100694444</v>
      </c>
      <c r="C418" s="1" t="n">
        <v>45879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45107-2023</t>
        </is>
      </c>
      <c r="B419" s="1" t="n">
        <v>45191</v>
      </c>
      <c r="C419" s="1" t="n">
        <v>45879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6725-2022</t>
        </is>
      </c>
      <c r="B420" s="1" t="n">
        <v>44602</v>
      </c>
      <c r="C420" s="1" t="n">
        <v>45879</v>
      </c>
      <c r="D420" t="inlineStr">
        <is>
          <t>SÖDERMANLANDS LÄN</t>
        </is>
      </c>
      <c r="E420" t="inlineStr">
        <is>
          <t>FLEN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48852-2023</t>
        </is>
      </c>
      <c r="B421" s="1" t="n">
        <v>45209</v>
      </c>
      <c r="C421" s="1" t="n">
        <v>45879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10110-2023</t>
        </is>
      </c>
      <c r="B422" s="1" t="n">
        <v>44986</v>
      </c>
      <c r="C422" s="1" t="n">
        <v>45879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31352-2023</t>
        </is>
      </c>
      <c r="B423" s="1" t="n">
        <v>45114</v>
      </c>
      <c r="C423" s="1" t="n">
        <v>45879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4657-2024</t>
        </is>
      </c>
      <c r="B424" s="1" t="n">
        <v>45328</v>
      </c>
      <c r="C424" s="1" t="n">
        <v>45879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40420-2024</t>
        </is>
      </c>
      <c r="B425" s="1" t="n">
        <v>45555</v>
      </c>
      <c r="C425" s="1" t="n">
        <v>45879</v>
      </c>
      <c r="D425" t="inlineStr">
        <is>
          <t>SÖDERMANLANDS LÄN</t>
        </is>
      </c>
      <c r="E425" t="inlineStr">
        <is>
          <t>FLEN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10565-2023</t>
        </is>
      </c>
      <c r="B426" s="1" t="n">
        <v>44988</v>
      </c>
      <c r="C426" s="1" t="n">
        <v>45879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32023-2022</t>
        </is>
      </c>
      <c r="B427" s="1" t="n">
        <v>44778</v>
      </c>
      <c r="C427" s="1" t="n">
        <v>45879</v>
      </c>
      <c r="D427" t="inlineStr">
        <is>
          <t>SÖDERMANLANDS LÄN</t>
        </is>
      </c>
      <c r="E427" t="inlineStr">
        <is>
          <t>FLEN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45879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25605-2023</t>
        </is>
      </c>
      <c r="B429" s="1" t="n">
        <v>45089</v>
      </c>
      <c r="C429" s="1" t="n">
        <v>45879</v>
      </c>
      <c r="D429" t="inlineStr">
        <is>
          <t>SÖDERMANLANDS LÄN</t>
        </is>
      </c>
      <c r="E429" t="inlineStr">
        <is>
          <t>FLEN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22827-2024</t>
        </is>
      </c>
      <c r="B430" s="1" t="n">
        <v>45448.56204861111</v>
      </c>
      <c r="C430" s="1" t="n">
        <v>45879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24480-2025</t>
        </is>
      </c>
      <c r="B431" s="1" t="n">
        <v>45798.38046296296</v>
      </c>
      <c r="C431" s="1" t="n">
        <v>45879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39335-2023</t>
        </is>
      </c>
      <c r="B432" s="1" t="n">
        <v>45166</v>
      </c>
      <c r="C432" s="1" t="n">
        <v>45879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24414-2025</t>
        </is>
      </c>
      <c r="B433" s="1" t="n">
        <v>45797.67208333333</v>
      </c>
      <c r="C433" s="1" t="n">
        <v>45879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1242-2022</t>
        </is>
      </c>
      <c r="B434" s="1" t="n">
        <v>44572</v>
      </c>
      <c r="C434" s="1" t="n">
        <v>45879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24526-2025</t>
        </is>
      </c>
      <c r="B435" s="1" t="n">
        <v>45798.42364583333</v>
      </c>
      <c r="C435" s="1" t="n">
        <v>45879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8710-2021</t>
        </is>
      </c>
      <c r="B436" s="1" t="n">
        <v>44246</v>
      </c>
      <c r="C436" s="1" t="n">
        <v>45879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39821-2024</t>
        </is>
      </c>
      <c r="B437" s="1" t="n">
        <v>45553</v>
      </c>
      <c r="C437" s="1" t="n">
        <v>45879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24541-2025</t>
        </is>
      </c>
      <c r="B438" s="1" t="n">
        <v>45798</v>
      </c>
      <c r="C438" s="1" t="n">
        <v>45879</v>
      </c>
      <c r="D438" t="inlineStr">
        <is>
          <t>SÖDERMANLANDS LÄN</t>
        </is>
      </c>
      <c r="E438" t="inlineStr">
        <is>
          <t>FLEN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24557-2025</t>
        </is>
      </c>
      <c r="B439" s="1" t="n">
        <v>45798.45195601852</v>
      </c>
      <c r="C439" s="1" t="n">
        <v>45879</v>
      </c>
      <c r="D439" t="inlineStr">
        <is>
          <t>SÖDERMANLANDS LÄN</t>
        </is>
      </c>
      <c r="E439" t="inlineStr">
        <is>
          <t>FLEN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24474-2025</t>
        </is>
      </c>
      <c r="B440" s="1" t="n">
        <v>45798.37215277777</v>
      </c>
      <c r="C440" s="1" t="n">
        <v>45879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69588-2021</t>
        </is>
      </c>
      <c r="B441" s="1" t="n">
        <v>44531</v>
      </c>
      <c r="C441" s="1" t="n">
        <v>45879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7313-2025</t>
        </is>
      </c>
      <c r="B442" s="1" t="n">
        <v>45702</v>
      </c>
      <c r="C442" s="1" t="n">
        <v>45879</v>
      </c>
      <c r="D442" t="inlineStr">
        <is>
          <t>SÖDERMANLANDS LÄN</t>
        </is>
      </c>
      <c r="E442" t="inlineStr">
        <is>
          <t>FLEN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41435-2022</t>
        </is>
      </c>
      <c r="B443" s="1" t="n">
        <v>44826</v>
      </c>
      <c r="C443" s="1" t="n">
        <v>45879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60609-2022</t>
        </is>
      </c>
      <c r="B444" s="1" t="n">
        <v>44911</v>
      </c>
      <c r="C444" s="1" t="n">
        <v>45879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46106-2024</t>
        </is>
      </c>
      <c r="B445" s="1" t="n">
        <v>45581.37462962963</v>
      </c>
      <c r="C445" s="1" t="n">
        <v>45879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30423-2022</t>
        </is>
      </c>
      <c r="B446" s="1" t="n">
        <v>44761.47006944445</v>
      </c>
      <c r="C446" s="1" t="n">
        <v>45879</v>
      </c>
      <c r="D446" t="inlineStr">
        <is>
          <t>SÖDERMANLANDS LÄN</t>
        </is>
      </c>
      <c r="E446" t="inlineStr">
        <is>
          <t>FLEN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63185-2023</t>
        </is>
      </c>
      <c r="B447" s="1" t="n">
        <v>45272</v>
      </c>
      <c r="C447" s="1" t="n">
        <v>45879</v>
      </c>
      <c r="D447" t="inlineStr">
        <is>
          <t>SÖDERMANLANDS LÄN</t>
        </is>
      </c>
      <c r="E447" t="inlineStr">
        <is>
          <t>FLEN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4502-2025</t>
        </is>
      </c>
      <c r="B448" s="1" t="n">
        <v>45686</v>
      </c>
      <c r="C448" s="1" t="n">
        <v>45879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11288-2021</t>
        </is>
      </c>
      <c r="B449" s="1" t="n">
        <v>44263</v>
      </c>
      <c r="C449" s="1" t="n">
        <v>45879</v>
      </c>
      <c r="D449" t="inlineStr">
        <is>
          <t>SÖDERMANLANDS LÄN</t>
        </is>
      </c>
      <c r="E449" t="inlineStr">
        <is>
          <t>FLEN</t>
        </is>
      </c>
      <c r="G449" t="n">
        <v>19.1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17903-2025</t>
        </is>
      </c>
      <c r="B450" s="1" t="n">
        <v>45758</v>
      </c>
      <c r="C450" s="1" t="n">
        <v>45879</v>
      </c>
      <c r="D450" t="inlineStr">
        <is>
          <t>SÖDERMANLANDS LÄN</t>
        </is>
      </c>
      <c r="E450" t="inlineStr">
        <is>
          <t>FLEN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45879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58834-2024</t>
        </is>
      </c>
      <c r="B452" s="1" t="n">
        <v>45636.37457175926</v>
      </c>
      <c r="C452" s="1" t="n">
        <v>45879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17858-2025</t>
        </is>
      </c>
      <c r="B453" s="1" t="n">
        <v>45758</v>
      </c>
      <c r="C453" s="1" t="n">
        <v>45879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45923-2023</t>
        </is>
      </c>
      <c r="B454" s="1" t="n">
        <v>45189</v>
      </c>
      <c r="C454" s="1" t="n">
        <v>45879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7194-2023</t>
        </is>
      </c>
      <c r="B455" s="1" t="n">
        <v>44970</v>
      </c>
      <c r="C455" s="1" t="n">
        <v>45879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48858-2023</t>
        </is>
      </c>
      <c r="B456" s="1" t="n">
        <v>45209.44743055556</v>
      </c>
      <c r="C456" s="1" t="n">
        <v>45879</v>
      </c>
      <c r="D456" t="inlineStr">
        <is>
          <t>SÖDERMANLANDS LÄN</t>
        </is>
      </c>
      <c r="E456" t="inlineStr">
        <is>
          <t>FLEN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8903-2022</t>
        </is>
      </c>
      <c r="B457" s="1" t="n">
        <v>44614</v>
      </c>
      <c r="C457" s="1" t="n">
        <v>45879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1620-2025</t>
        </is>
      </c>
      <c r="B458" s="1" t="n">
        <v>45670</v>
      </c>
      <c r="C458" s="1" t="n">
        <v>45879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45879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45879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45879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23716-2024</t>
        </is>
      </c>
      <c r="B462" s="1" t="n">
        <v>45454.79756944445</v>
      </c>
      <c r="C462" s="1" t="n">
        <v>45879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26253-2025</t>
        </is>
      </c>
      <c r="B463" s="1" t="n">
        <v>45805</v>
      </c>
      <c r="C463" s="1" t="n">
        <v>45879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14106-2025</t>
        </is>
      </c>
      <c r="B464" s="1" t="n">
        <v>45740</v>
      </c>
      <c r="C464" s="1" t="n">
        <v>45879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15465-2021</t>
        </is>
      </c>
      <c r="B465" s="1" t="n">
        <v>44285</v>
      </c>
      <c r="C465" s="1" t="n">
        <v>45879</v>
      </c>
      <c r="D465" t="inlineStr">
        <is>
          <t>SÖDERMANLANDS LÄN</t>
        </is>
      </c>
      <c r="E465" t="inlineStr">
        <is>
          <t>FLEN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35078-2025</t>
        </is>
      </c>
      <c r="B466" s="1" t="n">
        <v>45852</v>
      </c>
      <c r="C466" s="1" t="n">
        <v>45879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39036-2023</t>
        </is>
      </c>
      <c r="B467" s="1" t="n">
        <v>45163</v>
      </c>
      <c r="C467" s="1" t="n">
        <v>45879</v>
      </c>
      <c r="D467" t="inlineStr">
        <is>
          <t>SÖDERMANLANDS LÄN</t>
        </is>
      </c>
      <c r="E467" t="inlineStr">
        <is>
          <t>FLEN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40961-2021</t>
        </is>
      </c>
      <c r="B468" s="1" t="n">
        <v>44421</v>
      </c>
      <c r="C468" s="1" t="n">
        <v>45879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14412-2023</t>
        </is>
      </c>
      <c r="B469" s="1" t="n">
        <v>45012</v>
      </c>
      <c r="C469" s="1" t="n">
        <v>45879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33024-2022</t>
        </is>
      </c>
      <c r="B470" s="1" t="n">
        <v>44785.33699074074</v>
      </c>
      <c r="C470" s="1" t="n">
        <v>45879</v>
      </c>
      <c r="D470" t="inlineStr">
        <is>
          <t>SÖDERMANLANDS LÄN</t>
        </is>
      </c>
      <c r="E470" t="inlineStr">
        <is>
          <t>FLEN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53509-2023</t>
        </is>
      </c>
      <c r="B471" s="1" t="n">
        <v>45230</v>
      </c>
      <c r="C471" s="1" t="n">
        <v>45879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38613-2020</t>
        </is>
      </c>
      <c r="B472" s="1" t="n">
        <v>44061</v>
      </c>
      <c r="C472" s="1" t="n">
        <v>45879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45879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8242-2025</t>
        </is>
      </c>
      <c r="B474" s="1" t="n">
        <v>45708</v>
      </c>
      <c r="C474" s="1" t="n">
        <v>45879</v>
      </c>
      <c r="D474" t="inlineStr">
        <is>
          <t>SÖDERMANLANDS LÄN</t>
        </is>
      </c>
      <c r="E474" t="inlineStr">
        <is>
          <t>FLEN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39891-2022</t>
        </is>
      </c>
      <c r="B475" s="1" t="n">
        <v>44819.65010416666</v>
      </c>
      <c r="C475" s="1" t="n">
        <v>45879</v>
      </c>
      <c r="D475" t="inlineStr">
        <is>
          <t>SÖDERMANLANDS LÄN</t>
        </is>
      </c>
      <c r="E475" t="inlineStr">
        <is>
          <t>FLEN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9079-2025</t>
        </is>
      </c>
      <c r="B476" s="1" t="n">
        <v>45713.66100694444</v>
      </c>
      <c r="C476" s="1" t="n">
        <v>45879</v>
      </c>
      <c r="D476" t="inlineStr">
        <is>
          <t>SÖDERMANLANDS LÄN</t>
        </is>
      </c>
      <c r="E476" t="inlineStr">
        <is>
          <t>FLEN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21167-2023</t>
        </is>
      </c>
      <c r="B477" s="1" t="n">
        <v>45057</v>
      </c>
      <c r="C477" s="1" t="n">
        <v>45879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40286-2023</t>
        </is>
      </c>
      <c r="B478" s="1" t="n">
        <v>45169</v>
      </c>
      <c r="C478" s="1" t="n">
        <v>45879</v>
      </c>
      <c r="D478" t="inlineStr">
        <is>
          <t>SÖDERMANLANDS LÄN</t>
        </is>
      </c>
      <c r="E478" t="inlineStr">
        <is>
          <t>FLEN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25823-2022</t>
        </is>
      </c>
      <c r="B479" s="1" t="n">
        <v>44733</v>
      </c>
      <c r="C479" s="1" t="n">
        <v>45879</v>
      </c>
      <c r="D479" t="inlineStr">
        <is>
          <t>SÖDERMANLANDS LÄN</t>
        </is>
      </c>
      <c r="E479" t="inlineStr">
        <is>
          <t>FLEN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3944-2025</t>
        </is>
      </c>
      <c r="B480" s="1" t="n">
        <v>45684.48369212963</v>
      </c>
      <c r="C480" s="1" t="n">
        <v>45879</v>
      </c>
      <c r="D480" t="inlineStr">
        <is>
          <t>SÖDERMANLANDS LÄN</t>
        </is>
      </c>
      <c r="E480" t="inlineStr">
        <is>
          <t>FLEN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59599-2022</t>
        </is>
      </c>
      <c r="B481" s="1" t="n">
        <v>44907.71084490741</v>
      </c>
      <c r="C481" s="1" t="n">
        <v>45879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49775-2024</t>
        </is>
      </c>
      <c r="B482" s="1" t="n">
        <v>45597.34841435185</v>
      </c>
      <c r="C482" s="1" t="n">
        <v>45879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9979-2025</t>
        </is>
      </c>
      <c r="B483" s="1" t="n">
        <v>45718</v>
      </c>
      <c r="C483" s="1" t="n">
        <v>45879</v>
      </c>
      <c r="D483" t="inlineStr">
        <is>
          <t>SÖDERMANLANDS LÄN</t>
        </is>
      </c>
      <c r="E483" t="inlineStr">
        <is>
          <t>FLEN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58635-2024</t>
        </is>
      </c>
      <c r="B484" s="1" t="n">
        <v>45632</v>
      </c>
      <c r="C484" s="1" t="n">
        <v>45879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31427-2022</t>
        </is>
      </c>
      <c r="B485" s="1" t="n">
        <v>44774</v>
      </c>
      <c r="C485" s="1" t="n">
        <v>45879</v>
      </c>
      <c r="D485" t="inlineStr">
        <is>
          <t>SÖDERMANLANDS LÄN</t>
        </is>
      </c>
      <c r="E485" t="inlineStr">
        <is>
          <t>FLEN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2901-2024</t>
        </is>
      </c>
      <c r="B486" s="1" t="n">
        <v>45315</v>
      </c>
      <c r="C486" s="1" t="n">
        <v>45879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27827-2025</t>
        </is>
      </c>
      <c r="B487" s="1" t="n">
        <v>45817.35372685185</v>
      </c>
      <c r="C487" s="1" t="n">
        <v>45879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37256-2022</t>
        </is>
      </c>
      <c r="B488" s="1" t="n">
        <v>44807</v>
      </c>
      <c r="C488" s="1" t="n">
        <v>45879</v>
      </c>
      <c r="D488" t="inlineStr">
        <is>
          <t>SÖDERMANLANDS LÄN</t>
        </is>
      </c>
      <c r="E488" t="inlineStr">
        <is>
          <t>FLEN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55445-2022</t>
        </is>
      </c>
      <c r="B489" s="1" t="n">
        <v>44887</v>
      </c>
      <c r="C489" s="1" t="n">
        <v>45879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12277-2024</t>
        </is>
      </c>
      <c r="B490" s="1" t="n">
        <v>45378.50372685185</v>
      </c>
      <c r="C490" s="1" t="n">
        <v>45879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39053-2023</t>
        </is>
      </c>
      <c r="B491" s="1" t="n">
        <v>45163</v>
      </c>
      <c r="C491" s="1" t="n">
        <v>45879</v>
      </c>
      <c r="D491" t="inlineStr">
        <is>
          <t>SÖDERMANLANDS LÄN</t>
        </is>
      </c>
      <c r="E491" t="inlineStr">
        <is>
          <t>FLEN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60756-2024</t>
        </is>
      </c>
      <c r="B492" s="1" t="n">
        <v>45644</v>
      </c>
      <c r="C492" s="1" t="n">
        <v>45879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18180-2021</t>
        </is>
      </c>
      <c r="B493" s="1" t="n">
        <v>44302</v>
      </c>
      <c r="C493" s="1" t="n">
        <v>45879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52472-2023</t>
        </is>
      </c>
      <c r="B494" s="1" t="n">
        <v>45225</v>
      </c>
      <c r="C494" s="1" t="n">
        <v>45879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58377-2023</t>
        </is>
      </c>
      <c r="B495" s="1" t="n">
        <v>45250</v>
      </c>
      <c r="C495" s="1" t="n">
        <v>45879</v>
      </c>
      <c r="D495" t="inlineStr">
        <is>
          <t>SÖDERMANLANDS LÄN</t>
        </is>
      </c>
      <c r="E495" t="inlineStr">
        <is>
          <t>FLEN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11302-2021</t>
        </is>
      </c>
      <c r="B496" s="1" t="n">
        <v>44263</v>
      </c>
      <c r="C496" s="1" t="n">
        <v>45879</v>
      </c>
      <c r="D496" t="inlineStr">
        <is>
          <t>SÖDERMANLANDS LÄN</t>
        </is>
      </c>
      <c r="E496" t="inlineStr">
        <is>
          <t>FLEN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69388-2020</t>
        </is>
      </c>
      <c r="B497" s="1" t="n">
        <v>44193</v>
      </c>
      <c r="C497" s="1" t="n">
        <v>45879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45879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56930-2020</t>
        </is>
      </c>
      <c r="B499" s="1" t="n">
        <v>44138.55532407408</v>
      </c>
      <c r="C499" s="1" t="n">
        <v>45879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3798-2024</t>
        </is>
      </c>
      <c r="B500" s="1" t="n">
        <v>45321</v>
      </c>
      <c r="C500" s="1" t="n">
        <v>45879</v>
      </c>
      <c r="D500" t="inlineStr">
        <is>
          <t>SÖDERMANLANDS LÄN</t>
        </is>
      </c>
      <c r="E500" t="inlineStr">
        <is>
          <t>FLEN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29162-2025</t>
        </is>
      </c>
      <c r="B501" s="1" t="n">
        <v>45821.66907407407</v>
      </c>
      <c r="C501" s="1" t="n">
        <v>45879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59817-2022</t>
        </is>
      </c>
      <c r="B502" s="1" t="n">
        <v>44900</v>
      </c>
      <c r="C502" s="1" t="n">
        <v>45879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34088-2021</t>
        </is>
      </c>
      <c r="B503" s="1" t="n">
        <v>44378</v>
      </c>
      <c r="C503" s="1" t="n">
        <v>45879</v>
      </c>
      <c r="D503" t="inlineStr">
        <is>
          <t>SÖDERMANLANDS LÄN</t>
        </is>
      </c>
      <c r="E503" t="inlineStr">
        <is>
          <t>FLEN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52353-2023</t>
        </is>
      </c>
      <c r="B504" s="1" t="n">
        <v>45224</v>
      </c>
      <c r="C504" s="1" t="n">
        <v>45879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16580-2023</t>
        </is>
      </c>
      <c r="B505" s="1" t="n">
        <v>45030.30835648148</v>
      </c>
      <c r="C505" s="1" t="n">
        <v>45879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9074-2025</t>
        </is>
      </c>
      <c r="B506" s="1" t="n">
        <v>45713.65885416666</v>
      </c>
      <c r="C506" s="1" t="n">
        <v>45879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2087-2024</t>
        </is>
      </c>
      <c r="B507" s="1" t="n">
        <v>45309</v>
      </c>
      <c r="C507" s="1" t="n">
        <v>45879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31972-2024</t>
        </is>
      </c>
      <c r="B508" s="1" t="n">
        <v>45510.55208333334</v>
      </c>
      <c r="C508" s="1" t="n">
        <v>45879</v>
      </c>
      <c r="D508" t="inlineStr">
        <is>
          <t>SÖDERMANLANDS LÄN</t>
        </is>
      </c>
      <c r="E508" t="inlineStr">
        <is>
          <t>FLEN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5109-2023</t>
        </is>
      </c>
      <c r="B509" s="1" t="n">
        <v>44958</v>
      </c>
      <c r="C509" s="1" t="n">
        <v>45879</v>
      </c>
      <c r="D509" t="inlineStr">
        <is>
          <t>SÖDERMANLANDS LÄN</t>
        </is>
      </c>
      <c r="E509" t="inlineStr">
        <is>
          <t>FLEN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30068-2025</t>
        </is>
      </c>
      <c r="B510" s="1" t="n">
        <v>45826</v>
      </c>
      <c r="C510" s="1" t="n">
        <v>45879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37736-2020</t>
        </is>
      </c>
      <c r="B511" s="1" t="n">
        <v>44056</v>
      </c>
      <c r="C511" s="1" t="n">
        <v>45879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45879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53119-2023</t>
        </is>
      </c>
      <c r="B513" s="1" t="n">
        <v>45228</v>
      </c>
      <c r="C513" s="1" t="n">
        <v>45879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47401-2020</t>
        </is>
      </c>
      <c r="B514" s="1" t="n">
        <v>44097</v>
      </c>
      <c r="C514" s="1" t="n">
        <v>45879</v>
      </c>
      <c r="D514" t="inlineStr">
        <is>
          <t>SÖDERMANLANDS LÄN</t>
        </is>
      </c>
      <c r="E514" t="inlineStr">
        <is>
          <t>FLEN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34438-2025</t>
        </is>
      </c>
      <c r="B515" s="1" t="n">
        <v>45845</v>
      </c>
      <c r="C515" s="1" t="n">
        <v>45879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36453-2025</t>
        </is>
      </c>
      <c r="B516" s="1" t="n">
        <v>45869</v>
      </c>
      <c r="C516" s="1" t="n">
        <v>45879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36454-2025</t>
        </is>
      </c>
      <c r="B517" s="1" t="n">
        <v>45869</v>
      </c>
      <c r="C517" s="1" t="n">
        <v>45879</v>
      </c>
      <c r="D517" t="inlineStr">
        <is>
          <t>SÖDERMANLANDS LÄN</t>
        </is>
      </c>
      <c r="E517" t="inlineStr">
        <is>
          <t>FLEN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36455-2025</t>
        </is>
      </c>
      <c r="B518" s="1" t="n">
        <v>45869</v>
      </c>
      <c r="C518" s="1" t="n">
        <v>45879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41800-2021</t>
        </is>
      </c>
      <c r="B519" s="1" t="n">
        <v>44425</v>
      </c>
      <c r="C519" s="1" t="n">
        <v>45879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37214-2020</t>
        </is>
      </c>
      <c r="B520" s="1" t="n">
        <v>44054</v>
      </c>
      <c r="C520" s="1" t="n">
        <v>45879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51925-2022</t>
        </is>
      </c>
      <c r="B521" s="1" t="n">
        <v>44868</v>
      </c>
      <c r="C521" s="1" t="n">
        <v>45879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66867-2021</t>
        </is>
      </c>
      <c r="B522" s="1" t="n">
        <v>44522</v>
      </c>
      <c r="C522" s="1" t="n">
        <v>45879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17222-2021</t>
        </is>
      </c>
      <c r="B523" s="1" t="n">
        <v>44297</v>
      </c>
      <c r="C523" s="1" t="n">
        <v>45879</v>
      </c>
      <c r="D523" t="inlineStr">
        <is>
          <t>SÖDERMANLANDS LÄN</t>
        </is>
      </c>
      <c r="E523" t="inlineStr">
        <is>
          <t>FLEN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30494-2025</t>
        </is>
      </c>
      <c r="B524" s="1" t="n">
        <v>45830</v>
      </c>
      <c r="C524" s="1" t="n">
        <v>45879</v>
      </c>
      <c r="D524" t="inlineStr">
        <is>
          <t>SÖDERMANLANDS LÄN</t>
        </is>
      </c>
      <c r="E524" t="inlineStr">
        <is>
          <t>FLEN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30493-2025</t>
        </is>
      </c>
      <c r="B525" s="1" t="n">
        <v>45830</v>
      </c>
      <c r="C525" s="1" t="n">
        <v>45879</v>
      </c>
      <c r="D525" t="inlineStr">
        <is>
          <t>SÖDERMANLANDS LÄN</t>
        </is>
      </c>
      <c r="E525" t="inlineStr">
        <is>
          <t>FLEN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6982-2024</t>
        </is>
      </c>
      <c r="B526" s="1" t="n">
        <v>45343</v>
      </c>
      <c r="C526" s="1" t="n">
        <v>45879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10771-2022</t>
        </is>
      </c>
      <c r="B527" s="1" t="n">
        <v>44624</v>
      </c>
      <c r="C527" s="1" t="n">
        <v>45879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10828-2022</t>
        </is>
      </c>
      <c r="B528" s="1" t="n">
        <v>44624</v>
      </c>
      <c r="C528" s="1" t="n">
        <v>45879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16908-2024</t>
        </is>
      </c>
      <c r="B529" s="1" t="n">
        <v>45411</v>
      </c>
      <c r="C529" s="1" t="n">
        <v>45879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7163-2023</t>
        </is>
      </c>
      <c r="B530" s="1" t="n">
        <v>44970</v>
      </c>
      <c r="C530" s="1" t="n">
        <v>45879</v>
      </c>
      <c r="D530" t="inlineStr">
        <is>
          <t>SÖDERMANLANDS LÄN</t>
        </is>
      </c>
      <c r="E530" t="inlineStr">
        <is>
          <t>FLEN</t>
        </is>
      </c>
      <c r="F530" t="inlineStr">
        <is>
          <t>Kommuner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57356-2022</t>
        </is>
      </c>
      <c r="B531" s="1" t="n">
        <v>44896</v>
      </c>
      <c r="C531" s="1" t="n">
        <v>45879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57046-2023</t>
        </is>
      </c>
      <c r="B532" s="1" t="n">
        <v>45244</v>
      </c>
      <c r="C532" s="1" t="n">
        <v>45879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35507-2024</t>
        </is>
      </c>
      <c r="B533" s="1" t="n">
        <v>45531</v>
      </c>
      <c r="C533" s="1" t="n">
        <v>45879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48826-2022</t>
        </is>
      </c>
      <c r="B534" s="1" t="n">
        <v>44859</v>
      </c>
      <c r="C534" s="1" t="n">
        <v>45879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31028-2024</t>
        </is>
      </c>
      <c r="B535" s="1" t="n">
        <v>45501.40141203703</v>
      </c>
      <c r="C535" s="1" t="n">
        <v>45879</v>
      </c>
      <c r="D535" t="inlineStr">
        <is>
          <t>SÖDERMANLANDS LÄN</t>
        </is>
      </c>
      <c r="E535" t="inlineStr">
        <is>
          <t>FLEN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50045-2024</t>
        </is>
      </c>
      <c r="B536" s="1" t="n">
        <v>45600.30909722222</v>
      </c>
      <c r="C536" s="1" t="n">
        <v>45879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4259-2023</t>
        </is>
      </c>
      <c r="B537" s="1" t="n">
        <v>44953.54269675926</v>
      </c>
      <c r="C537" s="1" t="n">
        <v>45879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66511-2020</t>
        </is>
      </c>
      <c r="B538" s="1" t="n">
        <v>44178</v>
      </c>
      <c r="C538" s="1" t="n">
        <v>45879</v>
      </c>
      <c r="D538" t="inlineStr">
        <is>
          <t>SÖDERMANLANDS LÄN</t>
        </is>
      </c>
      <c r="E538" t="inlineStr">
        <is>
          <t>FLEN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476-2022</t>
        </is>
      </c>
      <c r="B539" s="1" t="n">
        <v>44566</v>
      </c>
      <c r="C539" s="1" t="n">
        <v>45879</v>
      </c>
      <c r="D539" t="inlineStr">
        <is>
          <t>SÖDERMANLANDS LÄN</t>
        </is>
      </c>
      <c r="E539" t="inlineStr">
        <is>
          <t>FLEN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16902-2025</t>
        </is>
      </c>
      <c r="B540" s="1" t="n">
        <v>45752</v>
      </c>
      <c r="C540" s="1" t="n">
        <v>45879</v>
      </c>
      <c r="D540" t="inlineStr">
        <is>
          <t>SÖDERMANLANDS LÄN</t>
        </is>
      </c>
      <c r="E540" t="inlineStr">
        <is>
          <t>FLEN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10738-2022</t>
        </is>
      </c>
      <c r="B541" s="1" t="n">
        <v>44624</v>
      </c>
      <c r="C541" s="1" t="n">
        <v>45879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9237-2021</t>
        </is>
      </c>
      <c r="B542" s="1" t="n">
        <v>44250</v>
      </c>
      <c r="C542" s="1" t="n">
        <v>45879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3169-2021</t>
        </is>
      </c>
      <c r="B543" s="1" t="n">
        <v>44217</v>
      </c>
      <c r="C543" s="1" t="n">
        <v>45879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41894-2021</t>
        </is>
      </c>
      <c r="B544" s="1" t="n">
        <v>44425</v>
      </c>
      <c r="C544" s="1" t="n">
        <v>45879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5582-2023</t>
        </is>
      </c>
      <c r="B545" s="1" t="n">
        <v>44960</v>
      </c>
      <c r="C545" s="1" t="n">
        <v>45879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5852-2022</t>
        </is>
      </c>
      <c r="B546" s="1" t="n">
        <v>44596</v>
      </c>
      <c r="C546" s="1" t="n">
        <v>45879</v>
      </c>
      <c r="D546" t="inlineStr">
        <is>
          <t>SÖDERMANLANDS LÄN</t>
        </is>
      </c>
      <c r="E546" t="inlineStr">
        <is>
          <t>FLEN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29002-2021</t>
        </is>
      </c>
      <c r="B547" s="1" t="n">
        <v>44358</v>
      </c>
      <c r="C547" s="1" t="n">
        <v>45879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5971-2021</t>
        </is>
      </c>
      <c r="B548" s="1" t="n">
        <v>44230</v>
      </c>
      <c r="C548" s="1" t="n">
        <v>45879</v>
      </c>
      <c r="D548" t="inlineStr">
        <is>
          <t>SÖDERMANLANDS LÄN</t>
        </is>
      </c>
      <c r="E548" t="inlineStr">
        <is>
          <t>FLEN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10980-2021</t>
        </is>
      </c>
      <c r="B549" s="1" t="n">
        <v>44260</v>
      </c>
      <c r="C549" s="1" t="n">
        <v>45879</v>
      </c>
      <c r="D549" t="inlineStr">
        <is>
          <t>SÖDERMANLANDS LÄN</t>
        </is>
      </c>
      <c r="E549" t="inlineStr">
        <is>
          <t>FLEN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48749-2022</t>
        </is>
      </c>
      <c r="B550" s="1" t="n">
        <v>44855</v>
      </c>
      <c r="C550" s="1" t="n">
        <v>45879</v>
      </c>
      <c r="D550" t="inlineStr">
        <is>
          <t>SÖDERMANLANDS LÄN</t>
        </is>
      </c>
      <c r="E550" t="inlineStr">
        <is>
          <t>FLEN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48774-2022</t>
        </is>
      </c>
      <c r="B551" s="1" t="n">
        <v>44855</v>
      </c>
      <c r="C551" s="1" t="n">
        <v>45879</v>
      </c>
      <c r="D551" t="inlineStr">
        <is>
          <t>SÖDERMANLANDS LÄN</t>
        </is>
      </c>
      <c r="E551" t="inlineStr">
        <is>
          <t>FLEN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34783-2023</t>
        </is>
      </c>
      <c r="B552" s="1" t="n">
        <v>45140</v>
      </c>
      <c r="C552" s="1" t="n">
        <v>45879</v>
      </c>
      <c r="D552" t="inlineStr">
        <is>
          <t>SÖDERMANLANDS LÄN</t>
        </is>
      </c>
      <c r="E552" t="inlineStr">
        <is>
          <t>FLEN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48497-2021</t>
        </is>
      </c>
      <c r="B553" s="1" t="n">
        <v>44449</v>
      </c>
      <c r="C553" s="1" t="n">
        <v>45879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26036-2023</t>
        </is>
      </c>
      <c r="B554" s="1" t="n">
        <v>45091.32778935185</v>
      </c>
      <c r="C554" s="1" t="n">
        <v>45879</v>
      </c>
      <c r="D554" t="inlineStr">
        <is>
          <t>SÖDERMANLANDS LÄN</t>
        </is>
      </c>
      <c r="E554" t="inlineStr">
        <is>
          <t>FLEN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22957-2023</t>
        </is>
      </c>
      <c r="B555" s="1" t="n">
        <v>45072.65648148148</v>
      </c>
      <c r="C555" s="1" t="n">
        <v>45879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8762-2021</t>
        </is>
      </c>
      <c r="B556" s="1" t="n">
        <v>44246</v>
      </c>
      <c r="C556" s="1" t="n">
        <v>45879</v>
      </c>
      <c r="D556" t="inlineStr">
        <is>
          <t>SÖDERMANLANDS LÄN</t>
        </is>
      </c>
      <c r="E556" t="inlineStr">
        <is>
          <t>FLEN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29148-2024</t>
        </is>
      </c>
      <c r="B557" s="1" t="n">
        <v>45482</v>
      </c>
      <c r="C557" s="1" t="n">
        <v>45879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49891-2023</t>
        </is>
      </c>
      <c r="B558" s="1" t="n">
        <v>45213</v>
      </c>
      <c r="C558" s="1" t="n">
        <v>45879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58948-2020</t>
        </is>
      </c>
      <c r="B559" s="1" t="n">
        <v>44146</v>
      </c>
      <c r="C559" s="1" t="n">
        <v>45879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31965-2024</t>
        </is>
      </c>
      <c r="B560" s="1" t="n">
        <v>45510.53577546297</v>
      </c>
      <c r="C560" s="1" t="n">
        <v>45879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60937-2022</t>
        </is>
      </c>
      <c r="B561" s="1" t="n">
        <v>44914.6196875</v>
      </c>
      <c r="C561" s="1" t="n">
        <v>45879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66230-2021</t>
        </is>
      </c>
      <c r="B562" s="1" t="n">
        <v>44518</v>
      </c>
      <c r="C562" s="1" t="n">
        <v>45879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57863-2022</t>
        </is>
      </c>
      <c r="B563" s="1" t="n">
        <v>44899.4174537037</v>
      </c>
      <c r="C563" s="1" t="n">
        <v>45879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29195-2023</t>
        </is>
      </c>
      <c r="B564" s="1" t="n">
        <v>45105</v>
      </c>
      <c r="C564" s="1" t="n">
        <v>45879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33107-2022</t>
        </is>
      </c>
      <c r="B565" s="1" t="n">
        <v>44785.4987962963</v>
      </c>
      <c r="C565" s="1" t="n">
        <v>45879</v>
      </c>
      <c r="D565" t="inlineStr">
        <is>
          <t>SÖDERMANLANDS LÄN</t>
        </is>
      </c>
      <c r="E565" t="inlineStr">
        <is>
          <t>FLEN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33103-2022</t>
        </is>
      </c>
      <c r="B566" s="1" t="n">
        <v>44785</v>
      </c>
      <c r="C566" s="1" t="n">
        <v>45879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44194-2024</t>
        </is>
      </c>
      <c r="B567" s="1" t="n">
        <v>45573.31581018519</v>
      </c>
      <c r="C567" s="1" t="n">
        <v>45879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13587-2022</t>
        </is>
      </c>
      <c r="B568" s="1" t="n">
        <v>44648</v>
      </c>
      <c r="C568" s="1" t="n">
        <v>45879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52541-2021</t>
        </is>
      </c>
      <c r="B569" s="1" t="n">
        <v>44463</v>
      </c>
      <c r="C569" s="1" t="n">
        <v>45879</v>
      </c>
      <c r="D569" t="inlineStr">
        <is>
          <t>SÖDERMANLANDS LÄN</t>
        </is>
      </c>
      <c r="E569" t="inlineStr">
        <is>
          <t>FLEN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9892-2023</t>
        </is>
      </c>
      <c r="B570" s="1" t="n">
        <v>44979</v>
      </c>
      <c r="C570" s="1" t="n">
        <v>45879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20980-2023</t>
        </is>
      </c>
      <c r="B571" s="1" t="n">
        <v>45056</v>
      </c>
      <c r="C571" s="1" t="n">
        <v>45879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4348-2021</t>
        </is>
      </c>
      <c r="B572" s="1" t="n">
        <v>44223</v>
      </c>
      <c r="C572" s="1" t="n">
        <v>45879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26663-2022</t>
        </is>
      </c>
      <c r="B573" s="1" t="n">
        <v>44739</v>
      </c>
      <c r="C573" s="1" t="n">
        <v>45879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31083-2022</t>
        </is>
      </c>
      <c r="B574" s="1" t="n">
        <v>44769</v>
      </c>
      <c r="C574" s="1" t="n">
        <v>45879</v>
      </c>
      <c r="D574" t="inlineStr">
        <is>
          <t>SÖDERMANLANDS LÄN</t>
        </is>
      </c>
      <c r="E574" t="inlineStr">
        <is>
          <t>FLEN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59872-2024</t>
        </is>
      </c>
      <c r="B575" s="1" t="n">
        <v>45640.49209490741</v>
      </c>
      <c r="C575" s="1" t="n">
        <v>45879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34721-2023</t>
        </is>
      </c>
      <c r="B576" s="1" t="n">
        <v>45141</v>
      </c>
      <c r="C576" s="1" t="n">
        <v>45879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8891-2023</t>
        </is>
      </c>
      <c r="B577" s="1" t="n">
        <v>44979.32887731482</v>
      </c>
      <c r="C577" s="1" t="n">
        <v>45879</v>
      </c>
      <c r="D577" t="inlineStr">
        <is>
          <t>SÖDERMANLANDS LÄN</t>
        </is>
      </c>
      <c r="E577" t="inlineStr">
        <is>
          <t>FLEN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17654-2023</t>
        </is>
      </c>
      <c r="B578" s="1" t="n">
        <v>45036.84393518518</v>
      </c>
      <c r="C578" s="1" t="n">
        <v>45879</v>
      </c>
      <c r="D578" t="inlineStr">
        <is>
          <t>SÖDERMANLANDS LÄN</t>
        </is>
      </c>
      <c r="E578" t="inlineStr">
        <is>
          <t>FLEN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2025-08-10T08:27:54Z</dcterms:created>
  <dcterms:modified xmlns:dcterms="http://purl.org/dc/terms/" xmlns:xsi="http://www.w3.org/2001/XMLSchema-instance" xsi:type="dcterms:W3CDTF">2025-08-10T08:27:54Z</dcterms:modified>
</cp:coreProperties>
</file>