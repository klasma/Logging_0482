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46198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46198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46198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46198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46198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46198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46198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46198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46198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60251-2021</t>
        </is>
      </c>
      <c r="B12" s="1" t="n">
        <v>44495</v>
      </c>
      <c r="C12" s="1" t="n">
        <v>46198</v>
      </c>
      <c r="D12" t="inlineStr">
        <is>
          <t>SÖDERMANLANDS LÄN</t>
        </is>
      </c>
      <c r="E12" t="inlineStr">
        <is>
          <t>FLEN</t>
        </is>
      </c>
      <c r="G12" t="n">
        <v>2.7</v>
      </c>
      <c r="H12" t="n">
        <v>1</v>
      </c>
      <c r="I12" t="n">
        <v>1</v>
      </c>
      <c r="J12" t="n">
        <v>3</v>
      </c>
      <c r="K12" t="n">
        <v>3</v>
      </c>
      <c r="L12" t="n">
        <v>0</v>
      </c>
      <c r="M12" t="n">
        <v>0</v>
      </c>
      <c r="N12" t="n">
        <v>0</v>
      </c>
      <c r="O12" t="n">
        <v>6</v>
      </c>
      <c r="P12" t="n">
        <v>3</v>
      </c>
      <c r="Q12" t="n">
        <v>7</v>
      </c>
      <c r="R12" s="2" t="inlineStr">
        <is>
          <t>Knärot
Ryl
Slåttergubbe
Fjällig taggsvamp s.str.
Klasefibbla
Orange taggsvamp
Grönpyrola</t>
        </is>
      </c>
      <c r="S12">
        <f>HYPERLINK("https://klasma.github.io/Logging_0482/artfynd/A 60251-2021 artfynd.xlsx", "A 60251-2021")</f>
        <v/>
      </c>
      <c r="T12">
        <f>HYPERLINK("https://klasma.github.io/Logging_0482/kartor/A 60251-2021 karta.png", "A 60251-2021")</f>
        <v/>
      </c>
      <c r="U12">
        <f>HYPERLINK("https://klasma.github.io/Logging_0482/knärot/A 60251-2021 karta knärot.png", "A 60251-2021")</f>
        <v/>
      </c>
      <c r="V12">
        <f>HYPERLINK("https://klasma.github.io/Logging_0482/klagomål/A 60251-2021 FSC-klagomål.docx", "A 60251-2021")</f>
        <v/>
      </c>
      <c r="W12">
        <f>HYPERLINK("https://klasma.github.io/Logging_0482/klagomålsmail/A 60251-2021 FSC-klagomål mail.docx", "A 60251-2021")</f>
        <v/>
      </c>
      <c r="X12">
        <f>HYPERLINK("https://klasma.github.io/Logging_0482/tillsyn/A 60251-2021 tillsynsbegäran.docx", "A 60251-2021")</f>
        <v/>
      </c>
      <c r="Y12">
        <f>HYPERLINK("https://klasma.github.io/Logging_0482/tillsynsmail/A 60251-2021 tillsynsbegäran mail.docx", "A 60251-2021")</f>
        <v/>
      </c>
    </row>
    <row r="13" ht="15" customHeight="1">
      <c r="A13" t="inlineStr">
        <is>
          <t>A 4155-2024</t>
        </is>
      </c>
      <c r="B13" s="1" t="n">
        <v>45323</v>
      </c>
      <c r="C13" s="1" t="n">
        <v>46198</v>
      </c>
      <c r="D13" t="inlineStr">
        <is>
          <t>SÖDERMANLANDS LÄN</t>
        </is>
      </c>
      <c r="E13" t="inlineStr">
        <is>
          <t>FLEN</t>
        </is>
      </c>
      <c r="G13" t="n">
        <v>2.1</v>
      </c>
      <c r="H13" t="n">
        <v>5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Scharlakansskål
Svart trolldruva
Blåsippa
Spillkråka
Grönvit nattviol
Gullviva</t>
        </is>
      </c>
      <c r="S13">
        <f>HYPERLINK("https://klasma.github.io/Logging_0482/artfynd/A 4155-2024 artfynd.xlsx", "A 4155-2024")</f>
        <v/>
      </c>
      <c r="T13">
        <f>HYPERLINK("https://klasma.github.io/Logging_0482/kartor/A 4155-2024 karta.png", "A 4155-2024")</f>
        <v/>
      </c>
      <c r="U13">
        <f>HYPERLINK("https://klasma.github.io/Logging_0482/knärot/A 4155-2024 karta knärot.png", "A 4155-2024")</f>
        <v/>
      </c>
      <c r="V13">
        <f>HYPERLINK("https://klasma.github.io/Logging_0482/klagomål/A 4155-2024 FSC-klagomål.docx", "A 4155-2024")</f>
        <v/>
      </c>
      <c r="W13">
        <f>HYPERLINK("https://klasma.github.io/Logging_0482/klagomålsmail/A 4155-2024 FSC-klagomål mail.docx", "A 4155-2024")</f>
        <v/>
      </c>
      <c r="X13">
        <f>HYPERLINK("https://klasma.github.io/Logging_0482/tillsyn/A 4155-2024 tillsynsbegäran.docx", "A 4155-2024")</f>
        <v/>
      </c>
      <c r="Y13">
        <f>HYPERLINK("https://klasma.github.io/Logging_0482/tillsynsmail/A 4155-2024 tillsynsbegäran mail.docx", "A 4155-2024")</f>
        <v/>
      </c>
      <c r="Z13">
        <f>HYPERLINK("https://klasma.github.io/Logging_0482/fåglar/A 4155-2024 prioriterade fågelarter.docx", "A 4155-2024")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46198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Gullklöver
Svinrot
Aspvedgnagare
Gulnål
Kornig nållav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46198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46198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46198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48952-2023</t>
        </is>
      </c>
      <c r="B20" s="1" t="n">
        <v>45209</v>
      </c>
      <c r="C20" s="1" t="n">
        <v>46198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12.8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Dropptaggsvamp
Tallticka
Vedskivlav
Blåmossa
Grovticka</t>
        </is>
      </c>
      <c r="S20">
        <f>HYPERLINK("https://klasma.github.io/Logging_0482/artfynd/A 48952-2023 artfynd.xlsx", "A 48952-2023")</f>
        <v/>
      </c>
      <c r="T20">
        <f>HYPERLINK("https://klasma.github.io/Logging_0482/kartor/A 48952-2023 karta.png", "A 48952-2023")</f>
        <v/>
      </c>
      <c r="V20">
        <f>HYPERLINK("https://klasma.github.io/Logging_0482/klagomål/A 48952-2023 FSC-klagomål.docx", "A 48952-2023")</f>
        <v/>
      </c>
      <c r="W20">
        <f>HYPERLINK("https://klasma.github.io/Logging_0482/klagomålsmail/A 48952-2023 FSC-klagomål mail.docx", "A 48952-2023")</f>
        <v/>
      </c>
      <c r="X20">
        <f>HYPERLINK("https://klasma.github.io/Logging_0482/tillsyn/A 48952-2023 tillsynsbegäran.docx", "A 48952-2023")</f>
        <v/>
      </c>
      <c r="Y20">
        <f>HYPERLINK("https://klasma.github.io/Logging_0482/tillsynsmail/A 48952-2023 tillsynsbegäran mail.docx", "A 48952-2023")</f>
        <v/>
      </c>
    </row>
    <row r="21" ht="15" customHeight="1">
      <c r="A21" t="inlineStr">
        <is>
          <t>A 4551-2023</t>
        </is>
      </c>
      <c r="B21" s="1" t="n">
        <v>44956</v>
      </c>
      <c r="C21" s="1" t="n">
        <v>46198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Ask
Krusfrö
Svinrot
Älg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13755-2026</t>
        </is>
      </c>
      <c r="B22" s="1" t="n">
        <v>46097</v>
      </c>
      <c r="C22" s="1" t="n">
        <v>46198</v>
      </c>
      <c r="D22" t="inlineStr">
        <is>
          <t>SÖDERMANLANDS LÄN</t>
        </is>
      </c>
      <c r="E22" t="inlineStr">
        <is>
          <t>FLEN</t>
        </is>
      </c>
      <c r="G22" t="n">
        <v>2.9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Åkerrättika
Jungfrulin
Svart trolldruva
Blåsippa
Grönvit nattviol</t>
        </is>
      </c>
      <c r="S22">
        <f>HYPERLINK("https://klasma.github.io/Logging_0482/artfynd/A 13755-2026 artfynd.xlsx", "A 13755-2026")</f>
        <v/>
      </c>
      <c r="T22">
        <f>HYPERLINK("https://klasma.github.io/Logging_0482/kartor/A 13755-2026 karta.png", "A 13755-2026")</f>
        <v/>
      </c>
      <c r="V22">
        <f>HYPERLINK("https://klasma.github.io/Logging_0482/klagomål/A 13755-2026 FSC-klagomål.docx", "A 13755-2026")</f>
        <v/>
      </c>
      <c r="W22">
        <f>HYPERLINK("https://klasma.github.io/Logging_0482/klagomålsmail/A 13755-2026 FSC-klagomål mail.docx", "A 13755-2026")</f>
        <v/>
      </c>
      <c r="X22">
        <f>HYPERLINK("https://klasma.github.io/Logging_0482/tillsyn/A 13755-2026 tillsynsbegäran.docx", "A 13755-2026")</f>
        <v/>
      </c>
      <c r="Y22">
        <f>HYPERLINK("https://klasma.github.io/Logging_0482/tillsynsmail/A 13755-2026 tillsynsbegäran mail.docx", "A 13755-2026")</f>
        <v/>
      </c>
    </row>
    <row r="23" ht="15" customHeight="1">
      <c r="A23" t="inlineStr">
        <is>
          <t>A 38832-2022</t>
        </is>
      </c>
      <c r="B23" s="1" t="n">
        <v>44814</v>
      </c>
      <c r="C23" s="1" t="n">
        <v>46198</v>
      </c>
      <c r="D23" t="inlineStr">
        <is>
          <t>SÖDERMANLANDS LÄN</t>
        </is>
      </c>
      <c r="E23" t="inlineStr">
        <is>
          <t>FLEN</t>
        </is>
      </c>
      <c r="G23" t="n">
        <v>1.8</v>
      </c>
      <c r="H23" t="n">
        <v>2</v>
      </c>
      <c r="I23" t="n">
        <v>0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5</v>
      </c>
      <c r="R23" s="2" t="inlineStr">
        <is>
          <t>Ask
Gulvit blekspik
Gulsparv
Tallticka
Skogsödla</t>
        </is>
      </c>
      <c r="S23">
        <f>HYPERLINK("https://klasma.github.io/Logging_0482/artfynd/A 38832-2022 artfynd.xlsx", "A 38832-2022")</f>
        <v/>
      </c>
      <c r="T23">
        <f>HYPERLINK("https://klasma.github.io/Logging_0482/kartor/A 38832-2022 karta.png", "A 38832-2022")</f>
        <v/>
      </c>
      <c r="V23">
        <f>HYPERLINK("https://klasma.github.io/Logging_0482/klagomål/A 38832-2022 FSC-klagomål.docx", "A 38832-2022")</f>
        <v/>
      </c>
      <c r="W23">
        <f>HYPERLINK("https://klasma.github.io/Logging_0482/klagomålsmail/A 38832-2022 FSC-klagomål mail.docx", "A 38832-2022")</f>
        <v/>
      </c>
      <c r="X23">
        <f>HYPERLINK("https://klasma.github.io/Logging_0482/tillsyn/A 38832-2022 tillsynsbegäran.docx", "A 38832-2022")</f>
        <v/>
      </c>
      <c r="Y23">
        <f>HYPERLINK("https://klasma.github.io/Logging_0482/tillsynsmail/A 38832-2022 tillsynsbegäran mail.docx", "A 38832-2022")</f>
        <v/>
      </c>
      <c r="Z23">
        <f>HYPERLINK("https://klasma.github.io/Logging_0482/fåglar/A 38832-2022 prioriterade fågelarter.docx", "A 38832-2022")</f>
        <v/>
      </c>
    </row>
    <row r="24" ht="15" customHeight="1">
      <c r="A24" t="inlineStr">
        <is>
          <t>A 17508-2026</t>
        </is>
      </c>
      <c r="B24" s="1" t="n">
        <v>46119</v>
      </c>
      <c r="C24" s="1" t="n">
        <v>46198</v>
      </c>
      <c r="D24" t="inlineStr">
        <is>
          <t>SÖDERMANLANDS LÄN</t>
        </is>
      </c>
      <c r="E24" t="inlineStr">
        <is>
          <t>FLEN</t>
        </is>
      </c>
      <c r="G24" t="n">
        <v>2.2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Gulvaxing
Ekbräken
Spillkråka
Sälg
Gröngöling</t>
        </is>
      </c>
      <c r="S24">
        <f>HYPERLINK("https://klasma.github.io/Logging_0482/artfynd/A 17508-2026 artfynd.xlsx", "A 17508-2026")</f>
        <v/>
      </c>
      <c r="T24">
        <f>HYPERLINK("https://klasma.github.io/Logging_0482/kartor/A 17508-2026 karta.png", "A 17508-2026")</f>
        <v/>
      </c>
      <c r="V24">
        <f>HYPERLINK("https://klasma.github.io/Logging_0482/klagomål/A 17508-2026 FSC-klagomål.docx", "A 17508-2026")</f>
        <v/>
      </c>
      <c r="W24">
        <f>HYPERLINK("https://klasma.github.io/Logging_0482/klagomålsmail/A 17508-2026 FSC-klagomål mail.docx", "A 17508-2026")</f>
        <v/>
      </c>
      <c r="X24">
        <f>HYPERLINK("https://klasma.github.io/Logging_0482/tillsyn/A 17508-2026 tillsynsbegäran.docx", "A 17508-2026")</f>
        <v/>
      </c>
      <c r="Y24">
        <f>HYPERLINK("https://klasma.github.io/Logging_0482/tillsynsmail/A 17508-2026 tillsynsbegäran mail.docx", "A 17508-2026")</f>
        <v/>
      </c>
      <c r="Z24">
        <f>HYPERLINK("https://klasma.github.io/Logging_0482/fåglar/A 17508-2026 prioriterade fågelarter.docx", "A 17508-2026")</f>
        <v/>
      </c>
    </row>
    <row r="25" ht="15" customHeight="1">
      <c r="A25" t="inlineStr">
        <is>
          <t>A 9066-2025</t>
        </is>
      </c>
      <c r="B25" s="1" t="n">
        <v>45713</v>
      </c>
      <c r="C25" s="1" t="n">
        <v>46198</v>
      </c>
      <c r="D25" t="inlineStr">
        <is>
          <t>SÖDERMANLANDS LÄN</t>
        </is>
      </c>
      <c r="E25" t="inlineStr">
        <is>
          <t>FLEN</t>
        </is>
      </c>
      <c r="G25" t="n">
        <v>4.5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Gullklöver
Jungfrulin
Svinrot
Vårstarr
Getrams</t>
        </is>
      </c>
      <c r="S25">
        <f>HYPERLINK("https://klasma.github.io/Logging_0482/artfynd/A 9066-2025 artfynd.xlsx", "A 9066-2025")</f>
        <v/>
      </c>
      <c r="T25">
        <f>HYPERLINK("https://klasma.github.io/Logging_0482/kartor/A 9066-2025 karta.png", "A 9066-2025")</f>
        <v/>
      </c>
      <c r="V25">
        <f>HYPERLINK("https://klasma.github.io/Logging_0482/klagomål/A 9066-2025 FSC-klagomål.docx", "A 9066-2025")</f>
        <v/>
      </c>
      <c r="W25">
        <f>HYPERLINK("https://klasma.github.io/Logging_0482/klagomålsmail/A 9066-2025 FSC-klagomål mail.docx", "A 9066-2025")</f>
        <v/>
      </c>
      <c r="X25">
        <f>HYPERLINK("https://klasma.github.io/Logging_0482/tillsyn/A 9066-2025 tillsynsbegäran.docx", "A 9066-2025")</f>
        <v/>
      </c>
      <c r="Y25">
        <f>HYPERLINK("https://klasma.github.io/Logging_0482/tillsynsmail/A 9066-2025 tillsynsbegäran mail.docx", "A 9066-2025")</f>
        <v/>
      </c>
    </row>
    <row r="26" ht="15" customHeight="1">
      <c r="A26" t="inlineStr">
        <is>
          <t>A 32901-2025</t>
        </is>
      </c>
      <c r="B26" s="1" t="n">
        <v>45839</v>
      </c>
      <c r="C26" s="1" t="n">
        <v>46198</v>
      </c>
      <c r="D26" t="inlineStr">
        <is>
          <t>SÖDERMANLANDS LÄN</t>
        </is>
      </c>
      <c r="E26" t="inlineStr">
        <is>
          <t>FLEN</t>
        </is>
      </c>
      <c r="G26" t="n">
        <v>2.6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Motaggsvamp
Ullticka
Blomkålssvamp
Flagellkvastmossa
Spillkråka</t>
        </is>
      </c>
      <c r="S26">
        <f>HYPERLINK("https://klasma.github.io/Logging_0482/artfynd/A 32901-2025 artfynd.xlsx", "A 32901-2025")</f>
        <v/>
      </c>
      <c r="T26">
        <f>HYPERLINK("https://klasma.github.io/Logging_0482/kartor/A 32901-2025 karta.png", "A 32901-2025")</f>
        <v/>
      </c>
      <c r="V26">
        <f>HYPERLINK("https://klasma.github.io/Logging_0482/klagomål/A 32901-2025 FSC-klagomål.docx", "A 32901-2025")</f>
        <v/>
      </c>
      <c r="W26">
        <f>HYPERLINK("https://klasma.github.io/Logging_0482/klagomålsmail/A 32901-2025 FSC-klagomål mail.docx", "A 32901-2025")</f>
        <v/>
      </c>
      <c r="X26">
        <f>HYPERLINK("https://klasma.github.io/Logging_0482/tillsyn/A 32901-2025 tillsynsbegäran.docx", "A 32901-2025")</f>
        <v/>
      </c>
      <c r="Y26">
        <f>HYPERLINK("https://klasma.github.io/Logging_0482/tillsynsmail/A 32901-2025 tillsynsbegäran mail.docx", "A 32901-2025")</f>
        <v/>
      </c>
      <c r="Z26">
        <f>HYPERLINK("https://klasma.github.io/Logging_0482/fåglar/A 32901-2025 prioriterade fågelarter.docx", "A 32901-2025")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46198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49808-2023</t>
        </is>
      </c>
      <c r="B28" s="1" t="n">
        <v>45212</v>
      </c>
      <c r="C28" s="1" t="n">
        <v>46198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12.3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Svedjenäva
Svinrot
Mattlummer
Fläcknycklar</t>
        </is>
      </c>
      <c r="S28">
        <f>HYPERLINK("https://klasma.github.io/Logging_0482/artfynd/A 49808-2023 artfynd.xlsx", "A 49808-2023")</f>
        <v/>
      </c>
      <c r="T28">
        <f>HYPERLINK("https://klasma.github.io/Logging_0482/kartor/A 49808-2023 karta.png", "A 49808-2023")</f>
        <v/>
      </c>
      <c r="V28">
        <f>HYPERLINK("https://klasma.github.io/Logging_0482/klagomål/A 49808-2023 FSC-klagomål.docx", "A 49808-2023")</f>
        <v/>
      </c>
      <c r="W28">
        <f>HYPERLINK("https://klasma.github.io/Logging_0482/klagomålsmail/A 49808-2023 FSC-klagomål mail.docx", "A 49808-2023")</f>
        <v/>
      </c>
      <c r="X28">
        <f>HYPERLINK("https://klasma.github.io/Logging_0482/tillsyn/A 49808-2023 tillsynsbegäran.docx", "A 49808-2023")</f>
        <v/>
      </c>
      <c r="Y28">
        <f>HYPERLINK("https://klasma.github.io/Logging_0482/tillsynsmail/A 49808-2023 tillsynsbegäran mail.docx", "A 49808-2023")</f>
        <v/>
      </c>
    </row>
    <row r="29" ht="15" customHeight="1">
      <c r="A29" t="inlineStr">
        <is>
          <t>A 33225-2024</t>
        </is>
      </c>
      <c r="B29" s="1" t="n">
        <v>45518</v>
      </c>
      <c r="C29" s="1" t="n">
        <v>46198</v>
      </c>
      <c r="D29" t="inlineStr">
        <is>
          <t>SÖDERMANLANDS LÄN</t>
        </is>
      </c>
      <c r="E29" t="inlineStr">
        <is>
          <t>FLEN</t>
        </is>
      </c>
      <c r="G29" t="n">
        <v>0.1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Skogsklocka
Svinrot
Vippärt
Grönvit nattviol</t>
        </is>
      </c>
      <c r="S29">
        <f>HYPERLINK("https://klasma.github.io/Logging_0482/artfynd/A 33225-2024 artfynd.xlsx", "A 33225-2024")</f>
        <v/>
      </c>
      <c r="T29">
        <f>HYPERLINK("https://klasma.github.io/Logging_0482/kartor/A 33225-2024 karta.png", "A 33225-2024")</f>
        <v/>
      </c>
      <c r="V29">
        <f>HYPERLINK("https://klasma.github.io/Logging_0482/klagomål/A 33225-2024 FSC-klagomål.docx", "A 33225-2024")</f>
        <v/>
      </c>
      <c r="W29">
        <f>HYPERLINK("https://klasma.github.io/Logging_0482/klagomålsmail/A 33225-2024 FSC-klagomål mail.docx", "A 33225-2024")</f>
        <v/>
      </c>
      <c r="X29">
        <f>HYPERLINK("https://klasma.github.io/Logging_0482/tillsyn/A 33225-2024 tillsynsbegäran.docx", "A 33225-2024")</f>
        <v/>
      </c>
      <c r="Y29">
        <f>HYPERLINK("https://klasma.github.io/Logging_0482/tillsynsmail/A 33225-2024 tillsynsbegäran mail.docx", "A 33225-2024")</f>
        <v/>
      </c>
    </row>
    <row r="30" ht="15" customHeight="1">
      <c r="A30" t="inlineStr">
        <is>
          <t>A 4290-2026</t>
        </is>
      </c>
      <c r="B30" s="1" t="n">
        <v>46044</v>
      </c>
      <c r="C30" s="1" t="n">
        <v>46198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Jungfrulin
Vanlig backsmörblomma
Mindre vattensalamander
Gullviva</t>
        </is>
      </c>
      <c r="S30">
        <f>HYPERLINK("https://klasma.github.io/Logging_0482/artfynd/A 4290-2026 artfynd.xlsx", "A 4290-2026")</f>
        <v/>
      </c>
      <c r="T30">
        <f>HYPERLINK("https://klasma.github.io/Logging_0482/kartor/A 4290-2026 karta.png", "A 4290-2026")</f>
        <v/>
      </c>
      <c r="V30">
        <f>HYPERLINK("https://klasma.github.io/Logging_0482/klagomål/A 4290-2026 FSC-klagomål.docx", "A 4290-2026")</f>
        <v/>
      </c>
      <c r="W30">
        <f>HYPERLINK("https://klasma.github.io/Logging_0482/klagomålsmail/A 4290-2026 FSC-klagomål mail.docx", "A 4290-2026")</f>
        <v/>
      </c>
      <c r="X30">
        <f>HYPERLINK("https://klasma.github.io/Logging_0482/tillsyn/A 4290-2026 tillsynsbegäran.docx", "A 4290-2026")</f>
        <v/>
      </c>
      <c r="Y30">
        <f>HYPERLINK("https://klasma.github.io/Logging_0482/tillsynsmail/A 4290-2026 tillsynsbegäran mail.docx", "A 4290-2026")</f>
        <v/>
      </c>
    </row>
    <row r="31" ht="15" customHeight="1">
      <c r="A31" t="inlineStr">
        <is>
          <t>A 10107-2023</t>
        </is>
      </c>
      <c r="B31" s="1" t="n">
        <v>44986</v>
      </c>
      <c r="C31" s="1" t="n">
        <v>46198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Bombmurkla
Svedjenäva
Blåmossa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11115-2026</t>
        </is>
      </c>
      <c r="B32" s="1" t="n">
        <v>46079</v>
      </c>
      <c r="C32" s="1" t="n">
        <v>46198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Dropptaggsvamp
Fönsterlav
Grå renlav
Gulvit renlav</t>
        </is>
      </c>
      <c r="S32">
        <f>HYPERLINK("https://klasma.github.io/Logging_0482/artfynd/A 11115-2026 artfynd.xlsx", "A 11115-2026")</f>
        <v/>
      </c>
      <c r="T32">
        <f>HYPERLINK("https://klasma.github.io/Logging_0482/kartor/A 11115-2026 karta.png", "A 11115-2026")</f>
        <v/>
      </c>
      <c r="V32">
        <f>HYPERLINK("https://klasma.github.io/Logging_0482/klagomål/A 11115-2026 FSC-klagomål.docx", "A 11115-2026")</f>
        <v/>
      </c>
      <c r="W32">
        <f>HYPERLINK("https://klasma.github.io/Logging_0482/klagomålsmail/A 11115-2026 FSC-klagomål mail.docx", "A 11115-2026")</f>
        <v/>
      </c>
      <c r="X32">
        <f>HYPERLINK("https://klasma.github.io/Logging_0482/tillsyn/A 11115-2026 tillsynsbegäran.docx", "A 11115-2026")</f>
        <v/>
      </c>
      <c r="Y32">
        <f>HYPERLINK("https://klasma.github.io/Logging_0482/tillsynsmail/A 11115-2026 tillsynsbegäran mail.docx", "A 11115-2026")</f>
        <v/>
      </c>
    </row>
    <row r="33" ht="15" customHeight="1">
      <c r="A33" t="inlineStr">
        <is>
          <t>A 21004-2025</t>
        </is>
      </c>
      <c r="B33" s="1" t="n">
        <v>45777</v>
      </c>
      <c r="C33" s="1" t="n">
        <v>46198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Ask
Parknål
Tallticka
Brun nållav</t>
        </is>
      </c>
      <c r="S33">
        <f>HYPERLINK("https://klasma.github.io/Logging_0482/artfynd/A 21004-2025 artfynd.xlsx", "A 21004-2025")</f>
        <v/>
      </c>
      <c r="T33">
        <f>HYPERLINK("https://klasma.github.io/Logging_0482/kartor/A 21004-2025 karta.png", "A 21004-2025")</f>
        <v/>
      </c>
      <c r="V33">
        <f>HYPERLINK("https://klasma.github.io/Logging_0482/klagomål/A 21004-2025 FSC-klagomål.docx", "A 21004-2025")</f>
        <v/>
      </c>
      <c r="W33">
        <f>HYPERLINK("https://klasma.github.io/Logging_0482/klagomålsmail/A 21004-2025 FSC-klagomål mail.docx", "A 21004-2025")</f>
        <v/>
      </c>
      <c r="X33">
        <f>HYPERLINK("https://klasma.github.io/Logging_0482/tillsyn/A 21004-2025 tillsynsbegäran.docx", "A 21004-2025")</f>
        <v/>
      </c>
      <c r="Y33">
        <f>HYPERLINK("https://klasma.github.io/Logging_0482/tillsynsmail/A 21004-2025 tillsynsbegäran mail.docx", "A 21004-2025")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46198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Svartöra
Tallticka
Blåsippa
Vildkaprifol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46198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46198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46198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38465-2025</t>
        </is>
      </c>
      <c r="B38" s="1" t="n">
        <v>45883</v>
      </c>
      <c r="C38" s="1" t="n">
        <v>46198</v>
      </c>
      <c r="D38" t="inlineStr">
        <is>
          <t>SÖDERMANLANDS LÄN</t>
        </is>
      </c>
      <c r="E38" t="inlineStr">
        <is>
          <t>FLEN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Gullklöver
Nattviol</t>
        </is>
      </c>
      <c r="S38">
        <f>HYPERLINK("https://klasma.github.io/Logging_0482/artfynd/A 38465-2025 artfynd.xlsx", "A 38465-2025")</f>
        <v/>
      </c>
      <c r="T38">
        <f>HYPERLINK("https://klasma.github.io/Logging_0482/kartor/A 38465-2025 karta.png", "A 38465-2025")</f>
        <v/>
      </c>
      <c r="V38">
        <f>HYPERLINK("https://klasma.github.io/Logging_0482/klagomål/A 38465-2025 FSC-klagomål.docx", "A 38465-2025")</f>
        <v/>
      </c>
      <c r="W38">
        <f>HYPERLINK("https://klasma.github.io/Logging_0482/klagomålsmail/A 38465-2025 FSC-klagomål mail.docx", "A 38465-2025")</f>
        <v/>
      </c>
      <c r="X38">
        <f>HYPERLINK("https://klasma.github.io/Logging_0482/tillsyn/A 38465-2025 tillsynsbegäran.docx", "A 38465-2025")</f>
        <v/>
      </c>
      <c r="Y38">
        <f>HYPERLINK("https://klasma.github.io/Logging_0482/tillsynsmail/A 38465-2025 tillsynsbegäran mail.docx", "A 38465-2025")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46198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Svinrot
Blåsippa
Gullviva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50739-2025</t>
        </is>
      </c>
      <c r="B40" s="1" t="n">
        <v>45946</v>
      </c>
      <c r="C40" s="1" t="n">
        <v>46198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4.4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Skogsalm
Skogsbräsma
Svart trolldruva</t>
        </is>
      </c>
      <c r="S40">
        <f>HYPERLINK("https://klasma.github.io/Logging_0482/artfynd/A 50739-2025 artfynd.xlsx", "A 50739-2025")</f>
        <v/>
      </c>
      <c r="T40">
        <f>HYPERLINK("https://klasma.github.io/Logging_0482/kartor/A 50739-2025 karta.png", "A 50739-2025")</f>
        <v/>
      </c>
      <c r="V40">
        <f>HYPERLINK("https://klasma.github.io/Logging_0482/klagomål/A 50739-2025 FSC-klagomål.docx", "A 50739-2025")</f>
        <v/>
      </c>
      <c r="W40">
        <f>HYPERLINK("https://klasma.github.io/Logging_0482/klagomålsmail/A 50739-2025 FSC-klagomål mail.docx", "A 50739-2025")</f>
        <v/>
      </c>
      <c r="X40">
        <f>HYPERLINK("https://klasma.github.io/Logging_0482/tillsyn/A 50739-2025 tillsynsbegäran.docx", "A 50739-2025")</f>
        <v/>
      </c>
      <c r="Y40">
        <f>HYPERLINK("https://klasma.github.io/Logging_0482/tillsynsmail/A 50739-2025 tillsynsbegäran mail.docx", "A 50739-2025")</f>
        <v/>
      </c>
    </row>
    <row r="41" ht="15" customHeight="1">
      <c r="A41" t="inlineStr">
        <is>
          <t>A 2203-2022</t>
        </is>
      </c>
      <c r="B41" s="1" t="n">
        <v>44578</v>
      </c>
      <c r="C41" s="1" t="n">
        <v>46198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2.9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2203-2022 artfynd.xlsx", "A 2203-2022")</f>
        <v/>
      </c>
      <c r="T41">
        <f>HYPERLINK("https://klasma.github.io/Logging_0482/kartor/A 2203-2022 karta.png", "A 2203-2022")</f>
        <v/>
      </c>
      <c r="U41">
        <f>HYPERLINK("https://klasma.github.io/Logging_0482/knärot/A 2203-2022 karta knärot.png", "A 2203-2022")</f>
        <v/>
      </c>
      <c r="V41">
        <f>HYPERLINK("https://klasma.github.io/Logging_0482/klagomål/A 2203-2022 FSC-klagomål.docx", "A 2203-2022")</f>
        <v/>
      </c>
      <c r="W41">
        <f>HYPERLINK("https://klasma.github.io/Logging_0482/klagomålsmail/A 2203-2022 FSC-klagomål mail.docx", "A 2203-2022")</f>
        <v/>
      </c>
      <c r="X41">
        <f>HYPERLINK("https://klasma.github.io/Logging_0482/tillsyn/A 2203-2022 tillsynsbegäran.docx", "A 2203-2022")</f>
        <v/>
      </c>
      <c r="Y41">
        <f>HYPERLINK("https://klasma.github.io/Logging_0482/tillsynsmail/A 2203-2022 tillsynsbegäran mail.docx", "A 2203-2022")</f>
        <v/>
      </c>
    </row>
    <row r="42" ht="15" customHeight="1">
      <c r="A42" t="inlineStr">
        <is>
          <t>A 9539-2026</t>
        </is>
      </c>
      <c r="B42" s="1" t="n">
        <v>46071</v>
      </c>
      <c r="C42" s="1" t="n">
        <v>46198</v>
      </c>
      <c r="D42" t="inlineStr">
        <is>
          <t>SÖDERMANLANDS LÄN</t>
        </is>
      </c>
      <c r="E42" t="inlineStr">
        <is>
          <t>FLEN</t>
        </is>
      </c>
      <c r="G42" t="n">
        <v>7.6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Ask
Slåtterfibbla
Blåsippa</t>
        </is>
      </c>
      <c r="S42">
        <f>HYPERLINK("https://klasma.github.io/Logging_0482/artfynd/A 9539-2026 artfynd.xlsx", "A 9539-2026")</f>
        <v/>
      </c>
      <c r="T42">
        <f>HYPERLINK("https://klasma.github.io/Logging_0482/kartor/A 9539-2026 karta.png", "A 9539-2026")</f>
        <v/>
      </c>
      <c r="V42">
        <f>HYPERLINK("https://klasma.github.io/Logging_0482/klagomål/A 9539-2026 FSC-klagomål.docx", "A 9539-2026")</f>
        <v/>
      </c>
      <c r="W42">
        <f>HYPERLINK("https://klasma.github.io/Logging_0482/klagomålsmail/A 9539-2026 FSC-klagomål mail.docx", "A 9539-2026")</f>
        <v/>
      </c>
      <c r="X42">
        <f>HYPERLINK("https://klasma.github.io/Logging_0482/tillsyn/A 9539-2026 tillsynsbegäran.docx", "A 9539-2026")</f>
        <v/>
      </c>
      <c r="Y42">
        <f>HYPERLINK("https://klasma.github.io/Logging_0482/tillsynsmail/A 9539-2026 tillsynsbegäran mail.docx", "A 9539-2026")</f>
        <v/>
      </c>
    </row>
    <row r="43" ht="15" customHeight="1">
      <c r="A43" t="inlineStr">
        <is>
          <t>A 9512-2026</t>
        </is>
      </c>
      <c r="B43" s="1" t="n">
        <v>46071</v>
      </c>
      <c r="C43" s="1" t="n">
        <v>46198</v>
      </c>
      <c r="D43" t="inlineStr">
        <is>
          <t>SÖDERMANLANDS LÄN</t>
        </is>
      </c>
      <c r="E43" t="inlineStr">
        <is>
          <t>FLEN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Gullpudra
Bäckbräsma
Hultbräken</t>
        </is>
      </c>
      <c r="S43">
        <f>HYPERLINK("https://klasma.github.io/Logging_0482/artfynd/A 9512-2026 artfynd.xlsx", "A 9512-2026")</f>
        <v/>
      </c>
      <c r="T43">
        <f>HYPERLINK("https://klasma.github.io/Logging_0482/kartor/A 9512-2026 karta.png", "A 9512-2026")</f>
        <v/>
      </c>
      <c r="V43">
        <f>HYPERLINK("https://klasma.github.io/Logging_0482/klagomål/A 9512-2026 FSC-klagomål.docx", "A 9512-2026")</f>
        <v/>
      </c>
      <c r="W43">
        <f>HYPERLINK("https://klasma.github.io/Logging_0482/klagomålsmail/A 9512-2026 FSC-klagomål mail.docx", "A 9512-2026")</f>
        <v/>
      </c>
      <c r="X43">
        <f>HYPERLINK("https://klasma.github.io/Logging_0482/tillsyn/A 9512-2026 tillsynsbegäran.docx", "A 9512-2026")</f>
        <v/>
      </c>
      <c r="Y43">
        <f>HYPERLINK("https://klasma.github.io/Logging_0482/tillsynsmail/A 9512-2026 tillsynsbegäran mail.docx", "A 9512-2026")</f>
        <v/>
      </c>
    </row>
    <row r="44" ht="15" customHeight="1">
      <c r="A44" t="inlineStr">
        <is>
          <t>A 9530-2026</t>
        </is>
      </c>
      <c r="B44" s="1" t="n">
        <v>46071</v>
      </c>
      <c r="C44" s="1" t="n">
        <v>46198</v>
      </c>
      <c r="D44" t="inlineStr">
        <is>
          <t>SÖDERMANLANDS LÄN</t>
        </is>
      </c>
      <c r="E44" t="inlineStr">
        <is>
          <t>FLEN</t>
        </is>
      </c>
      <c r="G44" t="n">
        <v>7.4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Blåmossa
Flagellkvastmossa
Tjäder</t>
        </is>
      </c>
      <c r="S44">
        <f>HYPERLINK("https://klasma.github.io/Logging_0482/artfynd/A 9530-2026 artfynd.xlsx", "A 9530-2026")</f>
        <v/>
      </c>
      <c r="T44">
        <f>HYPERLINK("https://klasma.github.io/Logging_0482/kartor/A 9530-2026 karta.png", "A 9530-2026")</f>
        <v/>
      </c>
      <c r="V44">
        <f>HYPERLINK("https://klasma.github.io/Logging_0482/klagomål/A 9530-2026 FSC-klagomål.docx", "A 9530-2026")</f>
        <v/>
      </c>
      <c r="W44">
        <f>HYPERLINK("https://klasma.github.io/Logging_0482/klagomålsmail/A 9530-2026 FSC-klagomål mail.docx", "A 9530-2026")</f>
        <v/>
      </c>
      <c r="X44">
        <f>HYPERLINK("https://klasma.github.io/Logging_0482/tillsyn/A 9530-2026 tillsynsbegäran.docx", "A 9530-2026")</f>
        <v/>
      </c>
      <c r="Y44">
        <f>HYPERLINK("https://klasma.github.io/Logging_0482/tillsynsmail/A 9530-2026 tillsynsbegäran mail.docx", "A 9530-2026")</f>
        <v/>
      </c>
      <c r="Z44">
        <f>HYPERLINK("https://klasma.github.io/Logging_0482/fåglar/A 9530-2026 prioriterade fågelarter.docx", "A 9530-2026")</f>
        <v/>
      </c>
    </row>
    <row r="45" ht="15" customHeight="1">
      <c r="A45" t="inlineStr">
        <is>
          <t>A 16503-2026</t>
        </is>
      </c>
      <c r="B45" s="1" t="n">
        <v>46112</v>
      </c>
      <c r="C45" s="1" t="n">
        <v>46198</v>
      </c>
      <c r="D45" t="inlineStr">
        <is>
          <t>SÖDERMANLANDS LÄN</t>
        </is>
      </c>
      <c r="E45" t="inlineStr">
        <is>
          <t>FLEN</t>
        </is>
      </c>
      <c r="G45" t="n">
        <v>0.6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Gullklöver
Jungfrulin
Svinrot</t>
        </is>
      </c>
      <c r="S45">
        <f>HYPERLINK("https://klasma.github.io/Logging_0482/artfynd/A 16503-2026 artfynd.xlsx", "A 16503-2026")</f>
        <v/>
      </c>
      <c r="T45">
        <f>HYPERLINK("https://klasma.github.io/Logging_0482/kartor/A 16503-2026 karta.png", "A 16503-2026")</f>
        <v/>
      </c>
      <c r="V45">
        <f>HYPERLINK("https://klasma.github.io/Logging_0482/klagomål/A 16503-2026 FSC-klagomål.docx", "A 16503-2026")</f>
        <v/>
      </c>
      <c r="W45">
        <f>HYPERLINK("https://klasma.github.io/Logging_0482/klagomålsmail/A 16503-2026 FSC-klagomål mail.docx", "A 16503-2026")</f>
        <v/>
      </c>
      <c r="X45">
        <f>HYPERLINK("https://klasma.github.io/Logging_0482/tillsyn/A 16503-2026 tillsynsbegäran.docx", "A 16503-2026")</f>
        <v/>
      </c>
      <c r="Y45">
        <f>HYPERLINK("https://klasma.github.io/Logging_0482/tillsynsmail/A 16503-2026 tillsynsbegäran mail.docx", "A 16503-2026")</f>
        <v/>
      </c>
    </row>
    <row r="46" ht="15" customHeight="1">
      <c r="A46" t="inlineStr">
        <is>
          <t>A 17512-2026</t>
        </is>
      </c>
      <c r="B46" s="1" t="n">
        <v>46119</v>
      </c>
      <c r="C46" s="1" t="n">
        <v>46198</v>
      </c>
      <c r="D46" t="inlineStr">
        <is>
          <t>SÖDERMANLANDS LÄN</t>
        </is>
      </c>
      <c r="E46" t="inlineStr">
        <is>
          <t>FLEN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Majbräken
Sälg</t>
        </is>
      </c>
      <c r="S46">
        <f>HYPERLINK("https://klasma.github.io/Logging_0482/artfynd/A 17512-2026 artfynd.xlsx", "A 17512-2026")</f>
        <v/>
      </c>
      <c r="T46">
        <f>HYPERLINK("https://klasma.github.io/Logging_0482/kartor/A 17512-2026 karta.png", "A 17512-2026")</f>
        <v/>
      </c>
      <c r="V46">
        <f>HYPERLINK("https://klasma.github.io/Logging_0482/klagomål/A 17512-2026 FSC-klagomål.docx", "A 17512-2026")</f>
        <v/>
      </c>
      <c r="W46">
        <f>HYPERLINK("https://klasma.github.io/Logging_0482/klagomålsmail/A 17512-2026 FSC-klagomål mail.docx", "A 17512-2026")</f>
        <v/>
      </c>
      <c r="X46">
        <f>HYPERLINK("https://klasma.github.io/Logging_0482/tillsyn/A 17512-2026 tillsynsbegäran.docx", "A 17512-2026")</f>
        <v/>
      </c>
      <c r="Y46">
        <f>HYPERLINK("https://klasma.github.io/Logging_0482/tillsynsmail/A 17512-2026 tillsynsbegäran mail.docx", "A 17512-2026")</f>
        <v/>
      </c>
    </row>
    <row r="47" ht="15" customHeight="1">
      <c r="A47" t="inlineStr">
        <is>
          <t>A 1149-2025</t>
        </is>
      </c>
      <c r="B47" s="1" t="n">
        <v>45666</v>
      </c>
      <c r="C47" s="1" t="n">
        <v>46198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Tallkötticka
Grönpyrola
Kamjordstjärna</t>
        </is>
      </c>
      <c r="S47">
        <f>HYPERLINK("https://klasma.github.io/Logging_0482/artfynd/A 1149-2025 artfynd.xlsx", "A 1149-2025")</f>
        <v/>
      </c>
      <c r="T47">
        <f>HYPERLINK("https://klasma.github.io/Logging_0482/kartor/A 1149-2025 karta.png", "A 1149-2025")</f>
        <v/>
      </c>
      <c r="V47">
        <f>HYPERLINK("https://klasma.github.io/Logging_0482/klagomål/A 1149-2025 FSC-klagomål.docx", "A 1149-2025")</f>
        <v/>
      </c>
      <c r="W47">
        <f>HYPERLINK("https://klasma.github.io/Logging_0482/klagomålsmail/A 1149-2025 FSC-klagomål mail.docx", "A 1149-2025")</f>
        <v/>
      </c>
      <c r="X47">
        <f>HYPERLINK("https://klasma.github.io/Logging_0482/tillsyn/A 1149-2025 tillsynsbegäran.docx", "A 1149-2025")</f>
        <v/>
      </c>
      <c r="Y47">
        <f>HYPERLINK("https://klasma.github.io/Logging_0482/tillsynsmail/A 1149-2025 tillsynsbegäran mail.docx", "A 1149-2025")</f>
        <v/>
      </c>
    </row>
    <row r="48" ht="15" customHeight="1">
      <c r="A48" t="inlineStr">
        <is>
          <t>A 33853-2022</t>
        </is>
      </c>
      <c r="B48" s="1" t="n">
        <v>44790</v>
      </c>
      <c r="C48" s="1" t="n">
        <v>46198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1.9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Gullklöver
Sädesärla
Svart trolldruva</t>
        </is>
      </c>
      <c r="S48">
        <f>HYPERLINK("https://klasma.github.io/Logging_0482/artfynd/A 33853-2022 artfynd.xlsx", "A 33853-2022")</f>
        <v/>
      </c>
      <c r="T48">
        <f>HYPERLINK("https://klasma.github.io/Logging_0482/kartor/A 33853-2022 karta.png", "A 33853-2022")</f>
        <v/>
      </c>
      <c r="V48">
        <f>HYPERLINK("https://klasma.github.io/Logging_0482/klagomål/A 33853-2022 FSC-klagomål.docx", "A 33853-2022")</f>
        <v/>
      </c>
      <c r="W48">
        <f>HYPERLINK("https://klasma.github.io/Logging_0482/klagomålsmail/A 33853-2022 FSC-klagomål mail.docx", "A 33853-2022")</f>
        <v/>
      </c>
      <c r="X48">
        <f>HYPERLINK("https://klasma.github.io/Logging_0482/tillsyn/A 33853-2022 tillsynsbegäran.docx", "A 33853-2022")</f>
        <v/>
      </c>
      <c r="Y48">
        <f>HYPERLINK("https://klasma.github.io/Logging_0482/tillsynsmail/A 33853-2022 tillsynsbegäran mail.docx", "A 33853-2022")</f>
        <v/>
      </c>
      <c r="Z48">
        <f>HYPERLINK("https://klasma.github.io/Logging_0482/fåglar/A 33853-2022 prioriterade fågelarter.docx", "A 33853-2022")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46198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46198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46198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46198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46198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19389-2025</t>
        </is>
      </c>
      <c r="B55" s="1" t="n">
        <v>45769</v>
      </c>
      <c r="C55" s="1" t="n">
        <v>46198</v>
      </c>
      <c r="D55" t="inlineStr">
        <is>
          <t>SÖDERMANLANDS LÄN</t>
        </is>
      </c>
      <c r="E55" t="inlineStr">
        <is>
          <t>FLEN</t>
        </is>
      </c>
      <c r="G55" t="n">
        <v>12.4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Mattlummer</t>
        </is>
      </c>
      <c r="S55">
        <f>HYPERLINK("https://klasma.github.io/Logging_0482/artfynd/A 19389-2025 artfynd.xlsx", "A 19389-2025")</f>
        <v/>
      </c>
      <c r="T55">
        <f>HYPERLINK("https://klasma.github.io/Logging_0482/kartor/A 19389-2025 karta.png", "A 19389-2025")</f>
        <v/>
      </c>
      <c r="V55">
        <f>HYPERLINK("https://klasma.github.io/Logging_0482/klagomål/A 19389-2025 FSC-klagomål.docx", "A 19389-2025")</f>
        <v/>
      </c>
      <c r="W55">
        <f>HYPERLINK("https://klasma.github.io/Logging_0482/klagomålsmail/A 19389-2025 FSC-klagomål mail.docx", "A 19389-2025")</f>
        <v/>
      </c>
      <c r="X55">
        <f>HYPERLINK("https://klasma.github.io/Logging_0482/tillsyn/A 19389-2025 tillsynsbegäran.docx", "A 19389-2025")</f>
        <v/>
      </c>
      <c r="Y55">
        <f>HYPERLINK("https://klasma.github.io/Logging_0482/tillsynsmail/A 19389-2025 tillsynsbegäran mail.docx", "A 19389-2025")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46198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Backstarr
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50215-2022</t>
        </is>
      </c>
      <c r="B57" s="1" t="n">
        <v>44865</v>
      </c>
      <c r="C57" s="1" t="n">
        <v>46198</v>
      </c>
      <c r="D57" t="inlineStr">
        <is>
          <t>SÖDERMANLANDS LÄN</t>
        </is>
      </c>
      <c r="E57" t="inlineStr">
        <is>
          <t>FLEN</t>
        </is>
      </c>
      <c r="F57" t="inlineStr">
        <is>
          <t>Kyrkan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Äkta lopplummer</t>
        </is>
      </c>
      <c r="S57">
        <f>HYPERLINK("https://klasma.github.io/Logging_0482/artfynd/A 50215-2022 artfynd.xlsx", "A 50215-2022")</f>
        <v/>
      </c>
      <c r="T57">
        <f>HYPERLINK("https://klasma.github.io/Logging_0482/kartor/A 50215-2022 karta.png", "A 50215-2022")</f>
        <v/>
      </c>
      <c r="U57">
        <f>HYPERLINK("https://klasma.github.io/Logging_0482/knärot/A 50215-2022 karta knärot.png", "A 50215-2022")</f>
        <v/>
      </c>
      <c r="V57">
        <f>HYPERLINK("https://klasma.github.io/Logging_0482/klagomål/A 50215-2022 FSC-klagomål.docx", "A 50215-2022")</f>
        <v/>
      </c>
      <c r="W57">
        <f>HYPERLINK("https://klasma.github.io/Logging_0482/klagomålsmail/A 50215-2022 FSC-klagomål mail.docx", "A 50215-2022")</f>
        <v/>
      </c>
      <c r="X57">
        <f>HYPERLINK("https://klasma.github.io/Logging_0482/tillsyn/A 50215-2022 tillsynsbegäran.docx", "A 50215-2022")</f>
        <v/>
      </c>
      <c r="Y57">
        <f>HYPERLINK("https://klasma.github.io/Logging_0482/tillsynsmail/A 50215-2022 tillsynsbegäran mail.docx", "A 50215-2022")</f>
        <v/>
      </c>
    </row>
    <row r="58" ht="15" customHeight="1">
      <c r="A58" t="inlineStr">
        <is>
          <t>A 15452-2024</t>
        </is>
      </c>
      <c r="B58" s="1" t="n">
        <v>45400</v>
      </c>
      <c r="C58" s="1" t="n">
        <v>46198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Älg</t>
        </is>
      </c>
      <c r="S58">
        <f>HYPERLINK("https://klasma.github.io/Logging_0482/artfynd/A 15452-2024 artfynd.xlsx", "A 15452-2024")</f>
        <v/>
      </c>
      <c r="T58">
        <f>HYPERLINK("https://klasma.github.io/Logging_0482/kartor/A 15452-2024 karta.png", "A 15452-2024")</f>
        <v/>
      </c>
      <c r="V58">
        <f>HYPERLINK("https://klasma.github.io/Logging_0482/klagomål/A 15452-2024 FSC-klagomål.docx", "A 15452-2024")</f>
        <v/>
      </c>
      <c r="W58">
        <f>HYPERLINK("https://klasma.github.io/Logging_0482/klagomålsmail/A 15452-2024 FSC-klagomål mail.docx", "A 15452-2024")</f>
        <v/>
      </c>
      <c r="X58">
        <f>HYPERLINK("https://klasma.github.io/Logging_0482/tillsyn/A 15452-2024 tillsynsbegäran.docx", "A 15452-2024")</f>
        <v/>
      </c>
      <c r="Y58">
        <f>HYPERLINK("https://klasma.github.io/Logging_0482/tillsynsmail/A 15452-2024 tillsynsbegäran mail.docx", "A 15452-2024")</f>
        <v/>
      </c>
    </row>
    <row r="59" ht="15" customHeight="1">
      <c r="A59" t="inlineStr">
        <is>
          <t>A 52858-2023</t>
        </is>
      </c>
      <c r="B59" s="1" t="n">
        <v>45219</v>
      </c>
      <c r="C59" s="1" t="n">
        <v>46198</v>
      </c>
      <c r="D59" t="inlineStr">
        <is>
          <t>SÖDERMANLANDS LÄN</t>
        </is>
      </c>
      <c r="E59" t="inlineStr">
        <is>
          <t>FLEN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Mindre hackspett
Tallticka</t>
        </is>
      </c>
      <c r="S59">
        <f>HYPERLINK("https://klasma.github.io/Logging_0482/artfynd/A 52858-2023 artfynd.xlsx", "A 52858-2023")</f>
        <v/>
      </c>
      <c r="T59">
        <f>HYPERLINK("https://klasma.github.io/Logging_0482/kartor/A 52858-2023 karta.png", "A 52858-2023")</f>
        <v/>
      </c>
      <c r="V59">
        <f>HYPERLINK("https://klasma.github.io/Logging_0482/klagomål/A 52858-2023 FSC-klagomål.docx", "A 52858-2023")</f>
        <v/>
      </c>
      <c r="W59">
        <f>HYPERLINK("https://klasma.github.io/Logging_0482/klagomålsmail/A 52858-2023 FSC-klagomål mail.docx", "A 52858-2023")</f>
        <v/>
      </c>
      <c r="X59">
        <f>HYPERLINK("https://klasma.github.io/Logging_0482/tillsyn/A 52858-2023 tillsynsbegäran.docx", "A 52858-2023")</f>
        <v/>
      </c>
      <c r="Y59">
        <f>HYPERLINK("https://klasma.github.io/Logging_0482/tillsynsmail/A 52858-2023 tillsynsbegäran mail.docx", "A 52858-2023")</f>
        <v/>
      </c>
      <c r="Z59">
        <f>HYPERLINK("https://klasma.github.io/Logging_0482/fåglar/A 52858-2023 prioriterade fågelarter.docx", "A 52858-2023")</f>
        <v/>
      </c>
    </row>
    <row r="60" ht="15" customHeight="1">
      <c r="A60" t="inlineStr">
        <is>
          <t>A 35278-2022</t>
        </is>
      </c>
      <c r="B60" s="1" t="n">
        <v>44798</v>
      </c>
      <c r="C60" s="1" t="n">
        <v>46198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Igelkott
Grönvit nattviol</t>
        </is>
      </c>
      <c r="S60">
        <f>HYPERLINK("https://klasma.github.io/Logging_0482/artfynd/A 35278-2022 artfynd.xlsx", "A 35278-2022")</f>
        <v/>
      </c>
      <c r="T60">
        <f>HYPERLINK("https://klasma.github.io/Logging_0482/kartor/A 35278-2022 karta.png", "A 35278-2022")</f>
        <v/>
      </c>
      <c r="V60">
        <f>HYPERLINK("https://klasma.github.io/Logging_0482/klagomål/A 35278-2022 FSC-klagomål.docx", "A 35278-2022")</f>
        <v/>
      </c>
      <c r="W60">
        <f>HYPERLINK("https://klasma.github.io/Logging_0482/klagomålsmail/A 35278-2022 FSC-klagomål mail.docx", "A 35278-2022")</f>
        <v/>
      </c>
      <c r="X60">
        <f>HYPERLINK("https://klasma.github.io/Logging_0482/tillsyn/A 35278-2022 tillsynsbegäran.docx", "A 35278-2022")</f>
        <v/>
      </c>
      <c r="Y60">
        <f>HYPERLINK("https://klasma.github.io/Logging_0482/tillsynsmail/A 35278-2022 tillsynsbegäran mail.docx", "A 35278-2022")</f>
        <v/>
      </c>
    </row>
    <row r="61" ht="15" customHeight="1">
      <c r="A61" t="inlineStr">
        <is>
          <t>A 7506-2023</t>
        </is>
      </c>
      <c r="B61" s="1" t="n">
        <v>44971</v>
      </c>
      <c r="C61" s="1" t="n">
        <v>46198</v>
      </c>
      <c r="D61" t="inlineStr">
        <is>
          <t>SÖDERMANLANDS LÄN</t>
        </is>
      </c>
      <c r="E61" t="inlineStr">
        <is>
          <t>FLEN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Svinrot</t>
        </is>
      </c>
      <c r="S61">
        <f>HYPERLINK("https://klasma.github.io/Logging_0482/artfynd/A 7506-2023 artfynd.xlsx", "A 7506-2023")</f>
        <v/>
      </c>
      <c r="T61">
        <f>HYPERLINK("https://klasma.github.io/Logging_0482/kartor/A 7506-2023 karta.png", "A 7506-2023")</f>
        <v/>
      </c>
      <c r="V61">
        <f>HYPERLINK("https://klasma.github.io/Logging_0482/klagomål/A 7506-2023 FSC-klagomål.docx", "A 7506-2023")</f>
        <v/>
      </c>
      <c r="W61">
        <f>HYPERLINK("https://klasma.github.io/Logging_0482/klagomålsmail/A 7506-2023 FSC-klagomål mail.docx", "A 7506-2023")</f>
        <v/>
      </c>
      <c r="X61">
        <f>HYPERLINK("https://klasma.github.io/Logging_0482/tillsyn/A 7506-2023 tillsynsbegäran.docx", "A 7506-2023")</f>
        <v/>
      </c>
      <c r="Y61">
        <f>HYPERLINK("https://klasma.github.io/Logging_0482/tillsynsmail/A 7506-2023 tillsynsbegäran mail.docx", "A 7506-2023")</f>
        <v/>
      </c>
    </row>
    <row r="62" ht="15" customHeight="1">
      <c r="A62" t="inlineStr">
        <is>
          <t>A 32744-2025</t>
        </is>
      </c>
      <c r="B62" s="1" t="n">
        <v>45838</v>
      </c>
      <c r="C62" s="1" t="n">
        <v>46198</v>
      </c>
      <c r="D62" t="inlineStr">
        <is>
          <t>SÖDERMANLANDS LÄN</t>
        </is>
      </c>
      <c r="E62" t="inlineStr">
        <is>
          <t>FLEN</t>
        </is>
      </c>
      <c r="G62" t="n">
        <v>1.8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Ekticka
Klasefibbla</t>
        </is>
      </c>
      <c r="S62">
        <f>HYPERLINK("https://klasma.github.io/Logging_0482/artfynd/A 32744-2025 artfynd.xlsx", "A 32744-2025")</f>
        <v/>
      </c>
      <c r="T62">
        <f>HYPERLINK("https://klasma.github.io/Logging_0482/kartor/A 32744-2025 karta.png", "A 32744-2025")</f>
        <v/>
      </c>
      <c r="V62">
        <f>HYPERLINK("https://klasma.github.io/Logging_0482/klagomål/A 32744-2025 FSC-klagomål.docx", "A 32744-2025")</f>
        <v/>
      </c>
      <c r="W62">
        <f>HYPERLINK("https://klasma.github.io/Logging_0482/klagomålsmail/A 32744-2025 FSC-klagomål mail.docx", "A 32744-2025")</f>
        <v/>
      </c>
      <c r="X62">
        <f>HYPERLINK("https://klasma.github.io/Logging_0482/tillsyn/A 32744-2025 tillsynsbegäran.docx", "A 32744-2025")</f>
        <v/>
      </c>
      <c r="Y62">
        <f>HYPERLINK("https://klasma.github.io/Logging_0482/tillsynsmail/A 32744-2025 tillsynsbegäran mail.docx", "A 32744-2025")</f>
        <v/>
      </c>
    </row>
    <row r="63" ht="15" customHeight="1">
      <c r="A63" t="inlineStr">
        <is>
          <t>A 57939-2025</t>
        </is>
      </c>
      <c r="B63" s="1" t="n">
        <v>45982</v>
      </c>
      <c r="C63" s="1" t="n">
        <v>46198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Spillkråka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  <c r="Z63">
        <f>HYPERLINK("https://klasma.github.io/Logging_0482/fåglar/A 57939-2025 prioriterade fågelarter.docx", "A 57939-2025")</f>
        <v/>
      </c>
    </row>
    <row r="64" ht="15" customHeight="1">
      <c r="A64" t="inlineStr">
        <is>
          <t>A 22511-2026</t>
        </is>
      </c>
      <c r="B64" s="1" t="n">
        <v>46155</v>
      </c>
      <c r="C64" s="1" t="n">
        <v>46198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Ormbär
Skriftlav</t>
        </is>
      </c>
      <c r="S64">
        <f>HYPERLINK("https://klasma.github.io/Logging_0482/artfynd/A 22511-2026 artfynd.xlsx", "A 22511-2026")</f>
        <v/>
      </c>
      <c r="T64">
        <f>HYPERLINK("https://klasma.github.io/Logging_0482/kartor/A 22511-2026 karta.png", "A 22511-2026")</f>
        <v/>
      </c>
      <c r="V64">
        <f>HYPERLINK("https://klasma.github.io/Logging_0482/klagomål/A 22511-2026 FSC-klagomål.docx", "A 22511-2026")</f>
        <v/>
      </c>
      <c r="W64">
        <f>HYPERLINK("https://klasma.github.io/Logging_0482/klagomålsmail/A 22511-2026 FSC-klagomål mail.docx", "A 22511-2026")</f>
        <v/>
      </c>
      <c r="X64">
        <f>HYPERLINK("https://klasma.github.io/Logging_0482/tillsyn/A 22511-2026 tillsynsbegäran.docx", "A 22511-2026")</f>
        <v/>
      </c>
      <c r="Y64">
        <f>HYPERLINK("https://klasma.github.io/Logging_0482/tillsynsmail/A 22511-2026 tillsynsbegäran mail.docx", "A 22511-2026")</f>
        <v/>
      </c>
    </row>
    <row r="65" ht="15" customHeight="1">
      <c r="A65" t="inlineStr">
        <is>
          <t>A 4330-2026</t>
        </is>
      </c>
      <c r="B65" s="1" t="n">
        <v>46044</v>
      </c>
      <c r="C65" s="1" t="n">
        <v>46198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Backstarr
Blåsippa</t>
        </is>
      </c>
      <c r="S65">
        <f>HYPERLINK("https://klasma.github.io/Logging_0482/artfynd/A 4330-2026 artfynd.xlsx", "A 4330-2026")</f>
        <v/>
      </c>
      <c r="T65">
        <f>HYPERLINK("https://klasma.github.io/Logging_0482/kartor/A 4330-2026 karta.png", "A 4330-2026")</f>
        <v/>
      </c>
      <c r="V65">
        <f>HYPERLINK("https://klasma.github.io/Logging_0482/klagomål/A 4330-2026 FSC-klagomål.docx", "A 4330-2026")</f>
        <v/>
      </c>
      <c r="W65">
        <f>HYPERLINK("https://klasma.github.io/Logging_0482/klagomålsmail/A 4330-2026 FSC-klagomål mail.docx", "A 4330-2026")</f>
        <v/>
      </c>
      <c r="X65">
        <f>HYPERLINK("https://klasma.github.io/Logging_0482/tillsyn/A 4330-2026 tillsynsbegäran.docx", "A 4330-2026")</f>
        <v/>
      </c>
      <c r="Y65">
        <f>HYPERLINK("https://klasma.github.io/Logging_0482/tillsynsmail/A 4330-2026 tillsynsbegäran mail.docx", "A 4330-2026")</f>
        <v/>
      </c>
    </row>
    <row r="66" ht="15" customHeight="1">
      <c r="A66" t="inlineStr">
        <is>
          <t>A 38882-2021</t>
        </is>
      </c>
      <c r="B66" s="1" t="n">
        <v>44411</v>
      </c>
      <c r="C66" s="1" t="n">
        <v>46198</v>
      </c>
      <c r="D66" t="inlineStr">
        <is>
          <t>SÖDERMANLANDS LÄN</t>
        </is>
      </c>
      <c r="E66" t="inlineStr">
        <is>
          <t>FLEN</t>
        </is>
      </c>
      <c r="G66" t="n">
        <v>3.4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Grönpyrola</t>
        </is>
      </c>
      <c r="S66">
        <f>HYPERLINK("https://klasma.github.io/Logging_0482/artfynd/A 38882-2021 artfynd.xlsx", "A 38882-2021")</f>
        <v/>
      </c>
      <c r="T66">
        <f>HYPERLINK("https://klasma.github.io/Logging_0482/kartor/A 38882-2021 karta.png", "A 38882-2021")</f>
        <v/>
      </c>
      <c r="U66">
        <f>HYPERLINK("https://klasma.github.io/Logging_0482/knärot/A 38882-2021 karta knärot.png", "A 38882-2021")</f>
        <v/>
      </c>
      <c r="V66">
        <f>HYPERLINK("https://klasma.github.io/Logging_0482/klagomål/A 38882-2021 FSC-klagomål.docx", "A 38882-2021")</f>
        <v/>
      </c>
      <c r="W66">
        <f>HYPERLINK("https://klasma.github.io/Logging_0482/klagomålsmail/A 38882-2021 FSC-klagomål mail.docx", "A 38882-2021")</f>
        <v/>
      </c>
      <c r="X66">
        <f>HYPERLINK("https://klasma.github.io/Logging_0482/tillsyn/A 38882-2021 tillsynsbegäran.docx", "A 38882-2021")</f>
        <v/>
      </c>
      <c r="Y66">
        <f>HYPERLINK("https://klasma.github.io/Logging_0482/tillsynsmail/A 38882-2021 tillsynsbegäran mail.docx", "A 38882-2021")</f>
        <v/>
      </c>
    </row>
    <row r="67" ht="15" customHeight="1">
      <c r="A67" t="inlineStr">
        <is>
          <t>A 49816-2023</t>
        </is>
      </c>
      <c r="B67" s="1" t="n">
        <v>45211</v>
      </c>
      <c r="C67" s="1" t="n">
        <v>46198</v>
      </c>
      <c r="D67" t="inlineStr">
        <is>
          <t>SÖDERMANLANDS LÄN</t>
        </is>
      </c>
      <c r="E67" t="inlineStr">
        <is>
          <t>FLEN</t>
        </is>
      </c>
      <c r="G67" t="n">
        <v>4.6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Reliktbock
Tallticka</t>
        </is>
      </c>
      <c r="S67">
        <f>HYPERLINK("https://klasma.github.io/Logging_0482/artfynd/A 49816-2023 artfynd.xlsx", "A 49816-2023")</f>
        <v/>
      </c>
      <c r="T67">
        <f>HYPERLINK("https://klasma.github.io/Logging_0482/kartor/A 49816-2023 karta.png", "A 49816-2023")</f>
        <v/>
      </c>
      <c r="V67">
        <f>HYPERLINK("https://klasma.github.io/Logging_0482/klagomål/A 49816-2023 FSC-klagomål.docx", "A 49816-2023")</f>
        <v/>
      </c>
      <c r="W67">
        <f>HYPERLINK("https://klasma.github.io/Logging_0482/klagomålsmail/A 49816-2023 FSC-klagomål mail.docx", "A 49816-2023")</f>
        <v/>
      </c>
      <c r="X67">
        <f>HYPERLINK("https://klasma.github.io/Logging_0482/tillsyn/A 49816-2023 tillsynsbegäran.docx", "A 49816-2023")</f>
        <v/>
      </c>
      <c r="Y67">
        <f>HYPERLINK("https://klasma.github.io/Logging_0482/tillsynsmail/A 49816-2023 tillsynsbegäran mail.docx", "A 49816-2023")</f>
        <v/>
      </c>
    </row>
    <row r="68" ht="15" customHeight="1">
      <c r="A68" t="inlineStr">
        <is>
          <t>A 22101-2023</t>
        </is>
      </c>
      <c r="B68" s="1" t="n">
        <v>45068</v>
      </c>
      <c r="C68" s="1" t="n">
        <v>46198</v>
      </c>
      <c r="D68" t="inlineStr">
        <is>
          <t>SÖDERMANLANDS LÄN</t>
        </is>
      </c>
      <c r="E68" t="inlineStr">
        <is>
          <t>FLEN</t>
        </is>
      </c>
      <c r="G68" t="n">
        <v>2.7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Blåsippa</t>
        </is>
      </c>
      <c r="S68">
        <f>HYPERLINK("https://klasma.github.io/Logging_0482/artfynd/A 22101-2023 artfynd.xlsx", "A 22101-2023")</f>
        <v/>
      </c>
      <c r="T68">
        <f>HYPERLINK("https://klasma.github.io/Logging_0482/kartor/A 22101-2023 karta.png", "A 22101-2023")</f>
        <v/>
      </c>
      <c r="V68">
        <f>HYPERLINK("https://klasma.github.io/Logging_0482/klagomål/A 22101-2023 FSC-klagomål.docx", "A 22101-2023")</f>
        <v/>
      </c>
      <c r="W68">
        <f>HYPERLINK("https://klasma.github.io/Logging_0482/klagomålsmail/A 22101-2023 FSC-klagomål mail.docx", "A 22101-2023")</f>
        <v/>
      </c>
      <c r="X68">
        <f>HYPERLINK("https://klasma.github.io/Logging_0482/tillsyn/A 22101-2023 tillsynsbegäran.docx", "A 22101-2023")</f>
        <v/>
      </c>
      <c r="Y68">
        <f>HYPERLINK("https://klasma.github.io/Logging_0482/tillsynsmail/A 22101-2023 tillsynsbegäran mail.docx", "A 22101-2023")</f>
        <v/>
      </c>
    </row>
    <row r="69" ht="15" customHeight="1">
      <c r="A69" t="inlineStr">
        <is>
          <t>A 8887-2026</t>
        </is>
      </c>
      <c r="B69" s="1" t="n">
        <v>46068</v>
      </c>
      <c r="C69" s="1" t="n">
        <v>46198</v>
      </c>
      <c r="D69" t="inlineStr">
        <is>
          <t>SÖDERMANLANDS LÄN</t>
        </is>
      </c>
      <c r="E69" t="inlineStr">
        <is>
          <t>FLEN</t>
        </is>
      </c>
      <c r="G69" t="n">
        <v>2.1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Större vattensalamander
Mindre vattensalamander</t>
        </is>
      </c>
      <c r="S69">
        <f>HYPERLINK("https://klasma.github.io/Logging_0482/artfynd/A 8887-2026 artfynd.xlsx", "A 8887-2026")</f>
        <v/>
      </c>
      <c r="T69">
        <f>HYPERLINK("https://klasma.github.io/Logging_0482/kartor/A 8887-2026 karta.png", "A 8887-2026")</f>
        <v/>
      </c>
      <c r="V69">
        <f>HYPERLINK("https://klasma.github.io/Logging_0482/klagomål/A 8887-2026 FSC-klagomål.docx", "A 8887-2026")</f>
        <v/>
      </c>
      <c r="W69">
        <f>HYPERLINK("https://klasma.github.io/Logging_0482/klagomålsmail/A 8887-2026 FSC-klagomål mail.docx", "A 8887-2026")</f>
        <v/>
      </c>
      <c r="X69">
        <f>HYPERLINK("https://klasma.github.io/Logging_0482/tillsyn/A 8887-2026 tillsynsbegäran.docx", "A 8887-2026")</f>
        <v/>
      </c>
      <c r="Y69">
        <f>HYPERLINK("https://klasma.github.io/Logging_0482/tillsynsmail/A 8887-2026 tillsynsbegäran mail.docx", "A 8887-2026")</f>
        <v/>
      </c>
    </row>
    <row r="70" ht="15" customHeight="1">
      <c r="A70" t="inlineStr">
        <is>
          <t>A 59607-2022</t>
        </is>
      </c>
      <c r="B70" s="1" t="n">
        <v>44907</v>
      </c>
      <c r="C70" s="1" t="n">
        <v>46198</v>
      </c>
      <c r="D70" t="inlineStr">
        <is>
          <t>SÖDERMANLANDS LÄN</t>
        </is>
      </c>
      <c r="E70" t="inlineStr">
        <is>
          <t>FLEN</t>
        </is>
      </c>
      <c r="G70" t="n">
        <v>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Jungfrulin
Svinrot</t>
        </is>
      </c>
      <c r="S70">
        <f>HYPERLINK("https://klasma.github.io/Logging_0482/artfynd/A 59607-2022 artfynd.xlsx", "A 59607-2022")</f>
        <v/>
      </c>
      <c r="T70">
        <f>HYPERLINK("https://klasma.github.io/Logging_0482/kartor/A 59607-2022 karta.png", "A 59607-2022")</f>
        <v/>
      </c>
      <c r="V70">
        <f>HYPERLINK("https://klasma.github.io/Logging_0482/klagomål/A 59607-2022 FSC-klagomål.docx", "A 59607-2022")</f>
        <v/>
      </c>
      <c r="W70">
        <f>HYPERLINK("https://klasma.github.io/Logging_0482/klagomålsmail/A 59607-2022 FSC-klagomål mail.docx", "A 59607-2022")</f>
        <v/>
      </c>
      <c r="X70">
        <f>HYPERLINK("https://klasma.github.io/Logging_0482/tillsyn/A 59607-2022 tillsynsbegäran.docx", "A 59607-2022")</f>
        <v/>
      </c>
      <c r="Y70">
        <f>HYPERLINK("https://klasma.github.io/Logging_0482/tillsynsmail/A 59607-2022 tillsynsbegäran mail.docx", "A 59607-2022")</f>
        <v/>
      </c>
    </row>
    <row r="71" ht="15" customHeight="1">
      <c r="A71" t="inlineStr">
        <is>
          <t>A 5852-2022</t>
        </is>
      </c>
      <c r="B71" s="1" t="n">
        <v>44596</v>
      </c>
      <c r="C71" s="1" t="n">
        <v>46198</v>
      </c>
      <c r="D71" t="inlineStr">
        <is>
          <t>SÖDERMANLANDS LÄN</t>
        </is>
      </c>
      <c r="E71" t="inlineStr">
        <is>
          <t>FLEN</t>
        </is>
      </c>
      <c r="G71" t="n">
        <v>2.6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Kamjordstjärna
Gullviva</t>
        </is>
      </c>
      <c r="S71">
        <f>HYPERLINK("https://klasma.github.io/Logging_0482/artfynd/A 5852-2022 artfynd.xlsx", "A 5852-2022")</f>
        <v/>
      </c>
      <c r="T71">
        <f>HYPERLINK("https://klasma.github.io/Logging_0482/kartor/A 5852-2022 karta.png", "A 5852-2022")</f>
        <v/>
      </c>
      <c r="V71">
        <f>HYPERLINK("https://klasma.github.io/Logging_0482/klagomål/A 5852-2022 FSC-klagomål.docx", "A 5852-2022")</f>
        <v/>
      </c>
      <c r="W71">
        <f>HYPERLINK("https://klasma.github.io/Logging_0482/klagomålsmail/A 5852-2022 FSC-klagomål mail.docx", "A 5852-2022")</f>
        <v/>
      </c>
      <c r="X71">
        <f>HYPERLINK("https://klasma.github.io/Logging_0482/tillsyn/A 5852-2022 tillsynsbegäran.docx", "A 5852-2022")</f>
        <v/>
      </c>
      <c r="Y71">
        <f>HYPERLINK("https://klasma.github.io/Logging_0482/tillsynsmail/A 5852-2022 tillsynsbegäran mail.docx", "A 5852-2022")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46198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15557-2026</t>
        </is>
      </c>
      <c r="B73" s="1" t="n">
        <v>46106</v>
      </c>
      <c r="C73" s="1" t="n">
        <v>46198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Gullklöver
Svinrot</t>
        </is>
      </c>
      <c r="S73">
        <f>HYPERLINK("https://klasma.github.io/Logging_0482/artfynd/A 15557-2026 artfynd.xlsx", "A 15557-2026")</f>
        <v/>
      </c>
      <c r="T73">
        <f>HYPERLINK("https://klasma.github.io/Logging_0482/kartor/A 15557-2026 karta.png", "A 15557-2026")</f>
        <v/>
      </c>
      <c r="V73">
        <f>HYPERLINK("https://klasma.github.io/Logging_0482/klagomål/A 15557-2026 FSC-klagomål.docx", "A 15557-2026")</f>
        <v/>
      </c>
      <c r="W73">
        <f>HYPERLINK("https://klasma.github.io/Logging_0482/klagomålsmail/A 15557-2026 FSC-klagomål mail.docx", "A 15557-2026")</f>
        <v/>
      </c>
      <c r="X73">
        <f>HYPERLINK("https://klasma.github.io/Logging_0482/tillsyn/A 15557-2026 tillsynsbegäran.docx", "A 15557-2026")</f>
        <v/>
      </c>
      <c r="Y73">
        <f>HYPERLINK("https://klasma.github.io/Logging_0482/tillsynsmail/A 15557-2026 tillsynsbegäran mail.docx", "A 15557-2026")</f>
        <v/>
      </c>
    </row>
    <row r="74" ht="15" customHeight="1">
      <c r="A74" t="inlineStr">
        <is>
          <t>A 47194-2022</t>
        </is>
      </c>
      <c r="B74" s="1" t="n">
        <v>44848</v>
      </c>
      <c r="C74" s="1" t="n">
        <v>46198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Svinrot</t>
        </is>
      </c>
      <c r="S74">
        <f>HYPERLINK("https://klasma.github.io/Logging_0482/artfynd/A 47194-2022 artfynd.xlsx", "A 47194-2022")</f>
        <v/>
      </c>
      <c r="T74">
        <f>HYPERLINK("https://klasma.github.io/Logging_0482/kartor/A 47194-2022 karta.png", "A 47194-2022")</f>
        <v/>
      </c>
      <c r="V74">
        <f>HYPERLINK("https://klasma.github.io/Logging_0482/klagomål/A 47194-2022 FSC-klagomål.docx", "A 47194-2022")</f>
        <v/>
      </c>
      <c r="W74">
        <f>HYPERLINK("https://klasma.github.io/Logging_0482/klagomålsmail/A 47194-2022 FSC-klagomål mail.docx", "A 47194-2022")</f>
        <v/>
      </c>
      <c r="X74">
        <f>HYPERLINK("https://klasma.github.io/Logging_0482/tillsyn/A 47194-2022 tillsynsbegäran.docx", "A 47194-2022")</f>
        <v/>
      </c>
      <c r="Y74">
        <f>HYPERLINK("https://klasma.github.io/Logging_0482/tillsynsmail/A 47194-2022 tillsynsbegäran mail.docx", "A 47194-2022")</f>
        <v/>
      </c>
    </row>
    <row r="75" ht="15" customHeight="1">
      <c r="A75" t="inlineStr">
        <is>
          <t>A 20868-2024</t>
        </is>
      </c>
      <c r="B75" s="1" t="n">
        <v>45439</v>
      </c>
      <c r="C75" s="1" t="n">
        <v>46198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5.2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Mattlummer</t>
        </is>
      </c>
      <c r="S75">
        <f>HYPERLINK("https://klasma.github.io/Logging_0482/artfynd/A 20868-2024 artfynd.xlsx", "A 20868-2024")</f>
        <v/>
      </c>
      <c r="T75">
        <f>HYPERLINK("https://klasma.github.io/Logging_0482/kartor/A 20868-2024 karta.png", "A 20868-2024")</f>
        <v/>
      </c>
      <c r="V75">
        <f>HYPERLINK("https://klasma.github.io/Logging_0482/klagomål/A 20868-2024 FSC-klagomål.docx", "A 20868-2024")</f>
        <v/>
      </c>
      <c r="W75">
        <f>HYPERLINK("https://klasma.github.io/Logging_0482/klagomålsmail/A 20868-2024 FSC-klagomål mail.docx", "A 20868-2024")</f>
        <v/>
      </c>
      <c r="X75">
        <f>HYPERLINK("https://klasma.github.io/Logging_0482/tillsyn/A 20868-2024 tillsynsbegäran.docx", "A 20868-2024")</f>
        <v/>
      </c>
      <c r="Y75">
        <f>HYPERLINK("https://klasma.github.io/Logging_0482/tillsynsmail/A 20868-2024 tillsynsbegäran mail.docx", "A 20868-2024")</f>
        <v/>
      </c>
    </row>
    <row r="76" ht="15" customHeight="1">
      <c r="A76" t="inlineStr">
        <is>
          <t>A 33107-2022</t>
        </is>
      </c>
      <c r="B76" s="1" t="n">
        <v>44785</v>
      </c>
      <c r="C76" s="1" t="n">
        <v>46198</v>
      </c>
      <c r="D76" t="inlineStr">
        <is>
          <t>SÖDERMANLANDS LÄN</t>
        </is>
      </c>
      <c r="E76" t="inlineStr">
        <is>
          <t>FLEN</t>
        </is>
      </c>
      <c r="G76" t="n">
        <v>5.9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Fjällig taggsvamp s.str.
Gullklöver</t>
        </is>
      </c>
      <c r="S76">
        <f>HYPERLINK("https://klasma.github.io/Logging_0482/artfynd/A 33107-2022 artfynd.xlsx", "A 33107-2022")</f>
        <v/>
      </c>
      <c r="T76">
        <f>HYPERLINK("https://klasma.github.io/Logging_0482/kartor/A 33107-2022 karta.png", "A 33107-2022")</f>
        <v/>
      </c>
      <c r="V76">
        <f>HYPERLINK("https://klasma.github.io/Logging_0482/klagomål/A 33107-2022 FSC-klagomål.docx", "A 33107-2022")</f>
        <v/>
      </c>
      <c r="W76">
        <f>HYPERLINK("https://klasma.github.io/Logging_0482/klagomålsmail/A 33107-2022 FSC-klagomål mail.docx", "A 33107-2022")</f>
        <v/>
      </c>
      <c r="X76">
        <f>HYPERLINK("https://klasma.github.io/Logging_0482/tillsyn/A 33107-2022 tillsynsbegäran.docx", "A 33107-2022")</f>
        <v/>
      </c>
      <c r="Y76">
        <f>HYPERLINK("https://klasma.github.io/Logging_0482/tillsynsmail/A 33107-2022 tillsynsbegäran mail.docx", "A 33107-2022")</f>
        <v/>
      </c>
    </row>
    <row r="77" ht="15" customHeight="1">
      <c r="A77" t="inlineStr">
        <is>
          <t>A 10825-2022</t>
        </is>
      </c>
      <c r="B77" s="1" t="n">
        <v>44624</v>
      </c>
      <c r="C77" s="1" t="n">
        <v>46198</v>
      </c>
      <c r="D77" t="inlineStr">
        <is>
          <t>SÖDERMANLANDS LÄN</t>
        </is>
      </c>
      <c r="E77" t="inlineStr">
        <is>
          <t>FLEN</t>
        </is>
      </c>
      <c r="G77" t="n">
        <v>4.7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Svinrot
Vanlig backsmörblomma</t>
        </is>
      </c>
      <c r="S77">
        <f>HYPERLINK("https://klasma.github.io/Logging_0482/artfynd/A 10825-2022 artfynd.xlsx", "A 10825-2022")</f>
        <v/>
      </c>
      <c r="T77">
        <f>HYPERLINK("https://klasma.github.io/Logging_0482/kartor/A 10825-2022 karta.png", "A 10825-2022")</f>
        <v/>
      </c>
      <c r="V77">
        <f>HYPERLINK("https://klasma.github.io/Logging_0482/klagomål/A 10825-2022 FSC-klagomål.docx", "A 10825-2022")</f>
        <v/>
      </c>
      <c r="W77">
        <f>HYPERLINK("https://klasma.github.io/Logging_0482/klagomålsmail/A 10825-2022 FSC-klagomål mail.docx", "A 10825-2022")</f>
        <v/>
      </c>
      <c r="X77">
        <f>HYPERLINK("https://klasma.github.io/Logging_0482/tillsyn/A 10825-2022 tillsynsbegäran.docx", "A 10825-2022")</f>
        <v/>
      </c>
      <c r="Y77">
        <f>HYPERLINK("https://klasma.github.io/Logging_0482/tillsynsmail/A 10825-2022 tillsynsbegäran mail.docx", "A 10825-2022")</f>
        <v/>
      </c>
    </row>
    <row r="78" ht="15" customHeight="1">
      <c r="A78" t="inlineStr">
        <is>
          <t>A 11103-2023</t>
        </is>
      </c>
      <c r="B78" s="1" t="n">
        <v>44986</v>
      </c>
      <c r="C78" s="1" t="n">
        <v>46198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0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Ask
Blåmossa</t>
        </is>
      </c>
      <c r="S78">
        <f>HYPERLINK("https://klasma.github.io/Logging_0482/artfynd/A 11103-2023 artfynd.xlsx", "A 11103-2023")</f>
        <v/>
      </c>
      <c r="T78">
        <f>HYPERLINK("https://klasma.github.io/Logging_0482/kartor/A 11103-2023 karta.png", "A 11103-2023")</f>
        <v/>
      </c>
      <c r="V78">
        <f>HYPERLINK("https://klasma.github.io/Logging_0482/klagomål/A 11103-2023 FSC-klagomål.docx", "A 11103-2023")</f>
        <v/>
      </c>
      <c r="W78">
        <f>HYPERLINK("https://klasma.github.io/Logging_0482/klagomålsmail/A 11103-2023 FSC-klagomål mail.docx", "A 11103-2023")</f>
        <v/>
      </c>
      <c r="X78">
        <f>HYPERLINK("https://klasma.github.io/Logging_0482/tillsyn/A 11103-2023 tillsynsbegäran.docx", "A 11103-2023")</f>
        <v/>
      </c>
      <c r="Y78">
        <f>HYPERLINK("https://klasma.github.io/Logging_0482/tillsynsmail/A 11103-2023 tillsynsbegäran mail.docx", "A 11103-2023")</f>
        <v/>
      </c>
    </row>
    <row r="79" ht="15" customHeight="1">
      <c r="A79" t="inlineStr">
        <is>
          <t>A 24464-2025</t>
        </is>
      </c>
      <c r="B79" s="1" t="n">
        <v>45798</v>
      </c>
      <c r="C79" s="1" t="n">
        <v>46198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Vedskivlav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46198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46198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46198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46198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7883-2022</t>
        </is>
      </c>
      <c r="B84" s="1" t="n">
        <v>44608</v>
      </c>
      <c r="C84" s="1" t="n">
        <v>46198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2.2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HYPERLINK("https://klasma.github.io/Logging_0482/artfynd/A 7883-2022 artfynd.xlsx", "A 7883-2022")</f>
        <v/>
      </c>
      <c r="T84">
        <f>HYPERLINK("https://klasma.github.io/Logging_0482/kartor/A 7883-2022 karta.png", "A 7883-2022")</f>
        <v/>
      </c>
      <c r="V84">
        <f>HYPERLINK("https://klasma.github.io/Logging_0482/klagomål/A 7883-2022 FSC-klagomål.docx", "A 7883-2022")</f>
        <v/>
      </c>
      <c r="W84">
        <f>HYPERLINK("https://klasma.github.io/Logging_0482/klagomålsmail/A 7883-2022 FSC-klagomål mail.docx", "A 7883-2022")</f>
        <v/>
      </c>
      <c r="X84">
        <f>HYPERLINK("https://klasma.github.io/Logging_0482/tillsyn/A 7883-2022 tillsynsbegäran.docx", "A 7883-2022")</f>
        <v/>
      </c>
      <c r="Y84">
        <f>HYPERLINK("https://klasma.github.io/Logging_0482/tillsynsmail/A 7883-2022 tillsynsbegäran mail.docx", "A 7883-2022")</f>
        <v/>
      </c>
    </row>
    <row r="85" ht="15" customHeight="1">
      <c r="A85" t="inlineStr">
        <is>
          <t>A 44563-2022</t>
        </is>
      </c>
      <c r="B85" s="1" t="n">
        <v>44838</v>
      </c>
      <c r="C85" s="1" t="n">
        <v>46198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44563-2022 artfynd.xlsx", "A 44563-2022")</f>
        <v/>
      </c>
      <c r="T85">
        <f>HYPERLINK("https://klasma.github.io/Logging_0482/kartor/A 44563-2022 karta.png", "A 44563-2022")</f>
        <v/>
      </c>
      <c r="V85">
        <f>HYPERLINK("https://klasma.github.io/Logging_0482/klagomål/A 44563-2022 FSC-klagomål.docx", "A 44563-2022")</f>
        <v/>
      </c>
      <c r="W85">
        <f>HYPERLINK("https://klasma.github.io/Logging_0482/klagomålsmail/A 44563-2022 FSC-klagomål mail.docx", "A 44563-2022")</f>
        <v/>
      </c>
      <c r="X85">
        <f>HYPERLINK("https://klasma.github.io/Logging_0482/tillsyn/A 44563-2022 tillsynsbegäran.docx", "A 44563-2022")</f>
        <v/>
      </c>
      <c r="Y85">
        <f>HYPERLINK("https://klasma.github.io/Logging_0482/tillsynsmail/A 44563-2022 tillsynsbegäran mail.docx", "A 44563-2022")</f>
        <v/>
      </c>
    </row>
    <row r="86" ht="15" customHeight="1">
      <c r="A86" t="inlineStr">
        <is>
          <t>A 26245-2022</t>
        </is>
      </c>
      <c r="B86" s="1" t="n">
        <v>44735</v>
      </c>
      <c r="C86" s="1" t="n">
        <v>46198</v>
      </c>
      <c r="D86" t="inlineStr">
        <is>
          <t>SÖDERMANLANDS LÄN</t>
        </is>
      </c>
      <c r="E86" t="inlineStr">
        <is>
          <t>FLEN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HYPERLINK("https://klasma.github.io/Logging_0482/artfynd/A 26245-2022 artfynd.xlsx", "A 26245-2022")</f>
        <v/>
      </c>
      <c r="T86">
        <f>HYPERLINK("https://klasma.github.io/Logging_0482/kartor/A 26245-2022 karta.png", "A 26245-2022")</f>
        <v/>
      </c>
      <c r="V86">
        <f>HYPERLINK("https://klasma.github.io/Logging_0482/klagomål/A 26245-2022 FSC-klagomål.docx", "A 26245-2022")</f>
        <v/>
      </c>
      <c r="W86">
        <f>HYPERLINK("https://klasma.github.io/Logging_0482/klagomålsmail/A 26245-2022 FSC-klagomål mail.docx", "A 26245-2022")</f>
        <v/>
      </c>
      <c r="X86">
        <f>HYPERLINK("https://klasma.github.io/Logging_0482/tillsyn/A 26245-2022 tillsynsbegäran.docx", "A 26245-2022")</f>
        <v/>
      </c>
      <c r="Y86">
        <f>HYPERLINK("https://klasma.github.io/Logging_0482/tillsynsmail/A 26245-2022 tillsynsbegäran mail.docx", "A 26245-2022")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46198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31972-2024</t>
        </is>
      </c>
      <c r="B88" s="1" t="n">
        <v>45510</v>
      </c>
      <c r="C88" s="1" t="n">
        <v>46198</v>
      </c>
      <c r="D88" t="inlineStr">
        <is>
          <t>SÖDERMANLANDS LÄN</t>
        </is>
      </c>
      <c r="E88" t="inlineStr">
        <is>
          <t>FLEN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Åkerrödtoppa</t>
        </is>
      </c>
      <c r="S88">
        <f>HYPERLINK("https://klasma.github.io/Logging_0482/artfynd/A 31972-2024 artfynd.xlsx", "A 31972-2024")</f>
        <v/>
      </c>
      <c r="T88">
        <f>HYPERLINK("https://klasma.github.io/Logging_0482/kartor/A 31972-2024 karta.png", "A 31972-2024")</f>
        <v/>
      </c>
      <c r="V88">
        <f>HYPERLINK("https://klasma.github.io/Logging_0482/klagomål/A 31972-2024 FSC-klagomål.docx", "A 31972-2024")</f>
        <v/>
      </c>
      <c r="W88">
        <f>HYPERLINK("https://klasma.github.io/Logging_0482/klagomålsmail/A 31972-2024 FSC-klagomål mail.docx", "A 31972-2024")</f>
        <v/>
      </c>
      <c r="X88">
        <f>HYPERLINK("https://klasma.github.io/Logging_0482/tillsyn/A 31972-2024 tillsynsbegäran.docx", "A 31972-2024")</f>
        <v/>
      </c>
      <c r="Y88">
        <f>HYPERLINK("https://klasma.github.io/Logging_0482/tillsynsmail/A 31972-2024 tillsynsbegäran mail.docx", "A 31972-2024")</f>
        <v/>
      </c>
    </row>
    <row r="89" ht="15" customHeight="1">
      <c r="A89" t="inlineStr">
        <is>
          <t>A 52563-2021</t>
        </is>
      </c>
      <c r="B89" s="1" t="n">
        <v>44463</v>
      </c>
      <c r="C89" s="1" t="n">
        <v>46198</v>
      </c>
      <c r="D89" t="inlineStr">
        <is>
          <t>SÖDERMANLANDS LÄN</t>
        </is>
      </c>
      <c r="E89" t="inlineStr">
        <is>
          <t>FLEN</t>
        </is>
      </c>
      <c r="G89" t="n">
        <v>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HYPERLINK("https://klasma.github.io/Logging_0482/artfynd/A 52563-2021 artfynd.xlsx", "A 52563-2021")</f>
        <v/>
      </c>
      <c r="T89">
        <f>HYPERLINK("https://klasma.github.io/Logging_0482/kartor/A 52563-2021 karta.png", "A 52563-2021")</f>
        <v/>
      </c>
      <c r="V89">
        <f>HYPERLINK("https://klasma.github.io/Logging_0482/klagomål/A 52563-2021 FSC-klagomål.docx", "A 52563-2021")</f>
        <v/>
      </c>
      <c r="W89">
        <f>HYPERLINK("https://klasma.github.io/Logging_0482/klagomålsmail/A 52563-2021 FSC-klagomål mail.docx", "A 52563-2021")</f>
        <v/>
      </c>
      <c r="X89">
        <f>HYPERLINK("https://klasma.github.io/Logging_0482/tillsyn/A 52563-2021 tillsynsbegäran.docx", "A 52563-2021")</f>
        <v/>
      </c>
      <c r="Y89">
        <f>HYPERLINK("https://klasma.github.io/Logging_0482/tillsynsmail/A 52563-2021 tillsynsbegäran mail.docx", "A 52563-2021")</f>
        <v/>
      </c>
      <c r="Z89">
        <f>HYPERLINK("https://klasma.github.io/Logging_0482/fåglar/A 52563-2021 prioriterade fågelarter.docx", "A 52563-2021")</f>
        <v/>
      </c>
    </row>
    <row r="90" ht="15" customHeight="1">
      <c r="A90" t="inlineStr">
        <is>
          <t>A 54737-2022</t>
        </is>
      </c>
      <c r="B90" s="1" t="n">
        <v>44881</v>
      </c>
      <c r="C90" s="1" t="n">
        <v>46198</v>
      </c>
      <c r="D90" t="inlineStr">
        <is>
          <t>SÖDERMANLANDS LÄN</t>
        </is>
      </c>
      <c r="E90" t="inlineStr">
        <is>
          <t>FLEN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54737-2022 artfynd.xlsx", "A 54737-2022")</f>
        <v/>
      </c>
      <c r="T90">
        <f>HYPERLINK("https://klasma.github.io/Logging_0482/kartor/A 54737-2022 karta.png", "A 54737-2022")</f>
        <v/>
      </c>
      <c r="V90">
        <f>HYPERLINK("https://klasma.github.io/Logging_0482/klagomål/A 54737-2022 FSC-klagomål.docx", "A 54737-2022")</f>
        <v/>
      </c>
      <c r="W90">
        <f>HYPERLINK("https://klasma.github.io/Logging_0482/klagomålsmail/A 54737-2022 FSC-klagomål mail.docx", "A 54737-2022")</f>
        <v/>
      </c>
      <c r="X90">
        <f>HYPERLINK("https://klasma.github.io/Logging_0482/tillsyn/A 54737-2022 tillsynsbegäran.docx", "A 54737-2022")</f>
        <v/>
      </c>
      <c r="Y90">
        <f>HYPERLINK("https://klasma.github.io/Logging_0482/tillsynsmail/A 54737-2022 tillsynsbegäran mail.docx", "A 54737-2022")</f>
        <v/>
      </c>
    </row>
    <row r="91" ht="15" customHeight="1">
      <c r="A91" t="inlineStr">
        <is>
          <t>A 13858-2023</t>
        </is>
      </c>
      <c r="B91" s="1" t="n">
        <v>45007</v>
      </c>
      <c r="C91" s="1" t="n">
        <v>46198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13858-2023 artfynd.xlsx", "A 13858-2023")</f>
        <v/>
      </c>
      <c r="T91">
        <f>HYPERLINK("https://klasma.github.io/Logging_0482/kartor/A 13858-2023 karta.png", "A 13858-2023")</f>
        <v/>
      </c>
      <c r="V91">
        <f>HYPERLINK("https://klasma.github.io/Logging_0482/klagomål/A 13858-2023 FSC-klagomål.docx", "A 13858-2023")</f>
        <v/>
      </c>
      <c r="W91">
        <f>HYPERLINK("https://klasma.github.io/Logging_0482/klagomålsmail/A 13858-2023 FSC-klagomål mail.docx", "A 13858-2023")</f>
        <v/>
      </c>
      <c r="X91">
        <f>HYPERLINK("https://klasma.github.io/Logging_0482/tillsyn/A 13858-2023 tillsynsbegäran.docx", "A 13858-2023")</f>
        <v/>
      </c>
      <c r="Y91">
        <f>HYPERLINK("https://klasma.github.io/Logging_0482/tillsynsmail/A 13858-2023 tillsynsbegäran mail.docx", "A 13858-2023")</f>
        <v/>
      </c>
    </row>
    <row r="92" ht="15" customHeight="1">
      <c r="A92" t="inlineStr">
        <is>
          <t>A 16831-2025</t>
        </is>
      </c>
      <c r="B92" s="1" t="n">
        <v>45754</v>
      </c>
      <c r="C92" s="1" t="n">
        <v>46198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16831-2025 artfynd.xlsx", "A 16831-2025")</f>
        <v/>
      </c>
      <c r="T92">
        <f>HYPERLINK("https://klasma.github.io/Logging_0482/kartor/A 16831-2025 karta.png", "A 16831-2025")</f>
        <v/>
      </c>
      <c r="V92">
        <f>HYPERLINK("https://klasma.github.io/Logging_0482/klagomål/A 16831-2025 FSC-klagomål.docx", "A 16831-2025")</f>
        <v/>
      </c>
      <c r="W92">
        <f>HYPERLINK("https://klasma.github.io/Logging_0482/klagomålsmail/A 16831-2025 FSC-klagomål mail.docx", "A 16831-2025")</f>
        <v/>
      </c>
      <c r="X92">
        <f>HYPERLINK("https://klasma.github.io/Logging_0482/tillsyn/A 16831-2025 tillsynsbegäran.docx", "A 16831-2025")</f>
        <v/>
      </c>
      <c r="Y92">
        <f>HYPERLINK("https://klasma.github.io/Logging_0482/tillsynsmail/A 16831-2025 tillsynsbegäran mail.docx", "A 16831-2025")</f>
        <v/>
      </c>
    </row>
    <row r="93" ht="15" customHeight="1">
      <c r="A93" t="inlineStr">
        <is>
          <t>A 37283-2024</t>
        </is>
      </c>
      <c r="B93" s="1" t="n">
        <v>45540</v>
      </c>
      <c r="C93" s="1" t="n">
        <v>46198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37283-2024 artfynd.xlsx", "A 37283-2024")</f>
        <v/>
      </c>
      <c r="T93">
        <f>HYPERLINK("https://klasma.github.io/Logging_0482/kartor/A 37283-2024 karta.png", "A 37283-2024")</f>
        <v/>
      </c>
      <c r="V93">
        <f>HYPERLINK("https://klasma.github.io/Logging_0482/klagomål/A 37283-2024 FSC-klagomål.docx", "A 37283-2024")</f>
        <v/>
      </c>
      <c r="W93">
        <f>HYPERLINK("https://klasma.github.io/Logging_0482/klagomålsmail/A 37283-2024 FSC-klagomål mail.docx", "A 37283-2024")</f>
        <v/>
      </c>
      <c r="X93">
        <f>HYPERLINK("https://klasma.github.io/Logging_0482/tillsyn/A 37283-2024 tillsynsbegäran.docx", "A 37283-2024")</f>
        <v/>
      </c>
      <c r="Y93">
        <f>HYPERLINK("https://klasma.github.io/Logging_0482/tillsynsmail/A 37283-2024 tillsynsbegäran mail.docx", "A 37283-2024")</f>
        <v/>
      </c>
    </row>
    <row r="94" ht="15" customHeight="1">
      <c r="A94" t="inlineStr">
        <is>
          <t>A 7525-2024</t>
        </is>
      </c>
      <c r="B94" s="1" t="n">
        <v>45348</v>
      </c>
      <c r="C94" s="1" t="n">
        <v>46198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Vanlig backsmörblomma</t>
        </is>
      </c>
      <c r="S94">
        <f>HYPERLINK("https://klasma.github.io/Logging_0482/artfynd/A 7525-2024 artfynd.xlsx", "A 7525-2024")</f>
        <v/>
      </c>
      <c r="T94">
        <f>HYPERLINK("https://klasma.github.io/Logging_0482/kartor/A 7525-2024 karta.png", "A 7525-2024")</f>
        <v/>
      </c>
      <c r="V94">
        <f>HYPERLINK("https://klasma.github.io/Logging_0482/klagomål/A 7525-2024 FSC-klagomål.docx", "A 7525-2024")</f>
        <v/>
      </c>
      <c r="W94">
        <f>HYPERLINK("https://klasma.github.io/Logging_0482/klagomålsmail/A 7525-2024 FSC-klagomål mail.docx", "A 7525-2024")</f>
        <v/>
      </c>
      <c r="X94">
        <f>HYPERLINK("https://klasma.github.io/Logging_0482/tillsyn/A 7525-2024 tillsynsbegäran.docx", "A 7525-2024")</f>
        <v/>
      </c>
      <c r="Y94">
        <f>HYPERLINK("https://klasma.github.io/Logging_0482/tillsynsmail/A 7525-2024 tillsynsbegäran mail.docx", "A 7525-2024")</f>
        <v/>
      </c>
    </row>
    <row r="95" ht="15" customHeight="1">
      <c r="A95" t="inlineStr">
        <is>
          <t>A 31427-2022</t>
        </is>
      </c>
      <c r="B95" s="1" t="n">
        <v>44774</v>
      </c>
      <c r="C95" s="1" t="n">
        <v>46198</v>
      </c>
      <c r="D95" t="inlineStr">
        <is>
          <t>SÖDERMANLANDS LÄN</t>
        </is>
      </c>
      <c r="E95" t="inlineStr">
        <is>
          <t>FLEN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Älg</t>
        </is>
      </c>
      <c r="S95">
        <f>HYPERLINK("https://klasma.github.io/Logging_0482/artfynd/A 31427-2022 artfynd.xlsx", "A 31427-2022")</f>
        <v/>
      </c>
      <c r="T95">
        <f>HYPERLINK("https://klasma.github.io/Logging_0482/kartor/A 31427-2022 karta.png", "A 31427-2022")</f>
        <v/>
      </c>
      <c r="V95">
        <f>HYPERLINK("https://klasma.github.io/Logging_0482/klagomål/A 31427-2022 FSC-klagomål.docx", "A 31427-2022")</f>
        <v/>
      </c>
      <c r="W95">
        <f>HYPERLINK("https://klasma.github.io/Logging_0482/klagomålsmail/A 31427-2022 FSC-klagomål mail.docx", "A 31427-2022")</f>
        <v/>
      </c>
      <c r="X95">
        <f>HYPERLINK("https://klasma.github.io/Logging_0482/tillsyn/A 31427-2022 tillsynsbegäran.docx", "A 31427-2022")</f>
        <v/>
      </c>
      <c r="Y95">
        <f>HYPERLINK("https://klasma.github.io/Logging_0482/tillsynsmail/A 31427-2022 tillsynsbegäran mail.docx", "A 31427-2022")</f>
        <v/>
      </c>
    </row>
    <row r="96" ht="15" customHeight="1">
      <c r="A96" t="inlineStr">
        <is>
          <t>A 14113-2025</t>
        </is>
      </c>
      <c r="B96" s="1" t="n">
        <v>45740</v>
      </c>
      <c r="C96" s="1" t="n">
        <v>46198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3.6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14113-2025 artfynd.xlsx", "A 14113-2025")</f>
        <v/>
      </c>
      <c r="T96">
        <f>HYPERLINK("https://klasma.github.io/Logging_0482/kartor/A 14113-2025 karta.png", "A 14113-2025")</f>
        <v/>
      </c>
      <c r="V96">
        <f>HYPERLINK("https://klasma.github.io/Logging_0482/klagomål/A 14113-2025 FSC-klagomål.docx", "A 14113-2025")</f>
        <v/>
      </c>
      <c r="W96">
        <f>HYPERLINK("https://klasma.github.io/Logging_0482/klagomålsmail/A 14113-2025 FSC-klagomål mail.docx", "A 14113-2025")</f>
        <v/>
      </c>
      <c r="X96">
        <f>HYPERLINK("https://klasma.github.io/Logging_0482/tillsyn/A 14113-2025 tillsynsbegäran.docx", "A 14113-2025")</f>
        <v/>
      </c>
      <c r="Y96">
        <f>HYPERLINK("https://klasma.github.io/Logging_0482/tillsynsmail/A 14113-2025 tillsynsbegäran mail.docx", "A 14113-2025")</f>
        <v/>
      </c>
    </row>
    <row r="97" ht="15" customHeight="1">
      <c r="A97" t="inlineStr">
        <is>
          <t>A 38829-2025</t>
        </is>
      </c>
      <c r="B97" s="1" t="n">
        <v>45887</v>
      </c>
      <c r="C97" s="1" t="n">
        <v>46198</v>
      </c>
      <c r="D97" t="inlineStr">
        <is>
          <t>SÖDERMANLANDS LÄN</t>
        </is>
      </c>
      <c r="E97" t="inlineStr">
        <is>
          <t>FLEN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38829-2025 artfynd.xlsx", "A 38829-2025")</f>
        <v/>
      </c>
      <c r="T97">
        <f>HYPERLINK("https://klasma.github.io/Logging_0482/kartor/A 38829-2025 karta.png", "A 38829-2025")</f>
        <v/>
      </c>
      <c r="V97">
        <f>HYPERLINK("https://klasma.github.io/Logging_0482/klagomål/A 38829-2025 FSC-klagomål.docx", "A 38829-2025")</f>
        <v/>
      </c>
      <c r="W97">
        <f>HYPERLINK("https://klasma.github.io/Logging_0482/klagomålsmail/A 38829-2025 FSC-klagomål mail.docx", "A 38829-2025")</f>
        <v/>
      </c>
      <c r="X97">
        <f>HYPERLINK("https://klasma.github.io/Logging_0482/tillsyn/A 38829-2025 tillsynsbegäran.docx", "A 38829-2025")</f>
        <v/>
      </c>
      <c r="Y97">
        <f>HYPERLINK("https://klasma.github.io/Logging_0482/tillsynsmail/A 38829-2025 tillsynsbegäran mail.docx", "A 38829-2025")</f>
        <v/>
      </c>
    </row>
    <row r="98" ht="15" customHeight="1">
      <c r="A98" t="inlineStr">
        <is>
          <t>A 6982-2024</t>
        </is>
      </c>
      <c r="B98" s="1" t="n">
        <v>45343</v>
      </c>
      <c r="C98" s="1" t="n">
        <v>46198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HYPERLINK("https://klasma.github.io/Logging_0482/artfynd/A 6982-2024 artfynd.xlsx", "A 6982-2024")</f>
        <v/>
      </c>
      <c r="T98">
        <f>HYPERLINK("https://klasma.github.io/Logging_0482/kartor/A 6982-2024 karta.png", "A 6982-2024")</f>
        <v/>
      </c>
      <c r="V98">
        <f>HYPERLINK("https://klasma.github.io/Logging_0482/klagomål/A 6982-2024 FSC-klagomål.docx", "A 6982-2024")</f>
        <v/>
      </c>
      <c r="W98">
        <f>HYPERLINK("https://klasma.github.io/Logging_0482/klagomålsmail/A 6982-2024 FSC-klagomål mail.docx", "A 6982-2024")</f>
        <v/>
      </c>
      <c r="X98">
        <f>HYPERLINK("https://klasma.github.io/Logging_0482/tillsyn/A 6982-2024 tillsynsbegäran.docx", "A 6982-2024")</f>
        <v/>
      </c>
      <c r="Y98">
        <f>HYPERLINK("https://klasma.github.io/Logging_0482/tillsynsmail/A 6982-2024 tillsynsbegäran mail.docx", "A 6982-2024")</f>
        <v/>
      </c>
    </row>
    <row r="99" ht="15" customHeight="1">
      <c r="A99" t="inlineStr">
        <is>
          <t>A 55092-2021</t>
        </is>
      </c>
      <c r="B99" s="1" t="n">
        <v>44474</v>
      </c>
      <c r="C99" s="1" t="n">
        <v>46198</v>
      </c>
      <c r="D99" t="inlineStr">
        <is>
          <t>SÖDERMANLANDS LÄN</t>
        </is>
      </c>
      <c r="E99" t="inlineStr">
        <is>
          <t>FLEN</t>
        </is>
      </c>
      <c r="G99" t="n">
        <v>3.5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Huggorm</t>
        </is>
      </c>
      <c r="S99">
        <f>HYPERLINK("https://klasma.github.io/Logging_0482/artfynd/A 55092-2021 artfynd.xlsx", "A 55092-2021")</f>
        <v/>
      </c>
      <c r="T99">
        <f>HYPERLINK("https://klasma.github.io/Logging_0482/kartor/A 55092-2021 karta.png", "A 55092-2021")</f>
        <v/>
      </c>
      <c r="V99">
        <f>HYPERLINK("https://klasma.github.io/Logging_0482/klagomål/A 55092-2021 FSC-klagomål.docx", "A 55092-2021")</f>
        <v/>
      </c>
      <c r="W99">
        <f>HYPERLINK("https://klasma.github.io/Logging_0482/klagomålsmail/A 55092-2021 FSC-klagomål mail.docx", "A 55092-2021")</f>
        <v/>
      </c>
      <c r="X99">
        <f>HYPERLINK("https://klasma.github.io/Logging_0482/tillsyn/A 55092-2021 tillsynsbegäran.docx", "A 55092-2021")</f>
        <v/>
      </c>
      <c r="Y99">
        <f>HYPERLINK("https://klasma.github.io/Logging_0482/tillsynsmail/A 55092-2021 tillsynsbegäran mail.docx", "A 55092-2021")</f>
        <v/>
      </c>
    </row>
    <row r="100" ht="15" customHeight="1">
      <c r="A100" t="inlineStr">
        <is>
          <t>A 47581-2025</t>
        </is>
      </c>
      <c r="B100" s="1" t="n">
        <v>45931</v>
      </c>
      <c r="C100" s="1" t="n">
        <v>46198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47581-2025 artfynd.xlsx", "A 47581-2025")</f>
        <v/>
      </c>
      <c r="T100">
        <f>HYPERLINK("https://klasma.github.io/Logging_0482/kartor/A 47581-2025 karta.png", "A 47581-2025")</f>
        <v/>
      </c>
      <c r="V100">
        <f>HYPERLINK("https://klasma.github.io/Logging_0482/klagomål/A 47581-2025 FSC-klagomål.docx", "A 47581-2025")</f>
        <v/>
      </c>
      <c r="W100">
        <f>HYPERLINK("https://klasma.github.io/Logging_0482/klagomålsmail/A 47581-2025 FSC-klagomål mail.docx", "A 47581-2025")</f>
        <v/>
      </c>
      <c r="X100">
        <f>HYPERLINK("https://klasma.github.io/Logging_0482/tillsyn/A 47581-2025 tillsynsbegäran.docx", "A 47581-2025")</f>
        <v/>
      </c>
      <c r="Y100">
        <f>HYPERLINK("https://klasma.github.io/Logging_0482/tillsynsmail/A 47581-2025 tillsynsbegäran mail.docx", "A 47581-2025")</f>
        <v/>
      </c>
    </row>
    <row r="101" ht="15" customHeight="1">
      <c r="A101" t="inlineStr">
        <is>
          <t>A 26052-2026</t>
        </is>
      </c>
      <c r="B101" s="1" t="n">
        <v>46181</v>
      </c>
      <c r="C101" s="1" t="n">
        <v>46198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HYPERLINK("https://klasma.github.io/Logging_0482/artfynd/A 26052-2026 artfynd.xlsx", "A 26052-2026")</f>
        <v/>
      </c>
      <c r="T101">
        <f>HYPERLINK("https://klasma.github.io/Logging_0482/kartor/A 26052-2026 karta.png", "A 26052-2026")</f>
        <v/>
      </c>
      <c r="V101">
        <f>HYPERLINK("https://klasma.github.io/Logging_0482/klagomål/A 26052-2026 FSC-klagomål.docx", "A 26052-2026")</f>
        <v/>
      </c>
      <c r="W101">
        <f>HYPERLINK("https://klasma.github.io/Logging_0482/klagomålsmail/A 26052-2026 FSC-klagomål mail.docx", "A 26052-2026")</f>
        <v/>
      </c>
      <c r="X101">
        <f>HYPERLINK("https://klasma.github.io/Logging_0482/tillsyn/A 26052-2026 tillsynsbegäran.docx", "A 26052-2026")</f>
        <v/>
      </c>
      <c r="Y101">
        <f>HYPERLINK("https://klasma.github.io/Logging_0482/tillsynsmail/A 26052-2026 tillsynsbegäran mail.docx", "A 26052-2026")</f>
        <v/>
      </c>
    </row>
    <row r="102" ht="15" customHeight="1">
      <c r="A102" t="inlineStr">
        <is>
          <t>A 43008-2023</t>
        </is>
      </c>
      <c r="B102" s="1" t="n">
        <v>45182</v>
      </c>
      <c r="C102" s="1" t="n">
        <v>46198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43008-2023 artfynd.xlsx", "A 43008-2023")</f>
        <v/>
      </c>
      <c r="T102">
        <f>HYPERLINK("https://klasma.github.io/Logging_0482/kartor/A 43008-2023 karta.png", "A 43008-2023")</f>
        <v/>
      </c>
      <c r="V102">
        <f>HYPERLINK("https://klasma.github.io/Logging_0482/klagomål/A 43008-2023 FSC-klagomål.docx", "A 43008-2023")</f>
        <v/>
      </c>
      <c r="W102">
        <f>HYPERLINK("https://klasma.github.io/Logging_0482/klagomålsmail/A 43008-2023 FSC-klagomål mail.docx", "A 43008-2023")</f>
        <v/>
      </c>
      <c r="X102">
        <f>HYPERLINK("https://klasma.github.io/Logging_0482/tillsyn/A 43008-2023 tillsynsbegäran.docx", "A 43008-2023")</f>
        <v/>
      </c>
      <c r="Y102">
        <f>HYPERLINK("https://klasma.github.io/Logging_0482/tillsynsmail/A 43008-2023 tillsynsbegäran mail.docx", "A 43008-2023")</f>
        <v/>
      </c>
    </row>
    <row r="103" ht="15" customHeight="1">
      <c r="A103" t="inlineStr">
        <is>
          <t>A 26310-2026</t>
        </is>
      </c>
      <c r="B103" s="1" t="n">
        <v>46181</v>
      </c>
      <c r="C103" s="1" t="n">
        <v>46198</v>
      </c>
      <c r="D103" t="inlineStr">
        <is>
          <t>SÖDERMANLANDS LÄN</t>
        </is>
      </c>
      <c r="E103" t="inlineStr">
        <is>
          <t>FLEN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HYPERLINK("https://klasma.github.io/Logging_0482/artfynd/A 26310-2026 artfynd.xlsx", "A 26310-2026")</f>
        <v/>
      </c>
      <c r="T103">
        <f>HYPERLINK("https://klasma.github.io/Logging_0482/kartor/A 26310-2026 karta.png", "A 26310-2026")</f>
        <v/>
      </c>
      <c r="V103">
        <f>HYPERLINK("https://klasma.github.io/Logging_0482/klagomål/A 26310-2026 FSC-klagomål.docx", "A 26310-2026")</f>
        <v/>
      </c>
      <c r="W103">
        <f>HYPERLINK("https://klasma.github.io/Logging_0482/klagomålsmail/A 26310-2026 FSC-klagomål mail.docx", "A 26310-2026")</f>
        <v/>
      </c>
      <c r="X103">
        <f>HYPERLINK("https://klasma.github.io/Logging_0482/tillsyn/A 26310-2026 tillsynsbegäran.docx", "A 26310-2026")</f>
        <v/>
      </c>
      <c r="Y103">
        <f>HYPERLINK("https://klasma.github.io/Logging_0482/tillsynsmail/A 26310-2026 tillsynsbegäran mail.docx", "A 26310-2026")</f>
        <v/>
      </c>
      <c r="Z103">
        <f>HYPERLINK("https://klasma.github.io/Logging_0482/fåglar/A 26310-2026 prioriterade fågelarter.docx", "A 26310-2026")</f>
        <v/>
      </c>
    </row>
    <row r="104" ht="15" customHeight="1">
      <c r="A104" t="inlineStr">
        <is>
          <t>A 34721-2023</t>
        </is>
      </c>
      <c r="B104" s="1" t="n">
        <v>45141</v>
      </c>
      <c r="C104" s="1" t="n">
        <v>46198</v>
      </c>
      <c r="D104" t="inlineStr">
        <is>
          <t>SÖDERMANLANDS LÄN</t>
        </is>
      </c>
      <c r="E104" t="inlineStr">
        <is>
          <t>FLEN</t>
        </is>
      </c>
      <c r="G104" t="n">
        <v>4.1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34721-2023 artfynd.xlsx", "A 34721-2023")</f>
        <v/>
      </c>
      <c r="T104">
        <f>HYPERLINK("https://klasma.github.io/Logging_0482/kartor/A 34721-2023 karta.png", "A 34721-2023")</f>
        <v/>
      </c>
      <c r="V104">
        <f>HYPERLINK("https://klasma.github.io/Logging_0482/klagomål/A 34721-2023 FSC-klagomål.docx", "A 34721-2023")</f>
        <v/>
      </c>
      <c r="W104">
        <f>HYPERLINK("https://klasma.github.io/Logging_0482/klagomålsmail/A 34721-2023 FSC-klagomål mail.docx", "A 34721-2023")</f>
        <v/>
      </c>
      <c r="X104">
        <f>HYPERLINK("https://klasma.github.io/Logging_0482/tillsyn/A 34721-2023 tillsynsbegäran.docx", "A 34721-2023")</f>
        <v/>
      </c>
      <c r="Y104">
        <f>HYPERLINK("https://klasma.github.io/Logging_0482/tillsynsmail/A 34721-2023 tillsynsbegäran mail.docx", "A 34721-2023")</f>
        <v/>
      </c>
    </row>
    <row r="105" ht="15" customHeight="1">
      <c r="A105" t="inlineStr">
        <is>
          <t>A 66230-2021</t>
        </is>
      </c>
      <c r="B105" s="1" t="n">
        <v>44518</v>
      </c>
      <c r="C105" s="1" t="n">
        <v>46198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66230-2021 artfynd.xlsx", "A 66230-2021")</f>
        <v/>
      </c>
      <c r="T105">
        <f>HYPERLINK("https://klasma.github.io/Logging_0482/kartor/A 66230-2021 karta.png", "A 66230-2021")</f>
        <v/>
      </c>
      <c r="V105">
        <f>HYPERLINK("https://klasma.github.io/Logging_0482/klagomål/A 66230-2021 FSC-klagomål.docx", "A 66230-2021")</f>
        <v/>
      </c>
      <c r="W105">
        <f>HYPERLINK("https://klasma.github.io/Logging_0482/klagomålsmail/A 66230-2021 FSC-klagomål mail.docx", "A 66230-2021")</f>
        <v/>
      </c>
      <c r="X105">
        <f>HYPERLINK("https://klasma.github.io/Logging_0482/tillsyn/A 66230-2021 tillsynsbegäran.docx", "A 66230-2021")</f>
        <v/>
      </c>
      <c r="Y105">
        <f>HYPERLINK("https://klasma.github.io/Logging_0482/tillsynsmail/A 66230-2021 tillsynsbegäran mail.docx", "A 66230-2021")</f>
        <v/>
      </c>
    </row>
    <row r="106" ht="15" customHeight="1">
      <c r="A106" t="inlineStr">
        <is>
          <t>A 1242-2022</t>
        </is>
      </c>
      <c r="B106" s="1" t="n">
        <v>44572</v>
      </c>
      <c r="C106" s="1" t="n">
        <v>46198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9.300000000000001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HYPERLINK("https://klasma.github.io/Logging_0482/artfynd/A 1242-2022 artfynd.xlsx", "A 1242-2022")</f>
        <v/>
      </c>
      <c r="T106">
        <f>HYPERLINK("https://klasma.github.io/Logging_0482/kartor/A 1242-2022 karta.png", "A 1242-2022")</f>
        <v/>
      </c>
      <c r="V106">
        <f>HYPERLINK("https://klasma.github.io/Logging_0482/klagomål/A 1242-2022 FSC-klagomål.docx", "A 1242-2022")</f>
        <v/>
      </c>
      <c r="W106">
        <f>HYPERLINK("https://klasma.github.io/Logging_0482/klagomålsmail/A 1242-2022 FSC-klagomål mail.docx", "A 1242-2022")</f>
        <v/>
      </c>
      <c r="X106">
        <f>HYPERLINK("https://klasma.github.io/Logging_0482/tillsyn/A 1242-2022 tillsynsbegäran.docx", "A 1242-2022")</f>
        <v/>
      </c>
      <c r="Y106">
        <f>HYPERLINK("https://klasma.github.io/Logging_0482/tillsynsmail/A 1242-2022 tillsynsbegäran mail.docx", "A 1242-2022")</f>
        <v/>
      </c>
    </row>
    <row r="107" ht="15" customHeight="1">
      <c r="A107" t="inlineStr">
        <is>
          <t>A 52579-2025</t>
        </is>
      </c>
      <c r="B107" s="1" t="n">
        <v>45954</v>
      </c>
      <c r="C107" s="1" t="n">
        <v>46198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HYPERLINK("https://klasma.github.io/Logging_0482/artfynd/A 52579-2025 artfynd.xlsx", "A 52579-2025")</f>
        <v/>
      </c>
      <c r="T107">
        <f>HYPERLINK("https://klasma.github.io/Logging_0482/kartor/A 52579-2025 karta.png", "A 52579-2025")</f>
        <v/>
      </c>
      <c r="V107">
        <f>HYPERLINK("https://klasma.github.io/Logging_0482/klagomål/A 52579-2025 FSC-klagomål.docx", "A 52579-2025")</f>
        <v/>
      </c>
      <c r="W107">
        <f>HYPERLINK("https://klasma.github.io/Logging_0482/klagomålsmail/A 52579-2025 FSC-klagomål mail.docx", "A 52579-2025")</f>
        <v/>
      </c>
      <c r="X107">
        <f>HYPERLINK("https://klasma.github.io/Logging_0482/tillsyn/A 52579-2025 tillsynsbegäran.docx", "A 52579-2025")</f>
        <v/>
      </c>
      <c r="Y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14101-2025</t>
        </is>
      </c>
      <c r="B108" s="1" t="n">
        <v>45740</v>
      </c>
      <c r="C108" s="1" t="n">
        <v>46198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HYPERLINK("https://klasma.github.io/Logging_0482/artfynd/A 14101-2025 artfynd.xlsx", "A 14101-2025")</f>
        <v/>
      </c>
      <c r="T108">
        <f>HYPERLINK("https://klasma.github.io/Logging_0482/kartor/A 14101-2025 karta.png", "A 14101-2025")</f>
        <v/>
      </c>
      <c r="V108">
        <f>HYPERLINK("https://klasma.github.io/Logging_0482/klagomål/A 14101-2025 FSC-klagomål.docx", "A 14101-2025")</f>
        <v/>
      </c>
      <c r="W108">
        <f>HYPERLINK("https://klasma.github.io/Logging_0482/klagomålsmail/A 14101-2025 FSC-klagomål mail.docx", "A 14101-2025")</f>
        <v/>
      </c>
      <c r="X108">
        <f>HYPERLINK("https://klasma.github.io/Logging_0482/tillsyn/A 14101-2025 tillsynsbegäran.docx", "A 14101-2025")</f>
        <v/>
      </c>
      <c r="Y108">
        <f>HYPERLINK("https://klasma.github.io/Logging_0482/tillsynsmail/A 14101-2025 tillsynsbegäran mail.docx", "A 14101-2025")</f>
        <v/>
      </c>
    </row>
    <row r="109" ht="15" customHeight="1">
      <c r="A109" t="inlineStr">
        <is>
          <t>A 54302-2025</t>
        </is>
      </c>
      <c r="B109" s="1" t="n">
        <v>45965</v>
      </c>
      <c r="C109" s="1" t="n">
        <v>46198</v>
      </c>
      <c r="D109" t="inlineStr">
        <is>
          <t>SÖDERMANLANDS LÄN</t>
        </is>
      </c>
      <c r="E109" t="inlineStr">
        <is>
          <t>FLEN</t>
        </is>
      </c>
      <c r="G109" t="n">
        <v>12.6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Dofttaggsvamp</t>
        </is>
      </c>
      <c r="S109">
        <f>HYPERLINK("https://klasma.github.io/Logging_0482/artfynd/A 54302-2025 artfynd.xlsx", "A 54302-2025")</f>
        <v/>
      </c>
      <c r="T109">
        <f>HYPERLINK("https://klasma.github.io/Logging_0482/kartor/A 54302-2025 karta.png", "A 54302-2025")</f>
        <v/>
      </c>
      <c r="V109">
        <f>HYPERLINK("https://klasma.github.io/Logging_0482/klagomål/A 54302-2025 FSC-klagomål.docx", "A 54302-2025")</f>
        <v/>
      </c>
      <c r="W109">
        <f>HYPERLINK("https://klasma.github.io/Logging_0482/klagomålsmail/A 54302-2025 FSC-klagomål mail.docx", "A 54302-2025")</f>
        <v/>
      </c>
      <c r="X109">
        <f>HYPERLINK("https://klasma.github.io/Logging_0482/tillsyn/A 54302-2025 tillsynsbegäran.docx", "A 54302-2025")</f>
        <v/>
      </c>
      <c r="Y109">
        <f>HYPERLINK("https://klasma.github.io/Logging_0482/tillsynsmail/A 54302-2025 tillsynsbegäran mail.docx", "A 54302-2025")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46198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60529-2024</t>
        </is>
      </c>
      <c r="B111" s="1" t="n">
        <v>45643</v>
      </c>
      <c r="C111" s="1" t="n">
        <v>46198</v>
      </c>
      <c r="D111" t="inlineStr">
        <is>
          <t>SÖDERMANLANDS LÄN</t>
        </is>
      </c>
      <c r="E111" t="inlineStr">
        <is>
          <t>FLEN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Skarp dropptaggsvamp</t>
        </is>
      </c>
      <c r="S111">
        <f>HYPERLINK("https://klasma.github.io/Logging_0482/artfynd/A 60529-2024 artfynd.xlsx", "A 60529-2024")</f>
        <v/>
      </c>
      <c r="T111">
        <f>HYPERLINK("https://klasma.github.io/Logging_0482/kartor/A 60529-2024 karta.png", "A 60529-2024")</f>
        <v/>
      </c>
      <c r="V111">
        <f>HYPERLINK("https://klasma.github.io/Logging_0482/klagomål/A 60529-2024 FSC-klagomål.docx", "A 60529-2024")</f>
        <v/>
      </c>
      <c r="W111">
        <f>HYPERLINK("https://klasma.github.io/Logging_0482/klagomålsmail/A 60529-2024 FSC-klagomål mail.docx", "A 60529-2024")</f>
        <v/>
      </c>
      <c r="X111">
        <f>HYPERLINK("https://klasma.github.io/Logging_0482/tillsyn/A 60529-2024 tillsynsbegäran.docx", "A 60529-2024")</f>
        <v/>
      </c>
      <c r="Y111">
        <f>HYPERLINK("https://klasma.github.io/Logging_0482/tillsynsmail/A 60529-2024 tillsynsbegäran mail.docx", "A 60529-2024")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46198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21704-2026</t>
        </is>
      </c>
      <c r="B113" s="1" t="n">
        <v>46149</v>
      </c>
      <c r="C113" s="1" t="n">
        <v>46198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Kandelabersvamp</t>
        </is>
      </c>
      <c r="S113">
        <f>HYPERLINK("https://klasma.github.io/Logging_0482/artfynd/A 21704-2026 artfynd.xlsx", "A 21704-2026")</f>
        <v/>
      </c>
      <c r="T113">
        <f>HYPERLINK("https://klasma.github.io/Logging_0482/kartor/A 21704-2026 karta.png", "A 21704-2026")</f>
        <v/>
      </c>
      <c r="V113">
        <f>HYPERLINK("https://klasma.github.io/Logging_0482/klagomål/A 21704-2026 FSC-klagomål.docx", "A 21704-2026")</f>
        <v/>
      </c>
      <c r="W113">
        <f>HYPERLINK("https://klasma.github.io/Logging_0482/klagomålsmail/A 21704-2026 FSC-klagomål mail.docx", "A 21704-2026")</f>
        <v/>
      </c>
      <c r="X113">
        <f>HYPERLINK("https://klasma.github.io/Logging_0482/tillsyn/A 21704-2026 tillsynsbegäran.docx", "A 21704-2026")</f>
        <v/>
      </c>
      <c r="Y113">
        <f>HYPERLINK("https://klasma.github.io/Logging_0482/tillsynsmail/A 21704-2026 tillsynsbegäran mail.docx", "A 21704-2026")</f>
        <v/>
      </c>
    </row>
    <row r="114" ht="15" customHeight="1">
      <c r="A114" t="inlineStr">
        <is>
          <t>A 59393-2025</t>
        </is>
      </c>
      <c r="B114" s="1" t="n">
        <v>45989</v>
      </c>
      <c r="C114" s="1" t="n">
        <v>46198</v>
      </c>
      <c r="D114" t="inlineStr">
        <is>
          <t>SÖDERMANLANDS LÄN</t>
        </is>
      </c>
      <c r="E114" t="inlineStr">
        <is>
          <t>FLEN</t>
        </is>
      </c>
      <c r="G114" t="n">
        <v>1.7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59393-2025 artfynd.xlsx", "A 59393-2025")</f>
        <v/>
      </c>
      <c r="T114">
        <f>HYPERLINK("https://klasma.github.io/Logging_0482/kartor/A 59393-2025 karta.png", "A 59393-2025")</f>
        <v/>
      </c>
      <c r="V114">
        <f>HYPERLINK("https://klasma.github.io/Logging_0482/klagomål/A 59393-2025 FSC-klagomål.docx", "A 59393-2025")</f>
        <v/>
      </c>
      <c r="W114">
        <f>HYPERLINK("https://klasma.github.io/Logging_0482/klagomålsmail/A 59393-2025 FSC-klagomål mail.docx", "A 59393-2025")</f>
        <v/>
      </c>
      <c r="X114">
        <f>HYPERLINK("https://klasma.github.io/Logging_0482/tillsyn/A 59393-2025 tillsynsbegäran.docx", "A 59393-2025")</f>
        <v/>
      </c>
      <c r="Y114">
        <f>HYPERLINK("https://klasma.github.io/Logging_0482/tillsynsmail/A 59393-2025 tillsynsbegäran mail.docx", "A 59393-2025")</f>
        <v/>
      </c>
    </row>
    <row r="115" ht="15" customHeight="1">
      <c r="A115" t="inlineStr">
        <is>
          <t>A 52546-2021</t>
        </is>
      </c>
      <c r="B115" s="1" t="n">
        <v>44463</v>
      </c>
      <c r="C115" s="1" t="n">
        <v>46198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Mindre bastardsvärmare</t>
        </is>
      </c>
      <c r="S115">
        <f>HYPERLINK("https://klasma.github.io/Logging_0482/artfynd/A 52546-2021 artfynd.xlsx", "A 52546-2021")</f>
        <v/>
      </c>
      <c r="T115">
        <f>HYPERLINK("https://klasma.github.io/Logging_0482/kartor/A 52546-2021 karta.png", "A 52546-2021")</f>
        <v/>
      </c>
      <c r="V115">
        <f>HYPERLINK("https://klasma.github.io/Logging_0482/klagomål/A 52546-2021 FSC-klagomål.docx", "A 52546-2021")</f>
        <v/>
      </c>
      <c r="W115">
        <f>HYPERLINK("https://klasma.github.io/Logging_0482/klagomålsmail/A 52546-2021 FSC-klagomål mail.docx", "A 52546-2021")</f>
        <v/>
      </c>
      <c r="X115">
        <f>HYPERLINK("https://klasma.github.io/Logging_0482/tillsyn/A 52546-2021 tillsynsbegäran.docx", "A 52546-2021")</f>
        <v/>
      </c>
      <c r="Y115">
        <f>HYPERLINK("https://klasma.github.io/Logging_0482/tillsynsmail/A 52546-2021 tillsynsbegäran mail.docx", "A 52546-2021")</f>
        <v/>
      </c>
    </row>
    <row r="116" ht="15" customHeight="1">
      <c r="A116" t="inlineStr">
        <is>
          <t>A 45120-2021</t>
        </is>
      </c>
      <c r="B116" s="1" t="n">
        <v>44439</v>
      </c>
      <c r="C116" s="1" t="n">
        <v>46198</v>
      </c>
      <c r="D116" t="inlineStr">
        <is>
          <t>SÖDERMANLANDS LÄN</t>
        </is>
      </c>
      <c r="E116" t="inlineStr">
        <is>
          <t>FLEN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45120-2021 artfynd.xlsx", "A 45120-2021")</f>
        <v/>
      </c>
      <c r="T116">
        <f>HYPERLINK("https://klasma.github.io/Logging_0482/kartor/A 45120-2021 karta.png", "A 45120-2021")</f>
        <v/>
      </c>
      <c r="V116">
        <f>HYPERLINK("https://klasma.github.io/Logging_0482/klagomål/A 45120-2021 FSC-klagomål.docx", "A 45120-2021")</f>
        <v/>
      </c>
      <c r="W116">
        <f>HYPERLINK("https://klasma.github.io/Logging_0482/klagomålsmail/A 45120-2021 FSC-klagomål mail.docx", "A 45120-2021")</f>
        <v/>
      </c>
      <c r="X116">
        <f>HYPERLINK("https://klasma.github.io/Logging_0482/tillsyn/A 45120-2021 tillsynsbegäran.docx", "A 45120-2021")</f>
        <v/>
      </c>
      <c r="Y116">
        <f>HYPERLINK("https://klasma.github.io/Logging_0482/tillsynsmail/A 45120-2021 tillsynsbegäran mail.docx", "A 45120-2021")</f>
        <v/>
      </c>
    </row>
    <row r="117" ht="15" customHeight="1">
      <c r="A117" t="inlineStr">
        <is>
          <t>A 46987-2024</t>
        </is>
      </c>
      <c r="B117" s="1" t="n">
        <v>45586</v>
      </c>
      <c r="C117" s="1" t="n">
        <v>46198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46987-2024 artfynd.xlsx", "A 46987-2024")</f>
        <v/>
      </c>
      <c r="T117">
        <f>HYPERLINK("https://klasma.github.io/Logging_0482/kartor/A 46987-2024 karta.png", "A 46987-2024")</f>
        <v/>
      </c>
      <c r="V117">
        <f>HYPERLINK("https://klasma.github.io/Logging_0482/klagomål/A 46987-2024 FSC-klagomål.docx", "A 46987-2024")</f>
        <v/>
      </c>
      <c r="W117">
        <f>HYPERLINK("https://klasma.github.io/Logging_0482/klagomålsmail/A 46987-2024 FSC-klagomål mail.docx", "A 46987-2024")</f>
        <v/>
      </c>
      <c r="X117">
        <f>HYPERLINK("https://klasma.github.io/Logging_0482/tillsyn/A 46987-2024 tillsynsbegäran.docx", "A 46987-2024")</f>
        <v/>
      </c>
      <c r="Y117">
        <f>HYPERLINK("https://klasma.github.io/Logging_0482/tillsynsmail/A 46987-2024 tillsynsbegäran mail.docx", "A 46987-2024")</f>
        <v/>
      </c>
    </row>
    <row r="118" ht="15" customHeight="1">
      <c r="A118" t="inlineStr">
        <is>
          <t>A 2043-2026</t>
        </is>
      </c>
      <c r="B118" s="1" t="n">
        <v>46035</v>
      </c>
      <c r="C118" s="1" t="n">
        <v>46198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Scharlakansvaxing</t>
        </is>
      </c>
      <c r="S118">
        <f>HYPERLINK("https://klasma.github.io/Logging_0482/artfynd/A 2043-2026 artfynd.xlsx", "A 2043-2026")</f>
        <v/>
      </c>
      <c r="T118">
        <f>HYPERLINK("https://klasma.github.io/Logging_0482/kartor/A 2043-2026 karta.png", "A 2043-2026")</f>
        <v/>
      </c>
      <c r="V118">
        <f>HYPERLINK("https://klasma.github.io/Logging_0482/klagomål/A 2043-2026 FSC-klagomål.docx", "A 2043-2026")</f>
        <v/>
      </c>
      <c r="W118">
        <f>HYPERLINK("https://klasma.github.io/Logging_0482/klagomålsmail/A 2043-2026 FSC-klagomål mail.docx", "A 2043-2026")</f>
        <v/>
      </c>
      <c r="X118">
        <f>HYPERLINK("https://klasma.github.io/Logging_0482/tillsyn/A 2043-2026 tillsynsbegäran.docx", "A 2043-2026")</f>
        <v/>
      </c>
      <c r="Y118">
        <f>HYPERLINK("https://klasma.github.io/Logging_0482/tillsynsmail/A 2043-2026 tillsynsbegäran mail.docx", "A 2043-2026")</f>
        <v/>
      </c>
    </row>
    <row r="119" ht="15" customHeight="1">
      <c r="A119" t="inlineStr">
        <is>
          <t>A 10770-2022</t>
        </is>
      </c>
      <c r="B119" s="1" t="n">
        <v>44624</v>
      </c>
      <c r="C119" s="1" t="n">
        <v>46198</v>
      </c>
      <c r="D119" t="inlineStr">
        <is>
          <t>SÖDERMANLANDS LÄN</t>
        </is>
      </c>
      <c r="E119" t="inlineStr">
        <is>
          <t>FLEN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10770-2022 artfynd.xlsx", "A 10770-2022")</f>
        <v/>
      </c>
      <c r="T119">
        <f>HYPERLINK("https://klasma.github.io/Logging_0482/kartor/A 10770-2022 karta.png", "A 10770-2022")</f>
        <v/>
      </c>
      <c r="V119">
        <f>HYPERLINK("https://klasma.github.io/Logging_0482/klagomål/A 10770-2022 FSC-klagomål.docx", "A 10770-2022")</f>
        <v/>
      </c>
      <c r="W119">
        <f>HYPERLINK("https://klasma.github.io/Logging_0482/klagomålsmail/A 10770-2022 FSC-klagomål mail.docx", "A 10770-2022")</f>
        <v/>
      </c>
      <c r="X119">
        <f>HYPERLINK("https://klasma.github.io/Logging_0482/tillsyn/A 10770-2022 tillsynsbegäran.docx", "A 10770-2022")</f>
        <v/>
      </c>
      <c r="Y119">
        <f>HYPERLINK("https://klasma.github.io/Logging_0482/tillsynsmail/A 10770-2022 tillsynsbegäran mail.docx", "A 10770-2022")</f>
        <v/>
      </c>
    </row>
    <row r="120" ht="15" customHeight="1">
      <c r="A120" t="inlineStr">
        <is>
          <t>A 2036-2026</t>
        </is>
      </c>
      <c r="B120" s="1" t="n">
        <v>46035</v>
      </c>
      <c r="C120" s="1" t="n">
        <v>46198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2036-2026 artfynd.xlsx", "A 2036-2026")</f>
        <v/>
      </c>
      <c r="T120">
        <f>HYPERLINK("https://klasma.github.io/Logging_0482/kartor/A 2036-2026 karta.png", "A 2036-2026")</f>
        <v/>
      </c>
      <c r="U120">
        <f>HYPERLINK("https://klasma.github.io/Logging_0482/knärot/A 2036-2026 karta knärot.png", "A 2036-2026")</f>
        <v/>
      </c>
      <c r="V120">
        <f>HYPERLINK("https://klasma.github.io/Logging_0482/klagomål/A 2036-2026 FSC-klagomål.docx", "A 2036-2026")</f>
        <v/>
      </c>
      <c r="W120">
        <f>HYPERLINK("https://klasma.github.io/Logging_0482/klagomålsmail/A 2036-2026 FSC-klagomål mail.docx", "A 2036-2026")</f>
        <v/>
      </c>
      <c r="X120">
        <f>HYPERLINK("https://klasma.github.io/Logging_0482/tillsyn/A 2036-2026 tillsynsbegäran.docx", "A 2036-2026")</f>
        <v/>
      </c>
      <c r="Y120">
        <f>HYPERLINK("https://klasma.github.io/Logging_0482/tillsynsmail/A 2036-2026 tillsynsbegäran mail.docx", "A 2036-2026")</f>
        <v/>
      </c>
    </row>
    <row r="121" ht="15" customHeight="1">
      <c r="A121" t="inlineStr">
        <is>
          <t>A 39036-2023</t>
        </is>
      </c>
      <c r="B121" s="1" t="n">
        <v>45163</v>
      </c>
      <c r="C121" s="1" t="n">
        <v>46198</v>
      </c>
      <c r="D121" t="inlineStr">
        <is>
          <t>SÖDERMANLANDS LÄN</t>
        </is>
      </c>
      <c r="E121" t="inlineStr">
        <is>
          <t>FLEN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Igelkott</t>
        </is>
      </c>
      <c r="S121">
        <f>HYPERLINK("https://klasma.github.io/Logging_0482/artfynd/A 39036-2023 artfynd.xlsx", "A 39036-2023")</f>
        <v/>
      </c>
      <c r="T121">
        <f>HYPERLINK("https://klasma.github.io/Logging_0482/kartor/A 39036-2023 karta.png", "A 39036-2023")</f>
        <v/>
      </c>
      <c r="V121">
        <f>HYPERLINK("https://klasma.github.io/Logging_0482/klagomål/A 39036-2023 FSC-klagomål.docx", "A 39036-2023")</f>
        <v/>
      </c>
      <c r="W121">
        <f>HYPERLINK("https://klasma.github.io/Logging_0482/klagomålsmail/A 39036-2023 FSC-klagomål mail.docx", "A 39036-2023")</f>
        <v/>
      </c>
      <c r="X121">
        <f>HYPERLINK("https://klasma.github.io/Logging_0482/tillsyn/A 39036-2023 tillsynsbegäran.docx", "A 39036-2023")</f>
        <v/>
      </c>
      <c r="Y121">
        <f>HYPERLINK("https://klasma.github.io/Logging_0482/tillsynsmail/A 39036-2023 tillsynsbegäran mail.docx", "A 39036-2023")</f>
        <v/>
      </c>
    </row>
    <row r="122" ht="15" customHeight="1">
      <c r="A122" t="inlineStr">
        <is>
          <t>A 12371-2022</t>
        </is>
      </c>
      <c r="B122" s="1" t="n">
        <v>44637</v>
      </c>
      <c r="C122" s="1" t="n">
        <v>46198</v>
      </c>
      <c r="D122" t="inlineStr">
        <is>
          <t>SÖDERMANLANDS LÄN</t>
        </is>
      </c>
      <c r="E122" t="inlineStr">
        <is>
          <t>FLEN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Gullklöver</t>
        </is>
      </c>
      <c r="S122">
        <f>HYPERLINK("https://klasma.github.io/Logging_0482/artfynd/A 12371-2022 artfynd.xlsx", "A 12371-2022")</f>
        <v/>
      </c>
      <c r="T122">
        <f>HYPERLINK("https://klasma.github.io/Logging_0482/kartor/A 12371-2022 karta.png", "A 12371-2022")</f>
        <v/>
      </c>
      <c r="V122">
        <f>HYPERLINK("https://klasma.github.io/Logging_0482/klagomål/A 12371-2022 FSC-klagomål.docx", "A 12371-2022")</f>
        <v/>
      </c>
      <c r="W122">
        <f>HYPERLINK("https://klasma.github.io/Logging_0482/klagomålsmail/A 12371-2022 FSC-klagomål mail.docx", "A 12371-2022")</f>
        <v/>
      </c>
      <c r="X122">
        <f>HYPERLINK("https://klasma.github.io/Logging_0482/tillsyn/A 12371-2022 tillsynsbegäran.docx", "A 12371-2022")</f>
        <v/>
      </c>
      <c r="Y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6714-2026</t>
        </is>
      </c>
      <c r="B123" s="1" t="n">
        <v>46056</v>
      </c>
      <c r="C123" s="1" t="n">
        <v>46198</v>
      </c>
      <c r="D123" t="inlineStr">
        <is>
          <t>SÖDERMANLANDS LÄN</t>
        </is>
      </c>
      <c r="E123" t="inlineStr">
        <is>
          <t>FLEN</t>
        </is>
      </c>
      <c r="G123" t="n">
        <v>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6714-2026 artfynd.xlsx", "A 6714-2026")</f>
        <v/>
      </c>
      <c r="T123">
        <f>HYPERLINK("https://klasma.github.io/Logging_0482/kartor/A 6714-2026 karta.png", "A 6714-2026")</f>
        <v/>
      </c>
      <c r="V123">
        <f>HYPERLINK("https://klasma.github.io/Logging_0482/klagomål/A 6714-2026 FSC-klagomål.docx", "A 6714-2026")</f>
        <v/>
      </c>
      <c r="W123">
        <f>HYPERLINK("https://klasma.github.io/Logging_0482/klagomålsmail/A 6714-2026 FSC-klagomål mail.docx", "A 6714-2026")</f>
        <v/>
      </c>
      <c r="X123">
        <f>HYPERLINK("https://klasma.github.io/Logging_0482/tillsyn/A 6714-2026 tillsynsbegäran.docx", "A 6714-2026")</f>
        <v/>
      </c>
      <c r="Y123">
        <f>HYPERLINK("https://klasma.github.io/Logging_0482/tillsynsmail/A 6714-2026 tillsynsbegäran mail.docx", "A 6714-2026")</f>
        <v/>
      </c>
    </row>
    <row r="124" ht="15" customHeight="1">
      <c r="A124" t="inlineStr">
        <is>
          <t>A 60591-2022</t>
        </is>
      </c>
      <c r="B124" s="1" t="n">
        <v>44911</v>
      </c>
      <c r="C124" s="1" t="n">
        <v>46198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60591-2022 artfynd.xlsx", "A 60591-2022")</f>
        <v/>
      </c>
      <c r="T124">
        <f>HYPERLINK("https://klasma.github.io/Logging_0482/kartor/A 60591-2022 karta.png", "A 60591-2022")</f>
        <v/>
      </c>
      <c r="V124">
        <f>HYPERLINK("https://klasma.github.io/Logging_0482/klagomål/A 60591-2022 FSC-klagomål.docx", "A 60591-2022")</f>
        <v/>
      </c>
      <c r="W124">
        <f>HYPERLINK("https://klasma.github.io/Logging_0482/klagomålsmail/A 60591-2022 FSC-klagomål mail.docx", "A 60591-2022")</f>
        <v/>
      </c>
      <c r="X124">
        <f>HYPERLINK("https://klasma.github.io/Logging_0482/tillsyn/A 60591-2022 tillsynsbegäran.docx", "A 60591-2022")</f>
        <v/>
      </c>
      <c r="Y124">
        <f>HYPERLINK("https://klasma.github.io/Logging_0482/tillsynsmail/A 60591-2022 tillsynsbegäran mail.docx", "A 60591-2022")</f>
        <v/>
      </c>
    </row>
    <row r="125" ht="15" customHeight="1">
      <c r="A125" t="inlineStr">
        <is>
          <t>A 4259-2023</t>
        </is>
      </c>
      <c r="B125" s="1" t="n">
        <v>44953</v>
      </c>
      <c r="C125" s="1" t="n">
        <v>46198</v>
      </c>
      <c r="D125" t="inlineStr">
        <is>
          <t>SÖDERMANLANDS LÄN</t>
        </is>
      </c>
      <c r="E125" t="inlineStr">
        <is>
          <t>FLEN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4259-2023 artfynd.xlsx", "A 4259-2023")</f>
        <v/>
      </c>
      <c r="T125">
        <f>HYPERLINK("https://klasma.github.io/Logging_0482/kartor/A 4259-2023 karta.png", "A 4259-2023")</f>
        <v/>
      </c>
      <c r="V125">
        <f>HYPERLINK("https://klasma.github.io/Logging_0482/klagomål/A 4259-2023 FSC-klagomål.docx", "A 4259-2023")</f>
        <v/>
      </c>
      <c r="W125">
        <f>HYPERLINK("https://klasma.github.io/Logging_0482/klagomålsmail/A 4259-2023 FSC-klagomål mail.docx", "A 4259-2023")</f>
        <v/>
      </c>
      <c r="X125">
        <f>HYPERLINK("https://klasma.github.io/Logging_0482/tillsyn/A 4259-2023 tillsynsbegäran.docx", "A 4259-2023")</f>
        <v/>
      </c>
      <c r="Y125">
        <f>HYPERLINK("https://klasma.github.io/Logging_0482/tillsynsmail/A 4259-2023 tillsynsbegäran mail.docx", "A 4259-2023")</f>
        <v/>
      </c>
    </row>
    <row r="126" ht="15" customHeight="1">
      <c r="A126" t="inlineStr">
        <is>
          <t>A 9446-2026</t>
        </is>
      </c>
      <c r="B126" s="1" t="n">
        <v>46071</v>
      </c>
      <c r="C126" s="1" t="n">
        <v>46198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0.8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9446-2026 artfynd.xlsx", "A 9446-2026")</f>
        <v/>
      </c>
      <c r="T126">
        <f>HYPERLINK("https://klasma.github.io/Logging_0482/kartor/A 9446-2026 karta.png", "A 9446-2026")</f>
        <v/>
      </c>
      <c r="V126">
        <f>HYPERLINK("https://klasma.github.io/Logging_0482/klagomål/A 9446-2026 FSC-klagomål.docx", "A 9446-2026")</f>
        <v/>
      </c>
      <c r="W126">
        <f>HYPERLINK("https://klasma.github.io/Logging_0482/klagomålsmail/A 9446-2026 FSC-klagomål mail.docx", "A 9446-2026")</f>
        <v/>
      </c>
      <c r="X126">
        <f>HYPERLINK("https://klasma.github.io/Logging_0482/tillsyn/A 9446-2026 tillsynsbegäran.docx", "A 9446-2026")</f>
        <v/>
      </c>
      <c r="Y126">
        <f>HYPERLINK("https://klasma.github.io/Logging_0482/tillsynsmail/A 9446-2026 tillsynsbegäran mail.docx", "A 9446-2026")</f>
        <v/>
      </c>
    </row>
    <row r="127" ht="15" customHeight="1">
      <c r="A127" t="inlineStr">
        <is>
          <t>A 63185-2023</t>
        </is>
      </c>
      <c r="B127" s="1" t="n">
        <v>45272</v>
      </c>
      <c r="C127" s="1" t="n">
        <v>46198</v>
      </c>
      <c r="D127" t="inlineStr">
        <is>
          <t>SÖDERMANLANDS LÄN</t>
        </is>
      </c>
      <c r="E127" t="inlineStr">
        <is>
          <t>FLEN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63185-2023 artfynd.xlsx", "A 63185-2023")</f>
        <v/>
      </c>
      <c r="T127">
        <f>HYPERLINK("https://klasma.github.io/Logging_0482/kartor/A 63185-2023 karta.png", "A 63185-2023")</f>
        <v/>
      </c>
      <c r="V127">
        <f>HYPERLINK("https://klasma.github.io/Logging_0482/klagomål/A 63185-2023 FSC-klagomål.docx", "A 63185-2023")</f>
        <v/>
      </c>
      <c r="W127">
        <f>HYPERLINK("https://klasma.github.io/Logging_0482/klagomålsmail/A 63185-2023 FSC-klagomål mail.docx", "A 63185-2023")</f>
        <v/>
      </c>
      <c r="X127">
        <f>HYPERLINK("https://klasma.github.io/Logging_0482/tillsyn/A 63185-2023 tillsynsbegäran.docx", "A 63185-2023")</f>
        <v/>
      </c>
      <c r="Y127">
        <f>HYPERLINK("https://klasma.github.io/Logging_0482/tillsynsmail/A 63185-2023 tillsynsbegäran mail.docx", "A 63185-2023")</f>
        <v/>
      </c>
    </row>
    <row r="128" ht="15" customHeight="1">
      <c r="A128" t="inlineStr">
        <is>
          <t>A 10999-2026</t>
        </is>
      </c>
      <c r="B128" s="1" t="n">
        <v>46079</v>
      </c>
      <c r="C128" s="1" t="n">
        <v>46198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10999-2026 artfynd.xlsx", "A 10999-2026")</f>
        <v/>
      </c>
      <c r="T128">
        <f>HYPERLINK("https://klasma.github.io/Logging_0482/kartor/A 10999-2026 karta.png", "A 10999-2026")</f>
        <v/>
      </c>
      <c r="V128">
        <f>HYPERLINK("https://klasma.github.io/Logging_0482/klagomål/A 10999-2026 FSC-klagomål.docx", "A 10999-2026")</f>
        <v/>
      </c>
      <c r="W128">
        <f>HYPERLINK("https://klasma.github.io/Logging_0482/klagomålsmail/A 10999-2026 FSC-klagomål mail.docx", "A 10999-2026")</f>
        <v/>
      </c>
      <c r="X128">
        <f>HYPERLINK("https://klasma.github.io/Logging_0482/tillsyn/A 10999-2026 tillsynsbegäran.docx", "A 10999-2026")</f>
        <v/>
      </c>
      <c r="Y128">
        <f>HYPERLINK("https://klasma.github.io/Logging_0482/tillsynsmail/A 10999-2026 tillsynsbegäran mail.docx", "A 10999-2026")</f>
        <v/>
      </c>
    </row>
    <row r="129" ht="15" customHeight="1">
      <c r="A129" t="inlineStr">
        <is>
          <t>A 12306-2022</t>
        </is>
      </c>
      <c r="B129" s="1" t="n">
        <v>44637</v>
      </c>
      <c r="C129" s="1" t="n">
        <v>46198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Järnsparv</t>
        </is>
      </c>
      <c r="S129">
        <f>HYPERLINK("https://klasma.github.io/Logging_0482/artfynd/A 12306-2022 artfynd.xlsx", "A 12306-2022")</f>
        <v/>
      </c>
      <c r="T129">
        <f>HYPERLINK("https://klasma.github.io/Logging_0482/kartor/A 12306-2022 karta.png", "A 12306-2022")</f>
        <v/>
      </c>
      <c r="V129">
        <f>HYPERLINK("https://klasma.github.io/Logging_0482/klagomål/A 12306-2022 FSC-klagomål.docx", "A 12306-2022")</f>
        <v/>
      </c>
      <c r="W129">
        <f>HYPERLINK("https://klasma.github.io/Logging_0482/klagomålsmail/A 12306-2022 FSC-klagomål mail.docx", "A 12306-2022")</f>
        <v/>
      </c>
      <c r="X129">
        <f>HYPERLINK("https://klasma.github.io/Logging_0482/tillsyn/A 12306-2022 tillsynsbegäran.docx", "A 12306-2022")</f>
        <v/>
      </c>
      <c r="Y129">
        <f>HYPERLINK("https://klasma.github.io/Logging_0482/tillsynsmail/A 12306-2022 tillsynsbegäran mail.docx", "A 12306-2022")</f>
        <v/>
      </c>
      <c r="Z129">
        <f>HYPERLINK("https://klasma.github.io/Logging_0482/fåglar/A 12306-2022 prioriterade fågelarter.docx", "A 12306-2022")</f>
        <v/>
      </c>
    </row>
    <row r="130" ht="15" customHeight="1">
      <c r="A130" t="inlineStr">
        <is>
          <t>A 29195-2023</t>
        </is>
      </c>
      <c r="B130" s="1" t="n">
        <v>45105</v>
      </c>
      <c r="C130" s="1" t="n">
        <v>46198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HYPERLINK("https://klasma.github.io/Logging_0482/artfynd/A 29195-2023 artfynd.xlsx", "A 29195-2023")</f>
        <v/>
      </c>
      <c r="T130">
        <f>HYPERLINK("https://klasma.github.io/Logging_0482/kartor/A 29195-2023 karta.png", "A 29195-2023")</f>
        <v/>
      </c>
      <c r="V130">
        <f>HYPERLINK("https://klasma.github.io/Logging_0482/klagomål/A 29195-2023 FSC-klagomål.docx", "A 29195-2023")</f>
        <v/>
      </c>
      <c r="W130">
        <f>HYPERLINK("https://klasma.github.io/Logging_0482/klagomålsmail/A 29195-2023 FSC-klagomål mail.docx", "A 29195-2023")</f>
        <v/>
      </c>
      <c r="X130">
        <f>HYPERLINK("https://klasma.github.io/Logging_0482/tillsyn/A 29195-2023 tillsynsbegäran.docx", "A 29195-2023")</f>
        <v/>
      </c>
      <c r="Y130">
        <f>HYPERLINK("https://klasma.github.io/Logging_0482/tillsynsmail/A 29195-2023 tillsynsbegäran mail.docx", "A 29195-2023")</f>
        <v/>
      </c>
    </row>
    <row r="131" ht="15" customHeight="1">
      <c r="A131" t="inlineStr">
        <is>
          <t>A 60562-2021</t>
        </is>
      </c>
      <c r="B131" s="1" t="n">
        <v>44495</v>
      </c>
      <c r="C131" s="1" t="n">
        <v>46198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60562-2021 artfynd.xlsx", "A 60562-2021")</f>
        <v/>
      </c>
      <c r="T131">
        <f>HYPERLINK("https://klasma.github.io/Logging_0482/kartor/A 60562-2021 karta.png", "A 60562-2021")</f>
        <v/>
      </c>
      <c r="V131">
        <f>HYPERLINK("https://klasma.github.io/Logging_0482/klagomål/A 60562-2021 FSC-klagomål.docx", "A 60562-2021")</f>
        <v/>
      </c>
      <c r="W131">
        <f>HYPERLINK("https://klasma.github.io/Logging_0482/klagomålsmail/A 60562-2021 FSC-klagomål mail.docx", "A 60562-2021")</f>
        <v/>
      </c>
      <c r="X131">
        <f>HYPERLINK("https://klasma.github.io/Logging_0482/tillsyn/A 60562-2021 tillsynsbegäran.docx", "A 60562-2021")</f>
        <v/>
      </c>
      <c r="Y131">
        <f>HYPERLINK("https://klasma.github.io/Logging_0482/tillsynsmail/A 60562-2021 tillsynsbegäran mail.docx", "A 60562-2021")</f>
        <v/>
      </c>
    </row>
    <row r="132" ht="15" customHeight="1">
      <c r="A132" t="inlineStr">
        <is>
          <t>A 50202-2022</t>
        </is>
      </c>
      <c r="B132" s="1" t="n">
        <v>44865</v>
      </c>
      <c r="C132" s="1" t="n">
        <v>46198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50202-2022 artfynd.xlsx", "A 50202-2022")</f>
        <v/>
      </c>
      <c r="T132">
        <f>HYPERLINK("https://klasma.github.io/Logging_0482/kartor/A 50202-2022 karta.png", "A 50202-2022")</f>
        <v/>
      </c>
      <c r="V132">
        <f>HYPERLINK("https://klasma.github.io/Logging_0482/klagomål/A 50202-2022 FSC-klagomål.docx", "A 50202-2022")</f>
        <v/>
      </c>
      <c r="W132">
        <f>HYPERLINK("https://klasma.github.io/Logging_0482/klagomålsmail/A 50202-2022 FSC-klagomål mail.docx", "A 50202-2022")</f>
        <v/>
      </c>
      <c r="X132">
        <f>HYPERLINK("https://klasma.github.io/Logging_0482/tillsyn/A 50202-2022 tillsynsbegäran.docx", "A 50202-2022")</f>
        <v/>
      </c>
      <c r="Y132">
        <f>HYPERLINK("https://klasma.github.io/Logging_0482/tillsynsmail/A 50202-2022 tillsynsbegäran mail.docx", "A 50202-2022")</f>
        <v/>
      </c>
    </row>
    <row r="133" ht="15" customHeight="1">
      <c r="A133" t="inlineStr">
        <is>
          <t>A 16095-2026</t>
        </is>
      </c>
      <c r="B133" s="1" t="n">
        <v>46108</v>
      </c>
      <c r="C133" s="1" t="n">
        <v>46198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Bivråk</t>
        </is>
      </c>
      <c r="S133">
        <f>HYPERLINK("https://klasma.github.io/Logging_0482/artfynd/A 16095-2026 artfynd.xlsx", "A 16095-2026")</f>
        <v/>
      </c>
      <c r="T133">
        <f>HYPERLINK("https://klasma.github.io/Logging_0482/kartor/A 16095-2026 karta.png", "A 16095-2026")</f>
        <v/>
      </c>
      <c r="V133">
        <f>HYPERLINK("https://klasma.github.io/Logging_0482/klagomål/A 16095-2026 FSC-klagomål.docx", "A 16095-2026")</f>
        <v/>
      </c>
      <c r="W133">
        <f>HYPERLINK("https://klasma.github.io/Logging_0482/klagomålsmail/A 16095-2026 FSC-klagomål mail.docx", "A 16095-2026")</f>
        <v/>
      </c>
      <c r="X133">
        <f>HYPERLINK("https://klasma.github.io/Logging_0482/tillsyn/A 16095-2026 tillsynsbegäran.docx", "A 16095-2026")</f>
        <v/>
      </c>
      <c r="Y133">
        <f>HYPERLINK("https://klasma.github.io/Logging_0482/tillsynsmail/A 16095-2026 tillsynsbegäran mail.docx", "A 16095-2026")</f>
        <v/>
      </c>
      <c r="Z133">
        <f>HYPERLINK("https://klasma.github.io/Logging_0482/fåglar/A 16095-2026 prioriterade fågelarter.docx", "A 16095-2026")</f>
        <v/>
      </c>
    </row>
    <row r="134" ht="15" customHeight="1">
      <c r="A134" t="inlineStr">
        <is>
          <t>A 7973-2024</t>
        </is>
      </c>
      <c r="B134" s="1" t="n">
        <v>45350</v>
      </c>
      <c r="C134" s="1" t="n">
        <v>46198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Vippärt</t>
        </is>
      </c>
      <c r="S134">
        <f>HYPERLINK("https://klasma.github.io/Logging_0482/artfynd/A 7973-2024 artfynd.xlsx", "A 7973-2024")</f>
        <v/>
      </c>
      <c r="T134">
        <f>HYPERLINK("https://klasma.github.io/Logging_0482/kartor/A 7973-2024 karta.png", "A 7973-2024")</f>
        <v/>
      </c>
      <c r="V134">
        <f>HYPERLINK("https://klasma.github.io/Logging_0482/klagomål/A 7973-2024 FSC-klagomål.docx", "A 7973-2024")</f>
        <v/>
      </c>
      <c r="W134">
        <f>HYPERLINK("https://klasma.github.io/Logging_0482/klagomålsmail/A 7973-2024 FSC-klagomål mail.docx", "A 7973-2024")</f>
        <v/>
      </c>
      <c r="X134">
        <f>HYPERLINK("https://klasma.github.io/Logging_0482/tillsyn/A 7973-2024 tillsynsbegäran.docx", "A 7973-2024")</f>
        <v/>
      </c>
      <c r="Y134">
        <f>HYPERLINK("https://klasma.github.io/Logging_0482/tillsynsmail/A 7973-2024 tillsynsbegäran mail.docx", "A 7973-2024")</f>
        <v/>
      </c>
    </row>
    <row r="135" ht="15" customHeight="1">
      <c r="A135" t="inlineStr">
        <is>
          <t>A 12056-2024</t>
        </is>
      </c>
      <c r="B135" s="1" t="n">
        <v>45377</v>
      </c>
      <c r="C135" s="1" t="n">
        <v>46198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HYPERLINK("https://klasma.github.io/Logging_0482/artfynd/A 12056-2024 artfynd.xlsx", "A 12056-2024")</f>
        <v/>
      </c>
      <c r="T135">
        <f>HYPERLINK("https://klasma.github.io/Logging_0482/kartor/A 12056-2024 karta.png", "A 12056-2024")</f>
        <v/>
      </c>
      <c r="V135">
        <f>HYPERLINK("https://klasma.github.io/Logging_0482/klagomål/A 12056-2024 FSC-klagomål.docx", "A 12056-2024")</f>
        <v/>
      </c>
      <c r="W135">
        <f>HYPERLINK("https://klasma.github.io/Logging_0482/klagomålsmail/A 12056-2024 FSC-klagomål mail.docx", "A 12056-2024")</f>
        <v/>
      </c>
      <c r="X135">
        <f>HYPERLINK("https://klasma.github.io/Logging_0482/tillsyn/A 12056-2024 tillsynsbegäran.docx", "A 12056-2024")</f>
        <v/>
      </c>
      <c r="Y135">
        <f>HYPERLINK("https://klasma.github.io/Logging_0482/tillsynsmail/A 12056-2024 tillsynsbegäran mail.docx", "A 12056-2024")</f>
        <v/>
      </c>
    </row>
    <row r="136" ht="15" customHeight="1">
      <c r="A136" t="inlineStr">
        <is>
          <t>A 24179-2026</t>
        </is>
      </c>
      <c r="B136" s="1" t="n">
        <v>46168</v>
      </c>
      <c r="C136" s="1" t="n">
        <v>46198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Gullklöver</t>
        </is>
      </c>
      <c r="S136">
        <f>HYPERLINK("https://klasma.github.io/Logging_0482/artfynd/A 24179-2026 artfynd.xlsx", "A 24179-2026")</f>
        <v/>
      </c>
      <c r="T136">
        <f>HYPERLINK("https://klasma.github.io/Logging_0482/kartor/A 24179-2026 karta.png", "A 24179-2026")</f>
        <v/>
      </c>
      <c r="V136">
        <f>HYPERLINK("https://klasma.github.io/Logging_0482/klagomål/A 24179-2026 FSC-klagomål.docx", "A 24179-2026")</f>
        <v/>
      </c>
      <c r="W136">
        <f>HYPERLINK("https://klasma.github.io/Logging_0482/klagomålsmail/A 24179-2026 FSC-klagomål mail.docx", "A 24179-2026")</f>
        <v/>
      </c>
      <c r="X136">
        <f>HYPERLINK("https://klasma.github.io/Logging_0482/tillsyn/A 24179-2026 tillsynsbegäran.docx", "A 24179-2026")</f>
        <v/>
      </c>
      <c r="Y136">
        <f>HYPERLINK("https://klasma.github.io/Logging_0482/tillsynsmail/A 24179-2026 tillsynsbegäran mail.docx", "A 24179-2026")</f>
        <v/>
      </c>
    </row>
    <row r="137" ht="15" customHeight="1">
      <c r="A137" t="inlineStr">
        <is>
          <t>A 47756-2022</t>
        </is>
      </c>
      <c r="B137" s="1" t="n">
        <v>44854</v>
      </c>
      <c r="C137" s="1" t="n">
        <v>46198</v>
      </c>
      <c r="D137" t="inlineStr">
        <is>
          <t>SÖDERMANLANDS LÄN</t>
        </is>
      </c>
      <c r="E137" t="inlineStr">
        <is>
          <t>FLEN</t>
        </is>
      </c>
      <c r="G137" t="n">
        <v>2.4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HYPERLINK("https://klasma.github.io/Logging_0482/artfynd/A 47756-2022 artfynd.xlsx", "A 47756-2022")</f>
        <v/>
      </c>
      <c r="T137">
        <f>HYPERLINK("https://klasma.github.io/Logging_0482/kartor/A 47756-2022 karta.png", "A 47756-2022")</f>
        <v/>
      </c>
      <c r="V137">
        <f>HYPERLINK("https://klasma.github.io/Logging_0482/klagomål/A 47756-2022 FSC-klagomål.docx", "A 47756-2022")</f>
        <v/>
      </c>
      <c r="W137">
        <f>HYPERLINK("https://klasma.github.io/Logging_0482/klagomålsmail/A 47756-2022 FSC-klagomål mail.docx", "A 47756-2022")</f>
        <v/>
      </c>
      <c r="X137">
        <f>HYPERLINK("https://klasma.github.io/Logging_0482/tillsyn/A 47756-2022 tillsynsbegäran.docx", "A 47756-2022")</f>
        <v/>
      </c>
      <c r="Y137">
        <f>HYPERLINK("https://klasma.github.io/Logging_0482/tillsynsmail/A 47756-2022 tillsynsbegäran mail.docx", "A 47756-2022")</f>
        <v/>
      </c>
    </row>
    <row r="138" ht="15" customHeight="1">
      <c r="A138" t="inlineStr">
        <is>
          <t>A 62535-2021</t>
        </is>
      </c>
      <c r="B138" s="1" t="n">
        <v>44503</v>
      </c>
      <c r="C138" s="1" t="n">
        <v>46198</v>
      </c>
      <c r="D138" t="inlineStr">
        <is>
          <t>SÖDERMANLANDS LÄN</t>
        </is>
      </c>
      <c r="E138" t="inlineStr">
        <is>
          <t>FLEN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62535-2021 artfynd.xlsx", "A 62535-2021")</f>
        <v/>
      </c>
      <c r="T138">
        <f>HYPERLINK("https://klasma.github.io/Logging_0482/kartor/A 62535-2021 karta.png", "A 62535-2021")</f>
        <v/>
      </c>
      <c r="V138">
        <f>HYPERLINK("https://klasma.github.io/Logging_0482/klagomål/A 62535-2021 FSC-klagomål.docx", "A 62535-2021")</f>
        <v/>
      </c>
      <c r="W138">
        <f>HYPERLINK("https://klasma.github.io/Logging_0482/klagomålsmail/A 62535-2021 FSC-klagomål mail.docx", "A 62535-2021")</f>
        <v/>
      </c>
      <c r="X138">
        <f>HYPERLINK("https://klasma.github.io/Logging_0482/tillsyn/A 62535-2021 tillsynsbegäran.docx", "A 62535-2021")</f>
        <v/>
      </c>
      <c r="Y138">
        <f>HYPERLINK("https://klasma.github.io/Logging_0482/tillsynsmail/A 62535-2021 tillsynsbegäran mail.docx", "A 62535-2021")</f>
        <v/>
      </c>
    </row>
    <row r="139" ht="15" customHeight="1">
      <c r="A139" t="inlineStr">
        <is>
          <t>A 14273-2025</t>
        </is>
      </c>
      <c r="B139" s="1" t="n">
        <v>45740</v>
      </c>
      <c r="C139" s="1" t="n">
        <v>46198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HYPERLINK("https://klasma.github.io/Logging_0482/artfynd/A 14273-2025 artfynd.xlsx", "A 14273-2025")</f>
        <v/>
      </c>
      <c r="T139">
        <f>HYPERLINK("https://klasma.github.io/Logging_0482/kartor/A 14273-2025 karta.png", "A 14273-2025")</f>
        <v/>
      </c>
      <c r="V139">
        <f>HYPERLINK("https://klasma.github.io/Logging_0482/klagomål/A 14273-2025 FSC-klagomål.docx", "A 14273-2025")</f>
        <v/>
      </c>
      <c r="W139">
        <f>HYPERLINK("https://klasma.github.io/Logging_0482/klagomålsmail/A 14273-2025 FSC-klagomål mail.docx", "A 14273-2025")</f>
        <v/>
      </c>
      <c r="X139">
        <f>HYPERLINK("https://klasma.github.io/Logging_0482/tillsyn/A 14273-2025 tillsynsbegäran.docx", "A 14273-2025")</f>
        <v/>
      </c>
      <c r="Y139">
        <f>HYPERLINK("https://klasma.github.io/Logging_0482/tillsynsmail/A 14273-2025 tillsynsbegäran mail.docx", "A 14273-2025")</f>
        <v/>
      </c>
    </row>
    <row r="140" ht="15" customHeight="1">
      <c r="A140" t="inlineStr">
        <is>
          <t>A 49820-2023</t>
        </is>
      </c>
      <c r="B140" s="1" t="n">
        <v>45211</v>
      </c>
      <c r="C140" s="1" t="n">
        <v>46198</v>
      </c>
      <c r="D140" t="inlineStr">
        <is>
          <t>SÖDERMANLANDS LÄN</t>
        </is>
      </c>
      <c r="E140" t="inlineStr">
        <is>
          <t>FLEN</t>
        </is>
      </c>
      <c r="G140" t="n">
        <v>3.2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Gullviva</t>
        </is>
      </c>
      <c r="S140">
        <f>HYPERLINK("https://klasma.github.io/Logging_0482/artfynd/A 49820-2023 artfynd.xlsx", "A 49820-2023")</f>
        <v/>
      </c>
      <c r="T140">
        <f>HYPERLINK("https://klasma.github.io/Logging_0482/kartor/A 49820-2023 karta.png", "A 49820-2023")</f>
        <v/>
      </c>
      <c r="V140">
        <f>HYPERLINK("https://klasma.github.io/Logging_0482/klagomål/A 49820-2023 FSC-klagomål.docx", "A 49820-2023")</f>
        <v/>
      </c>
      <c r="W140">
        <f>HYPERLINK("https://klasma.github.io/Logging_0482/klagomålsmail/A 49820-2023 FSC-klagomål mail.docx", "A 49820-2023")</f>
        <v/>
      </c>
      <c r="X140">
        <f>HYPERLINK("https://klasma.github.io/Logging_0482/tillsyn/A 49820-2023 tillsynsbegäran.docx", "A 49820-2023")</f>
        <v/>
      </c>
      <c r="Y140">
        <f>HYPERLINK("https://klasma.github.io/Logging_0482/tillsynsmail/A 49820-2023 tillsynsbegäran mail.docx", "A 49820-2023")</f>
        <v/>
      </c>
    </row>
    <row r="141" ht="15" customHeight="1">
      <c r="A141" t="inlineStr">
        <is>
          <t>A 46115-2023</t>
        </is>
      </c>
      <c r="B141" s="1" t="n">
        <v>45196</v>
      </c>
      <c r="C141" s="1" t="n">
        <v>46198</v>
      </c>
      <c r="D141" t="inlineStr">
        <is>
          <t>SÖDERMANLANDS LÄN</t>
        </is>
      </c>
      <c r="E141" t="inlineStr">
        <is>
          <t>FLEN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HYPERLINK("https://klasma.github.io/Logging_0482/artfynd/A 46115-2023 artfynd.xlsx", "A 46115-2023")</f>
        <v/>
      </c>
      <c r="T141">
        <f>HYPERLINK("https://klasma.github.io/Logging_0482/kartor/A 46115-2023 karta.png", "A 46115-2023")</f>
        <v/>
      </c>
      <c r="V141">
        <f>HYPERLINK("https://klasma.github.io/Logging_0482/klagomål/A 46115-2023 FSC-klagomål.docx", "A 46115-2023")</f>
        <v/>
      </c>
      <c r="W141">
        <f>HYPERLINK("https://klasma.github.io/Logging_0482/klagomålsmail/A 46115-2023 FSC-klagomål mail.docx", "A 46115-2023")</f>
        <v/>
      </c>
      <c r="X141">
        <f>HYPERLINK("https://klasma.github.io/Logging_0482/tillsyn/A 46115-2023 tillsynsbegäran.docx", "A 46115-2023")</f>
        <v/>
      </c>
      <c r="Y141">
        <f>HYPERLINK("https://klasma.github.io/Logging_0482/tillsynsmail/A 46115-2023 tillsynsbegäran mail.docx", "A 46115-2023")</f>
        <v/>
      </c>
    </row>
    <row r="142" ht="15" customHeight="1">
      <c r="A142" t="inlineStr">
        <is>
          <t>A 56308-2024</t>
        </is>
      </c>
      <c r="B142" s="1" t="n">
        <v>45624</v>
      </c>
      <c r="C142" s="1" t="n">
        <v>46198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Gullklöver</t>
        </is>
      </c>
      <c r="S142">
        <f>HYPERLINK("https://klasma.github.io/Logging_0482/artfynd/A 56308-2024 artfynd.xlsx", "A 56308-2024")</f>
        <v/>
      </c>
      <c r="T142">
        <f>HYPERLINK("https://klasma.github.io/Logging_0482/kartor/A 56308-2024 karta.png", "A 56308-2024")</f>
        <v/>
      </c>
      <c r="V142">
        <f>HYPERLINK("https://klasma.github.io/Logging_0482/klagomål/A 56308-2024 FSC-klagomål.docx", "A 56308-2024")</f>
        <v/>
      </c>
      <c r="W142">
        <f>HYPERLINK("https://klasma.github.io/Logging_0482/klagomålsmail/A 56308-2024 FSC-klagomål mail.docx", "A 56308-2024")</f>
        <v/>
      </c>
      <c r="X142">
        <f>HYPERLINK("https://klasma.github.io/Logging_0482/tillsyn/A 56308-2024 tillsynsbegäran.docx", "A 56308-2024")</f>
        <v/>
      </c>
      <c r="Y142">
        <f>HYPERLINK("https://klasma.github.io/Logging_0482/tillsynsmail/A 56308-2024 tillsynsbegäran mail.docx", "A 56308-2024")</f>
        <v/>
      </c>
    </row>
    <row r="143" ht="15" customHeight="1">
      <c r="A143" t="inlineStr">
        <is>
          <t>A 62223-2021</t>
        </is>
      </c>
      <c r="B143" s="1" t="n">
        <v>44501</v>
      </c>
      <c r="C143" s="1" t="n">
        <v>46198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24037-2022</t>
        </is>
      </c>
      <c r="B144" s="1" t="n">
        <v>44724</v>
      </c>
      <c r="C144" s="1" t="n">
        <v>46198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39513-2021</t>
        </is>
      </c>
      <c r="B145" s="1" t="n">
        <v>44414</v>
      </c>
      <c r="C145" s="1" t="n">
        <v>46198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70701-2021</t>
        </is>
      </c>
      <c r="B146" s="1" t="n">
        <v>44536</v>
      </c>
      <c r="C146" s="1" t="n">
        <v>46198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50500-2021</t>
        </is>
      </c>
      <c r="B147" s="1" t="n">
        <v>44458</v>
      </c>
      <c r="C147" s="1" t="n">
        <v>46198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8990-2022</t>
        </is>
      </c>
      <c r="B148" s="1" t="n">
        <v>44614</v>
      </c>
      <c r="C148" s="1" t="n">
        <v>46198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70215-2021</t>
        </is>
      </c>
      <c r="B149" s="1" t="n">
        <v>44535</v>
      </c>
      <c r="C149" s="1" t="n">
        <v>46198</v>
      </c>
      <c r="D149" t="inlineStr">
        <is>
          <t>SÖDERMANLANDS LÄN</t>
        </is>
      </c>
      <c r="E149" t="inlineStr">
        <is>
          <t>FLEN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39518-2021</t>
        </is>
      </c>
      <c r="B150" s="1" t="n">
        <v>44414</v>
      </c>
      <c r="C150" s="1" t="n">
        <v>46198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38842-2021</t>
        </is>
      </c>
      <c r="B151" s="1" t="n">
        <v>44411</v>
      </c>
      <c r="C151" s="1" t="n">
        <v>46198</v>
      </c>
      <c r="D151" t="inlineStr">
        <is>
          <t>SÖDERMANLANDS LÄN</t>
        </is>
      </c>
      <c r="E151" t="inlineStr">
        <is>
          <t>FLEN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48925-2021</t>
        </is>
      </c>
      <c r="B152" s="1" t="n">
        <v>44452</v>
      </c>
      <c r="C152" s="1" t="n">
        <v>46198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46198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52257-2022</t>
        </is>
      </c>
      <c r="B154" s="1" t="n">
        <v>44869</v>
      </c>
      <c r="C154" s="1" t="n">
        <v>46198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49569-2021</t>
        </is>
      </c>
      <c r="B155" s="1" t="n">
        <v>44455</v>
      </c>
      <c r="C155" s="1" t="n">
        <v>46198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54645-2021</t>
        </is>
      </c>
      <c r="B156" s="1" t="n">
        <v>44473</v>
      </c>
      <c r="C156" s="1" t="n">
        <v>46198</v>
      </c>
      <c r="D156" t="inlineStr">
        <is>
          <t>SÖDERMANLANDS LÄN</t>
        </is>
      </c>
      <c r="E156" t="inlineStr">
        <is>
          <t>FLEN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41638-2021</t>
        </is>
      </c>
      <c r="B157" s="1" t="n">
        <v>44425</v>
      </c>
      <c r="C157" s="1" t="n">
        <v>46198</v>
      </c>
      <c r="D157" t="inlineStr">
        <is>
          <t>SÖDERMANLANDS LÄN</t>
        </is>
      </c>
      <c r="E157" t="inlineStr">
        <is>
          <t>FLEN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7863-2022</t>
        </is>
      </c>
      <c r="B158" s="1" t="n">
        <v>44608</v>
      </c>
      <c r="C158" s="1" t="n">
        <v>46198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29367-2022</t>
        </is>
      </c>
      <c r="B159" s="1" t="n">
        <v>44752</v>
      </c>
      <c r="C159" s="1" t="n">
        <v>46198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23294-2022</t>
        </is>
      </c>
      <c r="B160" s="1" t="n">
        <v>44720</v>
      </c>
      <c r="C160" s="1" t="n">
        <v>46198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52050-2022</t>
        </is>
      </c>
      <c r="B161" s="1" t="n">
        <v>44873</v>
      </c>
      <c r="C161" s="1" t="n">
        <v>46198</v>
      </c>
      <c r="D161" t="inlineStr">
        <is>
          <t>SÖDERMANLANDS LÄN</t>
        </is>
      </c>
      <c r="E161" t="inlineStr">
        <is>
          <t>FLEN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31077-2022</t>
        </is>
      </c>
      <c r="B162" s="1" t="n">
        <v>44769</v>
      </c>
      <c r="C162" s="1" t="n">
        <v>46198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51246-2021</t>
        </is>
      </c>
      <c r="B163" s="1" t="n">
        <v>44461</v>
      </c>
      <c r="C163" s="1" t="n">
        <v>46198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46198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2496-2022</t>
        </is>
      </c>
      <c r="B165" s="1" t="n">
        <v>44579</v>
      </c>
      <c r="C165" s="1" t="n">
        <v>46198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46198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49252-2021</t>
        </is>
      </c>
      <c r="B167" s="1" t="n">
        <v>44454</v>
      </c>
      <c r="C167" s="1" t="n">
        <v>46198</v>
      </c>
      <c r="D167" t="inlineStr">
        <is>
          <t>SÖDERMANLANDS LÄN</t>
        </is>
      </c>
      <c r="E167" t="inlineStr">
        <is>
          <t>FLEN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39188-2021</t>
        </is>
      </c>
      <c r="B168" s="1" t="n">
        <v>44413</v>
      </c>
      <c r="C168" s="1" t="n">
        <v>46198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46198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48791-2022</t>
        </is>
      </c>
      <c r="B170" s="1" t="n">
        <v>44855</v>
      </c>
      <c r="C170" s="1" t="n">
        <v>46198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53371-2022</t>
        </is>
      </c>
      <c r="B171" s="1" t="n">
        <v>44879</v>
      </c>
      <c r="C171" s="1" t="n">
        <v>46198</v>
      </c>
      <c r="D171" t="inlineStr">
        <is>
          <t>SÖDERMANLANDS LÄN</t>
        </is>
      </c>
      <c r="E171" t="inlineStr">
        <is>
          <t>FLEN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46198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46198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48166-2021</t>
        </is>
      </c>
      <c r="B174" s="1" t="n">
        <v>44449</v>
      </c>
      <c r="C174" s="1" t="n">
        <v>46198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41658-2021</t>
        </is>
      </c>
      <c r="B175" s="1" t="n">
        <v>44425</v>
      </c>
      <c r="C175" s="1" t="n">
        <v>46198</v>
      </c>
      <c r="D175" t="inlineStr">
        <is>
          <t>SÖDERMANLANDS LÄN</t>
        </is>
      </c>
      <c r="E175" t="inlineStr">
        <is>
          <t>FLEN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52519-2021</t>
        </is>
      </c>
      <c r="B176" s="1" t="n">
        <v>44463</v>
      </c>
      <c r="C176" s="1" t="n">
        <v>46198</v>
      </c>
      <c r="D176" t="inlineStr">
        <is>
          <t>SÖDERMANLANDS LÄN</t>
        </is>
      </c>
      <c r="E176" t="inlineStr">
        <is>
          <t>FLEN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26513-2022</t>
        </is>
      </c>
      <c r="B177" s="1" t="n">
        <v>44739</v>
      </c>
      <c r="C177" s="1" t="n">
        <v>46198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31175-2022</t>
        </is>
      </c>
      <c r="B178" s="1" t="n">
        <v>44770</v>
      </c>
      <c r="C178" s="1" t="n">
        <v>46198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47644-2021</t>
        </is>
      </c>
      <c r="B179" s="1" t="n">
        <v>44448</v>
      </c>
      <c r="C179" s="1" t="n">
        <v>46198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31079-2022</t>
        </is>
      </c>
      <c r="B180" s="1" t="n">
        <v>44769</v>
      </c>
      <c r="C180" s="1" t="n">
        <v>46198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12608-2022</t>
        </is>
      </c>
      <c r="B181" s="1" t="n">
        <v>44640</v>
      </c>
      <c r="C181" s="1" t="n">
        <v>46198</v>
      </c>
      <c r="D181" t="inlineStr">
        <is>
          <t>SÖDERMANLANDS LÄN</t>
        </is>
      </c>
      <c r="E181" t="inlineStr">
        <is>
          <t>FLEN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42177-2022</t>
        </is>
      </c>
      <c r="B182" s="1" t="n">
        <v>44830</v>
      </c>
      <c r="C182" s="1" t="n">
        <v>46198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46198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37385-2021</t>
        </is>
      </c>
      <c r="B184" s="1" t="n">
        <v>44398</v>
      </c>
      <c r="C184" s="1" t="n">
        <v>46198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13529-2022</t>
        </is>
      </c>
      <c r="B185" s="1" t="n">
        <v>44643</v>
      </c>
      <c r="C185" s="1" t="n">
        <v>46198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54840-2021</t>
        </is>
      </c>
      <c r="B186" s="1" t="n">
        <v>44474</v>
      </c>
      <c r="C186" s="1" t="n">
        <v>46198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46198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4065-2022</t>
        </is>
      </c>
      <c r="B188" s="1" t="n">
        <v>44588</v>
      </c>
      <c r="C188" s="1" t="n">
        <v>46198</v>
      </c>
      <c r="D188" t="inlineStr">
        <is>
          <t>SÖDERMANLANDS LÄN</t>
        </is>
      </c>
      <c r="E188" t="inlineStr">
        <is>
          <t>FLEN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31068-2022</t>
        </is>
      </c>
      <c r="B189" s="1" t="n">
        <v>44769</v>
      </c>
      <c r="C189" s="1" t="n">
        <v>46198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46198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46198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46198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46198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46198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2162-2022</t>
        </is>
      </c>
      <c r="B195" s="1" t="n">
        <v>44578</v>
      </c>
      <c r="C195" s="1" t="n">
        <v>46198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31096-2022</t>
        </is>
      </c>
      <c r="B196" s="1" t="n">
        <v>44769</v>
      </c>
      <c r="C196" s="1" t="n">
        <v>46198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46414-2022</t>
        </is>
      </c>
      <c r="B197" s="1" t="n">
        <v>44846</v>
      </c>
      <c r="C197" s="1" t="n">
        <v>46198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46198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46198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46198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35250-2021</t>
        </is>
      </c>
      <c r="B201" s="1" t="n">
        <v>44384</v>
      </c>
      <c r="C201" s="1" t="n">
        <v>46198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43640-2021</t>
        </is>
      </c>
      <c r="B202" s="1" t="n">
        <v>44433</v>
      </c>
      <c r="C202" s="1" t="n">
        <v>46198</v>
      </c>
      <c r="D202" t="inlineStr">
        <is>
          <t>SÖDERMANLANDS LÄN</t>
        </is>
      </c>
      <c r="E202" t="inlineStr">
        <is>
          <t>FLEN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35714-2021</t>
        </is>
      </c>
      <c r="B203" s="1" t="n">
        <v>44386</v>
      </c>
      <c r="C203" s="1" t="n">
        <v>46198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46198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46198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550-2022</t>
        </is>
      </c>
      <c r="B206" s="1" t="n">
        <v>44566</v>
      </c>
      <c r="C206" s="1" t="n">
        <v>46198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54325-2021</t>
        </is>
      </c>
      <c r="B207" s="1" t="n">
        <v>44472</v>
      </c>
      <c r="C207" s="1" t="n">
        <v>46198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46198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46198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13533-2022</t>
        </is>
      </c>
      <c r="B210" s="1" t="n">
        <v>44643</v>
      </c>
      <c r="C210" s="1" t="n">
        <v>46198</v>
      </c>
      <c r="D210" t="inlineStr">
        <is>
          <t>SÖDERMANLANDS LÄN</t>
        </is>
      </c>
      <c r="E210" t="inlineStr">
        <is>
          <t>FLEN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</v>
      </c>
      <c r="C211" s="1" t="n">
        <v>46198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46198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39673-2022</t>
        </is>
      </c>
      <c r="B213" s="1" t="n">
        <v>44818</v>
      </c>
      <c r="C213" s="1" t="n">
        <v>46198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12174-2022</t>
        </is>
      </c>
      <c r="B214" s="1" t="n">
        <v>44636</v>
      </c>
      <c r="C214" s="1" t="n">
        <v>46198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9257-2023</t>
        </is>
      </c>
      <c r="B215" s="1" t="n">
        <v>44980</v>
      </c>
      <c r="C215" s="1" t="n">
        <v>46198</v>
      </c>
      <c r="D215" t="inlineStr">
        <is>
          <t>SÖDERMANLANDS LÄN</t>
        </is>
      </c>
      <c r="E215" t="inlineStr">
        <is>
          <t>FLEN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51925-2022</t>
        </is>
      </c>
      <c r="B216" s="1" t="n">
        <v>44868</v>
      </c>
      <c r="C216" s="1" t="n">
        <v>46198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35507-2024</t>
        </is>
      </c>
      <c r="B217" s="1" t="n">
        <v>45531</v>
      </c>
      <c r="C217" s="1" t="n">
        <v>46198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40408-2024</t>
        </is>
      </c>
      <c r="B218" s="1" t="n">
        <v>45555</v>
      </c>
      <c r="C218" s="1" t="n">
        <v>46198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12277-2024</t>
        </is>
      </c>
      <c r="B219" s="1" t="n">
        <v>45378</v>
      </c>
      <c r="C219" s="1" t="n">
        <v>46198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65869-2021</t>
        </is>
      </c>
      <c r="B220" s="1" t="n">
        <v>44517</v>
      </c>
      <c r="C220" s="1" t="n">
        <v>46198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69588-2021</t>
        </is>
      </c>
      <c r="B221" s="1" t="n">
        <v>44531</v>
      </c>
      <c r="C221" s="1" t="n">
        <v>46198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33024-2022</t>
        </is>
      </c>
      <c r="B222" s="1" t="n">
        <v>44785</v>
      </c>
      <c r="C222" s="1" t="n">
        <v>46198</v>
      </c>
      <c r="D222" t="inlineStr">
        <is>
          <t>SÖDERMANLANDS LÄN</t>
        </is>
      </c>
      <c r="E222" t="inlineStr">
        <is>
          <t>FLEN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46198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60937-2022</t>
        </is>
      </c>
      <c r="B224" s="1" t="n">
        <v>44914</v>
      </c>
      <c r="C224" s="1" t="n">
        <v>46198</v>
      </c>
      <c r="D224" t="inlineStr">
        <is>
          <t>SÖDERMANLANDS LÄN</t>
        </is>
      </c>
      <c r="E224" t="inlineStr">
        <is>
          <t>FLEN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72314-2021</t>
        </is>
      </c>
      <c r="B225" s="1" t="n">
        <v>44544</v>
      </c>
      <c r="C225" s="1" t="n">
        <v>46198</v>
      </c>
      <c r="D225" t="inlineStr">
        <is>
          <t>SÖDERMANLANDS LÄN</t>
        </is>
      </c>
      <c r="E225" t="inlineStr">
        <is>
          <t>FLEN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31965-2024</t>
        </is>
      </c>
      <c r="B226" s="1" t="n">
        <v>45510</v>
      </c>
      <c r="C226" s="1" t="n">
        <v>46198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54666-2021</t>
        </is>
      </c>
      <c r="B227" s="1" t="n">
        <v>44473</v>
      </c>
      <c r="C227" s="1" t="n">
        <v>46198</v>
      </c>
      <c r="D227" t="inlineStr">
        <is>
          <t>SÖDERMANLANDS LÄN</t>
        </is>
      </c>
      <c r="E227" t="inlineStr">
        <is>
          <t>FLEN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46198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47604-2021</t>
        </is>
      </c>
      <c r="B229" s="1" t="n">
        <v>44448</v>
      </c>
      <c r="C229" s="1" t="n">
        <v>46198</v>
      </c>
      <c r="D229" t="inlineStr">
        <is>
          <t>SÖDERMANLANDS LÄN</t>
        </is>
      </c>
      <c r="E229" t="inlineStr">
        <is>
          <t>FLEN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58834-2024</t>
        </is>
      </c>
      <c r="B230" s="1" t="n">
        <v>45636</v>
      </c>
      <c r="C230" s="1" t="n">
        <v>46198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21822-2023</t>
        </is>
      </c>
      <c r="B231" s="1" t="n">
        <v>45068</v>
      </c>
      <c r="C231" s="1" t="n">
        <v>46198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52472-2023</t>
        </is>
      </c>
      <c r="B232" s="1" t="n">
        <v>45225</v>
      </c>
      <c r="C232" s="1" t="n">
        <v>46198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29148-2024</t>
        </is>
      </c>
      <c r="B233" s="1" t="n">
        <v>45482</v>
      </c>
      <c r="C233" s="1" t="n">
        <v>46198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49775-2024</t>
        </is>
      </c>
      <c r="B234" s="1" t="n">
        <v>45597</v>
      </c>
      <c r="C234" s="1" t="n">
        <v>46198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56869-2023</t>
        </is>
      </c>
      <c r="B235" s="1" t="n">
        <v>45239</v>
      </c>
      <c r="C235" s="1" t="n">
        <v>46198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52980-2023</t>
        </is>
      </c>
      <c r="B236" s="1" t="n">
        <v>45226</v>
      </c>
      <c r="C236" s="1" t="n">
        <v>46198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62579-2023</t>
        </is>
      </c>
      <c r="B237" s="1" t="n">
        <v>45270</v>
      </c>
      <c r="C237" s="1" t="n">
        <v>46198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7163-2023</t>
        </is>
      </c>
      <c r="B238" s="1" t="n">
        <v>44970</v>
      </c>
      <c r="C238" s="1" t="n">
        <v>46198</v>
      </c>
      <c r="D238" t="inlineStr">
        <is>
          <t>SÖDERMANLANDS LÄN</t>
        </is>
      </c>
      <c r="E238" t="inlineStr">
        <is>
          <t>FLEN</t>
        </is>
      </c>
      <c r="F238" t="inlineStr">
        <is>
          <t>Kommuner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60255-2021</t>
        </is>
      </c>
      <c r="B239" s="1" t="n">
        <v>44495</v>
      </c>
      <c r="C239" s="1" t="n">
        <v>46198</v>
      </c>
      <c r="D239" t="inlineStr">
        <is>
          <t>SÖDERMANLANDS LÄN</t>
        </is>
      </c>
      <c r="E239" t="inlineStr">
        <is>
          <t>FLEN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39226-2023</t>
        </is>
      </c>
      <c r="B240" s="1" t="n">
        <v>45166</v>
      </c>
      <c r="C240" s="1" t="n">
        <v>46198</v>
      </c>
      <c r="D240" t="inlineStr">
        <is>
          <t>SÖDERMANLANDS LÄN</t>
        </is>
      </c>
      <c r="E240" t="inlineStr">
        <is>
          <t>FLEN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36096-2023</t>
        </is>
      </c>
      <c r="B241" s="1" t="n">
        <v>45149</v>
      </c>
      <c r="C241" s="1" t="n">
        <v>46198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2087-2024</t>
        </is>
      </c>
      <c r="B242" s="1" t="n">
        <v>45309</v>
      </c>
      <c r="C242" s="1" t="n">
        <v>46198</v>
      </c>
      <c r="D242" t="inlineStr">
        <is>
          <t>SÖDERMANLANDS LÄN</t>
        </is>
      </c>
      <c r="E242" t="inlineStr">
        <is>
          <t>FLEN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25823-2022</t>
        </is>
      </c>
      <c r="B243" s="1" t="n">
        <v>44733</v>
      </c>
      <c r="C243" s="1" t="n">
        <v>46198</v>
      </c>
      <c r="D243" t="inlineStr">
        <is>
          <t>SÖDERMANLANDS LÄN</t>
        </is>
      </c>
      <c r="E243" t="inlineStr">
        <is>
          <t>FLEN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48858-2023</t>
        </is>
      </c>
      <c r="B244" s="1" t="n">
        <v>45209</v>
      </c>
      <c r="C244" s="1" t="n">
        <v>46198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66867-2021</t>
        </is>
      </c>
      <c r="B245" s="1" t="n">
        <v>44522</v>
      </c>
      <c r="C245" s="1" t="n">
        <v>46198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780-2023</t>
        </is>
      </c>
      <c r="B246" s="1" t="n">
        <v>44931</v>
      </c>
      <c r="C246" s="1" t="n">
        <v>46198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9894-2023</t>
        </is>
      </c>
      <c r="B247" s="1" t="n">
        <v>44979</v>
      </c>
      <c r="C247" s="1" t="n">
        <v>46198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35600-2023</t>
        </is>
      </c>
      <c r="B248" s="1" t="n">
        <v>45147</v>
      </c>
      <c r="C248" s="1" t="n">
        <v>46198</v>
      </c>
      <c r="D248" t="inlineStr">
        <is>
          <t>SÖDERMANLANDS LÄN</t>
        </is>
      </c>
      <c r="E248" t="inlineStr">
        <is>
          <t>FLEN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40961-2021</t>
        </is>
      </c>
      <c r="B249" s="1" t="n">
        <v>44421</v>
      </c>
      <c r="C249" s="1" t="n">
        <v>46198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48785-2022</t>
        </is>
      </c>
      <c r="B250" s="1" t="n">
        <v>44859</v>
      </c>
      <c r="C250" s="1" t="n">
        <v>46198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56996-2023</t>
        </is>
      </c>
      <c r="B251" s="1" t="n">
        <v>45244</v>
      </c>
      <c r="C251" s="1" t="n">
        <v>46198</v>
      </c>
      <c r="D251" t="inlineStr">
        <is>
          <t>SÖDERMANLANDS LÄN</t>
        </is>
      </c>
      <c r="E251" t="inlineStr">
        <is>
          <t>FLEN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10771-2022</t>
        </is>
      </c>
      <c r="B252" s="1" t="n">
        <v>44624</v>
      </c>
      <c r="C252" s="1" t="n">
        <v>46198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46198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14106-2025</t>
        </is>
      </c>
      <c r="B254" s="1" t="n">
        <v>45740</v>
      </c>
      <c r="C254" s="1" t="n">
        <v>46198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2448-2024</t>
        </is>
      </c>
      <c r="B255" s="1" t="n">
        <v>45311</v>
      </c>
      <c r="C255" s="1" t="n">
        <v>46198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4216-2022</t>
        </is>
      </c>
      <c r="B256" s="1" t="n">
        <v>44588</v>
      </c>
      <c r="C256" s="1" t="n">
        <v>46198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543-2024</t>
        </is>
      </c>
      <c r="B257" s="1" t="n">
        <v>45299</v>
      </c>
      <c r="C257" s="1" t="n">
        <v>46198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51872-2022</t>
        </is>
      </c>
      <c r="B258" s="1" t="n">
        <v>44872</v>
      </c>
      <c r="C258" s="1" t="n">
        <v>46198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57356-2022</t>
        </is>
      </c>
      <c r="B259" s="1" t="n">
        <v>44896</v>
      </c>
      <c r="C259" s="1" t="n">
        <v>46198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48826-2022</t>
        </is>
      </c>
      <c r="B260" s="1" t="n">
        <v>44859</v>
      </c>
      <c r="C260" s="1" t="n">
        <v>46198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53121-2023</t>
        </is>
      </c>
      <c r="B261" s="1" t="n">
        <v>45228</v>
      </c>
      <c r="C261" s="1" t="n">
        <v>46198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17125-2023</t>
        </is>
      </c>
      <c r="B262" s="1" t="n">
        <v>45034</v>
      </c>
      <c r="C262" s="1" t="n">
        <v>46198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41435-2022</t>
        </is>
      </c>
      <c r="B263" s="1" t="n">
        <v>44826</v>
      </c>
      <c r="C263" s="1" t="n">
        <v>46198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6725-2022</t>
        </is>
      </c>
      <c r="B264" s="1" t="n">
        <v>44602</v>
      </c>
      <c r="C264" s="1" t="n">
        <v>46198</v>
      </c>
      <c r="D264" t="inlineStr">
        <is>
          <t>SÖDERMANLANDS LÄN</t>
        </is>
      </c>
      <c r="E264" t="inlineStr">
        <is>
          <t>FLEN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21167-2023</t>
        </is>
      </c>
      <c r="B265" s="1" t="n">
        <v>45057</v>
      </c>
      <c r="C265" s="1" t="n">
        <v>46198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14859-2024</t>
        </is>
      </c>
      <c r="B266" s="1" t="n">
        <v>45398</v>
      </c>
      <c r="C266" s="1" t="n">
        <v>46198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25605-2023</t>
        </is>
      </c>
      <c r="B267" s="1" t="n">
        <v>45089</v>
      </c>
      <c r="C267" s="1" t="n">
        <v>46198</v>
      </c>
      <c r="D267" t="inlineStr">
        <is>
          <t>SÖDERMANLANDS LÄN</t>
        </is>
      </c>
      <c r="E267" t="inlineStr">
        <is>
          <t>FLEN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1209-2025</t>
        </is>
      </c>
      <c r="B268" s="1" t="n">
        <v>45667</v>
      </c>
      <c r="C268" s="1" t="n">
        <v>46198</v>
      </c>
      <c r="D268" t="inlineStr">
        <is>
          <t>SÖDERMANLANDS LÄN</t>
        </is>
      </c>
      <c r="E268" t="inlineStr">
        <is>
          <t>FLEN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30423-2022</t>
        </is>
      </c>
      <c r="B269" s="1" t="n">
        <v>44761</v>
      </c>
      <c r="C269" s="1" t="n">
        <v>46198</v>
      </c>
      <c r="D269" t="inlineStr">
        <is>
          <t>SÖDERMANLANDS LÄN</t>
        </is>
      </c>
      <c r="E269" t="inlineStr">
        <is>
          <t>FLEN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19618-2026</t>
        </is>
      </c>
      <c r="B270" s="1" t="n">
        <v>46134</v>
      </c>
      <c r="C270" s="1" t="n">
        <v>46198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37775-2025</t>
        </is>
      </c>
      <c r="B271" s="1" t="n">
        <v>45880</v>
      </c>
      <c r="C271" s="1" t="n">
        <v>46198</v>
      </c>
      <c r="D271" t="inlineStr">
        <is>
          <t>SÖDERMANLANDS LÄN</t>
        </is>
      </c>
      <c r="E271" t="inlineStr">
        <is>
          <t>FLEN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42731-2024</t>
        </is>
      </c>
      <c r="B272" s="1" t="n">
        <v>45566</v>
      </c>
      <c r="C272" s="1" t="n">
        <v>46198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38464-2025</t>
        </is>
      </c>
      <c r="B273" s="1" t="n">
        <v>45883</v>
      </c>
      <c r="C273" s="1" t="n">
        <v>46198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46106-2024</t>
        </is>
      </c>
      <c r="B274" s="1" t="n">
        <v>45581</v>
      </c>
      <c r="C274" s="1" t="n">
        <v>46198</v>
      </c>
      <c r="D274" t="inlineStr">
        <is>
          <t>SÖDERMANLANDS LÄN</t>
        </is>
      </c>
      <c r="E274" t="inlineStr">
        <is>
          <t>FLEN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60613-2023</t>
        </is>
      </c>
      <c r="B275" s="1" t="n">
        <v>45260</v>
      </c>
      <c r="C275" s="1" t="n">
        <v>46198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44006-2022</t>
        </is>
      </c>
      <c r="B276" s="1" t="n">
        <v>44838</v>
      </c>
      <c r="C276" s="1" t="n">
        <v>46198</v>
      </c>
      <c r="D276" t="inlineStr">
        <is>
          <t>SÖDERMANLANDS LÄN</t>
        </is>
      </c>
      <c r="E276" t="inlineStr">
        <is>
          <t>FLEN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43394-2021</t>
        </is>
      </c>
      <c r="B277" s="1" t="n">
        <v>44432</v>
      </c>
      <c r="C277" s="1" t="n">
        <v>46198</v>
      </c>
      <c r="D277" t="inlineStr">
        <is>
          <t>SÖDERMANLANDS LÄN</t>
        </is>
      </c>
      <c r="E277" t="inlineStr">
        <is>
          <t>FLEN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39171-2025</t>
        </is>
      </c>
      <c r="B278" s="1" t="n">
        <v>45888</v>
      </c>
      <c r="C278" s="1" t="n">
        <v>46198</v>
      </c>
      <c r="D278" t="inlineStr">
        <is>
          <t>SÖDERMANLANDS LÄN</t>
        </is>
      </c>
      <c r="E278" t="inlineStr">
        <is>
          <t>FLEN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9147-2024</t>
        </is>
      </c>
      <c r="B279" s="1" t="n">
        <v>45358</v>
      </c>
      <c r="C279" s="1" t="n">
        <v>46198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26253-2025</t>
        </is>
      </c>
      <c r="B280" s="1" t="n">
        <v>45805</v>
      </c>
      <c r="C280" s="1" t="n">
        <v>46198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23835-2022</t>
        </is>
      </c>
      <c r="B281" s="1" t="n">
        <v>44722</v>
      </c>
      <c r="C281" s="1" t="n">
        <v>46198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23859-2022</t>
        </is>
      </c>
      <c r="B282" s="1" t="n">
        <v>44722</v>
      </c>
      <c r="C282" s="1" t="n">
        <v>46198</v>
      </c>
      <c r="D282" t="inlineStr">
        <is>
          <t>SÖDERMANLANDS LÄN</t>
        </is>
      </c>
      <c r="E282" t="inlineStr">
        <is>
          <t>FLEN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9979-2025</t>
        </is>
      </c>
      <c r="B283" s="1" t="n">
        <v>45718</v>
      </c>
      <c r="C283" s="1" t="n">
        <v>46198</v>
      </c>
      <c r="D283" t="inlineStr">
        <is>
          <t>SÖDERMANLANDS LÄN</t>
        </is>
      </c>
      <c r="E283" t="inlineStr">
        <is>
          <t>FLEN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33103-2022</t>
        </is>
      </c>
      <c r="B284" s="1" t="n">
        <v>44785</v>
      </c>
      <c r="C284" s="1" t="n">
        <v>46198</v>
      </c>
      <c r="D284" t="inlineStr">
        <is>
          <t>SÖDERMANLANDS LÄN</t>
        </is>
      </c>
      <c r="E284" t="inlineStr">
        <is>
          <t>FLEN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9431-2022</t>
        </is>
      </c>
      <c r="B285" s="1" t="n">
        <v>44616</v>
      </c>
      <c r="C285" s="1" t="n">
        <v>46198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41709-2021</t>
        </is>
      </c>
      <c r="B286" s="1" t="n">
        <v>44425</v>
      </c>
      <c r="C286" s="1" t="n">
        <v>46198</v>
      </c>
      <c r="D286" t="inlineStr">
        <is>
          <t>SÖDERMANLANDS LÄN</t>
        </is>
      </c>
      <c r="E286" t="inlineStr">
        <is>
          <t>FLEN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52692-2021</t>
        </is>
      </c>
      <c r="B287" s="1" t="n">
        <v>44466</v>
      </c>
      <c r="C287" s="1" t="n">
        <v>46198</v>
      </c>
      <c r="D287" t="inlineStr">
        <is>
          <t>SÖDERMANLANDS LÄN</t>
        </is>
      </c>
      <c r="E287" t="inlineStr">
        <is>
          <t>FLEN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39821-2024</t>
        </is>
      </c>
      <c r="B288" s="1" t="n">
        <v>45553</v>
      </c>
      <c r="C288" s="1" t="n">
        <v>46198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28529-2023</t>
        </is>
      </c>
      <c r="B289" s="1" t="n">
        <v>45103</v>
      </c>
      <c r="C289" s="1" t="n">
        <v>46198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22839-2025</t>
        </is>
      </c>
      <c r="B290" s="1" t="n">
        <v>45789</v>
      </c>
      <c r="C290" s="1" t="n">
        <v>46198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49891-2023</t>
        </is>
      </c>
      <c r="B291" s="1" t="n">
        <v>45213</v>
      </c>
      <c r="C291" s="1" t="n">
        <v>46198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28938-2023</t>
        </is>
      </c>
      <c r="B292" s="1" t="n">
        <v>45104</v>
      </c>
      <c r="C292" s="1" t="n">
        <v>46198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3926-2024</t>
        </is>
      </c>
      <c r="B293" s="1" t="n">
        <v>45322</v>
      </c>
      <c r="C293" s="1" t="n">
        <v>46198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64480-2023</t>
        </is>
      </c>
      <c r="B294" s="1" t="n">
        <v>45280</v>
      </c>
      <c r="C294" s="1" t="n">
        <v>46198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42558-2025</t>
        </is>
      </c>
      <c r="B295" s="1" t="n">
        <v>45905</v>
      </c>
      <c r="C295" s="1" t="n">
        <v>46198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</v>
      </c>
      <c r="C296" s="1" t="n">
        <v>46198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</v>
      </c>
      <c r="C297" s="1" t="n">
        <v>46198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42525-2025</t>
        </is>
      </c>
      <c r="B298" s="1" t="n">
        <v>45905</v>
      </c>
      <c r="C298" s="1" t="n">
        <v>46198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49828-2022</t>
        </is>
      </c>
      <c r="B299" s="1" t="n">
        <v>44862</v>
      </c>
      <c r="C299" s="1" t="n">
        <v>46198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46382-2025</t>
        </is>
      </c>
      <c r="B300" s="1" t="n">
        <v>45925</v>
      </c>
      <c r="C300" s="1" t="n">
        <v>46198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67464-2021</t>
        </is>
      </c>
      <c r="B301" s="1" t="n">
        <v>44524</v>
      </c>
      <c r="C301" s="1" t="n">
        <v>46198</v>
      </c>
      <c r="D301" t="inlineStr">
        <is>
          <t>SÖDERMANLANDS LÄN</t>
        </is>
      </c>
      <c r="E301" t="inlineStr">
        <is>
          <t>FLEN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</v>
      </c>
      <c r="C302" s="1" t="n">
        <v>46198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66979-2021</t>
        </is>
      </c>
      <c r="B303" s="1" t="n">
        <v>44522</v>
      </c>
      <c r="C303" s="1" t="n">
        <v>46198</v>
      </c>
      <c r="D303" t="inlineStr">
        <is>
          <t>SÖDERMANLANDS LÄN</t>
        </is>
      </c>
      <c r="E303" t="inlineStr">
        <is>
          <t>FLEN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26050-2026</t>
        </is>
      </c>
      <c r="B304" s="1" t="n">
        <v>46181</v>
      </c>
      <c r="C304" s="1" t="n">
        <v>46198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56229-2025</t>
        </is>
      </c>
      <c r="B305" s="1" t="n">
        <v>45974</v>
      </c>
      <c r="C305" s="1" t="n">
        <v>46198</v>
      </c>
      <c r="D305" t="inlineStr">
        <is>
          <t>SÖDERMANLANDS LÄN</t>
        </is>
      </c>
      <c r="E305" t="inlineStr">
        <is>
          <t>FLEN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16908-2024</t>
        </is>
      </c>
      <c r="B306" s="1" t="n">
        <v>45411</v>
      </c>
      <c r="C306" s="1" t="n">
        <v>46198</v>
      </c>
      <c r="D306" t="inlineStr">
        <is>
          <t>SÖDERMANLANDS LÄN</t>
        </is>
      </c>
      <c r="E306" t="inlineStr">
        <is>
          <t>FLEN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8883-2023</t>
        </is>
      </c>
      <c r="B307" s="1" t="n">
        <v>44979</v>
      </c>
      <c r="C307" s="1" t="n">
        <v>46198</v>
      </c>
      <c r="D307" t="inlineStr">
        <is>
          <t>SÖDERMANLANDS LÄN</t>
        </is>
      </c>
      <c r="E307" t="inlineStr">
        <is>
          <t>FLEN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40404-2024</t>
        </is>
      </c>
      <c r="B308" s="1" t="n">
        <v>45555</v>
      </c>
      <c r="C308" s="1" t="n">
        <v>46198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48119-2025</t>
        </is>
      </c>
      <c r="B309" s="1" t="n">
        <v>45933</v>
      </c>
      <c r="C309" s="1" t="n">
        <v>46198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48169-2025</t>
        </is>
      </c>
      <c r="B310" s="1" t="n">
        <v>45933</v>
      </c>
      <c r="C310" s="1" t="n">
        <v>46198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47989-2025</t>
        </is>
      </c>
      <c r="B311" s="1" t="n">
        <v>45932</v>
      </c>
      <c r="C311" s="1" t="n">
        <v>46198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47872-2025</t>
        </is>
      </c>
      <c r="B312" s="1" t="n">
        <v>45932</v>
      </c>
      <c r="C312" s="1" t="n">
        <v>46198</v>
      </c>
      <c r="D312" t="inlineStr">
        <is>
          <t>SÖDERMANLANDS LÄN</t>
        </is>
      </c>
      <c r="E312" t="inlineStr">
        <is>
          <t>FLEN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25467-2023</t>
        </is>
      </c>
      <c r="B313" s="1" t="n">
        <v>45081</v>
      </c>
      <c r="C313" s="1" t="n">
        <v>46198</v>
      </c>
      <c r="D313" t="inlineStr">
        <is>
          <t>SÖDERMANLANDS LÄN</t>
        </is>
      </c>
      <c r="E313" t="inlineStr">
        <is>
          <t>FLEN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25474-2023</t>
        </is>
      </c>
      <c r="B314" s="1" t="n">
        <v>45081</v>
      </c>
      <c r="C314" s="1" t="n">
        <v>46198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20212-2026</t>
        </is>
      </c>
      <c r="B315" s="1" t="n">
        <v>46139</v>
      </c>
      <c r="C315" s="1" t="n">
        <v>46198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40439-2025</t>
        </is>
      </c>
      <c r="B316" s="1" t="n">
        <v>45895</v>
      </c>
      <c r="C316" s="1" t="n">
        <v>46198</v>
      </c>
      <c r="D316" t="inlineStr">
        <is>
          <t>SÖDERMANLANDS LÄN</t>
        </is>
      </c>
      <c r="E316" t="inlineStr">
        <is>
          <t>FLEN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36453-2025</t>
        </is>
      </c>
      <c r="B317" s="1" t="n">
        <v>45869</v>
      </c>
      <c r="C317" s="1" t="n">
        <v>46198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10565-2023</t>
        </is>
      </c>
      <c r="B318" s="1" t="n">
        <v>44988</v>
      </c>
      <c r="C318" s="1" t="n">
        <v>46198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53119-2023</t>
        </is>
      </c>
      <c r="B319" s="1" t="n">
        <v>45228</v>
      </c>
      <c r="C319" s="1" t="n">
        <v>46198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15904-2023</t>
        </is>
      </c>
      <c r="B320" s="1" t="n">
        <v>45022</v>
      </c>
      <c r="C320" s="1" t="n">
        <v>46198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37256-2022</t>
        </is>
      </c>
      <c r="B321" s="1" t="n">
        <v>44807</v>
      </c>
      <c r="C321" s="1" t="n">
        <v>46198</v>
      </c>
      <c r="D321" t="inlineStr">
        <is>
          <t>SÖDERMANLANDS LÄN</t>
        </is>
      </c>
      <c r="E321" t="inlineStr">
        <is>
          <t>FLEN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58631-2024</t>
        </is>
      </c>
      <c r="B322" s="1" t="n">
        <v>45632</v>
      </c>
      <c r="C322" s="1" t="n">
        <v>46198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15897-2023</t>
        </is>
      </c>
      <c r="B323" s="1" t="n">
        <v>45022</v>
      </c>
      <c r="C323" s="1" t="n">
        <v>46198</v>
      </c>
      <c r="D323" t="inlineStr">
        <is>
          <t>SÖDERMANLANDS LÄN</t>
        </is>
      </c>
      <c r="E323" t="inlineStr">
        <is>
          <t>FLEN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59258-2022</t>
        </is>
      </c>
      <c r="B324" s="1" t="n">
        <v>44897</v>
      </c>
      <c r="C324" s="1" t="n">
        <v>46198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32023-2022</t>
        </is>
      </c>
      <c r="B325" s="1" t="n">
        <v>44778</v>
      </c>
      <c r="C325" s="1" t="n">
        <v>46198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39161-2025</t>
        </is>
      </c>
      <c r="B326" s="1" t="n">
        <v>45888</v>
      </c>
      <c r="C326" s="1" t="n">
        <v>46198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50727-2025</t>
        </is>
      </c>
      <c r="B327" s="1" t="n">
        <v>45946</v>
      </c>
      <c r="C327" s="1" t="n">
        <v>46198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52541-2021</t>
        </is>
      </c>
      <c r="B328" s="1" t="n">
        <v>44463</v>
      </c>
      <c r="C328" s="1" t="n">
        <v>46198</v>
      </c>
      <c r="D328" t="inlineStr">
        <is>
          <t>SÖDERMANLANDS LÄN</t>
        </is>
      </c>
      <c r="E328" t="inlineStr">
        <is>
          <t>FLEN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5331-2024</t>
        </is>
      </c>
      <c r="B329" s="1" t="n">
        <v>45331</v>
      </c>
      <c r="C329" s="1" t="n">
        <v>46198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22028-2023</t>
        </is>
      </c>
      <c r="B330" s="1" t="n">
        <v>45066</v>
      </c>
      <c r="C330" s="1" t="n">
        <v>46198</v>
      </c>
      <c r="D330" t="inlineStr">
        <is>
          <t>SÖDERMANLANDS LÄN</t>
        </is>
      </c>
      <c r="E330" t="inlineStr">
        <is>
          <t>FLEN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9892-2023</t>
        </is>
      </c>
      <c r="B331" s="1" t="n">
        <v>44979</v>
      </c>
      <c r="C331" s="1" t="n">
        <v>46198</v>
      </c>
      <c r="D331" t="inlineStr">
        <is>
          <t>SÖDERMANLANDS LÄN</t>
        </is>
      </c>
      <c r="E331" t="inlineStr">
        <is>
          <t>FLEN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23216-2025</t>
        </is>
      </c>
      <c r="B332" s="1" t="n">
        <v>45791</v>
      </c>
      <c r="C332" s="1" t="n">
        <v>46198</v>
      </c>
      <c r="D332" t="inlineStr">
        <is>
          <t>SÖDERMANLANDS LÄN</t>
        </is>
      </c>
      <c r="E332" t="inlineStr">
        <is>
          <t>FLEN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5194-2024</t>
        </is>
      </c>
      <c r="B333" s="1" t="n">
        <v>45330</v>
      </c>
      <c r="C333" s="1" t="n">
        <v>46198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50898-2022</t>
        </is>
      </c>
      <c r="B334" s="1" t="n">
        <v>44864</v>
      </c>
      <c r="C334" s="1" t="n">
        <v>46198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48749-2022</t>
        </is>
      </c>
      <c r="B335" s="1" t="n">
        <v>44855</v>
      </c>
      <c r="C335" s="1" t="n">
        <v>46198</v>
      </c>
      <c r="D335" t="inlineStr">
        <is>
          <t>SÖDERMANLANDS LÄN</t>
        </is>
      </c>
      <c r="E335" t="inlineStr">
        <is>
          <t>FLEN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58364-2023</t>
        </is>
      </c>
      <c r="B336" s="1" t="n">
        <v>45250</v>
      </c>
      <c r="C336" s="1" t="n">
        <v>46198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58377-2023</t>
        </is>
      </c>
      <c r="B337" s="1" t="n">
        <v>45250</v>
      </c>
      <c r="C337" s="1" t="n">
        <v>46198</v>
      </c>
      <c r="D337" t="inlineStr">
        <is>
          <t>SÖDERMANLANDS LÄN</t>
        </is>
      </c>
      <c r="E337" t="inlineStr">
        <is>
          <t>FLEN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48774-2022</t>
        </is>
      </c>
      <c r="B338" s="1" t="n">
        <v>44855</v>
      </c>
      <c r="C338" s="1" t="n">
        <v>46198</v>
      </c>
      <c r="D338" t="inlineStr">
        <is>
          <t>SÖDERMANLANDS LÄN</t>
        </is>
      </c>
      <c r="E338" t="inlineStr">
        <is>
          <t>FLEN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26444-2026</t>
        </is>
      </c>
      <c r="B339" s="1" t="n">
        <v>46183</v>
      </c>
      <c r="C339" s="1" t="n">
        <v>46198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51955-2025</t>
        </is>
      </c>
      <c r="B340" s="1" t="n">
        <v>45952</v>
      </c>
      <c r="C340" s="1" t="n">
        <v>46198</v>
      </c>
      <c r="D340" t="inlineStr">
        <is>
          <t>SÖDERMANLANDS LÄN</t>
        </is>
      </c>
      <c r="E340" t="inlineStr">
        <is>
          <t>FLEN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59891-2025</t>
        </is>
      </c>
      <c r="B341" s="1" t="n">
        <v>45993</v>
      </c>
      <c r="C341" s="1" t="n">
        <v>46198</v>
      </c>
      <c r="D341" t="inlineStr">
        <is>
          <t>SÖDERMANLANDS LÄN</t>
        </is>
      </c>
      <c r="E341" t="inlineStr">
        <is>
          <t>FLEN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26318-2026</t>
        </is>
      </c>
      <c r="B342" s="1" t="n">
        <v>46181</v>
      </c>
      <c r="C342" s="1" t="n">
        <v>46198</v>
      </c>
      <c r="D342" t="inlineStr">
        <is>
          <t>SÖDERMANLANDS LÄN</t>
        </is>
      </c>
      <c r="E342" t="inlineStr">
        <is>
          <t>FLEN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26326-2026</t>
        </is>
      </c>
      <c r="B343" s="1" t="n">
        <v>46181</v>
      </c>
      <c r="C343" s="1" t="n">
        <v>46198</v>
      </c>
      <c r="D343" t="inlineStr">
        <is>
          <t>SÖDERMANLANDS LÄN</t>
        </is>
      </c>
      <c r="E343" t="inlineStr">
        <is>
          <t>FLEN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35118-2024</t>
        </is>
      </c>
      <c r="B344" s="1" t="n">
        <v>45528</v>
      </c>
      <c r="C344" s="1" t="n">
        <v>46198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54283-2025</t>
        </is>
      </c>
      <c r="B345" s="1" t="n">
        <v>45964</v>
      </c>
      <c r="C345" s="1" t="n">
        <v>46198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54282-2025</t>
        </is>
      </c>
      <c r="B346" s="1" t="n">
        <v>45964</v>
      </c>
      <c r="C346" s="1" t="n">
        <v>46198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26850-2026</t>
        </is>
      </c>
      <c r="B347" s="1" t="n">
        <v>46185</v>
      </c>
      <c r="C347" s="1" t="n">
        <v>46198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1575-2024</t>
        </is>
      </c>
      <c r="B348" s="1" t="n">
        <v>45306</v>
      </c>
      <c r="C348" s="1" t="n">
        <v>46198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27328-2026</t>
        </is>
      </c>
      <c r="B349" s="1" t="n">
        <v>46188</v>
      </c>
      <c r="C349" s="1" t="n">
        <v>46198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57353-2022</t>
        </is>
      </c>
      <c r="B350" s="1" t="n">
        <v>44896</v>
      </c>
      <c r="C350" s="1" t="n">
        <v>46198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27304-2026</t>
        </is>
      </c>
      <c r="B351" s="1" t="n">
        <v>46188</v>
      </c>
      <c r="C351" s="1" t="n">
        <v>46198</v>
      </c>
      <c r="D351" t="inlineStr">
        <is>
          <t>SÖDERMANLANDS LÄN</t>
        </is>
      </c>
      <c r="E351" t="inlineStr">
        <is>
          <t>FLEN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7194-2023</t>
        </is>
      </c>
      <c r="B352" s="1" t="n">
        <v>44970</v>
      </c>
      <c r="C352" s="1" t="n">
        <v>46198</v>
      </c>
      <c r="D352" t="inlineStr">
        <is>
          <t>SÖDERMANLANDS LÄN</t>
        </is>
      </c>
      <c r="E352" t="inlineStr">
        <is>
          <t>FLEN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48497-2021</t>
        </is>
      </c>
      <c r="B353" s="1" t="n">
        <v>44449</v>
      </c>
      <c r="C353" s="1" t="n">
        <v>46198</v>
      </c>
      <c r="D353" t="inlineStr">
        <is>
          <t>SÖDERMANLANDS LÄN</t>
        </is>
      </c>
      <c r="E353" t="inlineStr">
        <is>
          <t>FLEN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26854-2026</t>
        </is>
      </c>
      <c r="B354" s="1" t="n">
        <v>46185</v>
      </c>
      <c r="C354" s="1" t="n">
        <v>46198</v>
      </c>
      <c r="D354" t="inlineStr">
        <is>
          <t>SÖDERMANLANDS LÄN</t>
        </is>
      </c>
      <c r="E354" t="inlineStr">
        <is>
          <t>FLEN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27317-2026</t>
        </is>
      </c>
      <c r="B355" s="1" t="n">
        <v>46188</v>
      </c>
      <c r="C355" s="1" t="n">
        <v>46198</v>
      </c>
      <c r="D355" t="inlineStr">
        <is>
          <t>SÖDERMANLANDS LÄN</t>
        </is>
      </c>
      <c r="E355" t="inlineStr">
        <is>
          <t>FLEN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34783-2023</t>
        </is>
      </c>
      <c r="B356" s="1" t="n">
        <v>45140</v>
      </c>
      <c r="C356" s="1" t="n">
        <v>46198</v>
      </c>
      <c r="D356" t="inlineStr">
        <is>
          <t>SÖDERMANLANDS LÄN</t>
        </is>
      </c>
      <c r="E356" t="inlineStr">
        <is>
          <t>FLEN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56573-2025</t>
        </is>
      </c>
      <c r="B357" s="1" t="n">
        <v>45974</v>
      </c>
      <c r="C357" s="1" t="n">
        <v>46198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9079-2025</t>
        </is>
      </c>
      <c r="B358" s="1" t="n">
        <v>45713</v>
      </c>
      <c r="C358" s="1" t="n">
        <v>46198</v>
      </c>
      <c r="D358" t="inlineStr">
        <is>
          <t>SÖDERMANLANDS LÄN</t>
        </is>
      </c>
      <c r="E358" t="inlineStr">
        <is>
          <t>FLEN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57025-2025</t>
        </is>
      </c>
      <c r="B359" s="1" t="n">
        <v>45979</v>
      </c>
      <c r="C359" s="1" t="n">
        <v>46198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4742-2023</t>
        </is>
      </c>
      <c r="B360" s="1" t="n">
        <v>44957</v>
      </c>
      <c r="C360" s="1" t="n">
        <v>46198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48852-2023</t>
        </is>
      </c>
      <c r="B361" s="1" t="n">
        <v>45209</v>
      </c>
      <c r="C361" s="1" t="n">
        <v>46198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57044-2023</t>
        </is>
      </c>
      <c r="B362" s="1" t="n">
        <v>45244</v>
      </c>
      <c r="C362" s="1" t="n">
        <v>46198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10886-2023</t>
        </is>
      </c>
      <c r="B363" s="1" t="n">
        <v>44991</v>
      </c>
      <c r="C363" s="1" t="n">
        <v>46198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59910-2025</t>
        </is>
      </c>
      <c r="B364" s="1" t="n">
        <v>45993</v>
      </c>
      <c r="C364" s="1" t="n">
        <v>46198</v>
      </c>
      <c r="D364" t="inlineStr">
        <is>
          <t>SÖDERMANLANDS LÄN</t>
        </is>
      </c>
      <c r="E364" t="inlineStr">
        <is>
          <t>FLEN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19150-2023</t>
        </is>
      </c>
      <c r="B365" s="1" t="n">
        <v>45048</v>
      </c>
      <c r="C365" s="1" t="n">
        <v>46198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59895-2025</t>
        </is>
      </c>
      <c r="B366" s="1" t="n">
        <v>45993</v>
      </c>
      <c r="C366" s="1" t="n">
        <v>46198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59894-2025</t>
        </is>
      </c>
      <c r="B367" s="1" t="n">
        <v>45993</v>
      </c>
      <c r="C367" s="1" t="n">
        <v>46198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20980-2023</t>
        </is>
      </c>
      <c r="B368" s="1" t="n">
        <v>45056</v>
      </c>
      <c r="C368" s="1" t="n">
        <v>46198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44561-2024</t>
        </is>
      </c>
      <c r="B369" s="1" t="n">
        <v>45574</v>
      </c>
      <c r="C369" s="1" t="n">
        <v>46198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60144-2025</t>
        </is>
      </c>
      <c r="B370" s="1" t="n">
        <v>45994</v>
      </c>
      <c r="C370" s="1" t="n">
        <v>46198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53509-2023</t>
        </is>
      </c>
      <c r="B371" s="1" t="n">
        <v>45230</v>
      </c>
      <c r="C371" s="1" t="n">
        <v>46198</v>
      </c>
      <c r="D371" t="inlineStr">
        <is>
          <t>SÖDERMANLANDS LÄN</t>
        </is>
      </c>
      <c r="E371" t="inlineStr">
        <is>
          <t>FLEN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60401-2025</t>
        </is>
      </c>
      <c r="B372" s="1" t="n">
        <v>45995</v>
      </c>
      <c r="C372" s="1" t="n">
        <v>46198</v>
      </c>
      <c r="D372" t="inlineStr">
        <is>
          <t>SÖDERMANLANDS LÄN</t>
        </is>
      </c>
      <c r="E372" t="inlineStr">
        <is>
          <t>FLEN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60382-2025</t>
        </is>
      </c>
      <c r="B373" s="1" t="n">
        <v>45995</v>
      </c>
      <c r="C373" s="1" t="n">
        <v>46198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33742-2023</t>
        </is>
      </c>
      <c r="B374" s="1" t="n">
        <v>45119</v>
      </c>
      <c r="C374" s="1" t="n">
        <v>46198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476-2022</t>
        </is>
      </c>
      <c r="B375" s="1" t="n">
        <v>44566</v>
      </c>
      <c r="C375" s="1" t="n">
        <v>46198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60206-2025</t>
        </is>
      </c>
      <c r="B376" s="1" t="n">
        <v>45994</v>
      </c>
      <c r="C376" s="1" t="n">
        <v>46198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54781-2024</t>
        </is>
      </c>
      <c r="B377" s="1" t="n">
        <v>45618</v>
      </c>
      <c r="C377" s="1" t="n">
        <v>46198</v>
      </c>
      <c r="D377" t="inlineStr">
        <is>
          <t>SÖDERMANLANDS LÄN</t>
        </is>
      </c>
      <c r="E377" t="inlineStr">
        <is>
          <t>FLEN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10828-2022</t>
        </is>
      </c>
      <c r="B378" s="1" t="n">
        <v>44624</v>
      </c>
      <c r="C378" s="1" t="n">
        <v>46198</v>
      </c>
      <c r="D378" t="inlineStr">
        <is>
          <t>SÖDERMANLANDS LÄN</t>
        </is>
      </c>
      <c r="E378" t="inlineStr">
        <is>
          <t>FLEN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61041-2025</t>
        </is>
      </c>
      <c r="B379" s="1" t="n">
        <v>46000</v>
      </c>
      <c r="C379" s="1" t="n">
        <v>46198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34088-2021</t>
        </is>
      </c>
      <c r="B380" s="1" t="n">
        <v>44378</v>
      </c>
      <c r="C380" s="1" t="n">
        <v>46198</v>
      </c>
      <c r="D380" t="inlineStr">
        <is>
          <t>SÖDERMANLANDS LÄN</t>
        </is>
      </c>
      <c r="E380" t="inlineStr">
        <is>
          <t>FLEN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18511-2023</t>
        </is>
      </c>
      <c r="B381" s="1" t="n">
        <v>45041</v>
      </c>
      <c r="C381" s="1" t="n">
        <v>46198</v>
      </c>
      <c r="D381" t="inlineStr">
        <is>
          <t>SÖDERMANLANDS LÄN</t>
        </is>
      </c>
      <c r="E381" t="inlineStr">
        <is>
          <t>FLEN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51768-2023</t>
        </is>
      </c>
      <c r="B382" s="1" t="n">
        <v>45222</v>
      </c>
      <c r="C382" s="1" t="n">
        <v>46198</v>
      </c>
      <c r="D382" t="inlineStr">
        <is>
          <t>SÖDERMANLANDS LÄN</t>
        </is>
      </c>
      <c r="E382" t="inlineStr">
        <is>
          <t>FLEN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39335-2023</t>
        </is>
      </c>
      <c r="B383" s="1" t="n">
        <v>45166</v>
      </c>
      <c r="C383" s="1" t="n">
        <v>46198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20791-2022</t>
        </is>
      </c>
      <c r="B384" s="1" t="n">
        <v>44701</v>
      </c>
      <c r="C384" s="1" t="n">
        <v>46198</v>
      </c>
      <c r="D384" t="inlineStr">
        <is>
          <t>SÖDERMANLANDS LÄN</t>
        </is>
      </c>
      <c r="E384" t="inlineStr">
        <is>
          <t>FLEN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14260-2025</t>
        </is>
      </c>
      <c r="B385" s="1" t="n">
        <v>45740</v>
      </c>
      <c r="C385" s="1" t="n">
        <v>46198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60150-2022</t>
        </is>
      </c>
      <c r="B386" s="1" t="n">
        <v>44909</v>
      </c>
      <c r="C386" s="1" t="n">
        <v>46198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33228-2024</t>
        </is>
      </c>
      <c r="B387" s="1" t="n">
        <v>45518</v>
      </c>
      <c r="C387" s="1" t="n">
        <v>46198</v>
      </c>
      <c r="D387" t="inlineStr">
        <is>
          <t>SÖDERMANLANDS LÄN</t>
        </is>
      </c>
      <c r="E387" t="inlineStr">
        <is>
          <t>FLEN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62763-2023</t>
        </is>
      </c>
      <c r="B388" s="1" t="n">
        <v>45271</v>
      </c>
      <c r="C388" s="1" t="n">
        <v>46198</v>
      </c>
      <c r="D388" t="inlineStr">
        <is>
          <t>SÖDERMANLANDS LÄN</t>
        </is>
      </c>
      <c r="E388" t="inlineStr">
        <is>
          <t>FLEN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59779-2023</t>
        </is>
      </c>
      <c r="B389" s="1" t="n">
        <v>45257</v>
      </c>
      <c r="C389" s="1" t="n">
        <v>46198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58635-2024</t>
        </is>
      </c>
      <c r="B390" s="1" t="n">
        <v>45632</v>
      </c>
      <c r="C390" s="1" t="n">
        <v>46198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2901-2024</t>
        </is>
      </c>
      <c r="B391" s="1" t="n">
        <v>45315</v>
      </c>
      <c r="C391" s="1" t="n">
        <v>46198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3798-2024</t>
        </is>
      </c>
      <c r="B392" s="1" t="n">
        <v>45321</v>
      </c>
      <c r="C392" s="1" t="n">
        <v>46198</v>
      </c>
      <c r="D392" t="inlineStr">
        <is>
          <t>SÖDERMANLANDS LÄN</t>
        </is>
      </c>
      <c r="E392" t="inlineStr">
        <is>
          <t>FLEN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16937-2022</t>
        </is>
      </c>
      <c r="B393" s="1" t="n">
        <v>44676</v>
      </c>
      <c r="C393" s="1" t="n">
        <v>46198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14599-2023</t>
        </is>
      </c>
      <c r="B394" s="1" t="n">
        <v>45013</v>
      </c>
      <c r="C394" s="1" t="n">
        <v>46198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53507-2023</t>
        </is>
      </c>
      <c r="B395" s="1" t="n">
        <v>45230</v>
      </c>
      <c r="C395" s="1" t="n">
        <v>46198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53518-2023</t>
        </is>
      </c>
      <c r="B396" s="1" t="n">
        <v>45230</v>
      </c>
      <c r="C396" s="1" t="n">
        <v>46198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28316-2026</t>
        </is>
      </c>
      <c r="B397" s="1" t="n">
        <v>46196</v>
      </c>
      <c r="C397" s="1" t="n">
        <v>46198</v>
      </c>
      <c r="D397" t="inlineStr">
        <is>
          <t>SÖDERMANLANDS LÄN</t>
        </is>
      </c>
      <c r="E397" t="inlineStr">
        <is>
          <t>FLEN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2071-2026</t>
        </is>
      </c>
      <c r="B398" s="1" t="n">
        <v>46036</v>
      </c>
      <c r="C398" s="1" t="n">
        <v>46198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2661-2026</t>
        </is>
      </c>
      <c r="B399" s="1" t="n">
        <v>46037</v>
      </c>
      <c r="C399" s="1" t="n">
        <v>46198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50796-2021</t>
        </is>
      </c>
      <c r="B400" s="1" t="n">
        <v>44459</v>
      </c>
      <c r="C400" s="1" t="n">
        <v>46198</v>
      </c>
      <c r="D400" t="inlineStr">
        <is>
          <t>SÖDERMANLANDS LÄN</t>
        </is>
      </c>
      <c r="E400" t="inlineStr">
        <is>
          <t>FLEN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4051-2026</t>
        </is>
      </c>
      <c r="B401" s="1" t="n">
        <v>46044</v>
      </c>
      <c r="C401" s="1" t="n">
        <v>46198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39053-2023</t>
        </is>
      </c>
      <c r="B402" s="1" t="n">
        <v>45163</v>
      </c>
      <c r="C402" s="1" t="n">
        <v>46198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27146-2022</t>
        </is>
      </c>
      <c r="B403" s="1" t="n">
        <v>44741</v>
      </c>
      <c r="C403" s="1" t="n">
        <v>46198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12172-2022</t>
        </is>
      </c>
      <c r="B404" s="1" t="n">
        <v>44636</v>
      </c>
      <c r="C404" s="1" t="n">
        <v>46198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6720-2026</t>
        </is>
      </c>
      <c r="B405" s="1" t="n">
        <v>46056</v>
      </c>
      <c r="C405" s="1" t="n">
        <v>46198</v>
      </c>
      <c r="D405" t="inlineStr">
        <is>
          <t>SÖDERMANLANDS LÄN</t>
        </is>
      </c>
      <c r="E405" t="inlineStr">
        <is>
          <t>FLEN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56393-2022</t>
        </is>
      </c>
      <c r="B406" s="1" t="n">
        <v>44887</v>
      </c>
      <c r="C406" s="1" t="n">
        <v>46198</v>
      </c>
      <c r="D406" t="inlineStr">
        <is>
          <t>SÖDERMANLANDS LÄN</t>
        </is>
      </c>
      <c r="E406" t="inlineStr">
        <is>
          <t>FLEN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4351-2026</t>
        </is>
      </c>
      <c r="B407" s="1" t="n">
        <v>46044</v>
      </c>
      <c r="C407" s="1" t="n">
        <v>46198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38331-2023</t>
        </is>
      </c>
      <c r="B408" s="1" t="n">
        <v>45161</v>
      </c>
      <c r="C408" s="1" t="n">
        <v>46198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60609-2022</t>
        </is>
      </c>
      <c r="B409" s="1" t="n">
        <v>44911</v>
      </c>
      <c r="C409" s="1" t="n">
        <v>46198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46198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31214-2023</t>
        </is>
      </c>
      <c r="B411" s="1" t="n">
        <v>45114</v>
      </c>
      <c r="C411" s="1" t="n">
        <v>46198</v>
      </c>
      <c r="D411" t="inlineStr">
        <is>
          <t>SÖDERMANLANDS LÄN</t>
        </is>
      </c>
      <c r="E411" t="inlineStr">
        <is>
          <t>FLEN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9088-2026</t>
        </is>
      </c>
      <c r="B412" s="1" t="n">
        <v>46069</v>
      </c>
      <c r="C412" s="1" t="n">
        <v>46198</v>
      </c>
      <c r="D412" t="inlineStr">
        <is>
          <t>SÖDERMANLANDS LÄN</t>
        </is>
      </c>
      <c r="E412" t="inlineStr">
        <is>
          <t>FLEN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38217-2023</t>
        </is>
      </c>
      <c r="B413" s="1" t="n">
        <v>45161</v>
      </c>
      <c r="C413" s="1" t="n">
        <v>46198</v>
      </c>
      <c r="D413" t="inlineStr">
        <is>
          <t>SÖDERMANLANDS LÄN</t>
        </is>
      </c>
      <c r="E413" t="inlineStr">
        <is>
          <t>FLEN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9511-2026</t>
        </is>
      </c>
      <c r="B414" s="1" t="n">
        <v>46071</v>
      </c>
      <c r="C414" s="1" t="n">
        <v>46198</v>
      </c>
      <c r="D414" t="inlineStr">
        <is>
          <t>SÖDERMANLANDS LÄN</t>
        </is>
      </c>
      <c r="E414" t="inlineStr">
        <is>
          <t>FLEN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9527-2026</t>
        </is>
      </c>
      <c r="B415" s="1" t="n">
        <v>46071</v>
      </c>
      <c r="C415" s="1" t="n">
        <v>46198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14412-2023</t>
        </is>
      </c>
      <c r="B416" s="1" t="n">
        <v>45012</v>
      </c>
      <c r="C416" s="1" t="n">
        <v>46198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56497-2022</t>
        </is>
      </c>
      <c r="B417" s="1" t="n">
        <v>44887</v>
      </c>
      <c r="C417" s="1" t="n">
        <v>46198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5109-2023</t>
        </is>
      </c>
      <c r="B418" s="1" t="n">
        <v>44958</v>
      </c>
      <c r="C418" s="1" t="n">
        <v>46198</v>
      </c>
      <c r="D418" t="inlineStr">
        <is>
          <t>SÖDERMANLANDS LÄN</t>
        </is>
      </c>
      <c r="E418" t="inlineStr">
        <is>
          <t>FLEN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10397-2026</t>
        </is>
      </c>
      <c r="B419" s="1" t="n">
        <v>46077</v>
      </c>
      <c r="C419" s="1" t="n">
        <v>46198</v>
      </c>
      <c r="D419" t="inlineStr">
        <is>
          <t>SÖDERMANLANDS LÄN</t>
        </is>
      </c>
      <c r="E419" t="inlineStr">
        <is>
          <t>FLEN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11148-2026</t>
        </is>
      </c>
      <c r="B420" s="1" t="n">
        <v>46080</v>
      </c>
      <c r="C420" s="1" t="n">
        <v>46198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11180-2026</t>
        </is>
      </c>
      <c r="B421" s="1" t="n">
        <v>46080</v>
      </c>
      <c r="C421" s="1" t="n">
        <v>46198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59599-2022</t>
        </is>
      </c>
      <c r="B422" s="1" t="n">
        <v>44907</v>
      </c>
      <c r="C422" s="1" t="n">
        <v>46198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11004-2026</t>
        </is>
      </c>
      <c r="B423" s="1" t="n">
        <v>46079</v>
      </c>
      <c r="C423" s="1" t="n">
        <v>46198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11105-2026</t>
        </is>
      </c>
      <c r="B424" s="1" t="n">
        <v>46079</v>
      </c>
      <c r="C424" s="1" t="n">
        <v>46198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59817-2022</t>
        </is>
      </c>
      <c r="B425" s="1" t="n">
        <v>44900</v>
      </c>
      <c r="C425" s="1" t="n">
        <v>46198</v>
      </c>
      <c r="D425" t="inlineStr">
        <is>
          <t>SÖDERMANLANDS LÄN</t>
        </is>
      </c>
      <c r="E425" t="inlineStr">
        <is>
          <t>FLEN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11098-2026</t>
        </is>
      </c>
      <c r="B426" s="1" t="n">
        <v>46079</v>
      </c>
      <c r="C426" s="1" t="n">
        <v>46198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11187-2026</t>
        </is>
      </c>
      <c r="B427" s="1" t="n">
        <v>46080</v>
      </c>
      <c r="C427" s="1" t="n">
        <v>46198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11339-2026</t>
        </is>
      </c>
      <c r="B428" s="1" t="n">
        <v>46082</v>
      </c>
      <c r="C428" s="1" t="n">
        <v>46198</v>
      </c>
      <c r="D428" t="inlineStr">
        <is>
          <t>SÖDERMANLANDS LÄN</t>
        </is>
      </c>
      <c r="E428" t="inlineStr">
        <is>
          <t>FLEN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11413-2026</t>
        </is>
      </c>
      <c r="B429" s="1" t="n">
        <v>46083</v>
      </c>
      <c r="C429" s="1" t="n">
        <v>46198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22957-2023</t>
        </is>
      </c>
      <c r="B430" s="1" t="n">
        <v>45072</v>
      </c>
      <c r="C430" s="1" t="n">
        <v>46198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50646-2023</t>
        </is>
      </c>
      <c r="B431" s="1" t="n">
        <v>45217</v>
      </c>
      <c r="C431" s="1" t="n">
        <v>46198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31352-2023</t>
        </is>
      </c>
      <c r="B432" s="1" t="n">
        <v>45114</v>
      </c>
      <c r="C432" s="1" t="n">
        <v>46198</v>
      </c>
      <c r="D432" t="inlineStr">
        <is>
          <t>SÖDERMANLANDS LÄN</t>
        </is>
      </c>
      <c r="E432" t="inlineStr">
        <is>
          <t>FLEN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545-2024</t>
        </is>
      </c>
      <c r="B433" s="1" t="n">
        <v>45299</v>
      </c>
      <c r="C433" s="1" t="n">
        <v>46198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45923-2023</t>
        </is>
      </c>
      <c r="B434" s="1" t="n">
        <v>45189</v>
      </c>
      <c r="C434" s="1" t="n">
        <v>46198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24348-2023</t>
        </is>
      </c>
      <c r="B435" s="1" t="n">
        <v>45082</v>
      </c>
      <c r="C435" s="1" t="n">
        <v>46198</v>
      </c>
      <c r="D435" t="inlineStr">
        <is>
          <t>SÖDERMANLANDS LÄN</t>
        </is>
      </c>
      <c r="E435" t="inlineStr">
        <is>
          <t>FLEN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16580-2023</t>
        </is>
      </c>
      <c r="B436" s="1" t="n">
        <v>45030</v>
      </c>
      <c r="C436" s="1" t="n">
        <v>46198</v>
      </c>
      <c r="D436" t="inlineStr">
        <is>
          <t>SÖDERMANLANDS LÄN</t>
        </is>
      </c>
      <c r="E436" t="inlineStr">
        <is>
          <t>FLEN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12712-2026</t>
        </is>
      </c>
      <c r="B437" s="1" t="n">
        <v>46091</v>
      </c>
      <c r="C437" s="1" t="n">
        <v>46198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52353-2023</t>
        </is>
      </c>
      <c r="B438" s="1" t="n">
        <v>45224</v>
      </c>
      <c r="C438" s="1" t="n">
        <v>46198</v>
      </c>
      <c r="D438" t="inlineStr">
        <is>
          <t>SÖDERMANLANDS LÄN</t>
        </is>
      </c>
      <c r="E438" t="inlineStr">
        <is>
          <t>FLEN</t>
        </is>
      </c>
      <c r="F438" t="inlineStr">
        <is>
          <t>Kyrkan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55445-2022</t>
        </is>
      </c>
      <c r="B439" s="1" t="n">
        <v>44887</v>
      </c>
      <c r="C439" s="1" t="n">
        <v>46198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40286-2023</t>
        </is>
      </c>
      <c r="B440" s="1" t="n">
        <v>45169</v>
      </c>
      <c r="C440" s="1" t="n">
        <v>46198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42936-2021</t>
        </is>
      </c>
      <c r="B441" s="1" t="n">
        <v>44431</v>
      </c>
      <c r="C441" s="1" t="n">
        <v>46198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54340-2023</t>
        </is>
      </c>
      <c r="B442" s="1" t="n">
        <v>45225</v>
      </c>
      <c r="C442" s="1" t="n">
        <v>46198</v>
      </c>
      <c r="D442" t="inlineStr">
        <is>
          <t>SÖDERMANLANDS LÄN</t>
        </is>
      </c>
      <c r="E442" t="inlineStr">
        <is>
          <t>FLEN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31028-2024</t>
        </is>
      </c>
      <c r="B443" s="1" t="n">
        <v>45501</v>
      </c>
      <c r="C443" s="1" t="n">
        <v>46198</v>
      </c>
      <c r="D443" t="inlineStr">
        <is>
          <t>SÖDERMANLANDS LÄN</t>
        </is>
      </c>
      <c r="E443" t="inlineStr">
        <is>
          <t>FLEN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40420-2024</t>
        </is>
      </c>
      <c r="B444" s="1" t="n">
        <v>45555</v>
      </c>
      <c r="C444" s="1" t="n">
        <v>46198</v>
      </c>
      <c r="D444" t="inlineStr">
        <is>
          <t>SÖDERMANLANDS LÄN</t>
        </is>
      </c>
      <c r="E444" t="inlineStr">
        <is>
          <t>FLEN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46401-2022</t>
        </is>
      </c>
      <c r="B445" s="1" t="n">
        <v>44846</v>
      </c>
      <c r="C445" s="1" t="n">
        <v>46198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38209-2023</t>
        </is>
      </c>
      <c r="B446" s="1" t="n">
        <v>45161</v>
      </c>
      <c r="C446" s="1" t="n">
        <v>46198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58267-2023</t>
        </is>
      </c>
      <c r="B447" s="1" t="n">
        <v>45250</v>
      </c>
      <c r="C447" s="1" t="n">
        <v>46198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49811-2023</t>
        </is>
      </c>
      <c r="B448" s="1" t="n">
        <v>45211</v>
      </c>
      <c r="C448" s="1" t="n">
        <v>46198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16052-2026</t>
        </is>
      </c>
      <c r="B449" s="1" t="n">
        <v>46108</v>
      </c>
      <c r="C449" s="1" t="n">
        <v>46198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52481-2023</t>
        </is>
      </c>
      <c r="B450" s="1" t="n">
        <v>45225</v>
      </c>
      <c r="C450" s="1" t="n">
        <v>46198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47187-2022</t>
        </is>
      </c>
      <c r="B451" s="1" t="n">
        <v>44848</v>
      </c>
      <c r="C451" s="1" t="n">
        <v>46198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16502-2026</t>
        </is>
      </c>
      <c r="B452" s="1" t="n">
        <v>46112</v>
      </c>
      <c r="C452" s="1" t="n">
        <v>46198</v>
      </c>
      <c r="D452" t="inlineStr">
        <is>
          <t>SÖDERMANLANDS LÄN</t>
        </is>
      </c>
      <c r="E452" t="inlineStr">
        <is>
          <t>FLEN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21476-2024</t>
        </is>
      </c>
      <c r="B453" s="1" t="n">
        <v>45441</v>
      </c>
      <c r="C453" s="1" t="n">
        <v>46198</v>
      </c>
      <c r="D453" t="inlineStr">
        <is>
          <t>SÖDERMANLANDS LÄN</t>
        </is>
      </c>
      <c r="E453" t="inlineStr">
        <is>
          <t>FLEN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16803-2026</t>
        </is>
      </c>
      <c r="B454" s="1" t="n">
        <v>46113</v>
      </c>
      <c r="C454" s="1" t="n">
        <v>46198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8903-2022</t>
        </is>
      </c>
      <c r="B455" s="1" t="n">
        <v>44614</v>
      </c>
      <c r="C455" s="1" t="n">
        <v>46198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10281-2025</t>
        </is>
      </c>
      <c r="B456" s="1" t="n">
        <v>45720</v>
      </c>
      <c r="C456" s="1" t="n">
        <v>46198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53517-2023</t>
        </is>
      </c>
      <c r="B457" s="1" t="n">
        <v>45230</v>
      </c>
      <c r="C457" s="1" t="n">
        <v>46198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14391-2026</t>
        </is>
      </c>
      <c r="B458" s="1" t="n">
        <v>46100</v>
      </c>
      <c r="C458" s="1" t="n">
        <v>46198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37286-2024</t>
        </is>
      </c>
      <c r="B459" s="1" t="n">
        <v>45540</v>
      </c>
      <c r="C459" s="1" t="n">
        <v>46198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46198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17876-2026</t>
        </is>
      </c>
      <c r="B461" s="1" t="n">
        <v>46121</v>
      </c>
      <c r="C461" s="1" t="n">
        <v>46198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24157-2026</t>
        </is>
      </c>
      <c r="B462" s="1" t="n">
        <v>46168</v>
      </c>
      <c r="C462" s="1" t="n">
        <v>46198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24163-2026</t>
        </is>
      </c>
      <c r="B463" s="1" t="n">
        <v>46168</v>
      </c>
      <c r="C463" s="1" t="n">
        <v>46198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24116-2026</t>
        </is>
      </c>
      <c r="B464" s="1" t="n">
        <v>46168</v>
      </c>
      <c r="C464" s="1" t="n">
        <v>46198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18508-2026</t>
        </is>
      </c>
      <c r="B465" s="1" t="n">
        <v>46126</v>
      </c>
      <c r="C465" s="1" t="n">
        <v>46198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18471-2026</t>
        </is>
      </c>
      <c r="B466" s="1" t="n">
        <v>46126</v>
      </c>
      <c r="C466" s="1" t="n">
        <v>46198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18000-2026</t>
        </is>
      </c>
      <c r="B467" s="1" t="n">
        <v>46125</v>
      </c>
      <c r="C467" s="1" t="n">
        <v>46198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60034-2022</t>
        </is>
      </c>
      <c r="B468" s="1" t="n">
        <v>44909</v>
      </c>
      <c r="C468" s="1" t="n">
        <v>46198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4536-2024</t>
        </is>
      </c>
      <c r="B469" s="1" t="n">
        <v>45327</v>
      </c>
      <c r="C469" s="1" t="n">
        <v>46198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24151-2026</t>
        </is>
      </c>
      <c r="B470" s="1" t="n">
        <v>46168</v>
      </c>
      <c r="C470" s="1" t="n">
        <v>46198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24155-2026</t>
        </is>
      </c>
      <c r="B471" s="1" t="n">
        <v>46168</v>
      </c>
      <c r="C471" s="1" t="n">
        <v>46198</v>
      </c>
      <c r="D471" t="inlineStr">
        <is>
          <t>SÖDERMANLANDS LÄN</t>
        </is>
      </c>
      <c r="E471" t="inlineStr">
        <is>
          <t>FLEN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12936-2023</t>
        </is>
      </c>
      <c r="B472" s="1" t="n">
        <v>45001</v>
      </c>
      <c r="C472" s="1" t="n">
        <v>46198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18499-2026</t>
        </is>
      </c>
      <c r="B473" s="1" t="n">
        <v>46126</v>
      </c>
      <c r="C473" s="1" t="n">
        <v>46198</v>
      </c>
      <c r="D473" t="inlineStr">
        <is>
          <t>SÖDERMANLANDS LÄN</t>
        </is>
      </c>
      <c r="E473" t="inlineStr">
        <is>
          <t>FLEN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24223-2026</t>
        </is>
      </c>
      <c r="B474" s="1" t="n">
        <v>46168</v>
      </c>
      <c r="C474" s="1" t="n">
        <v>46198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24450-2026</t>
        </is>
      </c>
      <c r="B475" s="1" t="n">
        <v>46170</v>
      </c>
      <c r="C475" s="1" t="n">
        <v>46198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HYPERLINK("https://klasma.github.io/Logging_0482/knärot/A 24450-2026 karta knärot.png", "A 24450-2026")</f>
        <v/>
      </c>
      <c r="V475">
        <f>HYPERLINK("https://klasma.github.io/Logging_0482/klagomål/A 24450-2026 FSC-klagomål.docx", "A 24450-2026")</f>
        <v/>
      </c>
      <c r="W475">
        <f>HYPERLINK("https://klasma.github.io/Logging_0482/klagomålsmail/A 24450-2026 FSC-klagomål mail.docx", "A 24450-2026")</f>
        <v/>
      </c>
      <c r="X475">
        <f>HYPERLINK("https://klasma.github.io/Logging_0482/tillsyn/A 24450-2026 tillsynsbegäran.docx", "A 24450-2026")</f>
        <v/>
      </c>
      <c r="Y475">
        <f>HYPERLINK("https://klasma.github.io/Logging_0482/tillsynsmail/A 24450-2026 tillsynsbegäran mail.docx", "A 24450-2026")</f>
        <v/>
      </c>
    </row>
    <row r="476" ht="15" customHeight="1">
      <c r="A476" t="inlineStr">
        <is>
          <t>A 17838-2026</t>
        </is>
      </c>
      <c r="B476" s="1" t="n">
        <v>46121</v>
      </c>
      <c r="C476" s="1" t="n">
        <v>46198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17840-2026</t>
        </is>
      </c>
      <c r="B477" s="1" t="n">
        <v>46121</v>
      </c>
      <c r="C477" s="1" t="n">
        <v>46198</v>
      </c>
      <c r="D477" t="inlineStr">
        <is>
          <t>SÖDERMANLANDS LÄN</t>
        </is>
      </c>
      <c r="E477" t="inlineStr">
        <is>
          <t>FLEN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17847-2026</t>
        </is>
      </c>
      <c r="B478" s="1" t="n">
        <v>46121</v>
      </c>
      <c r="C478" s="1" t="n">
        <v>46198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24721-2026</t>
        </is>
      </c>
      <c r="B479" s="1" t="n">
        <v>46170</v>
      </c>
      <c r="C479" s="1" t="n">
        <v>46198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18918-2026</t>
        </is>
      </c>
      <c r="B480" s="1" t="n">
        <v>46129</v>
      </c>
      <c r="C480" s="1" t="n">
        <v>46198</v>
      </c>
      <c r="D480" t="inlineStr">
        <is>
          <t>SÖDERMANLANDS LÄN</t>
        </is>
      </c>
      <c r="E480" t="inlineStr">
        <is>
          <t>FLEN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73923-2021</t>
        </is>
      </c>
      <c r="B481" s="1" t="n">
        <v>44553</v>
      </c>
      <c r="C481" s="1" t="n">
        <v>46198</v>
      </c>
      <c r="D481" t="inlineStr">
        <is>
          <t>SÖDERMANLANDS LÄN</t>
        </is>
      </c>
      <c r="E481" t="inlineStr">
        <is>
          <t>FLEN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24455-2026</t>
        </is>
      </c>
      <c r="B482" s="1" t="n">
        <v>46170</v>
      </c>
      <c r="C482" s="1" t="n">
        <v>46198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7381-2024</t>
        </is>
      </c>
      <c r="B483" s="1" t="n">
        <v>45345</v>
      </c>
      <c r="C483" s="1" t="n">
        <v>46198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17848-2026</t>
        </is>
      </c>
      <c r="B484" s="1" t="n">
        <v>46121</v>
      </c>
      <c r="C484" s="1" t="n">
        <v>46198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25147-2026</t>
        </is>
      </c>
      <c r="B485" s="1" t="n">
        <v>46175</v>
      </c>
      <c r="C485" s="1" t="n">
        <v>46198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25121-2026</t>
        </is>
      </c>
      <c r="B486" s="1" t="n">
        <v>46175</v>
      </c>
      <c r="C486" s="1" t="n">
        <v>46198</v>
      </c>
      <c r="D486" t="inlineStr">
        <is>
          <t>SÖDERMANLANDS LÄN</t>
        </is>
      </c>
      <c r="E486" t="inlineStr">
        <is>
          <t>FLEN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19072-2026</t>
        </is>
      </c>
      <c r="B487" s="1" t="n">
        <v>46132</v>
      </c>
      <c r="C487" s="1" t="n">
        <v>46198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19102-2026</t>
        </is>
      </c>
      <c r="B488" s="1" t="n">
        <v>46132</v>
      </c>
      <c r="C488" s="1" t="n">
        <v>46198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13587-2022</t>
        </is>
      </c>
      <c r="B489" s="1" t="n">
        <v>44648</v>
      </c>
      <c r="C489" s="1" t="n">
        <v>46198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25303-2026</t>
        </is>
      </c>
      <c r="B490" s="1" t="n">
        <v>46176</v>
      </c>
      <c r="C490" s="1" t="n">
        <v>46198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26663-2022</t>
        </is>
      </c>
      <c r="B491" s="1" t="n">
        <v>44739</v>
      </c>
      <c r="C491" s="1" t="n">
        <v>46198</v>
      </c>
      <c r="D491" t="inlineStr">
        <is>
          <t>SÖDERMANLANDS LÄN</t>
        </is>
      </c>
      <c r="E491" t="inlineStr">
        <is>
          <t>FLEN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23716-2024</t>
        </is>
      </c>
      <c r="B492" s="1" t="n">
        <v>45454</v>
      </c>
      <c r="C492" s="1" t="n">
        <v>46198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28768-2024</t>
        </is>
      </c>
      <c r="B493" s="1" t="n">
        <v>45478</v>
      </c>
      <c r="C493" s="1" t="n">
        <v>46198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41894-2021</t>
        </is>
      </c>
      <c r="B494" s="1" t="n">
        <v>44425</v>
      </c>
      <c r="C494" s="1" t="n">
        <v>46198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9074-2025</t>
        </is>
      </c>
      <c r="B495" s="1" t="n">
        <v>45713</v>
      </c>
      <c r="C495" s="1" t="n">
        <v>46198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2738-2022</t>
        </is>
      </c>
      <c r="B496" s="1" t="n">
        <v>44580</v>
      </c>
      <c r="C496" s="1" t="n">
        <v>46198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34612-2023</t>
        </is>
      </c>
      <c r="B497" s="1" t="n">
        <v>45140</v>
      </c>
      <c r="C497" s="1" t="n">
        <v>46198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39891-2022</t>
        </is>
      </c>
      <c r="B498" s="1" t="n">
        <v>44819</v>
      </c>
      <c r="C498" s="1" t="n">
        <v>46198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31083-2022</t>
        </is>
      </c>
      <c r="B499" s="1" t="n">
        <v>44769</v>
      </c>
      <c r="C499" s="1" t="n">
        <v>46198</v>
      </c>
      <c r="D499" t="inlineStr">
        <is>
          <t>SÖDERMANLANDS LÄN</t>
        </is>
      </c>
      <c r="E499" t="inlineStr">
        <is>
          <t>FLEN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32407-2023</t>
        </is>
      </c>
      <c r="B500" s="1" t="n">
        <v>45110</v>
      </c>
      <c r="C500" s="1" t="n">
        <v>46198</v>
      </c>
      <c r="D500" t="inlineStr">
        <is>
          <t>SÖDERMANLANDS LÄN</t>
        </is>
      </c>
      <c r="E500" t="inlineStr">
        <is>
          <t>FLEN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58926-2023</t>
        </is>
      </c>
      <c r="B501" s="1" t="n">
        <v>45250</v>
      </c>
      <c r="C501" s="1" t="n">
        <v>46198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38135-2023</t>
        </is>
      </c>
      <c r="B502" s="1" t="n">
        <v>45161</v>
      </c>
      <c r="C502" s="1" t="n">
        <v>46198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5582-2023</t>
        </is>
      </c>
      <c r="B503" s="1" t="n">
        <v>44960</v>
      </c>
      <c r="C503" s="1" t="n">
        <v>46198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57046-2023</t>
        </is>
      </c>
      <c r="B504" s="1" t="n">
        <v>45244</v>
      </c>
      <c r="C504" s="1" t="n">
        <v>46198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45107-2023</t>
        </is>
      </c>
      <c r="B505" s="1" t="n">
        <v>45191</v>
      </c>
      <c r="C505" s="1" t="n">
        <v>46198</v>
      </c>
      <c r="D505" t="inlineStr">
        <is>
          <t>SÖDERMANLANDS LÄN</t>
        </is>
      </c>
      <c r="E505" t="inlineStr">
        <is>
          <t>FLEN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4657-2024</t>
        </is>
      </c>
      <c r="B506" s="1" t="n">
        <v>45328</v>
      </c>
      <c r="C506" s="1" t="n">
        <v>46198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41630-2023</t>
        </is>
      </c>
      <c r="B507" s="1" t="n">
        <v>45175</v>
      </c>
      <c r="C507" s="1" t="n">
        <v>46198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17654-2023</t>
        </is>
      </c>
      <c r="B508" s="1" t="n">
        <v>45036</v>
      </c>
      <c r="C508" s="1" t="n">
        <v>46198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59439-2022</t>
        </is>
      </c>
      <c r="B509" s="1" t="n">
        <v>44907</v>
      </c>
      <c r="C509" s="1" t="n">
        <v>46198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10256-2024</t>
        </is>
      </c>
      <c r="B510" s="1" t="n">
        <v>45365</v>
      </c>
      <c r="C510" s="1" t="n">
        <v>46198</v>
      </c>
      <c r="D510" t="inlineStr">
        <is>
          <t>SÖDERMANLANDS LÄN</t>
        </is>
      </c>
      <c r="E510" t="inlineStr">
        <is>
          <t>FLEN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56991-2023</t>
        </is>
      </c>
      <c r="B511" s="1" t="n">
        <v>45244</v>
      </c>
      <c r="C511" s="1" t="n">
        <v>46198</v>
      </c>
      <c r="D511" t="inlineStr">
        <is>
          <t>SÖDERMANLANDS LÄN</t>
        </is>
      </c>
      <c r="E511" t="inlineStr">
        <is>
          <t>FLEN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11747-2022</t>
        </is>
      </c>
      <c r="B512" s="1" t="n">
        <v>44634</v>
      </c>
      <c r="C512" s="1" t="n">
        <v>46198</v>
      </c>
      <c r="D512" t="inlineStr">
        <is>
          <t>SÖDERMANLANDS LÄN</t>
        </is>
      </c>
      <c r="E512" t="inlineStr">
        <is>
          <t>FLEN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41806-2023</t>
        </is>
      </c>
      <c r="B513" s="1" t="n">
        <v>45176</v>
      </c>
      <c r="C513" s="1" t="n">
        <v>46198</v>
      </c>
      <c r="D513" t="inlineStr">
        <is>
          <t>SÖDERMANLANDS LÄN</t>
        </is>
      </c>
      <c r="E513" t="inlineStr">
        <is>
          <t>FLEN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50358-2023</t>
        </is>
      </c>
      <c r="B514" s="1" t="n">
        <v>45216</v>
      </c>
      <c r="C514" s="1" t="n">
        <v>46198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42388-2023</t>
        </is>
      </c>
      <c r="B515" s="1" t="n">
        <v>45180</v>
      </c>
      <c r="C515" s="1" t="n">
        <v>46198</v>
      </c>
      <c r="D515" t="inlineStr">
        <is>
          <t>SÖDERMANLANDS LÄN</t>
        </is>
      </c>
      <c r="E515" t="inlineStr">
        <is>
          <t>FLEN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59690-2023</t>
        </is>
      </c>
      <c r="B516" s="1" t="n">
        <v>45256</v>
      </c>
      <c r="C516" s="1" t="n">
        <v>46198</v>
      </c>
      <c r="D516" t="inlineStr">
        <is>
          <t>SÖDERMANLANDS LÄN</t>
        </is>
      </c>
      <c r="E516" t="inlineStr">
        <is>
          <t>FLEN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13824-2023</t>
        </is>
      </c>
      <c r="B517" s="1" t="n">
        <v>45007</v>
      </c>
      <c r="C517" s="1" t="n">
        <v>46198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22827-2024</t>
        </is>
      </c>
      <c r="B518" s="1" t="n">
        <v>45448</v>
      </c>
      <c r="C518" s="1" t="n">
        <v>46198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13233-2024</t>
        </is>
      </c>
      <c r="B519" s="1" t="n">
        <v>45386</v>
      </c>
      <c r="C519" s="1" t="n">
        <v>46198</v>
      </c>
      <c r="D519" t="inlineStr">
        <is>
          <t>SÖDERMANLANDS LÄN</t>
        </is>
      </c>
      <c r="E519" t="inlineStr">
        <is>
          <t>FLEN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8293-2022</t>
        </is>
      </c>
      <c r="B520" s="1" t="n">
        <v>44610</v>
      </c>
      <c r="C520" s="1" t="n">
        <v>46198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14755-2023</t>
        </is>
      </c>
      <c r="B521" s="1" t="n">
        <v>45014</v>
      </c>
      <c r="C521" s="1" t="n">
        <v>46198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1899-2025</t>
        </is>
      </c>
      <c r="B522" s="1" t="n">
        <v>45671</v>
      </c>
      <c r="C522" s="1" t="n">
        <v>46198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38753-2023</t>
        </is>
      </c>
      <c r="B523" s="1" t="n">
        <v>45163</v>
      </c>
      <c r="C523" s="1" t="n">
        <v>46198</v>
      </c>
      <c r="D523" t="inlineStr">
        <is>
          <t>SÖDERMANLANDS LÄN</t>
        </is>
      </c>
      <c r="E523" t="inlineStr">
        <is>
          <t>FLEN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4899-2023</t>
        </is>
      </c>
      <c r="B524" s="1" t="n">
        <v>44958</v>
      </c>
      <c r="C524" s="1" t="n">
        <v>46198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20952-2025</t>
        </is>
      </c>
      <c r="B525" s="1" t="n">
        <v>45777</v>
      </c>
      <c r="C525" s="1" t="n">
        <v>46198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17290-2024</t>
        </is>
      </c>
      <c r="B526" s="1" t="n">
        <v>45414</v>
      </c>
      <c r="C526" s="1" t="n">
        <v>46198</v>
      </c>
      <c r="D526" t="inlineStr">
        <is>
          <t>SÖDERMANLANDS LÄN</t>
        </is>
      </c>
      <c r="E526" t="inlineStr">
        <is>
          <t>FLEN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59051-2023</t>
        </is>
      </c>
      <c r="B527" s="1" t="n">
        <v>45252</v>
      </c>
      <c r="C527" s="1" t="n">
        <v>46198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7960-2024</t>
        </is>
      </c>
      <c r="B528" s="1" t="n">
        <v>45350</v>
      </c>
      <c r="C528" s="1" t="n">
        <v>46198</v>
      </c>
      <c r="D528" t="inlineStr">
        <is>
          <t>SÖDERMANLANDS LÄN</t>
        </is>
      </c>
      <c r="E528" t="inlineStr">
        <is>
          <t>FLEN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54736-2022</t>
        </is>
      </c>
      <c r="B529" s="1" t="n">
        <v>44883</v>
      </c>
      <c r="C529" s="1" t="n">
        <v>46198</v>
      </c>
      <c r="D529" t="inlineStr">
        <is>
          <t>SÖDERMANLANDS LÄN</t>
        </is>
      </c>
      <c r="E529" t="inlineStr">
        <is>
          <t>FLEN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47055-2022</t>
        </is>
      </c>
      <c r="B530" s="1" t="n">
        <v>44852</v>
      </c>
      <c r="C530" s="1" t="n">
        <v>46198</v>
      </c>
      <c r="D530" t="inlineStr">
        <is>
          <t>SÖDERMANLANDS LÄN</t>
        </is>
      </c>
      <c r="E530" t="inlineStr">
        <is>
          <t>FLEN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13909-2023</t>
        </is>
      </c>
      <c r="B531" s="1" t="n">
        <v>45008</v>
      </c>
      <c r="C531" s="1" t="n">
        <v>46198</v>
      </c>
      <c r="D531" t="inlineStr">
        <is>
          <t>SÖDERMANLANDS LÄN</t>
        </is>
      </c>
      <c r="E531" t="inlineStr">
        <is>
          <t>FLEN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22882-2025</t>
        </is>
      </c>
      <c r="B532" s="1" t="n">
        <v>45790</v>
      </c>
      <c r="C532" s="1" t="n">
        <v>46198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22989-2025</t>
        </is>
      </c>
      <c r="B533" s="1" t="n">
        <v>45790</v>
      </c>
      <c r="C533" s="1" t="n">
        <v>46198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22998-2025</t>
        </is>
      </c>
      <c r="B534" s="1" t="n">
        <v>45790</v>
      </c>
      <c r="C534" s="1" t="n">
        <v>46198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22867-2025</t>
        </is>
      </c>
      <c r="B535" s="1" t="n">
        <v>45790</v>
      </c>
      <c r="C535" s="1" t="n">
        <v>46198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22892-2025</t>
        </is>
      </c>
      <c r="B536" s="1" t="n">
        <v>45790</v>
      </c>
      <c r="C536" s="1" t="n">
        <v>46198</v>
      </c>
      <c r="D536" t="inlineStr">
        <is>
          <t>SÖDERMANLANDS LÄN</t>
        </is>
      </c>
      <c r="E536" t="inlineStr">
        <is>
          <t>FLEN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23513-2025</t>
        </is>
      </c>
      <c r="B537" s="1" t="n">
        <v>45792</v>
      </c>
      <c r="C537" s="1" t="n">
        <v>46198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52775-2024</t>
        </is>
      </c>
      <c r="B538" s="1" t="n">
        <v>45610</v>
      </c>
      <c r="C538" s="1" t="n">
        <v>46198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40412-2024</t>
        </is>
      </c>
      <c r="B539" s="1" t="n">
        <v>45555</v>
      </c>
      <c r="C539" s="1" t="n">
        <v>46198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24414-2025</t>
        </is>
      </c>
      <c r="B540" s="1" t="n">
        <v>45797</v>
      </c>
      <c r="C540" s="1" t="n">
        <v>46198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24541-2025</t>
        </is>
      </c>
      <c r="B541" s="1" t="n">
        <v>45798</v>
      </c>
      <c r="C541" s="1" t="n">
        <v>46198</v>
      </c>
      <c r="D541" t="inlineStr">
        <is>
          <t>SÖDERMANLANDS LÄN</t>
        </is>
      </c>
      <c r="E541" t="inlineStr">
        <is>
          <t>FLEN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24557-2025</t>
        </is>
      </c>
      <c r="B542" s="1" t="n">
        <v>45798</v>
      </c>
      <c r="C542" s="1" t="n">
        <v>46198</v>
      </c>
      <c r="D542" t="inlineStr">
        <is>
          <t>SÖDERMANLANDS LÄN</t>
        </is>
      </c>
      <c r="E542" t="inlineStr">
        <is>
          <t>FLEN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24474-2025</t>
        </is>
      </c>
      <c r="B543" s="1" t="n">
        <v>45798</v>
      </c>
      <c r="C543" s="1" t="n">
        <v>46198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7313-2025</t>
        </is>
      </c>
      <c r="B544" s="1" t="n">
        <v>45702</v>
      </c>
      <c r="C544" s="1" t="n">
        <v>46198</v>
      </c>
      <c r="D544" t="inlineStr">
        <is>
          <t>SÖDERMANLANDS LÄN</t>
        </is>
      </c>
      <c r="E544" t="inlineStr">
        <is>
          <t>FLEN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24526-2025</t>
        </is>
      </c>
      <c r="B545" s="1" t="n">
        <v>45798</v>
      </c>
      <c r="C545" s="1" t="n">
        <v>46198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24480-2025</t>
        </is>
      </c>
      <c r="B546" s="1" t="n">
        <v>45798</v>
      </c>
      <c r="C546" s="1" t="n">
        <v>46198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3944-2025</t>
        </is>
      </c>
      <c r="B547" s="1" t="n">
        <v>45684</v>
      </c>
      <c r="C547" s="1" t="n">
        <v>46198</v>
      </c>
      <c r="D547" t="inlineStr">
        <is>
          <t>SÖDERMANLANDS LÄN</t>
        </is>
      </c>
      <c r="E547" t="inlineStr">
        <is>
          <t>FLEN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27827-2025</t>
        </is>
      </c>
      <c r="B548" s="1" t="n">
        <v>45817</v>
      </c>
      <c r="C548" s="1" t="n">
        <v>46198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30494-2025</t>
        </is>
      </c>
      <c r="B549" s="1" t="n">
        <v>45830</v>
      </c>
      <c r="C549" s="1" t="n">
        <v>46198</v>
      </c>
      <c r="D549" t="inlineStr">
        <is>
          <t>SÖDERMANLANDS LÄN</t>
        </is>
      </c>
      <c r="E549" t="inlineStr">
        <is>
          <t>FLEN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30493-2025</t>
        </is>
      </c>
      <c r="B550" s="1" t="n">
        <v>45830</v>
      </c>
      <c r="C550" s="1" t="n">
        <v>46198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7312-2025</t>
        </is>
      </c>
      <c r="B551" s="1" t="n">
        <v>45702</v>
      </c>
      <c r="C551" s="1" t="n">
        <v>46198</v>
      </c>
      <c r="D551" t="inlineStr">
        <is>
          <t>SÖDERMANLANDS LÄN</t>
        </is>
      </c>
      <c r="E551" t="inlineStr">
        <is>
          <t>FLEN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12295-2025</t>
        </is>
      </c>
      <c r="B552" s="1" t="n">
        <v>45729</v>
      </c>
      <c r="C552" s="1" t="n">
        <v>46198</v>
      </c>
      <c r="D552" t="inlineStr">
        <is>
          <t>SÖDERMANLANDS LÄN</t>
        </is>
      </c>
      <c r="E552" t="inlineStr">
        <is>
          <t>FLEN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57863-2022</t>
        </is>
      </c>
      <c r="B553" s="1" t="n">
        <v>44899</v>
      </c>
      <c r="C553" s="1" t="n">
        <v>46198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2026-06-25T00:48:17Z</dcterms:created>
  <dcterms:modified xmlns:dcterms="http://purl.org/dc/terms/" xmlns:xsi="http://www.w3.org/2001/XMLSchema-instance" xsi:type="dcterms:W3CDTF">2026-06-25T00:48:17Z</dcterms:modified>
</cp:coreProperties>
</file>