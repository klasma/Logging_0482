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45704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45704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45704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45704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45704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45704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45704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45704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45704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45704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45704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45704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45704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45704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45704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45704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45704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45704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45704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45704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45704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45704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45704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45704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45704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45704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45704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45704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45704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45704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45704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45704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45704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45704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45704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45704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45704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45704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45704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45704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45704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45704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45704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45704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45704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45704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45704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45704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45704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45704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45704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45704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45704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45704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45704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45704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45704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45704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45704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45704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45704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45704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45704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45704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45704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45704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45704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45704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45704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45704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45704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45704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45704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45704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45704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45704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45704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45704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45704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45704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45704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45704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45704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45704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45704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45704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45704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45704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45704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45704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45704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45704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45704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45704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45704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45704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45704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45704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45704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45704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45704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45704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13858-2023</t>
        </is>
      </c>
      <c r="B104" s="1" t="n">
        <v>45007</v>
      </c>
      <c r="C104" s="1" t="n">
        <v>45704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13858-2023 artfynd.xlsx", "A 13858-2023")</f>
        <v/>
      </c>
      <c r="T104">
        <f>HYPERLINK("https://klasma.github.io/Logging_0482/kartor/A 13858-2023 karta.png", "A 13858-2023")</f>
        <v/>
      </c>
      <c r="V104">
        <f>HYPERLINK("https://klasma.github.io/Logging_0482/klagomål/A 13858-2023 FSC-klagomål.docx", "A 13858-2023")</f>
        <v/>
      </c>
      <c r="W104">
        <f>HYPERLINK("https://klasma.github.io/Logging_0482/klagomålsmail/A 13858-2023 FSC-klagomål mail.docx", "A 13858-2023")</f>
        <v/>
      </c>
      <c r="X104">
        <f>HYPERLINK("https://klasma.github.io/Logging_0482/tillsyn/A 13858-2023 tillsynsbegäran.docx", "A 13858-2023")</f>
        <v/>
      </c>
      <c r="Y104">
        <f>HYPERLINK("https://klasma.github.io/Logging_0482/tillsynsmail/A 13858-2023 tillsynsbegäran mail.docx", "A 13858-2023")</f>
        <v/>
      </c>
    </row>
    <row r="105" ht="15" customHeight="1">
      <c r="A105" t="inlineStr">
        <is>
          <t>A 30584-2023</t>
        </is>
      </c>
      <c r="B105" s="1" t="n">
        <v>45112</v>
      </c>
      <c r="C105" s="1" t="n">
        <v>45704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30584-2023 artfynd.xlsx", "A 30584-2023")</f>
        <v/>
      </c>
      <c r="T105">
        <f>HYPERLINK("https://klasma.github.io/Logging_0482/kartor/A 30584-2023 karta.png", "A 30584-2023")</f>
        <v/>
      </c>
      <c r="V105">
        <f>HYPERLINK("https://klasma.github.io/Logging_0482/klagomål/A 30584-2023 FSC-klagomål.docx", "A 30584-2023")</f>
        <v/>
      </c>
      <c r="W105">
        <f>HYPERLINK("https://klasma.github.io/Logging_0482/klagomålsmail/A 30584-2023 FSC-klagomål mail.docx", "A 30584-2023")</f>
        <v/>
      </c>
      <c r="X105">
        <f>HYPERLINK("https://klasma.github.io/Logging_0482/tillsyn/A 30584-2023 tillsynsbegäran.docx", "A 30584-2023")</f>
        <v/>
      </c>
      <c r="Y105">
        <f>HYPERLINK("https://klasma.github.io/Logging_0482/tillsynsmail/A 30584-2023 tillsynsbegäran mail.docx", "A 30584-2023")</f>
        <v/>
      </c>
      <c r="Z105">
        <f>HYPERLINK("https://klasma.github.io/Logging_0482/fåglar/A 30584-2023 prioriterade fågelarter.docx", "A 30584-2023")</f>
        <v/>
      </c>
    </row>
    <row r="106" ht="15" customHeight="1">
      <c r="A106" t="inlineStr">
        <is>
          <t>A 37317-2023</t>
        </is>
      </c>
      <c r="B106" s="1" t="n">
        <v>45156</v>
      </c>
      <c r="C106" s="1" t="n">
        <v>45704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5.1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HYPERLINK("https://klasma.github.io/Logging_0482/artfynd/A 37317-2023 artfynd.xlsx", "A 37317-2023")</f>
        <v/>
      </c>
      <c r="T106">
        <f>HYPERLINK("https://klasma.github.io/Logging_0482/kartor/A 37317-2023 karta.png", "A 37317-2023")</f>
        <v/>
      </c>
      <c r="V106">
        <f>HYPERLINK("https://klasma.github.io/Logging_0482/klagomål/A 37317-2023 FSC-klagomål.docx", "A 37317-2023")</f>
        <v/>
      </c>
      <c r="W106">
        <f>HYPERLINK("https://klasma.github.io/Logging_0482/klagomålsmail/A 37317-2023 FSC-klagomål mail.docx", "A 37317-2023")</f>
        <v/>
      </c>
      <c r="X106">
        <f>HYPERLINK("https://klasma.github.io/Logging_0482/tillsyn/A 37317-2023 tillsynsbegäran.docx", "A 37317-2023")</f>
        <v/>
      </c>
      <c r="Y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39240-2023</t>
        </is>
      </c>
      <c r="B107" s="1" t="n">
        <v>45166</v>
      </c>
      <c r="C107" s="1" t="n">
        <v>45704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4.6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Blodticka</t>
        </is>
      </c>
      <c r="S107">
        <f>HYPERLINK("https://klasma.github.io/Logging_0482/artfynd/A 39240-2023 artfynd.xlsx", "A 39240-2023")</f>
        <v/>
      </c>
      <c r="T107">
        <f>HYPERLINK("https://klasma.github.io/Logging_0482/kartor/A 39240-2023 karta.png", "A 39240-2023")</f>
        <v/>
      </c>
      <c r="V107">
        <f>HYPERLINK("https://klasma.github.io/Logging_0482/klagomål/A 39240-2023 FSC-klagomål.docx", "A 39240-2023")</f>
        <v/>
      </c>
      <c r="W107">
        <f>HYPERLINK("https://klasma.github.io/Logging_0482/klagomålsmail/A 39240-2023 FSC-klagomål mail.docx", "A 39240-2023")</f>
        <v/>
      </c>
      <c r="X107">
        <f>HYPERLINK("https://klasma.github.io/Logging_0482/tillsyn/A 39240-2023 tillsynsbegäran.docx", "A 39240-2023")</f>
        <v/>
      </c>
      <c r="Y107">
        <f>HYPERLINK("https://klasma.github.io/Logging_0482/tillsynsmail/A 39240-2023 tillsynsbegäran mail.docx", "A 39240-2023")</f>
        <v/>
      </c>
    </row>
    <row r="108" ht="15" customHeight="1">
      <c r="A108" t="inlineStr">
        <is>
          <t>A 44476-2023</t>
        </is>
      </c>
      <c r="B108" s="1" t="n">
        <v>45189</v>
      </c>
      <c r="C108" s="1" t="n">
        <v>45704</v>
      </c>
      <c r="D108" t="inlineStr">
        <is>
          <t>SÖDERMANLANDS LÄN</t>
        </is>
      </c>
      <c r="E108" t="inlineStr">
        <is>
          <t>FLEN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44476-2023 artfynd.xlsx", "A 44476-2023")</f>
        <v/>
      </c>
      <c r="T108">
        <f>HYPERLINK("https://klasma.github.io/Logging_0482/kartor/A 44476-2023 karta.png", "A 44476-2023")</f>
        <v/>
      </c>
      <c r="V108">
        <f>HYPERLINK("https://klasma.github.io/Logging_0482/klagomål/A 44476-2023 FSC-klagomål.docx", "A 44476-2023")</f>
        <v/>
      </c>
      <c r="W108">
        <f>HYPERLINK("https://klasma.github.io/Logging_0482/klagomålsmail/A 44476-2023 FSC-klagomål mail.docx", "A 44476-2023")</f>
        <v/>
      </c>
      <c r="X108">
        <f>HYPERLINK("https://klasma.github.io/Logging_0482/tillsyn/A 44476-2023 tillsynsbegäran.docx", "A 44476-2023")</f>
        <v/>
      </c>
      <c r="Y108">
        <f>HYPERLINK("https://klasma.github.io/Logging_0482/tillsynsmail/A 44476-2023 tillsynsbegäran mail.docx", "A 44476-2023")</f>
        <v/>
      </c>
    </row>
    <row r="109" ht="15" customHeight="1">
      <c r="A109" t="inlineStr">
        <is>
          <t>A 48896-2023</t>
        </is>
      </c>
      <c r="B109" s="1" t="n">
        <v>45209</v>
      </c>
      <c r="C109" s="1" t="n">
        <v>45704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48896-2023 artfynd.xlsx", "A 48896-2023")</f>
        <v/>
      </c>
      <c r="T109">
        <f>HYPERLINK("https://klasma.github.io/Logging_0482/kartor/A 48896-2023 karta.png", "A 48896-2023")</f>
        <v/>
      </c>
      <c r="V109">
        <f>HYPERLINK("https://klasma.github.io/Logging_0482/klagomål/A 48896-2023 FSC-klagomål.docx", "A 48896-2023")</f>
        <v/>
      </c>
      <c r="W109">
        <f>HYPERLINK("https://klasma.github.io/Logging_0482/klagomålsmail/A 48896-2023 FSC-klagomål mail.docx", "A 48896-2023")</f>
        <v/>
      </c>
      <c r="X109">
        <f>HYPERLINK("https://klasma.github.io/Logging_0482/tillsyn/A 48896-2023 tillsynsbegäran.docx", "A 48896-2023")</f>
        <v/>
      </c>
      <c r="Y109">
        <f>HYPERLINK("https://klasma.github.io/Logging_0482/tillsynsmail/A 48896-2023 tillsynsbegäran mail.docx", "A 48896-2023")</f>
        <v/>
      </c>
    </row>
    <row r="110" ht="15" customHeight="1">
      <c r="A110" t="inlineStr">
        <is>
          <t>A 49808-2023</t>
        </is>
      </c>
      <c r="B110" s="1" t="n">
        <v>45212</v>
      </c>
      <c r="C110" s="1" t="n">
        <v>45704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49808-2023 artfynd.xlsx", "A 49808-2023")</f>
        <v/>
      </c>
      <c r="T110">
        <f>HYPERLINK("https://klasma.github.io/Logging_0482/kartor/A 49808-2023 karta.png", "A 49808-2023")</f>
        <v/>
      </c>
      <c r="V110">
        <f>HYPERLINK("https://klasma.github.io/Logging_0482/klagomål/A 49808-2023 FSC-klagomål.docx", "A 49808-2023")</f>
        <v/>
      </c>
      <c r="W110">
        <f>HYPERLINK("https://klasma.github.io/Logging_0482/klagomålsmail/A 49808-2023 FSC-klagomål mail.docx", "A 49808-2023")</f>
        <v/>
      </c>
      <c r="X110">
        <f>HYPERLINK("https://klasma.github.io/Logging_0482/tillsyn/A 49808-2023 tillsynsbegäran.docx", "A 49808-2023")</f>
        <v/>
      </c>
      <c r="Y110">
        <f>HYPERLINK("https://klasma.github.io/Logging_0482/tillsynsmail/A 49808-2023 tillsynsbegäran mail.docx", "A 49808-2023")</f>
        <v/>
      </c>
    </row>
    <row r="111" ht="15" customHeight="1">
      <c r="A111" t="inlineStr">
        <is>
          <t>A 53339-2023</t>
        </is>
      </c>
      <c r="B111" s="1" t="n">
        <v>45222</v>
      </c>
      <c r="C111" s="1" t="n">
        <v>45704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HYPERLINK("https://klasma.github.io/Logging_0482/artfynd/A 53339-2023 artfynd.xlsx", "A 53339-2023")</f>
        <v/>
      </c>
      <c r="T111">
        <f>HYPERLINK("https://klasma.github.io/Logging_0482/kartor/A 53339-2023 karta.png", "A 53339-2023")</f>
        <v/>
      </c>
      <c r="V111">
        <f>HYPERLINK("https://klasma.github.io/Logging_0482/klagomål/A 53339-2023 FSC-klagomål.docx", "A 53339-2023")</f>
        <v/>
      </c>
      <c r="W111">
        <f>HYPERLINK("https://klasma.github.io/Logging_0482/klagomålsmail/A 53339-2023 FSC-klagomål mail.docx", "A 53339-2023")</f>
        <v/>
      </c>
      <c r="X111">
        <f>HYPERLINK("https://klasma.github.io/Logging_0482/tillsyn/A 53339-2023 tillsynsbegäran.docx", "A 53339-2023")</f>
        <v/>
      </c>
      <c r="Y111">
        <f>HYPERLINK("https://klasma.github.io/Logging_0482/tillsynsmail/A 53339-2023 tillsynsbegäran mail.docx", "A 53339-2023")</f>
        <v/>
      </c>
    </row>
    <row r="112" ht="15" customHeight="1">
      <c r="A112" t="inlineStr">
        <is>
          <t>A 4154-2024</t>
        </is>
      </c>
      <c r="B112" s="1" t="n">
        <v>45323</v>
      </c>
      <c r="C112" s="1" t="n">
        <v>45704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4154-2024 artfynd.xlsx", "A 4154-2024")</f>
        <v/>
      </c>
      <c r="T112">
        <f>HYPERLINK("https://klasma.github.io/Logging_0482/kartor/A 4154-2024 karta.png", "A 4154-2024")</f>
        <v/>
      </c>
      <c r="V112">
        <f>HYPERLINK("https://klasma.github.io/Logging_0482/klagomål/A 4154-2024 FSC-klagomål.docx", "A 4154-2024")</f>
        <v/>
      </c>
      <c r="W112">
        <f>HYPERLINK("https://klasma.github.io/Logging_0482/klagomålsmail/A 4154-2024 FSC-klagomål mail.docx", "A 4154-2024")</f>
        <v/>
      </c>
      <c r="X112">
        <f>HYPERLINK("https://klasma.github.io/Logging_0482/tillsyn/A 4154-2024 tillsynsbegäran.docx", "A 4154-2024")</f>
        <v/>
      </c>
      <c r="Y112">
        <f>HYPERLINK("https://klasma.github.io/Logging_0482/tillsynsmail/A 4154-2024 tillsynsbegäran mail.docx", "A 4154-2024")</f>
        <v/>
      </c>
    </row>
    <row r="113" ht="15" customHeight="1">
      <c r="A113" t="inlineStr">
        <is>
          <t>A 7973-2024</t>
        </is>
      </c>
      <c r="B113" s="1" t="n">
        <v>45350</v>
      </c>
      <c r="C113" s="1" t="n">
        <v>45704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7973-2024 artfynd.xlsx", "A 7973-2024")</f>
        <v/>
      </c>
      <c r="T113">
        <f>HYPERLINK("https://klasma.github.io/Logging_0482/kartor/A 7973-2024 karta.png", "A 7973-2024")</f>
        <v/>
      </c>
      <c r="V113">
        <f>HYPERLINK("https://klasma.github.io/Logging_0482/klagomål/A 7973-2024 FSC-klagomål.docx", "A 7973-2024")</f>
        <v/>
      </c>
      <c r="W113">
        <f>HYPERLINK("https://klasma.github.io/Logging_0482/klagomålsmail/A 7973-2024 FSC-klagomål mail.docx", "A 7973-2024")</f>
        <v/>
      </c>
      <c r="X113">
        <f>HYPERLINK("https://klasma.github.io/Logging_0482/tillsyn/A 7973-2024 tillsynsbegäran.docx", "A 7973-2024")</f>
        <v/>
      </c>
      <c r="Y113">
        <f>HYPERLINK("https://klasma.github.io/Logging_0482/tillsynsmail/A 7973-2024 tillsynsbegäran mail.docx", "A 7973-2024")</f>
        <v/>
      </c>
    </row>
    <row r="114" ht="15" customHeight="1">
      <c r="A114" t="inlineStr">
        <is>
          <t>A 12056-2024</t>
        </is>
      </c>
      <c r="B114" s="1" t="n">
        <v>45377</v>
      </c>
      <c r="C114" s="1" t="n">
        <v>45704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Fjällig taggsvamp s.str.</t>
        </is>
      </c>
      <c r="S114">
        <f>HYPERLINK("https://klasma.github.io/Logging_0482/artfynd/A 12056-2024 artfynd.xlsx", "A 12056-2024")</f>
        <v/>
      </c>
      <c r="T114">
        <f>HYPERLINK("https://klasma.github.io/Logging_0482/kartor/A 12056-2024 karta.png", "A 12056-2024")</f>
        <v/>
      </c>
      <c r="V114">
        <f>HYPERLINK("https://klasma.github.io/Logging_0482/klagomål/A 12056-2024 FSC-klagomål.docx", "A 12056-2024")</f>
        <v/>
      </c>
      <c r="W114">
        <f>HYPERLINK("https://klasma.github.io/Logging_0482/klagomålsmail/A 12056-2024 FSC-klagomål mail.docx", "A 12056-2024")</f>
        <v/>
      </c>
      <c r="X114">
        <f>HYPERLINK("https://klasma.github.io/Logging_0482/tillsyn/A 12056-2024 tillsynsbegäran.docx", "A 12056-2024")</f>
        <v/>
      </c>
      <c r="Y114">
        <f>HYPERLINK("https://klasma.github.io/Logging_0482/tillsynsmail/A 12056-2024 tillsynsbegäran mail.docx", "A 12056-2024")</f>
        <v/>
      </c>
    </row>
    <row r="115" ht="15" customHeight="1">
      <c r="A115" t="inlineStr">
        <is>
          <t>A 14854-2024</t>
        </is>
      </c>
      <c r="B115" s="1" t="n">
        <v>45398</v>
      </c>
      <c r="C115" s="1" t="n">
        <v>45704</v>
      </c>
      <c r="D115" t="inlineStr">
        <is>
          <t>SÖDERMANLANDS LÄN</t>
        </is>
      </c>
      <c r="E115" t="inlineStr">
        <is>
          <t>FLEN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14854-2024 artfynd.xlsx", "A 14854-2024")</f>
        <v/>
      </c>
      <c r="T115">
        <f>HYPERLINK("https://klasma.github.io/Logging_0482/kartor/A 14854-2024 karta.png", "A 14854-2024")</f>
        <v/>
      </c>
      <c r="V115">
        <f>HYPERLINK("https://klasma.github.io/Logging_0482/klagomål/A 14854-2024 FSC-klagomål.docx", "A 14854-2024")</f>
        <v/>
      </c>
      <c r="W115">
        <f>HYPERLINK("https://klasma.github.io/Logging_0482/klagomålsmail/A 14854-2024 FSC-klagomål mail.docx", "A 14854-2024")</f>
        <v/>
      </c>
      <c r="X115">
        <f>HYPERLINK("https://klasma.github.io/Logging_0482/tillsyn/A 14854-2024 tillsynsbegäran.docx", "A 14854-2024")</f>
        <v/>
      </c>
      <c r="Y115">
        <f>HYPERLINK("https://klasma.github.io/Logging_0482/tillsynsmail/A 14854-2024 tillsynsbegäran mail.docx", "A 14854-2024")</f>
        <v/>
      </c>
    </row>
    <row r="116" ht="15" customHeight="1">
      <c r="A116" t="inlineStr">
        <is>
          <t>A 28779-2024</t>
        </is>
      </c>
      <c r="B116" s="1" t="n">
        <v>45478</v>
      </c>
      <c r="C116" s="1" t="n">
        <v>45704</v>
      </c>
      <c r="D116" t="inlineStr">
        <is>
          <t>SÖDERMANLANDS LÄN</t>
        </is>
      </c>
      <c r="E116" t="inlineStr">
        <is>
          <t>FLEN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28779-2024 artfynd.xlsx", "A 28779-2024")</f>
        <v/>
      </c>
      <c r="T116">
        <f>HYPERLINK("https://klasma.github.io/Logging_0482/kartor/A 28779-2024 karta.png", "A 28779-2024")</f>
        <v/>
      </c>
      <c r="V116">
        <f>HYPERLINK("https://klasma.github.io/Logging_0482/klagomål/A 28779-2024 FSC-klagomål.docx", "A 28779-2024")</f>
        <v/>
      </c>
      <c r="W116">
        <f>HYPERLINK("https://klasma.github.io/Logging_0482/klagomålsmail/A 28779-2024 FSC-klagomål mail.docx", "A 28779-2024")</f>
        <v/>
      </c>
      <c r="X116">
        <f>HYPERLINK("https://klasma.github.io/Logging_0482/tillsyn/A 28779-2024 tillsynsbegäran.docx", "A 28779-2024")</f>
        <v/>
      </c>
      <c r="Y116">
        <f>HYPERLINK("https://klasma.github.io/Logging_0482/tillsynsmail/A 28779-2024 tillsynsbegäran mail.docx", "A 28779-2024")</f>
        <v/>
      </c>
    </row>
    <row r="117" ht="15" customHeight="1">
      <c r="A117" t="inlineStr">
        <is>
          <t>A 33216-2024</t>
        </is>
      </c>
      <c r="B117" s="1" t="n">
        <v>45518</v>
      </c>
      <c r="C117" s="1" t="n">
        <v>45704</v>
      </c>
      <c r="D117" t="inlineStr">
        <is>
          <t>SÖDERMANLANDS LÄN</t>
        </is>
      </c>
      <c r="E117" t="inlineStr">
        <is>
          <t>FLEN</t>
        </is>
      </c>
      <c r="G117" t="n">
        <v>0.8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HYPERLINK("https://klasma.github.io/Logging_0482/artfynd/A 33216-2024 artfynd.xlsx", "A 33216-2024")</f>
        <v/>
      </c>
      <c r="T117">
        <f>HYPERLINK("https://klasma.github.io/Logging_0482/kartor/A 33216-2024 karta.png", "A 33216-2024")</f>
        <v/>
      </c>
      <c r="V117">
        <f>HYPERLINK("https://klasma.github.io/Logging_0482/klagomål/A 33216-2024 FSC-klagomål.docx", "A 33216-2024")</f>
        <v/>
      </c>
      <c r="W117">
        <f>HYPERLINK("https://klasma.github.io/Logging_0482/klagomålsmail/A 33216-2024 FSC-klagomål mail.docx", "A 33216-2024")</f>
        <v/>
      </c>
      <c r="X117">
        <f>HYPERLINK("https://klasma.github.io/Logging_0482/tillsyn/A 33216-2024 tillsynsbegäran.docx", "A 33216-2024")</f>
        <v/>
      </c>
      <c r="Y117">
        <f>HYPERLINK("https://klasma.github.io/Logging_0482/tillsynsmail/A 33216-2024 tillsynsbegäran mail.docx", "A 33216-2024")</f>
        <v/>
      </c>
    </row>
    <row r="118" ht="15" customHeight="1">
      <c r="A118" t="inlineStr">
        <is>
          <t>A 37282-2024</t>
        </is>
      </c>
      <c r="B118" s="1" t="n">
        <v>45540</v>
      </c>
      <c r="C118" s="1" t="n">
        <v>45704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HYPERLINK("https://klasma.github.io/Logging_0482/artfynd/A 37282-2024 artfynd.xlsx", "A 37282-2024")</f>
        <v/>
      </c>
      <c r="T118">
        <f>HYPERLINK("https://klasma.github.io/Logging_0482/kartor/A 37282-2024 karta.png", "A 37282-2024")</f>
        <v/>
      </c>
      <c r="V118">
        <f>HYPERLINK("https://klasma.github.io/Logging_0482/klagomål/A 37282-2024 FSC-klagomål.docx", "A 37282-2024")</f>
        <v/>
      </c>
      <c r="W118">
        <f>HYPERLINK("https://klasma.github.io/Logging_0482/klagomålsmail/A 37282-2024 FSC-klagomål mail.docx", "A 37282-2024")</f>
        <v/>
      </c>
      <c r="X118">
        <f>HYPERLINK("https://klasma.github.io/Logging_0482/tillsyn/A 37282-2024 tillsynsbegäran.docx", "A 37282-2024")</f>
        <v/>
      </c>
      <c r="Y118">
        <f>HYPERLINK("https://klasma.github.io/Logging_0482/tillsynsmail/A 37282-2024 tillsynsbegäran mail.docx", "A 37282-2024")</f>
        <v/>
      </c>
    </row>
    <row r="119" ht="15" customHeight="1">
      <c r="A119" t="inlineStr">
        <is>
          <t>A 37284-2024</t>
        </is>
      </c>
      <c r="B119" s="1" t="n">
        <v>45540</v>
      </c>
      <c r="C119" s="1" t="n">
        <v>45704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HYPERLINK("https://klasma.github.io/Logging_0482/artfynd/A 37284-2024 artfynd.xlsx", "A 37284-2024")</f>
        <v/>
      </c>
      <c r="T119">
        <f>HYPERLINK("https://klasma.github.io/Logging_0482/kartor/A 37284-2024 karta.png", "A 37284-2024")</f>
        <v/>
      </c>
      <c r="V119">
        <f>HYPERLINK("https://klasma.github.io/Logging_0482/klagomål/A 37284-2024 FSC-klagomål.docx", "A 37284-2024")</f>
        <v/>
      </c>
      <c r="W119">
        <f>HYPERLINK("https://klasma.github.io/Logging_0482/klagomålsmail/A 37284-2024 FSC-klagomål mail.docx", "A 37284-2024")</f>
        <v/>
      </c>
      <c r="X119">
        <f>HYPERLINK("https://klasma.github.io/Logging_0482/tillsyn/A 37284-2024 tillsynsbegäran.docx", "A 37284-2024")</f>
        <v/>
      </c>
      <c r="Y119">
        <f>HYPERLINK("https://klasma.github.io/Logging_0482/tillsynsmail/A 37284-2024 tillsynsbegäran mail.docx", "A 37284-2024")</f>
        <v/>
      </c>
    </row>
    <row r="120" ht="15" customHeight="1">
      <c r="A120" t="inlineStr">
        <is>
          <t>A 40820-2024</t>
        </is>
      </c>
      <c r="B120" s="1" t="n">
        <v>45558</v>
      </c>
      <c r="C120" s="1" t="n">
        <v>45704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40820-2024 artfynd.xlsx", "A 40820-2024")</f>
        <v/>
      </c>
      <c r="T120">
        <f>HYPERLINK("https://klasma.github.io/Logging_0482/kartor/A 40820-2024 karta.png", "A 40820-2024")</f>
        <v/>
      </c>
      <c r="U120">
        <f>HYPERLINK("https://klasma.github.io/Logging_0482/knärot/A 40820-2024 karta knärot.png", "A 40820-2024")</f>
        <v/>
      </c>
      <c r="V120">
        <f>HYPERLINK("https://klasma.github.io/Logging_0482/klagomål/A 40820-2024 FSC-klagomål.docx", "A 40820-2024")</f>
        <v/>
      </c>
      <c r="W120">
        <f>HYPERLINK("https://klasma.github.io/Logging_0482/klagomålsmail/A 40820-2024 FSC-klagomål mail.docx", "A 40820-2024")</f>
        <v/>
      </c>
      <c r="X120">
        <f>HYPERLINK("https://klasma.github.io/Logging_0482/tillsyn/A 40820-2024 tillsynsbegäran.docx", "A 40820-2024")</f>
        <v/>
      </c>
      <c r="Y120">
        <f>HYPERLINK("https://klasma.github.io/Logging_0482/tillsynsmail/A 40820-2024 tillsynsbegäran mail.docx", "A 40820-2024")</f>
        <v/>
      </c>
    </row>
    <row r="121" ht="15" customHeight="1">
      <c r="A121" t="inlineStr">
        <is>
          <t>A 45718-2024</t>
        </is>
      </c>
      <c r="B121" s="1" t="n">
        <v>45579</v>
      </c>
      <c r="C121" s="1" t="n">
        <v>45704</v>
      </c>
      <c r="D121" t="inlineStr">
        <is>
          <t>SÖDERMANLANDS LÄN</t>
        </is>
      </c>
      <c r="E121" t="inlineStr">
        <is>
          <t>FLEN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45718-2024 artfynd.xlsx", "A 45718-2024")</f>
        <v/>
      </c>
      <c r="T121">
        <f>HYPERLINK("https://klasma.github.io/Logging_0482/kartor/A 45718-2024 karta.png", "A 45718-2024")</f>
        <v/>
      </c>
      <c r="U121">
        <f>HYPERLINK("https://klasma.github.io/Logging_0482/knärot/A 45718-2024 karta knärot.png", "A 45718-2024")</f>
        <v/>
      </c>
      <c r="V121">
        <f>HYPERLINK("https://klasma.github.io/Logging_0482/klagomål/A 45718-2024 FSC-klagomål.docx", "A 45718-2024")</f>
        <v/>
      </c>
      <c r="W121">
        <f>HYPERLINK("https://klasma.github.io/Logging_0482/klagomålsmail/A 45718-2024 FSC-klagomål mail.docx", "A 45718-2024")</f>
        <v/>
      </c>
      <c r="X121">
        <f>HYPERLINK("https://klasma.github.io/Logging_0482/tillsyn/A 45718-2024 tillsynsbegäran.docx", "A 45718-2024")</f>
        <v/>
      </c>
      <c r="Y121">
        <f>HYPERLINK("https://klasma.github.io/Logging_0482/tillsynsmail/A 45718-2024 tillsynsbegäran mail.docx", "A 45718-2024")</f>
        <v/>
      </c>
    </row>
    <row r="122" ht="15" customHeight="1">
      <c r="A122" t="inlineStr">
        <is>
          <t>A 57251-2024</t>
        </is>
      </c>
      <c r="B122" s="1" t="n">
        <v>45629</v>
      </c>
      <c r="C122" s="1" t="n">
        <v>45704</v>
      </c>
      <c r="D122" t="inlineStr">
        <is>
          <t>SÖDERMANLANDS LÄN</t>
        </is>
      </c>
      <c r="E122" t="inlineStr">
        <is>
          <t>FLEN</t>
        </is>
      </c>
      <c r="G122" t="n">
        <v>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57251-2024 artfynd.xlsx", "A 57251-2024")</f>
        <v/>
      </c>
      <c r="T122">
        <f>HYPERLINK("https://klasma.github.io/Logging_0482/kartor/A 57251-2024 karta.png", "A 57251-2024")</f>
        <v/>
      </c>
      <c r="V122">
        <f>HYPERLINK("https://klasma.github.io/Logging_0482/klagomål/A 57251-2024 FSC-klagomål.docx", "A 57251-2024")</f>
        <v/>
      </c>
      <c r="W122">
        <f>HYPERLINK("https://klasma.github.io/Logging_0482/klagomålsmail/A 57251-2024 FSC-klagomål mail.docx", "A 57251-2024")</f>
        <v/>
      </c>
      <c r="X122">
        <f>HYPERLINK("https://klasma.github.io/Logging_0482/tillsyn/A 57251-2024 tillsynsbegäran.docx", "A 57251-2024")</f>
        <v/>
      </c>
      <c r="Y122">
        <f>HYPERLINK("https://klasma.github.io/Logging_0482/tillsynsmail/A 57251-2024 tillsynsbegäran mail.docx", "A 57251-2024")</f>
        <v/>
      </c>
    </row>
    <row r="123" ht="15" customHeight="1">
      <c r="A123" t="inlineStr">
        <is>
          <t>A 60529-2024</t>
        </is>
      </c>
      <c r="B123" s="1" t="n">
        <v>45643</v>
      </c>
      <c r="C123" s="1" t="n">
        <v>45704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HYPERLINK("https://klasma.github.io/Logging_0482/artfynd/A 60529-2024 artfynd.xlsx", "A 60529-2024")</f>
        <v/>
      </c>
      <c r="T123">
        <f>HYPERLINK("https://klasma.github.io/Logging_0482/kartor/A 60529-2024 karta.png", "A 60529-2024")</f>
        <v/>
      </c>
      <c r="V123">
        <f>HYPERLINK("https://klasma.github.io/Logging_0482/klagomål/A 60529-2024 FSC-klagomål.docx", "A 60529-2024")</f>
        <v/>
      </c>
      <c r="W123">
        <f>HYPERLINK("https://klasma.github.io/Logging_0482/klagomålsmail/A 60529-2024 FSC-klagomål mail.docx", "A 60529-2024")</f>
        <v/>
      </c>
      <c r="X123">
        <f>HYPERLINK("https://klasma.github.io/Logging_0482/tillsyn/A 60529-2024 tillsynsbegäran.docx", "A 60529-2024")</f>
        <v/>
      </c>
      <c r="Y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1148-2025</t>
        </is>
      </c>
      <c r="B124" s="1" t="n">
        <v>45666</v>
      </c>
      <c r="C124" s="1" t="n">
        <v>45704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Huggorm</t>
        </is>
      </c>
      <c r="S124">
        <f>HYPERLINK("https://klasma.github.io/Logging_0482/artfynd/A 1148-2025 artfynd.xlsx", "A 1148-2025")</f>
        <v/>
      </c>
      <c r="T124">
        <f>HYPERLINK("https://klasma.github.io/Logging_0482/kartor/A 1148-2025 karta.png", "A 1148-2025")</f>
        <v/>
      </c>
      <c r="V124">
        <f>HYPERLINK("https://klasma.github.io/Logging_0482/klagomål/A 1148-2025 FSC-klagomål.docx", "A 1148-2025")</f>
        <v/>
      </c>
      <c r="W124">
        <f>HYPERLINK("https://klasma.github.io/Logging_0482/klagomålsmail/A 1148-2025 FSC-klagomål mail.docx", "A 1148-2025")</f>
        <v/>
      </c>
      <c r="X124">
        <f>HYPERLINK("https://klasma.github.io/Logging_0482/tillsyn/A 1148-2025 tillsynsbegäran.docx", "A 1148-2025")</f>
        <v/>
      </c>
      <c r="Y124">
        <f>HYPERLINK("https://klasma.github.io/Logging_0482/tillsynsmail/A 1148-2025 tillsynsbegäran mail.docx", "A 1148-2025")</f>
        <v/>
      </c>
    </row>
    <row r="125" ht="15" customHeight="1">
      <c r="A125" t="inlineStr">
        <is>
          <t>A 18391-2019</t>
        </is>
      </c>
      <c r="B125" s="1" t="n">
        <v>43558</v>
      </c>
      <c r="C125" s="1" t="n">
        <v>45704</v>
      </c>
      <c r="D125" t="inlineStr">
        <is>
          <t>SÖDERMANLANDS LÄN</t>
        </is>
      </c>
      <c r="E125" t="inlineStr">
        <is>
          <t>FLEN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18543-2019</t>
        </is>
      </c>
      <c r="B126" s="1" t="n">
        <v>43558</v>
      </c>
      <c r="C126" s="1" t="n">
        <v>45704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18700-2019</t>
        </is>
      </c>
      <c r="B127" s="1" t="n">
        <v>43559</v>
      </c>
      <c r="C127" s="1" t="n">
        <v>45704</v>
      </c>
      <c r="D127" t="inlineStr">
        <is>
          <t>SÖDERMANLANDS LÄN</t>
        </is>
      </c>
      <c r="E127" t="inlineStr">
        <is>
          <t>FLEN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18688-2019</t>
        </is>
      </c>
      <c r="B128" s="1" t="n">
        <v>43559</v>
      </c>
      <c r="C128" s="1" t="n">
        <v>45704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18645-2019</t>
        </is>
      </c>
      <c r="B129" s="1" t="n">
        <v>43560</v>
      </c>
      <c r="C129" s="1" t="n">
        <v>45704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18824-2019</t>
        </is>
      </c>
      <c r="B130" s="1" t="n">
        <v>43560</v>
      </c>
      <c r="C130" s="1" t="n">
        <v>45704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19395-2019</t>
        </is>
      </c>
      <c r="B131" s="1" t="n">
        <v>43565</v>
      </c>
      <c r="C131" s="1" t="n">
        <v>45704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19834-2019</t>
        </is>
      </c>
      <c r="B132" s="1" t="n">
        <v>43567</v>
      </c>
      <c r="C132" s="1" t="n">
        <v>45704</v>
      </c>
      <c r="D132" t="inlineStr">
        <is>
          <t>SÖDERMANLANDS LÄN</t>
        </is>
      </c>
      <c r="E132" t="inlineStr">
        <is>
          <t>FLEN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20284-2019</t>
        </is>
      </c>
      <c r="B133" s="1" t="n">
        <v>43570</v>
      </c>
      <c r="C133" s="1" t="n">
        <v>45704</v>
      </c>
      <c r="D133" t="inlineStr">
        <is>
          <t>SÖDERMANLANDS LÄN</t>
        </is>
      </c>
      <c r="E133" t="inlineStr">
        <is>
          <t>FLEN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21920-2019</t>
        </is>
      </c>
      <c r="B134" s="1" t="n">
        <v>43584</v>
      </c>
      <c r="C134" s="1" t="n">
        <v>45704</v>
      </c>
      <c r="D134" t="inlineStr">
        <is>
          <t>SÖDERMANLANDS LÄN</t>
        </is>
      </c>
      <c r="E134" t="inlineStr">
        <is>
          <t>FLEN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28911-2019</t>
        </is>
      </c>
      <c r="B135" s="1" t="n">
        <v>43616</v>
      </c>
      <c r="C135" s="1" t="n">
        <v>45704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28058-2019</t>
        </is>
      </c>
      <c r="B136" s="1" t="n">
        <v>43621</v>
      </c>
      <c r="C136" s="1" t="n">
        <v>45704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29977-2019</t>
        </is>
      </c>
      <c r="B137" s="1" t="n">
        <v>43630</v>
      </c>
      <c r="C137" s="1" t="n">
        <v>45704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30492-2019</t>
        </is>
      </c>
      <c r="B138" s="1" t="n">
        <v>43635</v>
      </c>
      <c r="C138" s="1" t="n">
        <v>45704</v>
      </c>
      <c r="D138" t="inlineStr">
        <is>
          <t>SÖDERMANLANDS LÄN</t>
        </is>
      </c>
      <c r="E138" t="inlineStr">
        <is>
          <t>FLEN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30872-2019</t>
        </is>
      </c>
      <c r="B139" s="1" t="n">
        <v>43636</v>
      </c>
      <c r="C139" s="1" t="n">
        <v>45704</v>
      </c>
      <c r="D139" t="inlineStr">
        <is>
          <t>SÖDERMANLANDS LÄN</t>
        </is>
      </c>
      <c r="E139" t="inlineStr">
        <is>
          <t>FLEN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32070-2019</t>
        </is>
      </c>
      <c r="B140" s="1" t="n">
        <v>43643</v>
      </c>
      <c r="C140" s="1" t="n">
        <v>45704</v>
      </c>
      <c r="D140" t="inlineStr">
        <is>
          <t>SÖDERMANLANDS LÄN</t>
        </is>
      </c>
      <c r="E140" t="inlineStr">
        <is>
          <t>FLEN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35583-2019</t>
        </is>
      </c>
      <c r="B141" s="1" t="n">
        <v>43655</v>
      </c>
      <c r="C141" s="1" t="n">
        <v>45704</v>
      </c>
      <c r="D141" t="inlineStr">
        <is>
          <t>SÖDERMANLANDS LÄN</t>
        </is>
      </c>
      <c r="E141" t="inlineStr">
        <is>
          <t>FLEN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34988-2019</t>
        </is>
      </c>
      <c r="B142" s="1" t="n">
        <v>43659</v>
      </c>
      <c r="C142" s="1" t="n">
        <v>45704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35023-2019</t>
        </is>
      </c>
      <c r="B143" s="1" t="n">
        <v>43661</v>
      </c>
      <c r="C143" s="1" t="n">
        <v>45704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35086-2019</t>
        </is>
      </c>
      <c r="B144" s="1" t="n">
        <v>43661</v>
      </c>
      <c r="C144" s="1" t="n">
        <v>45704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35052-2019</t>
        </is>
      </c>
      <c r="B145" s="1" t="n">
        <v>43661</v>
      </c>
      <c r="C145" s="1" t="n">
        <v>45704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35182-2019</t>
        </is>
      </c>
      <c r="B146" s="1" t="n">
        <v>43661</v>
      </c>
      <c r="C146" s="1" t="n">
        <v>45704</v>
      </c>
      <c r="D146" t="inlineStr">
        <is>
          <t>SÖDERMANLANDS LÄN</t>
        </is>
      </c>
      <c r="E146" t="inlineStr">
        <is>
          <t>FLEN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35702-2019</t>
        </is>
      </c>
      <c r="B147" s="1" t="n">
        <v>43664</v>
      </c>
      <c r="C147" s="1" t="n">
        <v>45704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36152-2019</t>
        </is>
      </c>
      <c r="B148" s="1" t="n">
        <v>43668</v>
      </c>
      <c r="C148" s="1" t="n">
        <v>45704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36223-2019</t>
        </is>
      </c>
      <c r="B149" s="1" t="n">
        <v>43669</v>
      </c>
      <c r="C149" s="1" t="n">
        <v>45704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36612-2019</t>
        </is>
      </c>
      <c r="B150" s="1" t="n">
        <v>43669</v>
      </c>
      <c r="C150" s="1" t="n">
        <v>45704</v>
      </c>
      <c r="D150" t="inlineStr">
        <is>
          <t>SÖDERMANLANDS LÄN</t>
        </is>
      </c>
      <c r="E150" t="inlineStr">
        <is>
          <t>FLEN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36225-2019</t>
        </is>
      </c>
      <c r="B151" s="1" t="n">
        <v>43669</v>
      </c>
      <c r="C151" s="1" t="n">
        <v>45704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36619-2019</t>
        </is>
      </c>
      <c r="B152" s="1" t="n">
        <v>43669</v>
      </c>
      <c r="C152" s="1" t="n">
        <v>45704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36901-2019</t>
        </is>
      </c>
      <c r="B153" s="1" t="n">
        <v>43675</v>
      </c>
      <c r="C153" s="1" t="n">
        <v>45704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36978-2019</t>
        </is>
      </c>
      <c r="B154" s="1" t="n">
        <v>43676</v>
      </c>
      <c r="C154" s="1" t="n">
        <v>45704</v>
      </c>
      <c r="D154" t="inlineStr">
        <is>
          <t>SÖDERMANLANDS LÄN</t>
        </is>
      </c>
      <c r="E154" t="inlineStr">
        <is>
          <t>FLEN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36994-2019</t>
        </is>
      </c>
      <c r="B155" s="1" t="n">
        <v>43676</v>
      </c>
      <c r="C155" s="1" t="n">
        <v>45704</v>
      </c>
      <c r="D155" t="inlineStr">
        <is>
          <t>SÖDERMANLANDS LÄN</t>
        </is>
      </c>
      <c r="E155" t="inlineStr">
        <is>
          <t>FLEN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37337-2019</t>
        </is>
      </c>
      <c r="B156" s="1" t="n">
        <v>43678</v>
      </c>
      <c r="C156" s="1" t="n">
        <v>45704</v>
      </c>
      <c r="D156" t="inlineStr">
        <is>
          <t>SÖDERMANLANDS LÄN</t>
        </is>
      </c>
      <c r="E156" t="inlineStr">
        <is>
          <t>FLEN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37574-2019</t>
        </is>
      </c>
      <c r="B157" s="1" t="n">
        <v>43679</v>
      </c>
      <c r="C157" s="1" t="n">
        <v>45704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37560-2019</t>
        </is>
      </c>
      <c r="B158" s="1" t="n">
        <v>43679</v>
      </c>
      <c r="C158" s="1" t="n">
        <v>45704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37571-2019</t>
        </is>
      </c>
      <c r="B159" s="1" t="n">
        <v>43679</v>
      </c>
      <c r="C159" s="1" t="n">
        <v>45704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37572-2019</t>
        </is>
      </c>
      <c r="B160" s="1" t="n">
        <v>43679</v>
      </c>
      <c r="C160" s="1" t="n">
        <v>45704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37769-2019</t>
        </is>
      </c>
      <c r="B161" s="1" t="n">
        <v>43682</v>
      </c>
      <c r="C161" s="1" t="n">
        <v>45704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38241-2019</t>
        </is>
      </c>
      <c r="B162" s="1" t="n">
        <v>43684</v>
      </c>
      <c r="C162" s="1" t="n">
        <v>45704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38795-2019</t>
        </is>
      </c>
      <c r="B163" s="1" t="n">
        <v>43688</v>
      </c>
      <c r="C163" s="1" t="n">
        <v>45704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38796-2019</t>
        </is>
      </c>
      <c r="B164" s="1" t="n">
        <v>43688</v>
      </c>
      <c r="C164" s="1" t="n">
        <v>45704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39441-2019</t>
        </is>
      </c>
      <c r="B165" s="1" t="n">
        <v>43691</v>
      </c>
      <c r="C165" s="1" t="n">
        <v>45704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41114-2019</t>
        </is>
      </c>
      <c r="B166" s="1" t="n">
        <v>43691</v>
      </c>
      <c r="C166" s="1" t="n">
        <v>45704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40314-2019</t>
        </is>
      </c>
      <c r="B167" s="1" t="n">
        <v>43696</v>
      </c>
      <c r="C167" s="1" t="n">
        <v>45704</v>
      </c>
      <c r="D167" t="inlineStr">
        <is>
          <t>SÖDERMANLANDS LÄN</t>
        </is>
      </c>
      <c r="E167" t="inlineStr">
        <is>
          <t>FLEN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41847-2019</t>
        </is>
      </c>
      <c r="B168" s="1" t="n">
        <v>43697</v>
      </c>
      <c r="C168" s="1" t="n">
        <v>45704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46628-2019</t>
        </is>
      </c>
      <c r="B169" s="1" t="n">
        <v>43717</v>
      </c>
      <c r="C169" s="1" t="n">
        <v>45704</v>
      </c>
      <c r="D169" t="inlineStr">
        <is>
          <t>SÖDERMANLANDS LÄN</t>
        </is>
      </c>
      <c r="E169" t="inlineStr">
        <is>
          <t>FLEN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47345-2019</t>
        </is>
      </c>
      <c r="B170" s="1" t="n">
        <v>43721</v>
      </c>
      <c r="C170" s="1" t="n">
        <v>45704</v>
      </c>
      <c r="D170" t="inlineStr">
        <is>
          <t>SÖDERMANLANDS LÄN</t>
        </is>
      </c>
      <c r="E170" t="inlineStr">
        <is>
          <t>FLEN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48078-2019</t>
        </is>
      </c>
      <c r="B171" s="1" t="n">
        <v>43725</v>
      </c>
      <c r="C171" s="1" t="n">
        <v>45704</v>
      </c>
      <c r="D171" t="inlineStr">
        <is>
          <t>SÖDERMANLANDS LÄN</t>
        </is>
      </c>
      <c r="E171" t="inlineStr">
        <is>
          <t>FLEN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48240-2019</t>
        </is>
      </c>
      <c r="B172" s="1" t="n">
        <v>43726</v>
      </c>
      <c r="C172" s="1" t="n">
        <v>45704</v>
      </c>
      <c r="D172" t="inlineStr">
        <is>
          <t>SÖDERMANLANDS LÄN</t>
        </is>
      </c>
      <c r="E172" t="inlineStr">
        <is>
          <t>FLEN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49342-2019</t>
        </is>
      </c>
      <c r="B173" s="1" t="n">
        <v>43730</v>
      </c>
      <c r="C173" s="1" t="n">
        <v>45704</v>
      </c>
      <c r="D173" t="inlineStr">
        <is>
          <t>SÖDERMANLANDS LÄN</t>
        </is>
      </c>
      <c r="E173" t="inlineStr">
        <is>
          <t>FLEN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50710-2019</t>
        </is>
      </c>
      <c r="B174" s="1" t="n">
        <v>43738</v>
      </c>
      <c r="C174" s="1" t="n">
        <v>45704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51170-2019</t>
        </is>
      </c>
      <c r="B175" s="1" t="n">
        <v>43739</v>
      </c>
      <c r="C175" s="1" t="n">
        <v>45704</v>
      </c>
      <c r="D175" t="inlineStr">
        <is>
          <t>SÖDERMANLANDS LÄN</t>
        </is>
      </c>
      <c r="E175" t="inlineStr">
        <is>
          <t>FLEN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51738-2019</t>
        </is>
      </c>
      <c r="B176" s="1" t="n">
        <v>43740</v>
      </c>
      <c r="C176" s="1" t="n">
        <v>45704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54175-2019</t>
        </is>
      </c>
      <c r="B177" s="1" t="n">
        <v>43745</v>
      </c>
      <c r="C177" s="1" t="n">
        <v>45704</v>
      </c>
      <c r="D177" t="inlineStr">
        <is>
          <t>SÖDERMANLANDS LÄN</t>
        </is>
      </c>
      <c r="E177" t="inlineStr">
        <is>
          <t>FLEN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52871-2019</t>
        </is>
      </c>
      <c r="B178" s="1" t="n">
        <v>43746</v>
      </c>
      <c r="C178" s="1" t="n">
        <v>45704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54412-2019</t>
        </is>
      </c>
      <c r="B179" s="1" t="n">
        <v>43747</v>
      </c>
      <c r="C179" s="1" t="n">
        <v>45704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55088-2019</t>
        </is>
      </c>
      <c r="B180" s="1" t="n">
        <v>43752</v>
      </c>
      <c r="C180" s="1" t="n">
        <v>45704</v>
      </c>
      <c r="D180" t="inlineStr">
        <is>
          <t>SÖDERMANLANDS LÄN</t>
        </is>
      </c>
      <c r="E180" t="inlineStr">
        <is>
          <t>FLEN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55122-2019</t>
        </is>
      </c>
      <c r="B181" s="1" t="n">
        <v>43752</v>
      </c>
      <c r="C181" s="1" t="n">
        <v>45704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54307-2019</t>
        </is>
      </c>
      <c r="B182" s="1" t="n">
        <v>43753</v>
      </c>
      <c r="C182" s="1" t="n">
        <v>45704</v>
      </c>
      <c r="D182" t="inlineStr">
        <is>
          <t>SÖDERMANLANDS LÄN</t>
        </is>
      </c>
      <c r="E182" t="inlineStr">
        <is>
          <t>FLEN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55346-2019</t>
        </is>
      </c>
      <c r="B183" s="1" t="n">
        <v>43756</v>
      </c>
      <c r="C183" s="1" t="n">
        <v>45704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55417-2019</t>
        </is>
      </c>
      <c r="B184" s="1" t="n">
        <v>43758</v>
      </c>
      <c r="C184" s="1" t="n">
        <v>45704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55421-2019</t>
        </is>
      </c>
      <c r="B185" s="1" t="n">
        <v>43758</v>
      </c>
      <c r="C185" s="1" t="n">
        <v>45704</v>
      </c>
      <c r="D185" t="inlineStr">
        <is>
          <t>SÖDERMANLANDS LÄN</t>
        </is>
      </c>
      <c r="E185" t="inlineStr">
        <is>
          <t>FLEN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57898-2019</t>
        </is>
      </c>
      <c r="B186" s="1" t="n">
        <v>43762</v>
      </c>
      <c r="C186" s="1" t="n">
        <v>45704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58909-2019</t>
        </is>
      </c>
      <c r="B187" s="1" t="n">
        <v>43769</v>
      </c>
      <c r="C187" s="1" t="n">
        <v>45704</v>
      </c>
      <c r="D187" t="inlineStr">
        <is>
          <t>SÖDERMANLANDS LÄN</t>
        </is>
      </c>
      <c r="E187" t="inlineStr">
        <is>
          <t>FLEN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59014-2019</t>
        </is>
      </c>
      <c r="B188" s="1" t="n">
        <v>43774</v>
      </c>
      <c r="C188" s="1" t="n">
        <v>45704</v>
      </c>
      <c r="D188" t="inlineStr">
        <is>
          <t>SÖDERMANLANDS LÄN</t>
        </is>
      </c>
      <c r="E188" t="inlineStr">
        <is>
          <t>FLEN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59454-2019</t>
        </is>
      </c>
      <c r="B189" s="1" t="n">
        <v>43776</v>
      </c>
      <c r="C189" s="1" t="n">
        <v>45704</v>
      </c>
      <c r="D189" t="inlineStr">
        <is>
          <t>SÖDERMANLANDS LÄN</t>
        </is>
      </c>
      <c r="E189" t="inlineStr">
        <is>
          <t>FLEN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59448-2019</t>
        </is>
      </c>
      <c r="B190" s="1" t="n">
        <v>43776</v>
      </c>
      <c r="C190" s="1" t="n">
        <v>45704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59750-2019</t>
        </is>
      </c>
      <c r="B191" s="1" t="n">
        <v>43776</v>
      </c>
      <c r="C191" s="1" t="n">
        <v>45704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59446-2019</t>
        </is>
      </c>
      <c r="B192" s="1" t="n">
        <v>43776</v>
      </c>
      <c r="C192" s="1" t="n">
        <v>45704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61889-2019</t>
        </is>
      </c>
      <c r="B193" s="1" t="n">
        <v>43787</v>
      </c>
      <c r="C193" s="1" t="n">
        <v>45704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64580-2019</t>
        </is>
      </c>
      <c r="B194" s="1" t="n">
        <v>43794</v>
      </c>
      <c r="C194" s="1" t="n">
        <v>45704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63758-2019</t>
        </is>
      </c>
      <c r="B195" s="1" t="n">
        <v>43795</v>
      </c>
      <c r="C195" s="1" t="n">
        <v>45704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64576-2019</t>
        </is>
      </c>
      <c r="B196" s="1" t="n">
        <v>43798</v>
      </c>
      <c r="C196" s="1" t="n">
        <v>45704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65346-2019</t>
        </is>
      </c>
      <c r="B197" s="1" t="n">
        <v>43803</v>
      </c>
      <c r="C197" s="1" t="n">
        <v>45704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68476-2019</t>
        </is>
      </c>
      <c r="B198" s="1" t="n">
        <v>43811</v>
      </c>
      <c r="C198" s="1" t="n">
        <v>45704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68491-2019</t>
        </is>
      </c>
      <c r="B199" s="1" t="n">
        <v>43811</v>
      </c>
      <c r="C199" s="1" t="n">
        <v>45704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68481-2019</t>
        </is>
      </c>
      <c r="B200" s="1" t="n">
        <v>43811</v>
      </c>
      <c r="C200" s="1" t="n">
        <v>45704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68976-2019</t>
        </is>
      </c>
      <c r="B201" s="1" t="n">
        <v>43823</v>
      </c>
      <c r="C201" s="1" t="n">
        <v>45704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82-2020</t>
        </is>
      </c>
      <c r="B202" s="1" t="n">
        <v>43832</v>
      </c>
      <c r="C202" s="1" t="n">
        <v>45704</v>
      </c>
      <c r="D202" t="inlineStr">
        <is>
          <t>SÖDERMANLANDS LÄN</t>
        </is>
      </c>
      <c r="E202" t="inlineStr">
        <is>
          <t>FLEN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235-2020</t>
        </is>
      </c>
      <c r="B203" s="1" t="n">
        <v>43834</v>
      </c>
      <c r="C203" s="1" t="n">
        <v>45704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236-2020</t>
        </is>
      </c>
      <c r="B204" s="1" t="n">
        <v>43834</v>
      </c>
      <c r="C204" s="1" t="n">
        <v>45704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1007-2020</t>
        </is>
      </c>
      <c r="B205" s="1" t="n">
        <v>43839</v>
      </c>
      <c r="C205" s="1" t="n">
        <v>45704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4033-2020</t>
        </is>
      </c>
      <c r="B206" s="1" t="n">
        <v>43846</v>
      </c>
      <c r="C206" s="1" t="n">
        <v>45704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2538-2020</t>
        </is>
      </c>
      <c r="B207" s="1" t="n">
        <v>43847</v>
      </c>
      <c r="C207" s="1" t="n">
        <v>45704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3831-2020</t>
        </is>
      </c>
      <c r="B208" s="1" t="n">
        <v>43847</v>
      </c>
      <c r="C208" s="1" t="n">
        <v>45704</v>
      </c>
      <c r="D208" t="inlineStr">
        <is>
          <t>SÖDERMANLANDS LÄN</t>
        </is>
      </c>
      <c r="E208" t="inlineStr">
        <is>
          <t>FLEN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3619-2020</t>
        </is>
      </c>
      <c r="B209" s="1" t="n">
        <v>43853</v>
      </c>
      <c r="C209" s="1" t="n">
        <v>45704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4092-2020</t>
        </is>
      </c>
      <c r="B210" s="1" t="n">
        <v>43857</v>
      </c>
      <c r="C210" s="1" t="n">
        <v>45704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5777-2020</t>
        </is>
      </c>
      <c r="B211" s="1" t="n">
        <v>43864</v>
      </c>
      <c r="C211" s="1" t="n">
        <v>45704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7747-2020</t>
        </is>
      </c>
      <c r="B212" s="1" t="n">
        <v>43872</v>
      </c>
      <c r="C212" s="1" t="n">
        <v>45704</v>
      </c>
      <c r="D212" t="inlineStr">
        <is>
          <t>SÖDERMANLANDS LÄN</t>
        </is>
      </c>
      <c r="E212" t="inlineStr">
        <is>
          <t>FLEN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7941-2020</t>
        </is>
      </c>
      <c r="B213" s="1" t="n">
        <v>43873</v>
      </c>
      <c r="C213" s="1" t="n">
        <v>45704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9740-2020</t>
        </is>
      </c>
      <c r="B214" s="1" t="n">
        <v>43881</v>
      </c>
      <c r="C214" s="1" t="n">
        <v>45704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10193-2020</t>
        </is>
      </c>
      <c r="B215" s="1" t="n">
        <v>43885</v>
      </c>
      <c r="C215" s="1" t="n">
        <v>45704</v>
      </c>
      <c r="D215" t="inlineStr">
        <is>
          <t>SÖDERMANLANDS LÄN</t>
        </is>
      </c>
      <c r="E215" t="inlineStr">
        <is>
          <t>FLEN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11059-2020</t>
        </is>
      </c>
      <c r="B216" s="1" t="n">
        <v>43885</v>
      </c>
      <c r="C216" s="1" t="n">
        <v>45704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10705-2020</t>
        </is>
      </c>
      <c r="B217" s="1" t="n">
        <v>43888</v>
      </c>
      <c r="C217" s="1" t="n">
        <v>45704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10918-2020</t>
        </is>
      </c>
      <c r="B218" s="1" t="n">
        <v>43889</v>
      </c>
      <c r="C218" s="1" t="n">
        <v>45704</v>
      </c>
      <c r="D218" t="inlineStr">
        <is>
          <t>SÖDERMANLANDS LÄN</t>
        </is>
      </c>
      <c r="E218" t="inlineStr">
        <is>
          <t>FLEN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10913-2020</t>
        </is>
      </c>
      <c r="B219" s="1" t="n">
        <v>43889</v>
      </c>
      <c r="C219" s="1" t="n">
        <v>45704</v>
      </c>
      <c r="D219" t="inlineStr">
        <is>
          <t>SÖDERMANLANDS LÄN</t>
        </is>
      </c>
      <c r="E219" t="inlineStr">
        <is>
          <t>FLEN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11517-2020</t>
        </is>
      </c>
      <c r="B220" s="1" t="n">
        <v>43893</v>
      </c>
      <c r="C220" s="1" t="n">
        <v>45704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11811-2020</t>
        </is>
      </c>
      <c r="B221" s="1" t="n">
        <v>43894</v>
      </c>
      <c r="C221" s="1" t="n">
        <v>45704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13194-2020</t>
        </is>
      </c>
      <c r="B222" s="1" t="n">
        <v>43901</v>
      </c>
      <c r="C222" s="1" t="n">
        <v>45704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13255-2020</t>
        </is>
      </c>
      <c r="B223" s="1" t="n">
        <v>43901</v>
      </c>
      <c r="C223" s="1" t="n">
        <v>45704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13251-2020</t>
        </is>
      </c>
      <c r="B224" s="1" t="n">
        <v>43901</v>
      </c>
      <c r="C224" s="1" t="n">
        <v>45704</v>
      </c>
      <c r="D224" t="inlineStr">
        <is>
          <t>SÖDERMANLANDS LÄN</t>
        </is>
      </c>
      <c r="E224" t="inlineStr">
        <is>
          <t>FLEN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13473-2020</t>
        </is>
      </c>
      <c r="B225" s="1" t="n">
        <v>43902</v>
      </c>
      <c r="C225" s="1" t="n">
        <v>45704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13698-2020</t>
        </is>
      </c>
      <c r="B226" s="1" t="n">
        <v>43902</v>
      </c>
      <c r="C226" s="1" t="n">
        <v>45704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14200-2020</t>
        </is>
      </c>
      <c r="B227" s="1" t="n">
        <v>43907</v>
      </c>
      <c r="C227" s="1" t="n">
        <v>45704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15132-2020</t>
        </is>
      </c>
      <c r="B228" s="1" t="n">
        <v>43911</v>
      </c>
      <c r="C228" s="1" t="n">
        <v>45704</v>
      </c>
      <c r="D228" t="inlineStr">
        <is>
          <t>SÖDERMANLANDS LÄN</t>
        </is>
      </c>
      <c r="E228" t="inlineStr">
        <is>
          <t>FLEN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16206-2020</t>
        </is>
      </c>
      <c r="B229" s="1" t="n">
        <v>43917</v>
      </c>
      <c r="C229" s="1" t="n">
        <v>45704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16684-2020</t>
        </is>
      </c>
      <c r="B230" s="1" t="n">
        <v>43920</v>
      </c>
      <c r="C230" s="1" t="n">
        <v>45704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17154-2020</t>
        </is>
      </c>
      <c r="B231" s="1" t="n">
        <v>43922</v>
      </c>
      <c r="C231" s="1" t="n">
        <v>45704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20002-2020</t>
        </is>
      </c>
      <c r="B232" s="1" t="n">
        <v>43943</v>
      </c>
      <c r="C232" s="1" t="n">
        <v>45704</v>
      </c>
      <c r="D232" t="inlineStr">
        <is>
          <t>SÖDERMANLANDS LÄN</t>
        </is>
      </c>
      <c r="E232" t="inlineStr">
        <is>
          <t>FLEN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20527-2020</t>
        </is>
      </c>
      <c r="B233" s="1" t="n">
        <v>43948</v>
      </c>
      <c r="C233" s="1" t="n">
        <v>45704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21401-2020</t>
        </is>
      </c>
      <c r="B234" s="1" t="n">
        <v>43955</v>
      </c>
      <c r="C234" s="1" t="n">
        <v>45704</v>
      </c>
      <c r="D234" t="inlineStr">
        <is>
          <t>SÖDERMANLANDS LÄN</t>
        </is>
      </c>
      <c r="E234" t="inlineStr">
        <is>
          <t>FLEN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21404-2020</t>
        </is>
      </c>
      <c r="B235" s="1" t="n">
        <v>43955</v>
      </c>
      <c r="C235" s="1" t="n">
        <v>45704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22347-2020</t>
        </is>
      </c>
      <c r="B236" s="1" t="n">
        <v>43957</v>
      </c>
      <c r="C236" s="1" t="n">
        <v>45704</v>
      </c>
      <c r="D236" t="inlineStr">
        <is>
          <t>SÖDERMANLANDS LÄN</t>
        </is>
      </c>
      <c r="E236" t="inlineStr">
        <is>
          <t>FLEN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21902-2020</t>
        </is>
      </c>
      <c r="B237" s="1" t="n">
        <v>43958</v>
      </c>
      <c r="C237" s="1" t="n">
        <v>45704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22237-2020</t>
        </is>
      </c>
      <c r="B238" s="1" t="n">
        <v>43959</v>
      </c>
      <c r="C238" s="1" t="n">
        <v>45704</v>
      </c>
      <c r="D238" t="inlineStr">
        <is>
          <t>SÖDERMANLANDS LÄN</t>
        </is>
      </c>
      <c r="E238" t="inlineStr">
        <is>
          <t>FLEN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22243-2020</t>
        </is>
      </c>
      <c r="B239" s="1" t="n">
        <v>43959</v>
      </c>
      <c r="C239" s="1" t="n">
        <v>45704</v>
      </c>
      <c r="D239" t="inlineStr">
        <is>
          <t>SÖDERMANLANDS LÄN</t>
        </is>
      </c>
      <c r="E239" t="inlineStr">
        <is>
          <t>FLEN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22241-2020</t>
        </is>
      </c>
      <c r="B240" s="1" t="n">
        <v>43959</v>
      </c>
      <c r="C240" s="1" t="n">
        <v>45704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25067-2020</t>
        </is>
      </c>
      <c r="B241" s="1" t="n">
        <v>43979</v>
      </c>
      <c r="C241" s="1" t="n">
        <v>45704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25280-2020</t>
        </is>
      </c>
      <c r="B242" s="1" t="n">
        <v>43980</v>
      </c>
      <c r="C242" s="1" t="n">
        <v>45704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25842-2020</t>
        </is>
      </c>
      <c r="B243" s="1" t="n">
        <v>43983</v>
      </c>
      <c r="C243" s="1" t="n">
        <v>45704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25466-2020</t>
        </is>
      </c>
      <c r="B244" s="1" t="n">
        <v>43983</v>
      </c>
      <c r="C244" s="1" t="n">
        <v>45704</v>
      </c>
      <c r="D244" t="inlineStr">
        <is>
          <t>SÖDERMANLANDS LÄN</t>
        </is>
      </c>
      <c r="E244" t="inlineStr">
        <is>
          <t>FLEN</t>
        </is>
      </c>
      <c r="G244" t="n">
        <v>30.4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25880-2020</t>
        </is>
      </c>
      <c r="B245" s="1" t="n">
        <v>43983</v>
      </c>
      <c r="C245" s="1" t="n">
        <v>45704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26063-2020</t>
        </is>
      </c>
      <c r="B246" s="1" t="n">
        <v>43985</v>
      </c>
      <c r="C246" s="1" t="n">
        <v>45704</v>
      </c>
      <c r="D246" t="inlineStr">
        <is>
          <t>SÖDERMANLANDS LÄN</t>
        </is>
      </c>
      <c r="E246" t="inlineStr">
        <is>
          <t>FLEN</t>
        </is>
      </c>
      <c r="G246" t="n">
        <v>22.3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28981-2020</t>
        </is>
      </c>
      <c r="B247" s="1" t="n">
        <v>43998</v>
      </c>
      <c r="C247" s="1" t="n">
        <v>45704</v>
      </c>
      <c r="D247" t="inlineStr">
        <is>
          <t>SÖDERMANLANDS LÄN</t>
        </is>
      </c>
      <c r="E247" t="inlineStr">
        <is>
          <t>FLEN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28562-2020</t>
        </is>
      </c>
      <c r="B248" s="1" t="n">
        <v>43999</v>
      </c>
      <c r="C248" s="1" t="n">
        <v>45704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28676-2020</t>
        </is>
      </c>
      <c r="B249" s="1" t="n">
        <v>43999</v>
      </c>
      <c r="C249" s="1" t="n">
        <v>45704</v>
      </c>
      <c r="D249" t="inlineStr">
        <is>
          <t>SÖDERMANLANDS LÄN</t>
        </is>
      </c>
      <c r="E249" t="inlineStr">
        <is>
          <t>FLEN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29455-2020</t>
        </is>
      </c>
      <c r="B250" s="1" t="n">
        <v>44004</v>
      </c>
      <c r="C250" s="1" t="n">
        <v>45704</v>
      </c>
      <c r="D250" t="inlineStr">
        <is>
          <t>SÖDERMANLANDS LÄN</t>
        </is>
      </c>
      <c r="E250" t="inlineStr">
        <is>
          <t>FLEN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29557-2020</t>
        </is>
      </c>
      <c r="B251" s="1" t="n">
        <v>44005</v>
      </c>
      <c r="C251" s="1" t="n">
        <v>45704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30209-2020</t>
        </is>
      </c>
      <c r="B252" s="1" t="n">
        <v>44007</v>
      </c>
      <c r="C252" s="1" t="n">
        <v>45704</v>
      </c>
      <c r="D252" t="inlineStr">
        <is>
          <t>SÖDERMANLANDS LÄN</t>
        </is>
      </c>
      <c r="E252" t="inlineStr">
        <is>
          <t>FLEN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30879-2020</t>
        </is>
      </c>
      <c r="B253" s="1" t="n">
        <v>44011</v>
      </c>
      <c r="C253" s="1" t="n">
        <v>45704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30871-2020</t>
        </is>
      </c>
      <c r="B254" s="1" t="n">
        <v>44011</v>
      </c>
      <c r="C254" s="1" t="n">
        <v>45704</v>
      </c>
      <c r="D254" t="inlineStr">
        <is>
          <t>SÖDERMANLANDS LÄN</t>
        </is>
      </c>
      <c r="E254" t="inlineStr">
        <is>
          <t>FLEN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31118-2020</t>
        </is>
      </c>
      <c r="B255" s="1" t="n">
        <v>44012</v>
      </c>
      <c r="C255" s="1" t="n">
        <v>45704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32142-2020</t>
        </is>
      </c>
      <c r="B256" s="1" t="n">
        <v>44015</v>
      </c>
      <c r="C256" s="1" t="n">
        <v>45704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32366-2020</t>
        </is>
      </c>
      <c r="B257" s="1" t="n">
        <v>44018</v>
      </c>
      <c r="C257" s="1" t="n">
        <v>45704</v>
      </c>
      <c r="D257" t="inlineStr">
        <is>
          <t>SÖDERMANLANDS LÄN</t>
        </is>
      </c>
      <c r="E257" t="inlineStr">
        <is>
          <t>FLEN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32585-2020</t>
        </is>
      </c>
      <c r="B258" s="1" t="n">
        <v>44018</v>
      </c>
      <c r="C258" s="1" t="n">
        <v>45704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33146-2020</t>
        </is>
      </c>
      <c r="B259" s="1" t="n">
        <v>44021</v>
      </c>
      <c r="C259" s="1" t="n">
        <v>45704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33464-2020</t>
        </is>
      </c>
      <c r="B260" s="1" t="n">
        <v>44023</v>
      </c>
      <c r="C260" s="1" t="n">
        <v>45704</v>
      </c>
      <c r="D260" t="inlineStr">
        <is>
          <t>SÖDERMANLANDS LÄN</t>
        </is>
      </c>
      <c r="E260" t="inlineStr">
        <is>
          <t>FLEN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33682-2020</t>
        </is>
      </c>
      <c r="B261" s="1" t="n">
        <v>44026</v>
      </c>
      <c r="C261" s="1" t="n">
        <v>45704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34066-2020</t>
        </is>
      </c>
      <c r="B262" s="1" t="n">
        <v>44027</v>
      </c>
      <c r="C262" s="1" t="n">
        <v>45704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34072-2020</t>
        </is>
      </c>
      <c r="B263" s="1" t="n">
        <v>44028</v>
      </c>
      <c r="C263" s="1" t="n">
        <v>45704</v>
      </c>
      <c r="D263" t="inlineStr">
        <is>
          <t>SÖDERMANLANDS LÄN</t>
        </is>
      </c>
      <c r="E263" t="inlineStr">
        <is>
          <t>FLEN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34489-2020</t>
        </is>
      </c>
      <c r="B264" s="1" t="n">
        <v>44029</v>
      </c>
      <c r="C264" s="1" t="n">
        <v>45704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34992-2020</t>
        </is>
      </c>
      <c r="B265" s="1" t="n">
        <v>44039</v>
      </c>
      <c r="C265" s="1" t="n">
        <v>45704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35093-2020</t>
        </is>
      </c>
      <c r="B266" s="1" t="n">
        <v>44039</v>
      </c>
      <c r="C266" s="1" t="n">
        <v>45704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35176-2020</t>
        </is>
      </c>
      <c r="B267" s="1" t="n">
        <v>44040</v>
      </c>
      <c r="C267" s="1" t="n">
        <v>45704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35501-2020</t>
        </is>
      </c>
      <c r="B268" s="1" t="n">
        <v>44042</v>
      </c>
      <c r="C268" s="1" t="n">
        <v>45704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35563-2020</t>
        </is>
      </c>
      <c r="B269" s="1" t="n">
        <v>44043</v>
      </c>
      <c r="C269" s="1" t="n">
        <v>45704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35560-2020</t>
        </is>
      </c>
      <c r="B270" s="1" t="n">
        <v>44043</v>
      </c>
      <c r="C270" s="1" t="n">
        <v>45704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35817-2020</t>
        </is>
      </c>
      <c r="B271" s="1" t="n">
        <v>44047</v>
      </c>
      <c r="C271" s="1" t="n">
        <v>45704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36317-2020</t>
        </is>
      </c>
      <c r="B272" s="1" t="n">
        <v>44049</v>
      </c>
      <c r="C272" s="1" t="n">
        <v>45704</v>
      </c>
      <c r="D272" t="inlineStr">
        <is>
          <t>SÖDERMANLANDS LÄN</t>
        </is>
      </c>
      <c r="E272" t="inlineStr">
        <is>
          <t>FLEN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36366-2020</t>
        </is>
      </c>
      <c r="B273" s="1" t="n">
        <v>44049</v>
      </c>
      <c r="C273" s="1" t="n">
        <v>45704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36880-2020</t>
        </is>
      </c>
      <c r="B274" s="1" t="n">
        <v>44053</v>
      </c>
      <c r="C274" s="1" t="n">
        <v>45704</v>
      </c>
      <c r="D274" t="inlineStr">
        <is>
          <t>SÖDERMANLANDS LÄN</t>
        </is>
      </c>
      <c r="E274" t="inlineStr">
        <is>
          <t>FLEN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36891-2020</t>
        </is>
      </c>
      <c r="B275" s="1" t="n">
        <v>44053</v>
      </c>
      <c r="C275" s="1" t="n">
        <v>45704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37214-2020</t>
        </is>
      </c>
      <c r="B276" s="1" t="n">
        <v>44054</v>
      </c>
      <c r="C276" s="1" t="n">
        <v>45704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37274-2020</t>
        </is>
      </c>
      <c r="B277" s="1" t="n">
        <v>44054</v>
      </c>
      <c r="C277" s="1" t="n">
        <v>45704</v>
      </c>
      <c r="D277" t="inlineStr">
        <is>
          <t>SÖDERMANLANDS LÄN</t>
        </is>
      </c>
      <c r="E277" t="inlineStr">
        <is>
          <t>FLEN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37736-2020</t>
        </is>
      </c>
      <c r="B278" s="1" t="n">
        <v>44056</v>
      </c>
      <c r="C278" s="1" t="n">
        <v>45704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37897-2020</t>
        </is>
      </c>
      <c r="B279" s="1" t="n">
        <v>44057</v>
      </c>
      <c r="C279" s="1" t="n">
        <v>45704</v>
      </c>
      <c r="D279" t="inlineStr">
        <is>
          <t>SÖDERMANLANDS LÄN</t>
        </is>
      </c>
      <c r="E279" t="inlineStr">
        <is>
          <t>FLEN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38613-2020</t>
        </is>
      </c>
      <c r="B280" s="1" t="n">
        <v>44061</v>
      </c>
      <c r="C280" s="1" t="n">
        <v>45704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38849-2020</t>
        </is>
      </c>
      <c r="B281" s="1" t="n">
        <v>44062</v>
      </c>
      <c r="C281" s="1" t="n">
        <v>45704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38854-2020</t>
        </is>
      </c>
      <c r="B282" s="1" t="n">
        <v>44062</v>
      </c>
      <c r="C282" s="1" t="n">
        <v>45704</v>
      </c>
      <c r="D282" t="inlineStr">
        <is>
          <t>SÖDERMANLANDS LÄN</t>
        </is>
      </c>
      <c r="E282" t="inlineStr">
        <is>
          <t>FLEN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40693-2020</t>
        </is>
      </c>
      <c r="B283" s="1" t="n">
        <v>44067</v>
      </c>
      <c r="C283" s="1" t="n">
        <v>45704</v>
      </c>
      <c r="D283" t="inlineStr">
        <is>
          <t>SÖDERMANLANDS LÄN</t>
        </is>
      </c>
      <c r="E283" t="inlineStr">
        <is>
          <t>FLEN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45305-2020</t>
        </is>
      </c>
      <c r="B284" s="1" t="n">
        <v>44085</v>
      </c>
      <c r="C284" s="1" t="n">
        <v>45704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45315-2020</t>
        </is>
      </c>
      <c r="B285" s="1" t="n">
        <v>44085</v>
      </c>
      <c r="C285" s="1" t="n">
        <v>45704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45265-2020</t>
        </is>
      </c>
      <c r="B286" s="1" t="n">
        <v>44089</v>
      </c>
      <c r="C286" s="1" t="n">
        <v>45704</v>
      </c>
      <c r="D286" t="inlineStr">
        <is>
          <t>SÖDERMANLANDS LÄN</t>
        </is>
      </c>
      <c r="E286" t="inlineStr">
        <is>
          <t>FLEN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HYPERLINK("https://klasma.github.io/Logging_0482/knärot/A 45265-2020 karta knärot.png", "A 45265-2020")</f>
        <v/>
      </c>
      <c r="V286">
        <f>HYPERLINK("https://klasma.github.io/Logging_0482/klagomål/A 45265-2020 FSC-klagomål.docx", "A 45265-2020")</f>
        <v/>
      </c>
      <c r="W286">
        <f>HYPERLINK("https://klasma.github.io/Logging_0482/klagomålsmail/A 45265-2020 FSC-klagomål mail.docx", "A 45265-2020")</f>
        <v/>
      </c>
      <c r="X286">
        <f>HYPERLINK("https://klasma.github.io/Logging_0482/tillsyn/A 45265-2020 tillsynsbegäran.docx", "A 45265-2020")</f>
        <v/>
      </c>
      <c r="Y286">
        <f>HYPERLINK("https://klasma.github.io/Logging_0482/tillsynsmail/A 45265-2020 tillsynsbegäran mail.docx", "A 45265-2020")</f>
        <v/>
      </c>
    </row>
    <row r="287" ht="15" customHeight="1">
      <c r="A287" t="inlineStr">
        <is>
          <t>A 47401-2020</t>
        </is>
      </c>
      <c r="B287" s="1" t="n">
        <v>44097</v>
      </c>
      <c r="C287" s="1" t="n">
        <v>45704</v>
      </c>
      <c r="D287" t="inlineStr">
        <is>
          <t>SÖDERMANLANDS LÄN</t>
        </is>
      </c>
      <c r="E287" t="inlineStr">
        <is>
          <t>FLEN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47669-2020</t>
        </is>
      </c>
      <c r="B288" s="1" t="n">
        <v>44098</v>
      </c>
      <c r="C288" s="1" t="n">
        <v>45704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47681-2020</t>
        </is>
      </c>
      <c r="B289" s="1" t="n">
        <v>44098</v>
      </c>
      <c r="C289" s="1" t="n">
        <v>45704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48869-2020</t>
        </is>
      </c>
      <c r="B290" s="1" t="n">
        <v>44104</v>
      </c>
      <c r="C290" s="1" t="n">
        <v>45704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51315-2020</t>
        </is>
      </c>
      <c r="B291" s="1" t="n">
        <v>44106</v>
      </c>
      <c r="C291" s="1" t="n">
        <v>45704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51836-2020</t>
        </is>
      </c>
      <c r="B292" s="1" t="n">
        <v>44109</v>
      </c>
      <c r="C292" s="1" t="n">
        <v>45704</v>
      </c>
      <c r="D292" t="inlineStr">
        <is>
          <t>SÖDERMANLANDS LÄN</t>
        </is>
      </c>
      <c r="E292" t="inlineStr">
        <is>
          <t>FLEN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51933-2020</t>
        </is>
      </c>
      <c r="B293" s="1" t="n">
        <v>44109</v>
      </c>
      <c r="C293" s="1" t="n">
        <v>45704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50467-2020</t>
        </is>
      </c>
      <c r="B294" s="1" t="n">
        <v>44110</v>
      </c>
      <c r="C294" s="1" t="n">
        <v>45704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51864-2020</t>
        </is>
      </c>
      <c r="B295" s="1" t="n">
        <v>44113</v>
      </c>
      <c r="C295" s="1" t="n">
        <v>45704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53424-2020</t>
        </is>
      </c>
      <c r="B296" s="1" t="n">
        <v>44123</v>
      </c>
      <c r="C296" s="1" t="n">
        <v>45704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54919-2020</t>
        </is>
      </c>
      <c r="B297" s="1" t="n">
        <v>44127</v>
      </c>
      <c r="C297" s="1" t="n">
        <v>45704</v>
      </c>
      <c r="D297" t="inlineStr">
        <is>
          <t>SÖDERMANLANDS LÄN</t>
        </is>
      </c>
      <c r="E297" t="inlineStr">
        <is>
          <t>FLEN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54918-2020</t>
        </is>
      </c>
      <c r="B298" s="1" t="n">
        <v>44127</v>
      </c>
      <c r="C298" s="1" t="n">
        <v>45704</v>
      </c>
      <c r="D298" t="inlineStr">
        <is>
          <t>SÖDERMANLANDS LÄN</t>
        </is>
      </c>
      <c r="E298" t="inlineStr">
        <is>
          <t>FLEN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56930-2020</t>
        </is>
      </c>
      <c r="B299" s="1" t="n">
        <v>44138</v>
      </c>
      <c r="C299" s="1" t="n">
        <v>45704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56863-2020</t>
        </is>
      </c>
      <c r="B300" s="1" t="n">
        <v>44138</v>
      </c>
      <c r="C300" s="1" t="n">
        <v>45704</v>
      </c>
      <c r="D300" t="inlineStr">
        <is>
          <t>SÖDERMANLANDS LÄN</t>
        </is>
      </c>
      <c r="E300" t="inlineStr">
        <is>
          <t>FLEN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57165-2020</t>
        </is>
      </c>
      <c r="B301" s="1" t="n">
        <v>44138</v>
      </c>
      <c r="C301" s="1" t="n">
        <v>45704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57251-2020</t>
        </is>
      </c>
      <c r="B302" s="1" t="n">
        <v>44139</v>
      </c>
      <c r="C302" s="1" t="n">
        <v>45704</v>
      </c>
      <c r="D302" t="inlineStr">
        <is>
          <t>SÖDERMANLANDS LÄN</t>
        </is>
      </c>
      <c r="E302" t="inlineStr">
        <is>
          <t>FLEN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57682-2020</t>
        </is>
      </c>
      <c r="B303" s="1" t="n">
        <v>44140</v>
      </c>
      <c r="C303" s="1" t="n">
        <v>45704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57689-2020</t>
        </is>
      </c>
      <c r="B304" s="1" t="n">
        <v>44140</v>
      </c>
      <c r="C304" s="1" t="n">
        <v>45704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58592-2020</t>
        </is>
      </c>
      <c r="B305" s="1" t="n">
        <v>44145</v>
      </c>
      <c r="C305" s="1" t="n">
        <v>45704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58948-2020</t>
        </is>
      </c>
      <c r="B306" s="1" t="n">
        <v>44146</v>
      </c>
      <c r="C306" s="1" t="n">
        <v>45704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60409-2020</t>
        </is>
      </c>
      <c r="B307" s="1" t="n">
        <v>44152</v>
      </c>
      <c r="C307" s="1" t="n">
        <v>45704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61697-2020</t>
        </is>
      </c>
      <c r="B308" s="1" t="n">
        <v>44158</v>
      </c>
      <c r="C308" s="1" t="n">
        <v>45704</v>
      </c>
      <c r="D308" t="inlineStr">
        <is>
          <t>SÖDERMANLANDS LÄN</t>
        </is>
      </c>
      <c r="E308" t="inlineStr">
        <is>
          <t>FLEN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61713-2020</t>
        </is>
      </c>
      <c r="B309" s="1" t="n">
        <v>44158</v>
      </c>
      <c r="C309" s="1" t="n">
        <v>45704</v>
      </c>
      <c r="D309" t="inlineStr">
        <is>
          <t>SÖDERMANLANDS LÄN</t>
        </is>
      </c>
      <c r="E309" t="inlineStr">
        <is>
          <t>FLEN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62512-2020</t>
        </is>
      </c>
      <c r="B310" s="1" t="n">
        <v>44160</v>
      </c>
      <c r="C310" s="1" t="n">
        <v>45704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65233-2020</t>
        </is>
      </c>
      <c r="B311" s="1" t="n">
        <v>44172</v>
      </c>
      <c r="C311" s="1" t="n">
        <v>45704</v>
      </c>
      <c r="D311" t="inlineStr">
        <is>
          <t>SÖDERMANLANDS LÄN</t>
        </is>
      </c>
      <c r="E311" t="inlineStr">
        <is>
          <t>FLEN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66511-2020</t>
        </is>
      </c>
      <c r="B312" s="1" t="n">
        <v>44178</v>
      </c>
      <c r="C312" s="1" t="n">
        <v>45704</v>
      </c>
      <c r="D312" t="inlineStr">
        <is>
          <t>SÖDERMANLANDS LÄN</t>
        </is>
      </c>
      <c r="E312" t="inlineStr">
        <is>
          <t>FLEN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69019-2020</t>
        </is>
      </c>
      <c r="B313" s="1" t="n">
        <v>44187</v>
      </c>
      <c r="C313" s="1" t="n">
        <v>45704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69015-2020</t>
        </is>
      </c>
      <c r="B314" s="1" t="n">
        <v>44188</v>
      </c>
      <c r="C314" s="1" t="n">
        <v>45704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69388-2020</t>
        </is>
      </c>
      <c r="B315" s="1" t="n">
        <v>44193</v>
      </c>
      <c r="C315" s="1" t="n">
        <v>45704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527-2021</t>
        </is>
      </c>
      <c r="B316" s="1" t="n">
        <v>44201</v>
      </c>
      <c r="C316" s="1" t="n">
        <v>45704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587-2021</t>
        </is>
      </c>
      <c r="B317" s="1" t="n">
        <v>44203</v>
      </c>
      <c r="C317" s="1" t="n">
        <v>45704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1329-2021</t>
        </is>
      </c>
      <c r="B318" s="1" t="n">
        <v>44208</v>
      </c>
      <c r="C318" s="1" t="n">
        <v>45704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1333-2021</t>
        </is>
      </c>
      <c r="B319" s="1" t="n">
        <v>44208</v>
      </c>
      <c r="C319" s="1" t="n">
        <v>45704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1330-2021</t>
        </is>
      </c>
      <c r="B320" s="1" t="n">
        <v>44208</v>
      </c>
      <c r="C320" s="1" t="n">
        <v>45704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1565-2021</t>
        </is>
      </c>
      <c r="B321" s="1" t="n">
        <v>44209</v>
      </c>
      <c r="C321" s="1" t="n">
        <v>45704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2460-2021</t>
        </is>
      </c>
      <c r="B322" s="1" t="n">
        <v>44214</v>
      </c>
      <c r="C322" s="1" t="n">
        <v>45704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2488-2021</t>
        </is>
      </c>
      <c r="B323" s="1" t="n">
        <v>44214</v>
      </c>
      <c r="C323" s="1" t="n">
        <v>45704</v>
      </c>
      <c r="D323" t="inlineStr">
        <is>
          <t>SÖDERMANLANDS LÄN</t>
        </is>
      </c>
      <c r="E323" t="inlineStr">
        <is>
          <t>FLEN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3169-2021</t>
        </is>
      </c>
      <c r="B324" s="1" t="n">
        <v>44217</v>
      </c>
      <c r="C324" s="1" t="n">
        <v>45704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3513-2021</t>
        </is>
      </c>
      <c r="B325" s="1" t="n">
        <v>44218</v>
      </c>
      <c r="C325" s="1" t="n">
        <v>45704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4348-2021</t>
        </is>
      </c>
      <c r="B326" s="1" t="n">
        <v>44223</v>
      </c>
      <c r="C326" s="1" t="n">
        <v>45704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5971-2021</t>
        </is>
      </c>
      <c r="B327" s="1" t="n">
        <v>44230</v>
      </c>
      <c r="C327" s="1" t="n">
        <v>45704</v>
      </c>
      <c r="D327" t="inlineStr">
        <is>
          <t>SÖDERMANLANDS LÄN</t>
        </is>
      </c>
      <c r="E327" t="inlineStr">
        <is>
          <t>FLEN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6827-2021</t>
        </is>
      </c>
      <c r="B328" s="1" t="n">
        <v>44237</v>
      </c>
      <c r="C328" s="1" t="n">
        <v>45704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7858-2021</t>
        </is>
      </c>
      <c r="B329" s="1" t="n">
        <v>44242</v>
      </c>
      <c r="C329" s="1" t="n">
        <v>45704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8141-2021</t>
        </is>
      </c>
      <c r="B330" s="1" t="n">
        <v>44242</v>
      </c>
      <c r="C330" s="1" t="n">
        <v>45704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8762-2021</t>
        </is>
      </c>
      <c r="B331" s="1" t="n">
        <v>44246</v>
      </c>
      <c r="C331" s="1" t="n">
        <v>45704</v>
      </c>
      <c r="D331" t="inlineStr">
        <is>
          <t>SÖDERMANLANDS LÄN</t>
        </is>
      </c>
      <c r="E331" t="inlineStr">
        <is>
          <t>FLEN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8749-2021</t>
        </is>
      </c>
      <c r="B332" s="1" t="n">
        <v>44246</v>
      </c>
      <c r="C332" s="1" t="n">
        <v>45704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8710-2021</t>
        </is>
      </c>
      <c r="B333" s="1" t="n">
        <v>44246</v>
      </c>
      <c r="C333" s="1" t="n">
        <v>45704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8888-2021</t>
        </is>
      </c>
      <c r="B334" s="1" t="n">
        <v>44248</v>
      </c>
      <c r="C334" s="1" t="n">
        <v>45704</v>
      </c>
      <c r="D334" t="inlineStr">
        <is>
          <t>SÖDERMANLANDS LÄN</t>
        </is>
      </c>
      <c r="E334" t="inlineStr">
        <is>
          <t>FLEN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9373-2021</t>
        </is>
      </c>
      <c r="B335" s="1" t="n">
        <v>44250</v>
      </c>
      <c r="C335" s="1" t="n">
        <v>45704</v>
      </c>
      <c r="D335" t="inlineStr">
        <is>
          <t>SÖDERMANLANDS LÄN</t>
        </is>
      </c>
      <c r="E335" t="inlineStr">
        <is>
          <t>FLEN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9237-2021</t>
        </is>
      </c>
      <c r="B336" s="1" t="n">
        <v>44250</v>
      </c>
      <c r="C336" s="1" t="n">
        <v>45704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9634-2021</t>
        </is>
      </c>
      <c r="B337" s="1" t="n">
        <v>44252</v>
      </c>
      <c r="C337" s="1" t="n">
        <v>45704</v>
      </c>
      <c r="D337" t="inlineStr">
        <is>
          <t>SÖDERMANLANDS LÄN</t>
        </is>
      </c>
      <c r="E337" t="inlineStr">
        <is>
          <t>FLEN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9674-2021</t>
        </is>
      </c>
      <c r="B338" s="1" t="n">
        <v>44252</v>
      </c>
      <c r="C338" s="1" t="n">
        <v>45704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10607-2021</t>
        </is>
      </c>
      <c r="B339" s="1" t="n">
        <v>44258</v>
      </c>
      <c r="C339" s="1" t="n">
        <v>45704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10980-2021</t>
        </is>
      </c>
      <c r="B340" s="1" t="n">
        <v>44260</v>
      </c>
      <c r="C340" s="1" t="n">
        <v>45704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11030-2021</t>
        </is>
      </c>
      <c r="B341" s="1" t="n">
        <v>44260</v>
      </c>
      <c r="C341" s="1" t="n">
        <v>45704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11068-2021</t>
        </is>
      </c>
      <c r="B342" s="1" t="n">
        <v>44260</v>
      </c>
      <c r="C342" s="1" t="n">
        <v>45704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11288-2021</t>
        </is>
      </c>
      <c r="B343" s="1" t="n">
        <v>44263</v>
      </c>
      <c r="C343" s="1" t="n">
        <v>45704</v>
      </c>
      <c r="D343" t="inlineStr">
        <is>
          <t>SÖDERMANLANDS LÄN</t>
        </is>
      </c>
      <c r="E343" t="inlineStr">
        <is>
          <t>FLEN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11302-2021</t>
        </is>
      </c>
      <c r="B344" s="1" t="n">
        <v>44263</v>
      </c>
      <c r="C344" s="1" t="n">
        <v>45704</v>
      </c>
      <c r="D344" t="inlineStr">
        <is>
          <t>SÖDERMANLANDS LÄN</t>
        </is>
      </c>
      <c r="E344" t="inlineStr">
        <is>
          <t>FLEN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11731-2021</t>
        </is>
      </c>
      <c r="B345" s="1" t="n">
        <v>44265</v>
      </c>
      <c r="C345" s="1" t="n">
        <v>45704</v>
      </c>
      <c r="D345" t="inlineStr">
        <is>
          <t>SÖDERMANLANDS LÄN</t>
        </is>
      </c>
      <c r="E345" t="inlineStr">
        <is>
          <t>FLEN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12774-2021</t>
        </is>
      </c>
      <c r="B346" s="1" t="n">
        <v>44270</v>
      </c>
      <c r="C346" s="1" t="n">
        <v>45704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14973-2021</t>
        </is>
      </c>
      <c r="B347" s="1" t="n">
        <v>44281</v>
      </c>
      <c r="C347" s="1" t="n">
        <v>45704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15062-2021</t>
        </is>
      </c>
      <c r="B348" s="1" t="n">
        <v>44281</v>
      </c>
      <c r="C348" s="1" t="n">
        <v>45704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15465-2021</t>
        </is>
      </c>
      <c r="B349" s="1" t="n">
        <v>44285</v>
      </c>
      <c r="C349" s="1" t="n">
        <v>45704</v>
      </c>
      <c r="D349" t="inlineStr">
        <is>
          <t>SÖDERMANLANDS LÄN</t>
        </is>
      </c>
      <c r="E349" t="inlineStr">
        <is>
          <t>FLEN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16281-2021</t>
        </is>
      </c>
      <c r="B350" s="1" t="n">
        <v>44292</v>
      </c>
      <c r="C350" s="1" t="n">
        <v>45704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16275-2021</t>
        </is>
      </c>
      <c r="B351" s="1" t="n">
        <v>44292</v>
      </c>
      <c r="C351" s="1" t="n">
        <v>45704</v>
      </c>
      <c r="D351" t="inlineStr">
        <is>
          <t>SÖDERMANLANDS LÄN</t>
        </is>
      </c>
      <c r="E351" t="inlineStr">
        <is>
          <t>FLEN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16276-2021</t>
        </is>
      </c>
      <c r="B352" s="1" t="n">
        <v>44292</v>
      </c>
      <c r="C352" s="1" t="n">
        <v>45704</v>
      </c>
      <c r="D352" t="inlineStr">
        <is>
          <t>SÖDERMANLANDS LÄN</t>
        </is>
      </c>
      <c r="E352" t="inlineStr">
        <is>
          <t>FLEN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16520-2021</t>
        </is>
      </c>
      <c r="B353" s="1" t="n">
        <v>44293</v>
      </c>
      <c r="C353" s="1" t="n">
        <v>45704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17203-2021</t>
        </is>
      </c>
      <c r="B354" s="1" t="n">
        <v>44296</v>
      </c>
      <c r="C354" s="1" t="n">
        <v>45704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17210-2021</t>
        </is>
      </c>
      <c r="B355" s="1" t="n">
        <v>44297</v>
      </c>
      <c r="C355" s="1" t="n">
        <v>45704</v>
      </c>
      <c r="D355" t="inlineStr">
        <is>
          <t>SÖDERMANLANDS LÄN</t>
        </is>
      </c>
      <c r="E355" t="inlineStr">
        <is>
          <t>FLEN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17222-2021</t>
        </is>
      </c>
      <c r="B356" s="1" t="n">
        <v>44297</v>
      </c>
      <c r="C356" s="1" t="n">
        <v>45704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17183-2021</t>
        </is>
      </c>
      <c r="B357" s="1" t="n">
        <v>44297</v>
      </c>
      <c r="C357" s="1" t="n">
        <v>45704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17985-2021</t>
        </is>
      </c>
      <c r="B358" s="1" t="n">
        <v>44301</v>
      </c>
      <c r="C358" s="1" t="n">
        <v>45704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17987-2021</t>
        </is>
      </c>
      <c r="B359" s="1" t="n">
        <v>44301</v>
      </c>
      <c r="C359" s="1" t="n">
        <v>45704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18053-2021</t>
        </is>
      </c>
      <c r="B360" s="1" t="n">
        <v>44302</v>
      </c>
      <c r="C360" s="1" t="n">
        <v>45704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18192-2021</t>
        </is>
      </c>
      <c r="B361" s="1" t="n">
        <v>44302</v>
      </c>
      <c r="C361" s="1" t="n">
        <v>45704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18185-2021</t>
        </is>
      </c>
      <c r="B362" s="1" t="n">
        <v>44302</v>
      </c>
      <c r="C362" s="1" t="n">
        <v>45704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45704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19072-2021</t>
        </is>
      </c>
      <c r="B364" s="1" t="n">
        <v>44307</v>
      </c>
      <c r="C364" s="1" t="n">
        <v>45704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19387-2021</t>
        </is>
      </c>
      <c r="B365" s="1" t="n">
        <v>44309</v>
      </c>
      <c r="C365" s="1" t="n">
        <v>45704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22011-2021</t>
        </is>
      </c>
      <c r="B366" s="1" t="n">
        <v>44323</v>
      </c>
      <c r="C366" s="1" t="n">
        <v>45704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22015-2021</t>
        </is>
      </c>
      <c r="B367" s="1" t="n">
        <v>44323</v>
      </c>
      <c r="C367" s="1" t="n">
        <v>45704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22020-2021</t>
        </is>
      </c>
      <c r="B368" s="1" t="n">
        <v>44323</v>
      </c>
      <c r="C368" s="1" t="n">
        <v>45704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23004-2021</t>
        </is>
      </c>
      <c r="B369" s="1" t="n">
        <v>44328</v>
      </c>
      <c r="C369" s="1" t="n">
        <v>45704</v>
      </c>
      <c r="D369" t="inlineStr">
        <is>
          <t>SÖDERMANLANDS LÄN</t>
        </is>
      </c>
      <c r="E369" t="inlineStr">
        <is>
          <t>FLEN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26011-2021</t>
        </is>
      </c>
      <c r="B370" s="1" t="n">
        <v>44344</v>
      </c>
      <c r="C370" s="1" t="n">
        <v>45704</v>
      </c>
      <c r="D370" t="inlineStr">
        <is>
          <t>SÖDERMANLANDS LÄN</t>
        </is>
      </c>
      <c r="E370" t="inlineStr">
        <is>
          <t>FLEN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27190-2021</t>
        </is>
      </c>
      <c r="B371" s="1" t="n">
        <v>44350</v>
      </c>
      <c r="C371" s="1" t="n">
        <v>45704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27184-2021</t>
        </is>
      </c>
      <c r="B372" s="1" t="n">
        <v>44350</v>
      </c>
      <c r="C372" s="1" t="n">
        <v>45704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29002-2021</t>
        </is>
      </c>
      <c r="B373" s="1" t="n">
        <v>44358</v>
      </c>
      <c r="C373" s="1" t="n">
        <v>45704</v>
      </c>
      <c r="D373" t="inlineStr">
        <is>
          <t>SÖDERMANLANDS LÄN</t>
        </is>
      </c>
      <c r="E373" t="inlineStr">
        <is>
          <t>FLEN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29234-2021</t>
        </is>
      </c>
      <c r="B374" s="1" t="n">
        <v>44360</v>
      </c>
      <c r="C374" s="1" t="n">
        <v>45704</v>
      </c>
      <c r="D374" t="inlineStr">
        <is>
          <t>SÖDERMANLANDS LÄN</t>
        </is>
      </c>
      <c r="E374" t="inlineStr">
        <is>
          <t>FLEN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29239-2021</t>
        </is>
      </c>
      <c r="B375" s="1" t="n">
        <v>44360</v>
      </c>
      <c r="C375" s="1" t="n">
        <v>45704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29236-2021</t>
        </is>
      </c>
      <c r="B376" s="1" t="n">
        <v>44360</v>
      </c>
      <c r="C376" s="1" t="n">
        <v>45704</v>
      </c>
      <c r="D376" t="inlineStr">
        <is>
          <t>SÖDERMANLANDS LÄN</t>
        </is>
      </c>
      <c r="E376" t="inlineStr">
        <is>
          <t>FLEN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29233-2021</t>
        </is>
      </c>
      <c r="B377" s="1" t="n">
        <v>44360</v>
      </c>
      <c r="C377" s="1" t="n">
        <v>45704</v>
      </c>
      <c r="D377" t="inlineStr">
        <is>
          <t>SÖDERMANLANDS LÄN</t>
        </is>
      </c>
      <c r="E377" t="inlineStr">
        <is>
          <t>FLEN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30847-2021</t>
        </is>
      </c>
      <c r="B378" s="1" t="n">
        <v>44365</v>
      </c>
      <c r="C378" s="1" t="n">
        <v>45704</v>
      </c>
      <c r="D378" t="inlineStr">
        <is>
          <t>SÖDERMANLANDS LÄN</t>
        </is>
      </c>
      <c r="E378" t="inlineStr">
        <is>
          <t>FLEN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30830-2021</t>
        </is>
      </c>
      <c r="B379" s="1" t="n">
        <v>44365</v>
      </c>
      <c r="C379" s="1" t="n">
        <v>45704</v>
      </c>
      <c r="D379" t="inlineStr">
        <is>
          <t>SÖDERMANLANDS LÄN</t>
        </is>
      </c>
      <c r="E379" t="inlineStr">
        <is>
          <t>FLEN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31131-2021</t>
        </is>
      </c>
      <c r="B380" s="1" t="n">
        <v>44365</v>
      </c>
      <c r="C380" s="1" t="n">
        <v>45704</v>
      </c>
      <c r="D380" t="inlineStr">
        <is>
          <t>SÖDERMANLANDS LÄN</t>
        </is>
      </c>
      <c r="E380" t="inlineStr">
        <is>
          <t>FLEN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32416-2021</t>
        </is>
      </c>
      <c r="B381" s="1" t="n">
        <v>44371</v>
      </c>
      <c r="C381" s="1" t="n">
        <v>45704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34088-2021</t>
        </is>
      </c>
      <c r="B382" s="1" t="n">
        <v>44378</v>
      </c>
      <c r="C382" s="1" t="n">
        <v>45704</v>
      </c>
      <c r="D382" t="inlineStr">
        <is>
          <t>SÖDERMANLANDS LÄN</t>
        </is>
      </c>
      <c r="E382" t="inlineStr">
        <is>
          <t>FLEN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34003-2021</t>
        </is>
      </c>
      <c r="B383" s="1" t="n">
        <v>44378</v>
      </c>
      <c r="C383" s="1" t="n">
        <v>45704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34675-2021</t>
        </is>
      </c>
      <c r="B384" s="1" t="n">
        <v>44379</v>
      </c>
      <c r="C384" s="1" t="n">
        <v>45704</v>
      </c>
      <c r="D384" t="inlineStr">
        <is>
          <t>SÖDERMANLANDS LÄN</t>
        </is>
      </c>
      <c r="E384" t="inlineStr">
        <is>
          <t>FLEN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34448-2021</t>
        </is>
      </c>
      <c r="B385" s="1" t="n">
        <v>44381</v>
      </c>
      <c r="C385" s="1" t="n">
        <v>45704</v>
      </c>
      <c r="D385" t="inlineStr">
        <is>
          <t>SÖDERMANLANDS LÄN</t>
        </is>
      </c>
      <c r="E385" t="inlineStr">
        <is>
          <t>FLEN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34447-2021</t>
        </is>
      </c>
      <c r="B386" s="1" t="n">
        <v>44381</v>
      </c>
      <c r="C386" s="1" t="n">
        <v>45704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35250-2021</t>
        </is>
      </c>
      <c r="B387" s="1" t="n">
        <v>44384</v>
      </c>
      <c r="C387" s="1" t="n">
        <v>45704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35257-2021</t>
        </is>
      </c>
      <c r="B388" s="1" t="n">
        <v>44384</v>
      </c>
      <c r="C388" s="1" t="n">
        <v>45704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35649-2021</t>
        </is>
      </c>
      <c r="B389" s="1" t="n">
        <v>44384</v>
      </c>
      <c r="C389" s="1" t="n">
        <v>45704</v>
      </c>
      <c r="D389" t="inlineStr">
        <is>
          <t>SÖDERMANLANDS LÄN</t>
        </is>
      </c>
      <c r="E389" t="inlineStr">
        <is>
          <t>FLEN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35714-2021</t>
        </is>
      </c>
      <c r="B390" s="1" t="n">
        <v>44386</v>
      </c>
      <c r="C390" s="1" t="n">
        <v>45704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36595-2021</t>
        </is>
      </c>
      <c r="B391" s="1" t="n">
        <v>44391</v>
      </c>
      <c r="C391" s="1" t="n">
        <v>45704</v>
      </c>
      <c r="D391" t="inlineStr">
        <is>
          <t>SÖDERMANLANDS LÄN</t>
        </is>
      </c>
      <c r="E391" t="inlineStr">
        <is>
          <t>FLEN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37385-2021</t>
        </is>
      </c>
      <c r="B392" s="1" t="n">
        <v>44398</v>
      </c>
      <c r="C392" s="1" t="n">
        <v>45704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38008-2021</t>
        </is>
      </c>
      <c r="B393" s="1" t="n">
        <v>44404</v>
      </c>
      <c r="C393" s="1" t="n">
        <v>45704</v>
      </c>
      <c r="D393" t="inlineStr">
        <is>
          <t>SÖDERMANLANDS LÄN</t>
        </is>
      </c>
      <c r="E393" t="inlineStr">
        <is>
          <t>FLEN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38842-2021</t>
        </is>
      </c>
      <c r="B394" s="1" t="n">
        <v>44411</v>
      </c>
      <c r="C394" s="1" t="n">
        <v>45704</v>
      </c>
      <c r="D394" t="inlineStr">
        <is>
          <t>SÖDERMANLANDS LÄN</t>
        </is>
      </c>
      <c r="E394" t="inlineStr">
        <is>
          <t>FLEN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39188-2021</t>
        </is>
      </c>
      <c r="B395" s="1" t="n">
        <v>44413</v>
      </c>
      <c r="C395" s="1" t="n">
        <v>45704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39513-2021</t>
        </is>
      </c>
      <c r="B396" s="1" t="n">
        <v>44414</v>
      </c>
      <c r="C396" s="1" t="n">
        <v>45704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39518-2021</t>
        </is>
      </c>
      <c r="B397" s="1" t="n">
        <v>44414</v>
      </c>
      <c r="C397" s="1" t="n">
        <v>45704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40796-2021</t>
        </is>
      </c>
      <c r="B398" s="1" t="n">
        <v>44421</v>
      </c>
      <c r="C398" s="1" t="n">
        <v>45704</v>
      </c>
      <c r="D398" t="inlineStr">
        <is>
          <t>SÖDERMANLANDS LÄN</t>
        </is>
      </c>
      <c r="E398" t="inlineStr">
        <is>
          <t>FLEN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40961-2021</t>
        </is>
      </c>
      <c r="B399" s="1" t="n">
        <v>44421</v>
      </c>
      <c r="C399" s="1" t="n">
        <v>45704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41148-2021</t>
        </is>
      </c>
      <c r="B400" s="1" t="n">
        <v>44423</v>
      </c>
      <c r="C400" s="1" t="n">
        <v>45704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41150-2021</t>
        </is>
      </c>
      <c r="B401" s="1" t="n">
        <v>44423</v>
      </c>
      <c r="C401" s="1" t="n">
        <v>45704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41597-2021</t>
        </is>
      </c>
      <c r="B402" s="1" t="n">
        <v>44425</v>
      </c>
      <c r="C402" s="1" t="n">
        <v>45704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41640-2021</t>
        </is>
      </c>
      <c r="B403" s="1" t="n">
        <v>44425</v>
      </c>
      <c r="C403" s="1" t="n">
        <v>45704</v>
      </c>
      <c r="D403" t="inlineStr">
        <is>
          <t>SÖDERMANLANDS LÄN</t>
        </is>
      </c>
      <c r="E403" t="inlineStr">
        <is>
          <t>FLEN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41658-2021</t>
        </is>
      </c>
      <c r="B404" s="1" t="n">
        <v>44425</v>
      </c>
      <c r="C404" s="1" t="n">
        <v>45704</v>
      </c>
      <c r="D404" t="inlineStr">
        <is>
          <t>SÖDERMANLANDS LÄN</t>
        </is>
      </c>
      <c r="E404" t="inlineStr">
        <is>
          <t>FLEN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41638-2021</t>
        </is>
      </c>
      <c r="B405" s="1" t="n">
        <v>44425</v>
      </c>
      <c r="C405" s="1" t="n">
        <v>45704</v>
      </c>
      <c r="D405" t="inlineStr">
        <is>
          <t>SÖDERMANLANDS LÄN</t>
        </is>
      </c>
      <c r="E405" t="inlineStr">
        <is>
          <t>FLEN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41709-2021</t>
        </is>
      </c>
      <c r="B406" s="1" t="n">
        <v>44425</v>
      </c>
      <c r="C406" s="1" t="n">
        <v>45704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41800-2021</t>
        </is>
      </c>
      <c r="B407" s="1" t="n">
        <v>44425</v>
      </c>
      <c r="C407" s="1" t="n">
        <v>45704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41894-2021</t>
        </is>
      </c>
      <c r="B408" s="1" t="n">
        <v>44425</v>
      </c>
      <c r="C408" s="1" t="n">
        <v>45704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42936-2021</t>
        </is>
      </c>
      <c r="B409" s="1" t="n">
        <v>44431</v>
      </c>
      <c r="C409" s="1" t="n">
        <v>45704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43394-2021</t>
        </is>
      </c>
      <c r="B410" s="1" t="n">
        <v>44432</v>
      </c>
      <c r="C410" s="1" t="n">
        <v>45704</v>
      </c>
      <c r="D410" t="inlineStr">
        <is>
          <t>SÖDERMANLANDS LÄN</t>
        </is>
      </c>
      <c r="E410" t="inlineStr">
        <is>
          <t>FLEN</t>
        </is>
      </c>
      <c r="G410" t="n">
        <v>14.4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43450-2021</t>
        </is>
      </c>
      <c r="B411" s="1" t="n">
        <v>44432</v>
      </c>
      <c r="C411" s="1" t="n">
        <v>45704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43640-2021</t>
        </is>
      </c>
      <c r="B412" s="1" t="n">
        <v>44433</v>
      </c>
      <c r="C412" s="1" t="n">
        <v>45704</v>
      </c>
      <c r="D412" t="inlineStr">
        <is>
          <t>SÖDERMANLANDS LÄN</t>
        </is>
      </c>
      <c r="E412" t="inlineStr">
        <is>
          <t>FLEN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43541-2021</t>
        </is>
      </c>
      <c r="B413" s="1" t="n">
        <v>44433</v>
      </c>
      <c r="C413" s="1" t="n">
        <v>45704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44359-2021</t>
        </is>
      </c>
      <c r="B414" s="1" t="n">
        <v>44435</v>
      </c>
      <c r="C414" s="1" t="n">
        <v>45704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45120-2021</t>
        </is>
      </c>
      <c r="B415" s="1" t="n">
        <v>44439</v>
      </c>
      <c r="C415" s="1" t="n">
        <v>45704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45468-2021</t>
        </is>
      </c>
      <c r="B416" s="1" t="n">
        <v>44440</v>
      </c>
      <c r="C416" s="1" t="n">
        <v>45704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47609-2021</t>
        </is>
      </c>
      <c r="B417" s="1" t="n">
        <v>44448</v>
      </c>
      <c r="C417" s="1" t="n">
        <v>45704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47613-2021</t>
        </is>
      </c>
      <c r="B418" s="1" t="n">
        <v>44448</v>
      </c>
      <c r="C418" s="1" t="n">
        <v>45704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47644-2021</t>
        </is>
      </c>
      <c r="B419" s="1" t="n">
        <v>44448</v>
      </c>
      <c r="C419" s="1" t="n">
        <v>45704</v>
      </c>
      <c r="D419" t="inlineStr">
        <is>
          <t>SÖDERMANLANDS LÄN</t>
        </is>
      </c>
      <c r="E419" t="inlineStr">
        <is>
          <t>FLEN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47604-2021</t>
        </is>
      </c>
      <c r="B420" s="1" t="n">
        <v>44448</v>
      </c>
      <c r="C420" s="1" t="n">
        <v>45704</v>
      </c>
      <c r="D420" t="inlineStr">
        <is>
          <t>SÖDERMANLANDS LÄN</t>
        </is>
      </c>
      <c r="E420" t="inlineStr">
        <is>
          <t>FLEN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48166-2021</t>
        </is>
      </c>
      <c r="B421" s="1" t="n">
        <v>44449</v>
      </c>
      <c r="C421" s="1" t="n">
        <v>45704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48497-2021</t>
        </is>
      </c>
      <c r="B422" s="1" t="n">
        <v>44449</v>
      </c>
      <c r="C422" s="1" t="n">
        <v>45704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48298-2021</t>
        </is>
      </c>
      <c r="B423" s="1" t="n">
        <v>44450</v>
      </c>
      <c r="C423" s="1" t="n">
        <v>45704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48763-2021</t>
        </is>
      </c>
      <c r="B424" s="1" t="n">
        <v>44452</v>
      </c>
      <c r="C424" s="1" t="n">
        <v>45704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48925-2021</t>
        </is>
      </c>
      <c r="B425" s="1" t="n">
        <v>44452</v>
      </c>
      <c r="C425" s="1" t="n">
        <v>45704</v>
      </c>
      <c r="D425" t="inlineStr">
        <is>
          <t>SÖDERMANLANDS LÄN</t>
        </is>
      </c>
      <c r="E425" t="inlineStr">
        <is>
          <t>FLEN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49323-2021</t>
        </is>
      </c>
      <c r="B426" s="1" t="n">
        <v>44453</v>
      </c>
      <c r="C426" s="1" t="n">
        <v>45704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49275-2021</t>
        </is>
      </c>
      <c r="B427" s="1" t="n">
        <v>44453</v>
      </c>
      <c r="C427" s="1" t="n">
        <v>45704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49252-2021</t>
        </is>
      </c>
      <c r="B428" s="1" t="n">
        <v>44454</v>
      </c>
      <c r="C428" s="1" t="n">
        <v>45704</v>
      </c>
      <c r="D428" t="inlineStr">
        <is>
          <t>SÖDERMANLANDS LÄN</t>
        </is>
      </c>
      <c r="E428" t="inlineStr">
        <is>
          <t>FLEN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49255-2021</t>
        </is>
      </c>
      <c r="B429" s="1" t="n">
        <v>44454</v>
      </c>
      <c r="C429" s="1" t="n">
        <v>45704</v>
      </c>
      <c r="D429" t="inlineStr">
        <is>
          <t>SÖDERMANLANDS LÄN</t>
        </is>
      </c>
      <c r="E429" t="inlineStr">
        <is>
          <t>FLEN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49569-2021</t>
        </is>
      </c>
      <c r="B430" s="1" t="n">
        <v>44455</v>
      </c>
      <c r="C430" s="1" t="n">
        <v>45704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50494-2021</t>
        </is>
      </c>
      <c r="B431" s="1" t="n">
        <v>44458</v>
      </c>
      <c r="C431" s="1" t="n">
        <v>45704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50500-2021</t>
        </is>
      </c>
      <c r="B432" s="1" t="n">
        <v>44458</v>
      </c>
      <c r="C432" s="1" t="n">
        <v>45704</v>
      </c>
      <c r="D432" t="inlineStr">
        <is>
          <t>SÖDERMANLANDS LÄN</t>
        </is>
      </c>
      <c r="E432" t="inlineStr">
        <is>
          <t>FLEN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50301-2021</t>
        </is>
      </c>
      <c r="B433" s="1" t="n">
        <v>44459</v>
      </c>
      <c r="C433" s="1" t="n">
        <v>45704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50799-2021</t>
        </is>
      </c>
      <c r="B434" s="1" t="n">
        <v>44459</v>
      </c>
      <c r="C434" s="1" t="n">
        <v>45704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50796-2021</t>
        </is>
      </c>
      <c r="B435" s="1" t="n">
        <v>44459</v>
      </c>
      <c r="C435" s="1" t="n">
        <v>45704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52541-2021</t>
        </is>
      </c>
      <c r="B436" s="1" t="n">
        <v>44463</v>
      </c>
      <c r="C436" s="1" t="n">
        <v>45704</v>
      </c>
      <c r="D436" t="inlineStr">
        <is>
          <t>SÖDERMANLANDS LÄN</t>
        </is>
      </c>
      <c r="E436" t="inlineStr">
        <is>
          <t>FLEN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52519-2021</t>
        </is>
      </c>
      <c r="B437" s="1" t="n">
        <v>44463</v>
      </c>
      <c r="C437" s="1" t="n">
        <v>45704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52563-2021</t>
        </is>
      </c>
      <c r="B438" s="1" t="n">
        <v>44463</v>
      </c>
      <c r="C438" s="1" t="n">
        <v>45704</v>
      </c>
      <c r="D438" t="inlineStr">
        <is>
          <t>SÖDERMANLANDS LÄN</t>
        </is>
      </c>
      <c r="E438" t="inlineStr">
        <is>
          <t>FLEN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52500-2021</t>
        </is>
      </c>
      <c r="B439" s="1" t="n">
        <v>44463</v>
      </c>
      <c r="C439" s="1" t="n">
        <v>45704</v>
      </c>
      <c r="D439" t="inlineStr">
        <is>
          <t>SÖDERMANLANDS LÄN</t>
        </is>
      </c>
      <c r="E439" t="inlineStr">
        <is>
          <t>FLEN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52546-2021</t>
        </is>
      </c>
      <c r="B440" s="1" t="n">
        <v>44463</v>
      </c>
      <c r="C440" s="1" t="n">
        <v>45704</v>
      </c>
      <c r="D440" t="inlineStr">
        <is>
          <t>SÖDERMANLANDS LÄN</t>
        </is>
      </c>
      <c r="E440" t="inlineStr">
        <is>
          <t>FLEN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52534-2021</t>
        </is>
      </c>
      <c r="B441" s="1" t="n">
        <v>44463</v>
      </c>
      <c r="C441" s="1" t="n">
        <v>45704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52692-2021</t>
        </is>
      </c>
      <c r="B442" s="1" t="n">
        <v>44466</v>
      </c>
      <c r="C442" s="1" t="n">
        <v>45704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53608-2021</t>
        </is>
      </c>
      <c r="B443" s="1" t="n">
        <v>44469</v>
      </c>
      <c r="C443" s="1" t="n">
        <v>45704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53930-2021</t>
        </is>
      </c>
      <c r="B444" s="1" t="n">
        <v>44469</v>
      </c>
      <c r="C444" s="1" t="n">
        <v>45704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54179-2021</t>
        </is>
      </c>
      <c r="B445" s="1" t="n">
        <v>44470</v>
      </c>
      <c r="C445" s="1" t="n">
        <v>45704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54325-2021</t>
        </is>
      </c>
      <c r="B446" s="1" t="n">
        <v>44472</v>
      </c>
      <c r="C446" s="1" t="n">
        <v>45704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54645-2021</t>
        </is>
      </c>
      <c r="B447" s="1" t="n">
        <v>44473</v>
      </c>
      <c r="C447" s="1" t="n">
        <v>45704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54666-2021</t>
        </is>
      </c>
      <c r="B448" s="1" t="n">
        <v>44473</v>
      </c>
      <c r="C448" s="1" t="n">
        <v>45704</v>
      </c>
      <c r="D448" t="inlineStr">
        <is>
          <t>SÖDERMANLANDS LÄN</t>
        </is>
      </c>
      <c r="E448" t="inlineStr">
        <is>
          <t>FLEN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57753-2021</t>
        </is>
      </c>
      <c r="B449" s="1" t="n">
        <v>44484</v>
      </c>
      <c r="C449" s="1" t="n">
        <v>45704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58299-2021</t>
        </is>
      </c>
      <c r="B450" s="1" t="n">
        <v>44487</v>
      </c>
      <c r="C450" s="1" t="n">
        <v>45704</v>
      </c>
      <c r="D450" t="inlineStr">
        <is>
          <t>SÖDERMANLANDS LÄN</t>
        </is>
      </c>
      <c r="E450" t="inlineStr">
        <is>
          <t>FLEN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59405-2021</t>
        </is>
      </c>
      <c r="B451" s="1" t="n">
        <v>44490</v>
      </c>
      <c r="C451" s="1" t="n">
        <v>45704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60069-2021</t>
        </is>
      </c>
      <c r="B452" s="1" t="n">
        <v>44495</v>
      </c>
      <c r="C452" s="1" t="n">
        <v>45704</v>
      </c>
      <c r="D452" t="inlineStr">
        <is>
          <t>SÖDERMANLANDS LÄN</t>
        </is>
      </c>
      <c r="E452" t="inlineStr">
        <is>
          <t>FLEN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60077-2021</t>
        </is>
      </c>
      <c r="B453" s="1" t="n">
        <v>44495</v>
      </c>
      <c r="C453" s="1" t="n">
        <v>45704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60255-2021</t>
        </is>
      </c>
      <c r="B454" s="1" t="n">
        <v>44495</v>
      </c>
      <c r="C454" s="1" t="n">
        <v>45704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60562-2021</t>
        </is>
      </c>
      <c r="B455" s="1" t="n">
        <v>44495</v>
      </c>
      <c r="C455" s="1" t="n">
        <v>45704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62223-2021</t>
        </is>
      </c>
      <c r="B456" s="1" t="n">
        <v>44501</v>
      </c>
      <c r="C456" s="1" t="n">
        <v>45704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63444-2021</t>
        </is>
      </c>
      <c r="B457" s="1" t="n">
        <v>44508</v>
      </c>
      <c r="C457" s="1" t="n">
        <v>45704</v>
      </c>
      <c r="D457" t="inlineStr">
        <is>
          <t>SÖDERMANLANDS LÄN</t>
        </is>
      </c>
      <c r="E457" t="inlineStr">
        <is>
          <t>FLEN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64060-2021</t>
        </is>
      </c>
      <c r="B458" s="1" t="n">
        <v>44508</v>
      </c>
      <c r="C458" s="1" t="n">
        <v>45704</v>
      </c>
      <c r="D458" t="inlineStr">
        <is>
          <t>SÖDERMANLANDS LÄN</t>
        </is>
      </c>
      <c r="E458" t="inlineStr">
        <is>
          <t>FLEN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64330-2021</t>
        </is>
      </c>
      <c r="B459" s="1" t="n">
        <v>44511</v>
      </c>
      <c r="C459" s="1" t="n">
        <v>45704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65869-2021</t>
        </is>
      </c>
      <c r="B460" s="1" t="n">
        <v>44517</v>
      </c>
      <c r="C460" s="1" t="n">
        <v>45704</v>
      </c>
      <c r="D460" t="inlineStr">
        <is>
          <t>SÖDERMANLANDS LÄN</t>
        </is>
      </c>
      <c r="E460" t="inlineStr">
        <is>
          <t>FLEN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66230-2021</t>
        </is>
      </c>
      <c r="B461" s="1" t="n">
        <v>44518</v>
      </c>
      <c r="C461" s="1" t="n">
        <v>45704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66334-2021</t>
        </is>
      </c>
      <c r="B462" s="1" t="n">
        <v>44518</v>
      </c>
      <c r="C462" s="1" t="n">
        <v>45704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66337-2021</t>
        </is>
      </c>
      <c r="B463" s="1" t="n">
        <v>44518</v>
      </c>
      <c r="C463" s="1" t="n">
        <v>45704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66867-2021</t>
        </is>
      </c>
      <c r="B464" s="1" t="n">
        <v>44522</v>
      </c>
      <c r="C464" s="1" t="n">
        <v>45704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66979-2021</t>
        </is>
      </c>
      <c r="B465" s="1" t="n">
        <v>44522</v>
      </c>
      <c r="C465" s="1" t="n">
        <v>45704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67464-2021</t>
        </is>
      </c>
      <c r="B466" s="1" t="n">
        <v>44524</v>
      </c>
      <c r="C466" s="1" t="n">
        <v>45704</v>
      </c>
      <c r="D466" t="inlineStr">
        <is>
          <t>SÖDERMANLANDS LÄN</t>
        </is>
      </c>
      <c r="E466" t="inlineStr">
        <is>
          <t>FLEN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69588-2021</t>
        </is>
      </c>
      <c r="B467" s="1" t="n">
        <v>44531</v>
      </c>
      <c r="C467" s="1" t="n">
        <v>45704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70215-2021</t>
        </is>
      </c>
      <c r="B468" s="1" t="n">
        <v>44535</v>
      </c>
      <c r="C468" s="1" t="n">
        <v>45704</v>
      </c>
      <c r="D468" t="inlineStr">
        <is>
          <t>SÖDERMANLANDS LÄN</t>
        </is>
      </c>
      <c r="E468" t="inlineStr">
        <is>
          <t>FLEN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70701-2021</t>
        </is>
      </c>
      <c r="B469" s="1" t="n">
        <v>44536</v>
      </c>
      <c r="C469" s="1" t="n">
        <v>45704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72314-2021</t>
        </is>
      </c>
      <c r="B470" s="1" t="n">
        <v>44544</v>
      </c>
      <c r="C470" s="1" t="n">
        <v>45704</v>
      </c>
      <c r="D470" t="inlineStr">
        <is>
          <t>SÖDERMANLANDS LÄN</t>
        </is>
      </c>
      <c r="E470" t="inlineStr">
        <is>
          <t>FLEN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73919-2021</t>
        </is>
      </c>
      <c r="B471" s="1" t="n">
        <v>44553</v>
      </c>
      <c r="C471" s="1" t="n">
        <v>45704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476-2022</t>
        </is>
      </c>
      <c r="B472" s="1" t="n">
        <v>44566</v>
      </c>
      <c r="C472" s="1" t="n">
        <v>45704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550-2022</t>
        </is>
      </c>
      <c r="B473" s="1" t="n">
        <v>44566</v>
      </c>
      <c r="C473" s="1" t="n">
        <v>45704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985-2022</t>
        </is>
      </c>
      <c r="B474" s="1" t="n">
        <v>44571</v>
      </c>
      <c r="C474" s="1" t="n">
        <v>45704</v>
      </c>
      <c r="D474" t="inlineStr">
        <is>
          <t>SÖDERMANLANDS LÄN</t>
        </is>
      </c>
      <c r="E474" t="inlineStr">
        <is>
          <t>FLEN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1242-2022</t>
        </is>
      </c>
      <c r="B475" s="1" t="n">
        <v>44572</v>
      </c>
      <c r="C475" s="1" t="n">
        <v>45704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2204-2022</t>
        </is>
      </c>
      <c r="B476" s="1" t="n">
        <v>44578</v>
      </c>
      <c r="C476" s="1" t="n">
        <v>45704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2162-2022</t>
        </is>
      </c>
      <c r="B477" s="1" t="n">
        <v>44578</v>
      </c>
      <c r="C477" s="1" t="n">
        <v>45704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2496-2022</t>
        </is>
      </c>
      <c r="B478" s="1" t="n">
        <v>44579</v>
      </c>
      <c r="C478" s="1" t="n">
        <v>45704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2734-2022</t>
        </is>
      </c>
      <c r="B479" s="1" t="n">
        <v>44580</v>
      </c>
      <c r="C479" s="1" t="n">
        <v>45704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2738-2022</t>
        </is>
      </c>
      <c r="B480" s="1" t="n">
        <v>44580</v>
      </c>
      <c r="C480" s="1" t="n">
        <v>45704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4065-2022</t>
        </is>
      </c>
      <c r="B481" s="1" t="n">
        <v>44588</v>
      </c>
      <c r="C481" s="1" t="n">
        <v>45704</v>
      </c>
      <c r="D481" t="inlineStr">
        <is>
          <t>SÖDERMANLANDS LÄN</t>
        </is>
      </c>
      <c r="E481" t="inlineStr">
        <is>
          <t>FLEN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4216-2022</t>
        </is>
      </c>
      <c r="B482" s="1" t="n">
        <v>44588</v>
      </c>
      <c r="C482" s="1" t="n">
        <v>45704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5260-2022</t>
        </is>
      </c>
      <c r="B483" s="1" t="n">
        <v>44594</v>
      </c>
      <c r="C483" s="1" t="n">
        <v>45704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5859-2022</t>
        </is>
      </c>
      <c r="B484" s="1" t="n">
        <v>44596</v>
      </c>
      <c r="C484" s="1" t="n">
        <v>45704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5852-2022</t>
        </is>
      </c>
      <c r="B485" s="1" t="n">
        <v>44596</v>
      </c>
      <c r="C485" s="1" t="n">
        <v>45704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6725-2022</t>
        </is>
      </c>
      <c r="B486" s="1" t="n">
        <v>44602</v>
      </c>
      <c r="C486" s="1" t="n">
        <v>45704</v>
      </c>
      <c r="D486" t="inlineStr">
        <is>
          <t>SÖDERMANLANDS LÄN</t>
        </is>
      </c>
      <c r="E486" t="inlineStr">
        <is>
          <t>FLEN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7170-2022</t>
        </is>
      </c>
      <c r="B487" s="1" t="n">
        <v>44604</v>
      </c>
      <c r="C487" s="1" t="n">
        <v>45704</v>
      </c>
      <c r="D487" t="inlineStr">
        <is>
          <t>SÖDERMANLANDS LÄN</t>
        </is>
      </c>
      <c r="E487" t="inlineStr">
        <is>
          <t>FLEN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7242-2022</t>
        </is>
      </c>
      <c r="B488" s="1" t="n">
        <v>44606</v>
      </c>
      <c r="C488" s="1" t="n">
        <v>45704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7863-2022</t>
        </is>
      </c>
      <c r="B489" s="1" t="n">
        <v>44608</v>
      </c>
      <c r="C489" s="1" t="n">
        <v>45704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8301-2022</t>
        </is>
      </c>
      <c r="B490" s="1" t="n">
        <v>44610</v>
      </c>
      <c r="C490" s="1" t="n">
        <v>45704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8293-2022</t>
        </is>
      </c>
      <c r="B491" s="1" t="n">
        <v>44610</v>
      </c>
      <c r="C491" s="1" t="n">
        <v>45704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8793-2022</t>
        </is>
      </c>
      <c r="B492" s="1" t="n">
        <v>44614</v>
      </c>
      <c r="C492" s="1" t="n">
        <v>45704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8903-2022</t>
        </is>
      </c>
      <c r="B493" s="1" t="n">
        <v>44614</v>
      </c>
      <c r="C493" s="1" t="n">
        <v>45704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8990-2022</t>
        </is>
      </c>
      <c r="B494" s="1" t="n">
        <v>44614</v>
      </c>
      <c r="C494" s="1" t="n">
        <v>45704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9431-2022</t>
        </is>
      </c>
      <c r="B495" s="1" t="n">
        <v>44616</v>
      </c>
      <c r="C495" s="1" t="n">
        <v>45704</v>
      </c>
      <c r="D495" t="inlineStr">
        <is>
          <t>SÖDERMANLANDS LÄN</t>
        </is>
      </c>
      <c r="E495" t="inlineStr">
        <is>
          <t>FLEN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45704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10771-2022</t>
        </is>
      </c>
      <c r="B497" s="1" t="n">
        <v>44624</v>
      </c>
      <c r="C497" s="1" t="n">
        <v>45704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10828-2022</t>
        </is>
      </c>
      <c r="B498" s="1" t="n">
        <v>44624</v>
      </c>
      <c r="C498" s="1" t="n">
        <v>45704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10827-2022</t>
        </is>
      </c>
      <c r="B499" s="1" t="n">
        <v>44624</v>
      </c>
      <c r="C499" s="1" t="n">
        <v>45704</v>
      </c>
      <c r="D499" t="inlineStr">
        <is>
          <t>SÖDERMANLANDS LÄN</t>
        </is>
      </c>
      <c r="E499" t="inlineStr">
        <is>
          <t>FLEN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10745-2022</t>
        </is>
      </c>
      <c r="B500" s="1" t="n">
        <v>44624</v>
      </c>
      <c r="C500" s="1" t="n">
        <v>45704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12172-2022</t>
        </is>
      </c>
      <c r="B501" s="1" t="n">
        <v>44636</v>
      </c>
      <c r="C501" s="1" t="n">
        <v>45704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12116-2022</t>
        </is>
      </c>
      <c r="B502" s="1" t="n">
        <v>44636</v>
      </c>
      <c r="C502" s="1" t="n">
        <v>45704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12171-2022</t>
        </is>
      </c>
      <c r="B503" s="1" t="n">
        <v>44636</v>
      </c>
      <c r="C503" s="1" t="n">
        <v>45704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12174-2022</t>
        </is>
      </c>
      <c r="B504" s="1" t="n">
        <v>44636</v>
      </c>
      <c r="C504" s="1" t="n">
        <v>45704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12306-2022</t>
        </is>
      </c>
      <c r="B505" s="1" t="n">
        <v>44637</v>
      </c>
      <c r="C505" s="1" t="n">
        <v>45704</v>
      </c>
      <c r="D505" t="inlineStr">
        <is>
          <t>SÖDERMANLANDS LÄN</t>
        </is>
      </c>
      <c r="E505" t="inlineStr">
        <is>
          <t>FLEN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12303-2022</t>
        </is>
      </c>
      <c r="B506" s="1" t="n">
        <v>44637</v>
      </c>
      <c r="C506" s="1" t="n">
        <v>45704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12608-2022</t>
        </is>
      </c>
      <c r="B507" s="1" t="n">
        <v>44640</v>
      </c>
      <c r="C507" s="1" t="n">
        <v>45704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13544-2022</t>
        </is>
      </c>
      <c r="B508" s="1" t="n">
        <v>44643</v>
      </c>
      <c r="C508" s="1" t="n">
        <v>45704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13529-2022</t>
        </is>
      </c>
      <c r="B509" s="1" t="n">
        <v>44643</v>
      </c>
      <c r="C509" s="1" t="n">
        <v>45704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13533-2022</t>
        </is>
      </c>
      <c r="B510" s="1" t="n">
        <v>44643</v>
      </c>
      <c r="C510" s="1" t="n">
        <v>45704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13587-2022</t>
        </is>
      </c>
      <c r="B511" s="1" t="n">
        <v>44648</v>
      </c>
      <c r="C511" s="1" t="n">
        <v>45704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16163-2022</t>
        </is>
      </c>
      <c r="B512" s="1" t="n">
        <v>44667</v>
      </c>
      <c r="C512" s="1" t="n">
        <v>45704</v>
      </c>
      <c r="D512" t="inlineStr">
        <is>
          <t>SÖDERMANLANDS LÄN</t>
        </is>
      </c>
      <c r="E512" t="inlineStr">
        <is>
          <t>FLEN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16396-2022</t>
        </is>
      </c>
      <c r="B513" s="1" t="n">
        <v>44671</v>
      </c>
      <c r="C513" s="1" t="n">
        <v>45704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16382-2022</t>
        </is>
      </c>
      <c r="B514" s="1" t="n">
        <v>44671</v>
      </c>
      <c r="C514" s="1" t="n">
        <v>45704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16937-2022</t>
        </is>
      </c>
      <c r="B515" s="1" t="n">
        <v>44676</v>
      </c>
      <c r="C515" s="1" t="n">
        <v>45704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17662-2022</t>
        </is>
      </c>
      <c r="B516" s="1" t="n">
        <v>44680</v>
      </c>
      <c r="C516" s="1" t="n">
        <v>45704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19994-2022</t>
        </is>
      </c>
      <c r="B517" s="1" t="n">
        <v>44697</v>
      </c>
      <c r="C517" s="1" t="n">
        <v>45704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20013-2022</t>
        </is>
      </c>
      <c r="B518" s="1" t="n">
        <v>44697</v>
      </c>
      <c r="C518" s="1" t="n">
        <v>45704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20791-2022</t>
        </is>
      </c>
      <c r="B519" s="1" t="n">
        <v>44701</v>
      </c>
      <c r="C519" s="1" t="n">
        <v>45704</v>
      </c>
      <c r="D519" t="inlineStr">
        <is>
          <t>SÖDERMANLANDS LÄN</t>
        </is>
      </c>
      <c r="E519" t="inlineStr">
        <is>
          <t>FLEN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21218-2022</t>
        </is>
      </c>
      <c r="B520" s="1" t="n">
        <v>44704</v>
      </c>
      <c r="C520" s="1" t="n">
        <v>45704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21351-2022</t>
        </is>
      </c>
      <c r="B521" s="1" t="n">
        <v>44705</v>
      </c>
      <c r="C521" s="1" t="n">
        <v>45704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22881-2022</t>
        </is>
      </c>
      <c r="B522" s="1" t="n">
        <v>44715</v>
      </c>
      <c r="C522" s="1" t="n">
        <v>45704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22883-2022</t>
        </is>
      </c>
      <c r="B523" s="1" t="n">
        <v>44715</v>
      </c>
      <c r="C523" s="1" t="n">
        <v>45704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23103-2022</t>
        </is>
      </c>
      <c r="B524" s="1" t="n">
        <v>44719</v>
      </c>
      <c r="C524" s="1" t="n">
        <v>45704</v>
      </c>
      <c r="D524" t="inlineStr">
        <is>
          <t>SÖDERMANLANDS LÄN</t>
        </is>
      </c>
      <c r="E524" t="inlineStr">
        <is>
          <t>FLEN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HYPERLINK("https://klasma.github.io/Logging_0482/knärot/A 23103-2022 karta knärot.png", "A 23103-2022")</f>
        <v/>
      </c>
      <c r="V524">
        <f>HYPERLINK("https://klasma.github.io/Logging_0482/klagomål/A 23103-2022 FSC-klagomål.docx", "A 23103-2022")</f>
        <v/>
      </c>
      <c r="W524">
        <f>HYPERLINK("https://klasma.github.io/Logging_0482/klagomålsmail/A 23103-2022 FSC-klagomål mail.docx", "A 23103-2022")</f>
        <v/>
      </c>
      <c r="X524">
        <f>HYPERLINK("https://klasma.github.io/Logging_0482/tillsyn/A 23103-2022 tillsynsbegäran.docx", "A 23103-2022")</f>
        <v/>
      </c>
      <c r="Y524">
        <f>HYPERLINK("https://klasma.github.io/Logging_0482/tillsynsmail/A 23103-2022 tillsynsbegäran mail.docx", "A 23103-2022")</f>
        <v/>
      </c>
    </row>
    <row r="525" ht="15" customHeight="1">
      <c r="A525" t="inlineStr">
        <is>
          <t>A 23294-2022</t>
        </is>
      </c>
      <c r="B525" s="1" t="n">
        <v>44720</v>
      </c>
      <c r="C525" s="1" t="n">
        <v>45704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23835-2022</t>
        </is>
      </c>
      <c r="B526" s="1" t="n">
        <v>44722</v>
      </c>
      <c r="C526" s="1" t="n">
        <v>45704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23859-2022</t>
        </is>
      </c>
      <c r="B527" s="1" t="n">
        <v>44722</v>
      </c>
      <c r="C527" s="1" t="n">
        <v>45704</v>
      </c>
      <c r="D527" t="inlineStr">
        <is>
          <t>SÖDERMANLANDS LÄN</t>
        </is>
      </c>
      <c r="E527" t="inlineStr">
        <is>
          <t>FLEN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23960-2022</t>
        </is>
      </c>
      <c r="B528" s="1" t="n">
        <v>44722</v>
      </c>
      <c r="C528" s="1" t="n">
        <v>45704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24037-2022</t>
        </is>
      </c>
      <c r="B529" s="1" t="n">
        <v>44724</v>
      </c>
      <c r="C529" s="1" t="n">
        <v>45704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24212-2022</t>
        </is>
      </c>
      <c r="B530" s="1" t="n">
        <v>44725</v>
      </c>
      <c r="C530" s="1" t="n">
        <v>45704</v>
      </c>
      <c r="D530" t="inlineStr">
        <is>
          <t>SÖDERMANLANDS LÄN</t>
        </is>
      </c>
      <c r="E530" t="inlineStr">
        <is>
          <t>FLEN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25823-2022</t>
        </is>
      </c>
      <c r="B531" s="1" t="n">
        <v>44733</v>
      </c>
      <c r="C531" s="1" t="n">
        <v>45704</v>
      </c>
      <c r="D531" t="inlineStr">
        <is>
          <t>SÖDERMANLANDS LÄN</t>
        </is>
      </c>
      <c r="E531" t="inlineStr">
        <is>
          <t>FLEN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26513-2022</t>
        </is>
      </c>
      <c r="B532" s="1" t="n">
        <v>44739</v>
      </c>
      <c r="C532" s="1" t="n">
        <v>45704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26663-2022</t>
        </is>
      </c>
      <c r="B533" s="1" t="n">
        <v>44739</v>
      </c>
      <c r="C533" s="1" t="n">
        <v>45704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27146-2022</t>
        </is>
      </c>
      <c r="B534" s="1" t="n">
        <v>44741</v>
      </c>
      <c r="C534" s="1" t="n">
        <v>45704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27512-2022</t>
        </is>
      </c>
      <c r="B535" s="1" t="n">
        <v>44742</v>
      </c>
      <c r="C535" s="1" t="n">
        <v>45704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27992-2022</t>
        </is>
      </c>
      <c r="B536" s="1" t="n">
        <v>44745</v>
      </c>
      <c r="C536" s="1" t="n">
        <v>45704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27991-2022</t>
        </is>
      </c>
      <c r="B537" s="1" t="n">
        <v>44745</v>
      </c>
      <c r="C537" s="1" t="n">
        <v>45704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28153-2022</t>
        </is>
      </c>
      <c r="B538" s="1" t="n">
        <v>44746</v>
      </c>
      <c r="C538" s="1" t="n">
        <v>45704</v>
      </c>
      <c r="D538" t="inlineStr">
        <is>
          <t>SÖDERMANLANDS LÄN</t>
        </is>
      </c>
      <c r="E538" t="inlineStr">
        <is>
          <t>FLEN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29367-2022</t>
        </is>
      </c>
      <c r="B539" s="1" t="n">
        <v>44752</v>
      </c>
      <c r="C539" s="1" t="n">
        <v>45704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29378-2022</t>
        </is>
      </c>
      <c r="B540" s="1" t="n">
        <v>44752</v>
      </c>
      <c r="C540" s="1" t="n">
        <v>45704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29384-2022</t>
        </is>
      </c>
      <c r="B541" s="1" t="n">
        <v>44752</v>
      </c>
      <c r="C541" s="1" t="n">
        <v>45704</v>
      </c>
      <c r="D541" t="inlineStr">
        <is>
          <t>SÖDERMANLANDS LÄN</t>
        </is>
      </c>
      <c r="E541" t="inlineStr">
        <is>
          <t>FLEN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29380-2022</t>
        </is>
      </c>
      <c r="B542" s="1" t="n">
        <v>44752</v>
      </c>
      <c r="C542" s="1" t="n">
        <v>45704</v>
      </c>
      <c r="D542" t="inlineStr">
        <is>
          <t>SÖDERMANLANDS LÄN</t>
        </is>
      </c>
      <c r="E542" t="inlineStr">
        <is>
          <t>FLEN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29389-2022</t>
        </is>
      </c>
      <c r="B543" s="1" t="n">
        <v>44753</v>
      </c>
      <c r="C543" s="1" t="n">
        <v>45704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30423-2022</t>
        </is>
      </c>
      <c r="B544" s="1" t="n">
        <v>44761</v>
      </c>
      <c r="C544" s="1" t="n">
        <v>45704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31079-2022</t>
        </is>
      </c>
      <c r="B545" s="1" t="n">
        <v>44769</v>
      </c>
      <c r="C545" s="1" t="n">
        <v>45704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31077-2022</t>
        </is>
      </c>
      <c r="B546" s="1" t="n">
        <v>44769</v>
      </c>
      <c r="C546" s="1" t="n">
        <v>45704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31083-2022</t>
        </is>
      </c>
      <c r="B547" s="1" t="n">
        <v>44769</v>
      </c>
      <c r="C547" s="1" t="n">
        <v>45704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31096-2022</t>
        </is>
      </c>
      <c r="B548" s="1" t="n">
        <v>44769</v>
      </c>
      <c r="C548" s="1" t="n">
        <v>45704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31068-2022</t>
        </is>
      </c>
      <c r="B549" s="1" t="n">
        <v>44769</v>
      </c>
      <c r="C549" s="1" t="n">
        <v>45704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31175-2022</t>
        </is>
      </c>
      <c r="B550" s="1" t="n">
        <v>44770</v>
      </c>
      <c r="C550" s="1" t="n">
        <v>45704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31427-2022</t>
        </is>
      </c>
      <c r="B551" s="1" t="n">
        <v>44774</v>
      </c>
      <c r="C551" s="1" t="n">
        <v>45704</v>
      </c>
      <c r="D551" t="inlineStr">
        <is>
          <t>SÖDERMANLANDS LÄN</t>
        </is>
      </c>
      <c r="E551" t="inlineStr">
        <is>
          <t>FLEN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32023-2022</t>
        </is>
      </c>
      <c r="B552" s="1" t="n">
        <v>44778</v>
      </c>
      <c r="C552" s="1" t="n">
        <v>45704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32098-2022</t>
        </is>
      </c>
      <c r="B553" s="1" t="n">
        <v>44778</v>
      </c>
      <c r="C553" s="1" t="n">
        <v>45704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32432-2022</t>
        </is>
      </c>
      <c r="B554" s="1" t="n">
        <v>44782</v>
      </c>
      <c r="C554" s="1" t="n">
        <v>45704</v>
      </c>
      <c r="D554" t="inlineStr">
        <is>
          <t>SÖDERMANLANDS LÄN</t>
        </is>
      </c>
      <c r="E554" t="inlineStr">
        <is>
          <t>FLEN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33101-2022</t>
        </is>
      </c>
      <c r="B555" s="1" t="n">
        <v>44785</v>
      </c>
      <c r="C555" s="1" t="n">
        <v>45704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33024-2022</t>
        </is>
      </c>
      <c r="B556" s="1" t="n">
        <v>44785</v>
      </c>
      <c r="C556" s="1" t="n">
        <v>45704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33107-2022</t>
        </is>
      </c>
      <c r="B557" s="1" t="n">
        <v>44785</v>
      </c>
      <c r="C557" s="1" t="n">
        <v>45704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33103-2022</t>
        </is>
      </c>
      <c r="B558" s="1" t="n">
        <v>44785</v>
      </c>
      <c r="C558" s="1" t="n">
        <v>45704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33110-2022</t>
        </is>
      </c>
      <c r="B559" s="1" t="n">
        <v>44785</v>
      </c>
      <c r="C559" s="1" t="n">
        <v>45704</v>
      </c>
      <c r="D559" t="inlineStr">
        <is>
          <t>SÖDERMANLANDS LÄN</t>
        </is>
      </c>
      <c r="E559" t="inlineStr">
        <is>
          <t>FLEN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34095-2022</t>
        </is>
      </c>
      <c r="B560" s="1" t="n">
        <v>44791</v>
      </c>
      <c r="C560" s="1" t="n">
        <v>45704</v>
      </c>
      <c r="D560" t="inlineStr">
        <is>
          <t>SÖDERMANLANDS LÄN</t>
        </is>
      </c>
      <c r="E560" t="inlineStr">
        <is>
          <t>FLEN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34598-2022</t>
        </is>
      </c>
      <c r="B561" s="1" t="n">
        <v>44795</v>
      </c>
      <c r="C561" s="1" t="n">
        <v>45704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34817-2022</t>
        </is>
      </c>
      <c r="B562" s="1" t="n">
        <v>44796</v>
      </c>
      <c r="C562" s="1" t="n">
        <v>45704</v>
      </c>
      <c r="D562" t="inlineStr">
        <is>
          <t>SÖDERMANLANDS LÄN</t>
        </is>
      </c>
      <c r="E562" t="inlineStr">
        <is>
          <t>FLEN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36202-2022</t>
        </is>
      </c>
      <c r="B563" s="1" t="n">
        <v>44803</v>
      </c>
      <c r="C563" s="1" t="n">
        <v>45704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37257-2022</t>
        </is>
      </c>
      <c r="B564" s="1" t="n">
        <v>44807</v>
      </c>
      <c r="C564" s="1" t="n">
        <v>45704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37256-2022</t>
        </is>
      </c>
      <c r="B565" s="1" t="n">
        <v>44807</v>
      </c>
      <c r="C565" s="1" t="n">
        <v>45704</v>
      </c>
      <c r="D565" t="inlineStr">
        <is>
          <t>SÖDERMANLANDS LÄN</t>
        </is>
      </c>
      <c r="E565" t="inlineStr">
        <is>
          <t>FLEN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38832-2022</t>
        </is>
      </c>
      <c r="B566" s="1" t="n">
        <v>44814</v>
      </c>
      <c r="C566" s="1" t="n">
        <v>45704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39787-2022</t>
        </is>
      </c>
      <c r="B567" s="1" t="n">
        <v>44817</v>
      </c>
      <c r="C567" s="1" t="n">
        <v>45704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39673-2022</t>
        </is>
      </c>
      <c r="B568" s="1" t="n">
        <v>44818</v>
      </c>
      <c r="C568" s="1" t="n">
        <v>45704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39671-2022</t>
        </is>
      </c>
      <c r="B569" s="1" t="n">
        <v>44818</v>
      </c>
      <c r="C569" s="1" t="n">
        <v>45704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40198-2022</t>
        </is>
      </c>
      <c r="B570" s="1" t="n">
        <v>44818</v>
      </c>
      <c r="C570" s="1" t="n">
        <v>45704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39891-2022</t>
        </is>
      </c>
      <c r="B571" s="1" t="n">
        <v>44819</v>
      </c>
      <c r="C571" s="1" t="n">
        <v>45704</v>
      </c>
      <c r="D571" t="inlineStr">
        <is>
          <t>SÖDERMANLANDS LÄN</t>
        </is>
      </c>
      <c r="E571" t="inlineStr">
        <is>
          <t>FLEN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40420-2022</t>
        </is>
      </c>
      <c r="B572" s="1" t="n">
        <v>44823</v>
      </c>
      <c r="C572" s="1" t="n">
        <v>45704</v>
      </c>
      <c r="D572" t="inlineStr">
        <is>
          <t>SÖDERMANLANDS LÄN</t>
        </is>
      </c>
      <c r="E572" t="inlineStr">
        <is>
          <t>FLEN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40680-2022</t>
        </is>
      </c>
      <c r="B573" s="1" t="n">
        <v>44824</v>
      </c>
      <c r="C573" s="1" t="n">
        <v>45704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41435-2022</t>
        </is>
      </c>
      <c r="B574" s="1" t="n">
        <v>44826</v>
      </c>
      <c r="C574" s="1" t="n">
        <v>45704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42177-2022</t>
        </is>
      </c>
      <c r="B575" s="1" t="n">
        <v>44830</v>
      </c>
      <c r="C575" s="1" t="n">
        <v>45704</v>
      </c>
      <c r="D575" t="inlineStr">
        <is>
          <t>SÖDERMANLANDS LÄN</t>
        </is>
      </c>
      <c r="E575" t="inlineStr">
        <is>
          <t>FLEN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43267-2022</t>
        </is>
      </c>
      <c r="B576" s="1" t="n">
        <v>44834</v>
      </c>
      <c r="C576" s="1" t="n">
        <v>45704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43930-2022</t>
        </is>
      </c>
      <c r="B577" s="1" t="n">
        <v>44837</v>
      </c>
      <c r="C577" s="1" t="n">
        <v>45704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44006-2022</t>
        </is>
      </c>
      <c r="B578" s="1" t="n">
        <v>44838</v>
      </c>
      <c r="C578" s="1" t="n">
        <v>45704</v>
      </c>
      <c r="D578" t="inlineStr">
        <is>
          <t>SÖDERMANLANDS LÄN</t>
        </is>
      </c>
      <c r="E578" t="inlineStr">
        <is>
          <t>FLEN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44592-2022</t>
        </is>
      </c>
      <c r="B579" s="1" t="n">
        <v>44838</v>
      </c>
      <c r="C579" s="1" t="n">
        <v>45704</v>
      </c>
      <c r="D579" t="inlineStr">
        <is>
          <t>SÖDERMANLANDS LÄN</t>
        </is>
      </c>
      <c r="E579" t="inlineStr">
        <is>
          <t>FLEN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44552-2022</t>
        </is>
      </c>
      <c r="B580" s="1" t="n">
        <v>44838</v>
      </c>
      <c r="C580" s="1" t="n">
        <v>45704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44172-2022</t>
        </is>
      </c>
      <c r="B581" s="1" t="n">
        <v>44839</v>
      </c>
      <c r="C581" s="1" t="n">
        <v>45704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44161-2022</t>
        </is>
      </c>
      <c r="B582" s="1" t="n">
        <v>44839</v>
      </c>
      <c r="C582" s="1" t="n">
        <v>45704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45594-2022</t>
        </is>
      </c>
      <c r="B583" s="1" t="n">
        <v>44841</v>
      </c>
      <c r="C583" s="1" t="n">
        <v>45704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46414-2022</t>
        </is>
      </c>
      <c r="B584" s="1" t="n">
        <v>44846</v>
      </c>
      <c r="C584" s="1" t="n">
        <v>45704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46401-2022</t>
        </is>
      </c>
      <c r="B585" s="1" t="n">
        <v>44846</v>
      </c>
      <c r="C585" s="1" t="n">
        <v>45704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46567-2022</t>
        </is>
      </c>
      <c r="B586" s="1" t="n">
        <v>44848</v>
      </c>
      <c r="C586" s="1" t="n">
        <v>45704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45704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47182-2022</t>
        </is>
      </c>
      <c r="B588" s="1" t="n">
        <v>44851</v>
      </c>
      <c r="C588" s="1" t="n">
        <v>45704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47055-2022</t>
        </is>
      </c>
      <c r="B589" s="1" t="n">
        <v>44852</v>
      </c>
      <c r="C589" s="1" t="n">
        <v>45704</v>
      </c>
      <c r="D589" t="inlineStr">
        <is>
          <t>SÖDERMANLANDS LÄN</t>
        </is>
      </c>
      <c r="E589" t="inlineStr">
        <is>
          <t>FLEN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47754-2022</t>
        </is>
      </c>
      <c r="B590" s="1" t="n">
        <v>44854</v>
      </c>
      <c r="C590" s="1" t="n">
        <v>45704</v>
      </c>
      <c r="D590" t="inlineStr">
        <is>
          <t>SÖDERMANLANDS LÄN</t>
        </is>
      </c>
      <c r="E590" t="inlineStr">
        <is>
          <t>FLEN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47759-2022</t>
        </is>
      </c>
      <c r="B591" s="1" t="n">
        <v>44854</v>
      </c>
      <c r="C591" s="1" t="n">
        <v>45704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47758-2022</t>
        </is>
      </c>
      <c r="B592" s="1" t="n">
        <v>44854</v>
      </c>
      <c r="C592" s="1" t="n">
        <v>45704</v>
      </c>
      <c r="D592" t="inlineStr">
        <is>
          <t>SÖDERMANLANDS LÄN</t>
        </is>
      </c>
      <c r="E592" t="inlineStr">
        <is>
          <t>FLEN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48774-2022</t>
        </is>
      </c>
      <c r="B593" s="1" t="n">
        <v>44855</v>
      </c>
      <c r="C593" s="1" t="n">
        <v>45704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48749-2022</t>
        </is>
      </c>
      <c r="B594" s="1" t="n">
        <v>44855</v>
      </c>
      <c r="C594" s="1" t="n">
        <v>45704</v>
      </c>
      <c r="D594" t="inlineStr">
        <is>
          <t>SÖDERMANLANDS LÄN</t>
        </is>
      </c>
      <c r="E594" t="inlineStr">
        <is>
          <t>FLEN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48791-2022</t>
        </is>
      </c>
      <c r="B595" s="1" t="n">
        <v>44855</v>
      </c>
      <c r="C595" s="1" t="n">
        <v>45704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48802-2022</t>
        </is>
      </c>
      <c r="B596" s="1" t="n">
        <v>44855</v>
      </c>
      <c r="C596" s="1" t="n">
        <v>45704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48785-2022</t>
        </is>
      </c>
      <c r="B597" s="1" t="n">
        <v>44859</v>
      </c>
      <c r="C597" s="1" t="n">
        <v>45704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48723-2022</t>
        </is>
      </c>
      <c r="B598" s="1" t="n">
        <v>44859</v>
      </c>
      <c r="C598" s="1" t="n">
        <v>45704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48826-2022</t>
        </is>
      </c>
      <c r="B599" s="1" t="n">
        <v>44859</v>
      </c>
      <c r="C599" s="1" t="n">
        <v>45704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49828-2022</t>
        </is>
      </c>
      <c r="B600" s="1" t="n">
        <v>44862</v>
      </c>
      <c r="C600" s="1" t="n">
        <v>45704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50731-2022</t>
        </is>
      </c>
      <c r="B601" s="1" t="n">
        <v>44862</v>
      </c>
      <c r="C601" s="1" t="n">
        <v>45704</v>
      </c>
      <c r="D601" t="inlineStr">
        <is>
          <t>SÖDERMANLANDS LÄN</t>
        </is>
      </c>
      <c r="E601" t="inlineStr">
        <is>
          <t>FLEN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50898-2022</t>
        </is>
      </c>
      <c r="B602" s="1" t="n">
        <v>44864</v>
      </c>
      <c r="C602" s="1" t="n">
        <v>45704</v>
      </c>
      <c r="D602" t="inlineStr">
        <is>
          <t>SÖDERMANLANDS LÄN</t>
        </is>
      </c>
      <c r="E602" t="inlineStr">
        <is>
          <t>FLEN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49939-2022</t>
        </is>
      </c>
      <c r="B603" s="1" t="n">
        <v>44865</v>
      </c>
      <c r="C603" s="1" t="n">
        <v>45704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51096-2022</t>
        </is>
      </c>
      <c r="B604" s="1" t="n">
        <v>44868</v>
      </c>
      <c r="C604" s="1" t="n">
        <v>45704</v>
      </c>
      <c r="D604" t="inlineStr">
        <is>
          <t>SÖDERMANLANDS LÄN</t>
        </is>
      </c>
      <c r="E604" t="inlineStr">
        <is>
          <t>FLEN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51327-2022</t>
        </is>
      </c>
      <c r="B605" s="1" t="n">
        <v>44868</v>
      </c>
      <c r="C605" s="1" t="n">
        <v>45704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51925-2022</t>
        </is>
      </c>
      <c r="B606" s="1" t="n">
        <v>44868</v>
      </c>
      <c r="C606" s="1" t="n">
        <v>45704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52257-2022</t>
        </is>
      </c>
      <c r="B607" s="1" t="n">
        <v>44869</v>
      </c>
      <c r="C607" s="1" t="n">
        <v>45704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51872-2022</t>
        </is>
      </c>
      <c r="B608" s="1" t="n">
        <v>44872</v>
      </c>
      <c r="C608" s="1" t="n">
        <v>45704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51881-2022</t>
        </is>
      </c>
      <c r="B609" s="1" t="n">
        <v>44872</v>
      </c>
      <c r="C609" s="1" t="n">
        <v>45704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52050-2022</t>
        </is>
      </c>
      <c r="B610" s="1" t="n">
        <v>44873</v>
      </c>
      <c r="C610" s="1" t="n">
        <v>45704</v>
      </c>
      <c r="D610" t="inlineStr">
        <is>
          <t>SÖDERMANLANDS LÄN</t>
        </is>
      </c>
      <c r="E610" t="inlineStr">
        <is>
          <t>FLEN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53371-2022</t>
        </is>
      </c>
      <c r="B611" s="1" t="n">
        <v>44879</v>
      </c>
      <c r="C611" s="1" t="n">
        <v>45704</v>
      </c>
      <c r="D611" t="inlineStr">
        <is>
          <t>SÖDERMANLANDS LÄN</t>
        </is>
      </c>
      <c r="E611" t="inlineStr">
        <is>
          <t>FLEN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54737-2022</t>
        </is>
      </c>
      <c r="B612" s="1" t="n">
        <v>44881</v>
      </c>
      <c r="C612" s="1" t="n">
        <v>45704</v>
      </c>
      <c r="D612" t="inlineStr">
        <is>
          <t>SÖDERMANLANDS LÄN</t>
        </is>
      </c>
      <c r="E612" t="inlineStr">
        <is>
          <t>FLEN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54736-2022</t>
        </is>
      </c>
      <c r="B613" s="1" t="n">
        <v>44883</v>
      </c>
      <c r="C613" s="1" t="n">
        <v>45704</v>
      </c>
      <c r="D613" t="inlineStr">
        <is>
          <t>SÖDERMANLANDS LÄN</t>
        </is>
      </c>
      <c r="E613" t="inlineStr">
        <is>
          <t>FLEN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54951-2022</t>
        </is>
      </c>
      <c r="B614" s="1" t="n">
        <v>44886</v>
      </c>
      <c r="C614" s="1" t="n">
        <v>45704</v>
      </c>
      <c r="D614" t="inlineStr">
        <is>
          <t>SÖDERMANLANDS LÄN</t>
        </is>
      </c>
      <c r="E614" t="inlineStr">
        <is>
          <t>FLEN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55081-2022</t>
        </is>
      </c>
      <c r="B615" s="1" t="n">
        <v>44886</v>
      </c>
      <c r="C615" s="1" t="n">
        <v>45704</v>
      </c>
      <c r="D615" t="inlineStr">
        <is>
          <t>SÖDERMANLANDS LÄN</t>
        </is>
      </c>
      <c r="E615" t="inlineStr">
        <is>
          <t>FLEN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55174-2022</t>
        </is>
      </c>
      <c r="B616" s="1" t="n">
        <v>44886</v>
      </c>
      <c r="C616" s="1" t="n">
        <v>45704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55171-2022</t>
        </is>
      </c>
      <c r="B617" s="1" t="n">
        <v>44886</v>
      </c>
      <c r="C617" s="1" t="n">
        <v>45704</v>
      </c>
      <c r="D617" t="inlineStr">
        <is>
          <t>SÖDERMANLANDS LÄN</t>
        </is>
      </c>
      <c r="E617" t="inlineStr">
        <is>
          <t>FLEN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55177-2022</t>
        </is>
      </c>
      <c r="B618" s="1" t="n">
        <v>44886</v>
      </c>
      <c r="C618" s="1" t="n">
        <v>45704</v>
      </c>
      <c r="D618" t="inlineStr">
        <is>
          <t>SÖDERMANLANDS LÄN</t>
        </is>
      </c>
      <c r="E618" t="inlineStr">
        <is>
          <t>FLEN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55445-2022</t>
        </is>
      </c>
      <c r="B619" s="1" t="n">
        <v>44887</v>
      </c>
      <c r="C619" s="1" t="n">
        <v>45704</v>
      </c>
      <c r="D619" t="inlineStr">
        <is>
          <t>SÖDERMANLANDS LÄN</t>
        </is>
      </c>
      <c r="E619" t="inlineStr">
        <is>
          <t>FLEN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56393-2022</t>
        </is>
      </c>
      <c r="B620" s="1" t="n">
        <v>44887</v>
      </c>
      <c r="C620" s="1" t="n">
        <v>45704</v>
      </c>
      <c r="D620" t="inlineStr">
        <is>
          <t>SÖDERMANLANDS LÄN</t>
        </is>
      </c>
      <c r="E620" t="inlineStr">
        <is>
          <t>FLEN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56497-2022</t>
        </is>
      </c>
      <c r="B621" s="1" t="n">
        <v>44887</v>
      </c>
      <c r="C621" s="1" t="n">
        <v>45704</v>
      </c>
      <c r="D621" t="inlineStr">
        <is>
          <t>SÖDERMANLANDS LÄN</t>
        </is>
      </c>
      <c r="E621" t="inlineStr">
        <is>
          <t>FLEN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56577-2022</t>
        </is>
      </c>
      <c r="B622" s="1" t="n">
        <v>44887</v>
      </c>
      <c r="C622" s="1" t="n">
        <v>45704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57032-2022</t>
        </is>
      </c>
      <c r="B623" s="1" t="n">
        <v>44895</v>
      </c>
      <c r="C623" s="1" t="n">
        <v>45704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57031-2022</t>
        </is>
      </c>
      <c r="B624" s="1" t="n">
        <v>44895</v>
      </c>
      <c r="C624" s="1" t="n">
        <v>45704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58692-2022</t>
        </is>
      </c>
      <c r="B625" s="1" t="n">
        <v>44895</v>
      </c>
      <c r="C625" s="1" t="n">
        <v>45704</v>
      </c>
      <c r="D625" t="inlineStr">
        <is>
          <t>SÖDERMANLANDS LÄN</t>
        </is>
      </c>
      <c r="E625" t="inlineStr">
        <is>
          <t>FLEN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58838-2022</t>
        </is>
      </c>
      <c r="B626" s="1" t="n">
        <v>44895</v>
      </c>
      <c r="C626" s="1" t="n">
        <v>45704</v>
      </c>
      <c r="D626" t="inlineStr">
        <is>
          <t>SÖDERMANLANDS LÄN</t>
        </is>
      </c>
      <c r="E626" t="inlineStr">
        <is>
          <t>FLEN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57353-2022</t>
        </is>
      </c>
      <c r="B627" s="1" t="n">
        <v>44896</v>
      </c>
      <c r="C627" s="1" t="n">
        <v>45704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57356-2022</t>
        </is>
      </c>
      <c r="B628" s="1" t="n">
        <v>44896</v>
      </c>
      <c r="C628" s="1" t="n">
        <v>45704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59023-2022</t>
        </is>
      </c>
      <c r="B629" s="1" t="n">
        <v>44897</v>
      </c>
      <c r="C629" s="1" t="n">
        <v>45704</v>
      </c>
      <c r="D629" t="inlineStr">
        <is>
          <t>SÖDERMANLANDS LÄN</t>
        </is>
      </c>
      <c r="E629" t="inlineStr">
        <is>
          <t>FLEN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59258-2022</t>
        </is>
      </c>
      <c r="B630" s="1" t="n">
        <v>44897</v>
      </c>
      <c r="C630" s="1" t="n">
        <v>45704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59247-2022</t>
        </is>
      </c>
      <c r="B631" s="1" t="n">
        <v>44897</v>
      </c>
      <c r="C631" s="1" t="n">
        <v>45704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57863-2022</t>
        </is>
      </c>
      <c r="B632" s="1" t="n">
        <v>44899</v>
      </c>
      <c r="C632" s="1" t="n">
        <v>45704</v>
      </c>
      <c r="D632" t="inlineStr">
        <is>
          <t>SÖDERMANLANDS LÄN</t>
        </is>
      </c>
      <c r="E632" t="inlineStr">
        <is>
          <t>FLEN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57862-2022</t>
        </is>
      </c>
      <c r="B633" s="1" t="n">
        <v>44899</v>
      </c>
      <c r="C633" s="1" t="n">
        <v>45704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59817-2022</t>
        </is>
      </c>
      <c r="B634" s="1" t="n">
        <v>44900</v>
      </c>
      <c r="C634" s="1" t="n">
        <v>45704</v>
      </c>
      <c r="D634" t="inlineStr">
        <is>
          <t>SÖDERMANLANDS LÄN</t>
        </is>
      </c>
      <c r="E634" t="inlineStr">
        <is>
          <t>FLEN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59819-2022</t>
        </is>
      </c>
      <c r="B635" s="1" t="n">
        <v>44900</v>
      </c>
      <c r="C635" s="1" t="n">
        <v>45704</v>
      </c>
      <c r="D635" t="inlineStr">
        <is>
          <t>SÖDERMANLANDS LÄN</t>
        </is>
      </c>
      <c r="E635" t="inlineStr">
        <is>
          <t>FLEN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58507-2022</t>
        </is>
      </c>
      <c r="B636" s="1" t="n">
        <v>44902</v>
      </c>
      <c r="C636" s="1" t="n">
        <v>45704</v>
      </c>
      <c r="D636" t="inlineStr">
        <is>
          <t>SÖDERMANLANDS LÄN</t>
        </is>
      </c>
      <c r="E636" t="inlineStr">
        <is>
          <t>FLEN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60574-2022</t>
        </is>
      </c>
      <c r="B637" s="1" t="n">
        <v>44904</v>
      </c>
      <c r="C637" s="1" t="n">
        <v>45704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59439-2022</t>
        </is>
      </c>
      <c r="B638" s="1" t="n">
        <v>44907</v>
      </c>
      <c r="C638" s="1" t="n">
        <v>45704</v>
      </c>
      <c r="D638" t="inlineStr">
        <is>
          <t>SÖDERMANLANDS LÄN</t>
        </is>
      </c>
      <c r="E638" t="inlineStr">
        <is>
          <t>FLEN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59599-2022</t>
        </is>
      </c>
      <c r="B639" s="1" t="n">
        <v>44907</v>
      </c>
      <c r="C639" s="1" t="n">
        <v>45704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59607-2022</t>
        </is>
      </c>
      <c r="B640" s="1" t="n">
        <v>44907</v>
      </c>
      <c r="C640" s="1" t="n">
        <v>45704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59776-2022</t>
        </is>
      </c>
      <c r="B641" s="1" t="n">
        <v>44908</v>
      </c>
      <c r="C641" s="1" t="n">
        <v>45704</v>
      </c>
      <c r="D641" t="inlineStr">
        <is>
          <t>SÖDERMANLANDS LÄN</t>
        </is>
      </c>
      <c r="E641" t="inlineStr">
        <is>
          <t>FLEN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60034-2022</t>
        </is>
      </c>
      <c r="B642" s="1" t="n">
        <v>44909</v>
      </c>
      <c r="C642" s="1" t="n">
        <v>45704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60058-2022</t>
        </is>
      </c>
      <c r="B643" s="1" t="n">
        <v>44909</v>
      </c>
      <c r="C643" s="1" t="n">
        <v>45704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60048-2022</t>
        </is>
      </c>
      <c r="B644" s="1" t="n">
        <v>44909</v>
      </c>
      <c r="C644" s="1" t="n">
        <v>45704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60150-2022</t>
        </is>
      </c>
      <c r="B645" s="1" t="n">
        <v>44909</v>
      </c>
      <c r="C645" s="1" t="n">
        <v>45704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60609-2022</t>
        </is>
      </c>
      <c r="B646" s="1" t="n">
        <v>44911</v>
      </c>
      <c r="C646" s="1" t="n">
        <v>45704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61633-2022</t>
        </is>
      </c>
      <c r="B647" s="1" t="n">
        <v>44911</v>
      </c>
      <c r="C647" s="1" t="n">
        <v>45704</v>
      </c>
      <c r="D647" t="inlineStr">
        <is>
          <t>SÖDERMANLANDS LÄN</t>
        </is>
      </c>
      <c r="E647" t="inlineStr">
        <is>
          <t>FLEN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60937-2022</t>
        </is>
      </c>
      <c r="B648" s="1" t="n">
        <v>44914</v>
      </c>
      <c r="C648" s="1" t="n">
        <v>45704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61869-2022</t>
        </is>
      </c>
      <c r="B649" s="1" t="n">
        <v>44917</v>
      </c>
      <c r="C649" s="1" t="n">
        <v>45704</v>
      </c>
      <c r="D649" t="inlineStr">
        <is>
          <t>SÖDERMANLANDS LÄN</t>
        </is>
      </c>
      <c r="E649" t="inlineStr">
        <is>
          <t>FLEN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780-2023</t>
        </is>
      </c>
      <c r="B650" s="1" t="n">
        <v>44931</v>
      </c>
      <c r="C650" s="1" t="n">
        <v>45704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2391-2023</t>
        </is>
      </c>
      <c r="B651" s="1" t="n">
        <v>44942</v>
      </c>
      <c r="C651" s="1" t="n">
        <v>45704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2757-2023</t>
        </is>
      </c>
      <c r="B652" s="1" t="n">
        <v>44943</v>
      </c>
      <c r="C652" s="1" t="n">
        <v>45704</v>
      </c>
      <c r="D652" t="inlineStr">
        <is>
          <t>SÖDERMANLANDS LÄN</t>
        </is>
      </c>
      <c r="E652" t="inlineStr">
        <is>
          <t>FLEN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2759-2023</t>
        </is>
      </c>
      <c r="B653" s="1" t="n">
        <v>44943</v>
      </c>
      <c r="C653" s="1" t="n">
        <v>45704</v>
      </c>
      <c r="D653" t="inlineStr">
        <is>
          <t>SÖDERMANLANDS LÄN</t>
        </is>
      </c>
      <c r="E653" t="inlineStr">
        <is>
          <t>FLEN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3435-2023</t>
        </is>
      </c>
      <c r="B654" s="1" t="n">
        <v>44949</v>
      </c>
      <c r="C654" s="1" t="n">
        <v>45704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4259-2023</t>
        </is>
      </c>
      <c r="B655" s="1" t="n">
        <v>44953</v>
      </c>
      <c r="C655" s="1" t="n">
        <v>45704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4736-2023</t>
        </is>
      </c>
      <c r="B656" s="1" t="n">
        <v>44957</v>
      </c>
      <c r="C656" s="1" t="n">
        <v>45704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4742-2023</t>
        </is>
      </c>
      <c r="B657" s="1" t="n">
        <v>44957</v>
      </c>
      <c r="C657" s="1" t="n">
        <v>45704</v>
      </c>
      <c r="D657" t="inlineStr">
        <is>
          <t>SÖDERMANLANDS LÄN</t>
        </is>
      </c>
      <c r="E657" t="inlineStr">
        <is>
          <t>FLEN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4749-2023</t>
        </is>
      </c>
      <c r="B658" s="1" t="n">
        <v>44957</v>
      </c>
      <c r="C658" s="1" t="n">
        <v>45704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4923-2023</t>
        </is>
      </c>
      <c r="B659" s="1" t="n">
        <v>44958</v>
      </c>
      <c r="C659" s="1" t="n">
        <v>45704</v>
      </c>
      <c r="D659" t="inlineStr">
        <is>
          <t>SÖDERMANLANDS LÄN</t>
        </is>
      </c>
      <c r="E659" t="inlineStr">
        <is>
          <t>FLEN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4899-2023</t>
        </is>
      </c>
      <c r="B660" s="1" t="n">
        <v>44958</v>
      </c>
      <c r="C660" s="1" t="n">
        <v>45704</v>
      </c>
      <c r="D660" t="inlineStr">
        <is>
          <t>SÖDERMANLANDS LÄN</t>
        </is>
      </c>
      <c r="E660" t="inlineStr">
        <is>
          <t>FLEN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5109-2023</t>
        </is>
      </c>
      <c r="B661" s="1" t="n">
        <v>44958</v>
      </c>
      <c r="C661" s="1" t="n">
        <v>45704</v>
      </c>
      <c r="D661" t="inlineStr">
        <is>
          <t>SÖDERMANLANDS LÄN</t>
        </is>
      </c>
      <c r="E661" t="inlineStr">
        <is>
          <t>FLEN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5582-2023</t>
        </is>
      </c>
      <c r="B662" s="1" t="n">
        <v>44960</v>
      </c>
      <c r="C662" s="1" t="n">
        <v>45704</v>
      </c>
      <c r="D662" t="inlineStr">
        <is>
          <t>SÖDERMANLANDS LÄN</t>
        </is>
      </c>
      <c r="E662" t="inlineStr">
        <is>
          <t>FLEN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7399-2023</t>
        </is>
      </c>
      <c r="B663" s="1" t="n">
        <v>44966</v>
      </c>
      <c r="C663" s="1" t="n">
        <v>45704</v>
      </c>
      <c r="D663" t="inlineStr">
        <is>
          <t>SÖDERMANLANDS LÄN</t>
        </is>
      </c>
      <c r="E663" t="inlineStr">
        <is>
          <t>FLEN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7163-2023</t>
        </is>
      </c>
      <c r="B664" s="1" t="n">
        <v>44970</v>
      </c>
      <c r="C664" s="1" t="n">
        <v>45704</v>
      </c>
      <c r="D664" t="inlineStr">
        <is>
          <t>SÖDERMANLANDS LÄN</t>
        </is>
      </c>
      <c r="E664" t="inlineStr">
        <is>
          <t>FLEN</t>
        </is>
      </c>
      <c r="F664" t="inlineStr">
        <is>
          <t>Kommuner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7194-2023</t>
        </is>
      </c>
      <c r="B665" s="1" t="n">
        <v>44970</v>
      </c>
      <c r="C665" s="1" t="n">
        <v>45704</v>
      </c>
      <c r="D665" t="inlineStr">
        <is>
          <t>SÖDERMANLANDS LÄN</t>
        </is>
      </c>
      <c r="E665" t="inlineStr">
        <is>
          <t>FLEN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7693-2023</t>
        </is>
      </c>
      <c r="B666" s="1" t="n">
        <v>44972</v>
      </c>
      <c r="C666" s="1" t="n">
        <v>45704</v>
      </c>
      <c r="D666" t="inlineStr">
        <is>
          <t>SÖDERMANLANDS LÄN</t>
        </is>
      </c>
      <c r="E666" t="inlineStr">
        <is>
          <t>FLEN</t>
        </is>
      </c>
      <c r="F666" t="inlineStr">
        <is>
          <t>Kommuner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8075-2023</t>
        </is>
      </c>
      <c r="B667" s="1" t="n">
        <v>44974</v>
      </c>
      <c r="C667" s="1" t="n">
        <v>45704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8042-2023</t>
        </is>
      </c>
      <c r="B668" s="1" t="n">
        <v>44974</v>
      </c>
      <c r="C668" s="1" t="n">
        <v>45704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8607-2023</t>
        </is>
      </c>
      <c r="B669" s="1" t="n">
        <v>44977</v>
      </c>
      <c r="C669" s="1" t="n">
        <v>45704</v>
      </c>
      <c r="D669" t="inlineStr">
        <is>
          <t>SÖDERMANLANDS LÄN</t>
        </is>
      </c>
      <c r="E669" t="inlineStr">
        <is>
          <t>FLEN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8588-2023</t>
        </is>
      </c>
      <c r="B670" s="1" t="n">
        <v>44977</v>
      </c>
      <c r="C670" s="1" t="n">
        <v>45704</v>
      </c>
      <c r="D670" t="inlineStr">
        <is>
          <t>SÖDERMANLANDS LÄN</t>
        </is>
      </c>
      <c r="E670" t="inlineStr">
        <is>
          <t>FLEN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8894-2023</t>
        </is>
      </c>
      <c r="B671" s="1" t="n">
        <v>44979</v>
      </c>
      <c r="C671" s="1" t="n">
        <v>45704</v>
      </c>
      <c r="D671" t="inlineStr">
        <is>
          <t>SÖDERMANLANDS LÄN</t>
        </is>
      </c>
      <c r="E671" t="inlineStr">
        <is>
          <t>FLEN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8891-2023</t>
        </is>
      </c>
      <c r="B672" s="1" t="n">
        <v>44979</v>
      </c>
      <c r="C672" s="1" t="n">
        <v>45704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8883-2023</t>
        </is>
      </c>
      <c r="B673" s="1" t="n">
        <v>44979</v>
      </c>
      <c r="C673" s="1" t="n">
        <v>45704</v>
      </c>
      <c r="D673" t="inlineStr">
        <is>
          <t>SÖDERMANLANDS LÄN</t>
        </is>
      </c>
      <c r="E673" t="inlineStr">
        <is>
          <t>FLEN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9889-2023</t>
        </is>
      </c>
      <c r="B674" s="1" t="n">
        <v>44979</v>
      </c>
      <c r="C674" s="1" t="n">
        <v>45704</v>
      </c>
      <c r="D674" t="inlineStr">
        <is>
          <t>SÖDERMANLANDS LÄN</t>
        </is>
      </c>
      <c r="E674" t="inlineStr">
        <is>
          <t>FLEN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9894-2023</t>
        </is>
      </c>
      <c r="B675" s="1" t="n">
        <v>44979</v>
      </c>
      <c r="C675" s="1" t="n">
        <v>45704</v>
      </c>
      <c r="D675" t="inlineStr">
        <is>
          <t>SÖDERMANLANDS LÄN</t>
        </is>
      </c>
      <c r="E675" t="inlineStr">
        <is>
          <t>FLEN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9257-2023</t>
        </is>
      </c>
      <c r="B676" s="1" t="n">
        <v>44980</v>
      </c>
      <c r="C676" s="1" t="n">
        <v>45704</v>
      </c>
      <c r="D676" t="inlineStr">
        <is>
          <t>SÖDERMANLANDS LÄN</t>
        </is>
      </c>
      <c r="E676" t="inlineStr">
        <is>
          <t>FLEN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9882-2023</t>
        </is>
      </c>
      <c r="B677" s="1" t="n">
        <v>44985</v>
      </c>
      <c r="C677" s="1" t="n">
        <v>45704</v>
      </c>
      <c r="D677" t="inlineStr">
        <is>
          <t>SÖDERMANLANDS LÄN</t>
        </is>
      </c>
      <c r="E677" t="inlineStr">
        <is>
          <t>FLEN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9941-2023</t>
        </is>
      </c>
      <c r="B678" s="1" t="n">
        <v>44985</v>
      </c>
      <c r="C678" s="1" t="n">
        <v>45704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10938-2023</t>
        </is>
      </c>
      <c r="B679" s="1" t="n">
        <v>44985</v>
      </c>
      <c r="C679" s="1" t="n">
        <v>45704</v>
      </c>
      <c r="D679" t="inlineStr">
        <is>
          <t>SÖDERMANLANDS LÄN</t>
        </is>
      </c>
      <c r="E679" t="inlineStr">
        <is>
          <t>FLEN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10110-2023</t>
        </is>
      </c>
      <c r="B680" s="1" t="n">
        <v>44986</v>
      </c>
      <c r="C680" s="1" t="n">
        <v>45704</v>
      </c>
      <c r="D680" t="inlineStr">
        <is>
          <t>SÖDERMANLANDS LÄN</t>
        </is>
      </c>
      <c r="E680" t="inlineStr">
        <is>
          <t>FLEN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10565-2023</t>
        </is>
      </c>
      <c r="B681" s="1" t="n">
        <v>44988</v>
      </c>
      <c r="C681" s="1" t="n">
        <v>45704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10886-2023</t>
        </is>
      </c>
      <c r="B682" s="1" t="n">
        <v>44991</v>
      </c>
      <c r="C682" s="1" t="n">
        <v>45704</v>
      </c>
      <c r="D682" t="inlineStr">
        <is>
          <t>SÖDERMANLANDS LÄN</t>
        </is>
      </c>
      <c r="E682" t="inlineStr">
        <is>
          <t>FLEN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11506-2023</t>
        </is>
      </c>
      <c r="B683" s="1" t="n">
        <v>44991</v>
      </c>
      <c r="C683" s="1" t="n">
        <v>45704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12419-2023</t>
        </is>
      </c>
      <c r="B684" s="1" t="n">
        <v>44998</v>
      </c>
      <c r="C684" s="1" t="n">
        <v>45704</v>
      </c>
      <c r="D684" t="inlineStr">
        <is>
          <t>SÖDERMANLANDS LÄN</t>
        </is>
      </c>
      <c r="E684" t="inlineStr">
        <is>
          <t>FLEN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45704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45704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45704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45704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45704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45704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45704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45704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45704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45704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45704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45704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45704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45704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45704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45704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45704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45704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45704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45704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45704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45704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45704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45704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45704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45704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45704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45704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45704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45704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45704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45704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45704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45704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45704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45704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45704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45704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45704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45704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45704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45704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45704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45704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45704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45704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45704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45704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45704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45704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45704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45704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45704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45704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45704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45704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45704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45704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45704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45704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45704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45704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45704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45704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45704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45704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45704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45704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45704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45704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45704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45704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45704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45704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45704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45704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45704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45704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45704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45704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45704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45704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45704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45704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45704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45704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45704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45704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45704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45704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45704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45704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45704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45704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45704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45704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45704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45704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45704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45704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45704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45704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45704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45704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45704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45704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45704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45704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45704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45704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45704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45704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45704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45704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45704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45704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45704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45704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45704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45704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45704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45704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45704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45704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45704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45704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45704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45704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45704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45704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45704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45704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45704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45704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45704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45704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45704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45704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45704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45704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45704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45704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45704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45704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45704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45704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45704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45704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45704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45704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45704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45704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45704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45704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45704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45704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45704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45704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45704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45704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45704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45704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45704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45704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45704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45704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45704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45704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45704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45704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45704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45704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45704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45704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45704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45704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45704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45704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45704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45704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45704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45704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45704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45704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45704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45704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45704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45704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45704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45704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45704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45704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45704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45704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45704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45704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45704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45704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45704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45704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45704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45704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45704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45704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45704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45704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45704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45704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45704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45704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45704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45704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45704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45704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45704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45704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45704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45704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45704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45704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45704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45704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45704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45704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45704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45704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45704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45704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45704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45704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45704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45704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45704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45704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45704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45704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45704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45704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45704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45704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45704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45704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45704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45704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45704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45704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45704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45704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45704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45704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45704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45704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45704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45704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45704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45704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45704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45704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45704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45704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45704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45704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45704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45704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45704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45704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45704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45704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45704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45704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45704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45704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45704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45704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45704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45704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45704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45704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45704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45704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45704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45704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45704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45704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45704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45704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45704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45704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45704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45704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45704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45704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45704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45704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45704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45704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45704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45704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45704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45704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45704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45704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45704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45704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45704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45704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45704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45704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45704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45704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45704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45704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45704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45704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45704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45704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45704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45704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45704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45704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45704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45704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45704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45704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45704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45704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45704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45704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45704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45704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45704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45704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45704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45704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45704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45704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45704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45704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45704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45704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45704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45704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45704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45704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45704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45704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45704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45704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45704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45704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45704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45704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45704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45704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45704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45704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45704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45704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45704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45704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45704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45704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45704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45704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45704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45704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45704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45704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45704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45704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45704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45704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45704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45704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45704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45704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45704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45704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45704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45704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45704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45704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45704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45704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45704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45704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45704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45704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45704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45704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45704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45704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45704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45704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45704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45704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45704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45704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45704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45704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45704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45704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45704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45704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45704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45704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45704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45704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45704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45704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45704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45704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45704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45704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45704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45704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1210-2025</t>
        </is>
      </c>
      <c r="B1101" s="1" t="n">
        <v>45667</v>
      </c>
      <c r="C1101" s="1" t="n">
        <v>45704</v>
      </c>
      <c r="D1101" t="inlineStr">
        <is>
          <t>SÖDERMANLANDS LÄN</t>
        </is>
      </c>
      <c r="E1101" t="inlineStr">
        <is>
          <t>FLEN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1620-2025</t>
        </is>
      </c>
      <c r="B1102" s="1" t="n">
        <v>45670</v>
      </c>
      <c r="C1102" s="1" t="n">
        <v>45704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1617-2025</t>
        </is>
      </c>
      <c r="B1103" s="1" t="n">
        <v>45670</v>
      </c>
      <c r="C1103" s="1" t="n">
        <v>45704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1899-2025</t>
        </is>
      </c>
      <c r="B1104" s="1" t="n">
        <v>45671</v>
      </c>
      <c r="C1104" s="1" t="n">
        <v>45704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1907-2025</t>
        </is>
      </c>
      <c r="B1105" s="1" t="n">
        <v>45671</v>
      </c>
      <c r="C1105" s="1" t="n">
        <v>45704</v>
      </c>
      <c r="D1105" t="inlineStr">
        <is>
          <t>SÖDERMANLANDS LÄN</t>
        </is>
      </c>
      <c r="E1105" t="inlineStr">
        <is>
          <t>FLEN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1861-2025</t>
        </is>
      </c>
      <c r="B1106" s="1" t="n">
        <v>45671</v>
      </c>
      <c r="C1106" s="1" t="n">
        <v>45704</v>
      </c>
      <c r="D1106" t="inlineStr">
        <is>
          <t>SÖDERMANLANDS LÄN</t>
        </is>
      </c>
      <c r="E1106" t="inlineStr">
        <is>
          <t>FLEN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1889-2025</t>
        </is>
      </c>
      <c r="B1107" s="1" t="n">
        <v>45671</v>
      </c>
      <c r="C1107" s="1" t="n">
        <v>45704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1868-2025</t>
        </is>
      </c>
      <c r="B1108" s="1" t="n">
        <v>45671</v>
      </c>
      <c r="C1108" s="1" t="n">
        <v>45704</v>
      </c>
      <c r="D1108" t="inlineStr">
        <is>
          <t>SÖDERMANLANDS LÄN</t>
        </is>
      </c>
      <c r="E1108" t="inlineStr">
        <is>
          <t>FLEN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1892-2025</t>
        </is>
      </c>
      <c r="B1109" s="1" t="n">
        <v>45671</v>
      </c>
      <c r="C1109" s="1" t="n">
        <v>45704</v>
      </c>
      <c r="D1109" t="inlineStr">
        <is>
          <t>SÖDERMANLANDS LÄN</t>
        </is>
      </c>
      <c r="E1109" t="inlineStr">
        <is>
          <t>FLEN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2388-2025</t>
        </is>
      </c>
      <c r="B1110" s="1" t="n">
        <v>45672</v>
      </c>
      <c r="C1110" s="1" t="n">
        <v>45704</v>
      </c>
      <c r="D1110" t="inlineStr">
        <is>
          <t>SÖDERMANLANDS LÄN</t>
        </is>
      </c>
      <c r="E1110" t="inlineStr">
        <is>
          <t>FLEN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2091-2025</t>
        </is>
      </c>
      <c r="B1111" s="1" t="n">
        <v>45672</v>
      </c>
      <c r="C1111" s="1" t="n">
        <v>45704</v>
      </c>
      <c r="D1111" t="inlineStr">
        <is>
          <t>SÖDERMANLANDS LÄN</t>
        </is>
      </c>
      <c r="E1111" t="inlineStr">
        <is>
          <t>FLEN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3159-2025</t>
        </is>
      </c>
      <c r="B1112" s="1" t="n">
        <v>45679</v>
      </c>
      <c r="C1112" s="1" t="n">
        <v>45704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3161-2025</t>
        </is>
      </c>
      <c r="B1113" s="1" t="n">
        <v>45679</v>
      </c>
      <c r="C1113" s="1" t="n">
        <v>45704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45704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45704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5230-2025</t>
        </is>
      </c>
      <c r="B1116" s="1" t="n">
        <v>45691</v>
      </c>
      <c r="C1116" s="1" t="n">
        <v>45704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6189-2025</t>
        </is>
      </c>
      <c r="B1117" s="1" t="n">
        <v>45695</v>
      </c>
      <c r="C1117" s="1" t="n">
        <v>45704</v>
      </c>
      <c r="D1117" t="inlineStr">
        <is>
          <t>SÖDERMANLANDS LÄN</t>
        </is>
      </c>
      <c r="E1117" t="inlineStr">
        <is>
          <t>FLEN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6668-2025</t>
        </is>
      </c>
      <c r="B1118" s="1" t="n">
        <v>45700</v>
      </c>
      <c r="C1118" s="1" t="n">
        <v>45704</v>
      </c>
      <c r="D1118" t="inlineStr">
        <is>
          <t>SÖDERMANLANDS LÄN</t>
        </is>
      </c>
      <c r="E1118" t="inlineStr">
        <is>
          <t>FLEN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6770-2025</t>
        </is>
      </c>
      <c r="B1119" s="1" t="n">
        <v>45700</v>
      </c>
      <c r="C1119" s="1" t="n">
        <v>45704</v>
      </c>
      <c r="D1119" t="inlineStr">
        <is>
          <t>SÖDERMANLANDS LÄN</t>
        </is>
      </c>
      <c r="E1119" t="inlineStr">
        <is>
          <t>FLEN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7313-2025</t>
        </is>
      </c>
      <c r="B1120" s="1" t="n">
        <v>45702</v>
      </c>
      <c r="C1120" s="1" t="n">
        <v>45704</v>
      </c>
      <c r="D1120" t="inlineStr">
        <is>
          <t>SÖDERMANLANDS LÄN</t>
        </is>
      </c>
      <c r="E1120" t="inlineStr">
        <is>
          <t>FLEN</t>
        </is>
      </c>
      <c r="G1120" t="n">
        <v>7.4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7312-2025</t>
        </is>
      </c>
      <c r="B1121" s="1" t="n">
        <v>45702</v>
      </c>
      <c r="C1121" s="1" t="n">
        <v>45704</v>
      </c>
      <c r="D1121" t="inlineStr">
        <is>
          <t>SÖDERMANLANDS LÄN</t>
        </is>
      </c>
      <c r="E1121" t="inlineStr">
        <is>
          <t>FLEN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2025-02-16T15:52:52Z</dcterms:created>
  <dcterms:modified xmlns:dcterms="http://purl.org/dc/terms/" xmlns:xsi="http://www.w3.org/2001/XMLSchema-instance" xsi:type="dcterms:W3CDTF">2025-02-16T15:52:53Z</dcterms:modified>
</cp:coreProperties>
</file>