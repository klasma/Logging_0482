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46282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46282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46282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46282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46282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46282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46282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46282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46282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46282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46282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46282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46282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46282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46282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46282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46282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46282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46282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46282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46282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46282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46282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46282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46282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Svedjenäva
Svinrot
Mattlummer
Fläcknycklar</t>
        </is>
      </c>
      <c r="W39">
        <f>HYPERLINK("https://klasma.github.io/Logging_0482/artfynd/A 49808-2023 artfynd.xlsx", "A 49808-2023")</f>
        <v/>
      </c>
      <c r="X39">
        <f>HYPERLINK("https://klasma.github.io/Logging_0482/kartor/A 49808-2023 karta.png", "A 49808-2023")</f>
        <v/>
      </c>
      <c r="Y39">
        <f>HYPERLINK("https://klasma.github.io/Logging_0482/kartor_geotiff/A 49808-2023 georefererad karta.tif", "A 49808-2023")</f>
        <v/>
      </c>
      <c r="AA39">
        <f>HYPERLINK("https://klasma.github.io/Logging_0482/klagomål/A 49808-2023 FSC-klagomål.docx", "A 49808-2023")</f>
        <v/>
      </c>
      <c r="AB39">
        <f>HYPERLINK("https://klasma.github.io/Logging_0482/klagomålsmail/A 49808-2023 FSC-klagomål mail.docx", "A 49808-2023")</f>
        <v/>
      </c>
      <c r="AC39">
        <f>HYPERLINK("https://klasma.github.io/Logging_0482/tillsyn/A 49808-2023 tillsynsbegäran.docx", "A 49808-2023")</f>
        <v/>
      </c>
      <c r="AD39">
        <f>HYPERLINK("https://klasma.github.io/Logging_0482/tillsynsmail/A 49808-2023 tillsynsbegäran mail.docx", "A 49808-2023")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46282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33225-2024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45518</v>
      </c>
      <c r="E41" s="1" t="n">
        <v>46282</v>
      </c>
      <c r="F41" t="inlineStr">
        <is>
          <t>SÖDERMANLANDS LÄN</t>
        </is>
      </c>
      <c r="G41" t="inlineStr">
        <is>
          <t>FLEN</t>
        </is>
      </c>
      <c r="I41" t="n">
        <v>0.1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Skogsklocka
Svinrot
Vippärt
Grönvit nattviol</t>
        </is>
      </c>
      <c r="W41">
        <f>HYPERLINK("https://klasma.github.io/Logging_0482/artfynd/A 33225-2024 artfynd.xlsx", "A 33225-2024")</f>
        <v/>
      </c>
      <c r="X41">
        <f>HYPERLINK("https://klasma.github.io/Logging_0482/kartor/A 33225-2024 karta.png", "A 33225-2024")</f>
        <v/>
      </c>
      <c r="Y41">
        <f>HYPERLINK("https://klasma.github.io/Logging_0482/kartor_geotiff/A 33225-2024 georefererad karta.tif", "A 33225-2024")</f>
        <v/>
      </c>
      <c r="AA41">
        <f>HYPERLINK("https://klasma.github.io/Logging_0482/klagomål/A 33225-2024 FSC-klagomål.docx", "A 33225-2024")</f>
        <v/>
      </c>
      <c r="AB41">
        <f>HYPERLINK("https://klasma.github.io/Logging_0482/klagomålsmail/A 33225-2024 FSC-klagomål mail.docx", "A 33225-2024")</f>
        <v/>
      </c>
      <c r="AC41">
        <f>HYPERLINK("https://klasma.github.io/Logging_0482/tillsyn/A 33225-2024 tillsynsbegäran.docx", "A 33225-2024")</f>
        <v/>
      </c>
      <c r="AD41">
        <f>HYPERLINK("https://klasma.github.io/Logging_0482/tillsynsmail/A 33225-2024 tillsynsbegäran mail.docx", "A 33225-2024")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46282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46282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46282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46282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38465-2025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46282</v>
      </c>
      <c r="F46" t="inlineStr">
        <is>
          <t>SÖDERMANLANDS LÄN</t>
        </is>
      </c>
      <c r="G46" t="inlineStr">
        <is>
          <t>FLEN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Skogsalm
Gullklöver
Nattviol</t>
        </is>
      </c>
      <c r="W46">
        <f>HYPERLINK("https://klasma.github.io/Logging_0482/artfynd/A 38465-2025 artfynd.xlsx", "A 38465-2025")</f>
        <v/>
      </c>
      <c r="X46">
        <f>HYPERLINK("https://klasma.github.io/Logging_0482/kartor/A 38465-2025 karta.png", "A 38465-2025")</f>
        <v/>
      </c>
      <c r="Y46">
        <f>HYPERLINK("https://klasma.github.io/Logging_0482/kartor_geotiff/A 38465-2025 georefererad karta.tif", "A 38465-2025")</f>
        <v/>
      </c>
      <c r="AA46">
        <f>HYPERLINK("https://klasma.github.io/Logging_0482/klagomål/A 38465-2025 FSC-klagomål.docx", "A 38465-2025")</f>
        <v/>
      </c>
      <c r="AB46">
        <f>HYPERLINK("https://klasma.github.io/Logging_0482/klagomålsmail/A 38465-2025 FSC-klagomål mail.docx", "A 38465-2025")</f>
        <v/>
      </c>
      <c r="AC46">
        <f>HYPERLINK("https://klasma.github.io/Logging_0482/tillsyn/A 38465-2025 tillsynsbegäran.docx", "A 38465-2025")</f>
        <v/>
      </c>
      <c r="AD46">
        <f>HYPERLINK("https://klasma.github.io/Logging_0482/tillsynsmail/A 38465-2025 tillsynsbegäran mail.docx", "A 38465-2025")</f>
        <v/>
      </c>
    </row>
    <row r="47" ht="15" customHeight="1">
      <c r="A47" t="inlineStr">
        <is>
          <t>A 38466-2025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46282</v>
      </c>
      <c r="F47" t="inlineStr">
        <is>
          <t>SÖDERMANLANDS LÄN</t>
        </is>
      </c>
      <c r="G47" t="inlineStr">
        <is>
          <t>FLEN</t>
        </is>
      </c>
      <c r="I47" t="n">
        <v>5.4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Svinrot
Blåsippa
Gullviva</t>
        </is>
      </c>
      <c r="W47">
        <f>HYPERLINK("https://klasma.github.io/Logging_0482/artfynd/A 38466-2025 artfynd.xlsx", "A 38466-2025")</f>
        <v/>
      </c>
      <c r="X47">
        <f>HYPERLINK("https://klasma.github.io/Logging_0482/kartor/A 38466-2025 karta.png", "A 38466-2025")</f>
        <v/>
      </c>
      <c r="Y47">
        <f>HYPERLINK("https://klasma.github.io/Logging_0482/kartor_geotiff/A 38466-2025 georefererad karta.tif", "A 38466-2025")</f>
        <v/>
      </c>
      <c r="AA47">
        <f>HYPERLINK("https://klasma.github.io/Logging_0482/klagomål/A 38466-2025 FSC-klagomål.docx", "A 38466-2025")</f>
        <v/>
      </c>
      <c r="AB47">
        <f>HYPERLINK("https://klasma.github.io/Logging_0482/klagomålsmail/A 38466-2025 FSC-klagomål mail.docx", "A 38466-2025")</f>
        <v/>
      </c>
      <c r="AC47">
        <f>HYPERLINK("https://klasma.github.io/Logging_0482/tillsyn/A 38466-2025 tillsynsbegäran.docx", "A 38466-2025")</f>
        <v/>
      </c>
      <c r="AD47">
        <f>HYPERLINK("https://klasma.github.io/Logging_0482/tillsynsmail/A 38466-2025 tillsynsbegäran mail.docx", "A 38466-2025")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46282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46282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9512-2026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46282</v>
      </c>
      <c r="F50" t="inlineStr">
        <is>
          <t>SÖDERMANLANDS LÄN</t>
        </is>
      </c>
      <c r="G50" t="inlineStr">
        <is>
          <t>FLEN</t>
        </is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Gullpudra
Bäckbräsma
Hultbräken</t>
        </is>
      </c>
      <c r="W50">
        <f>HYPERLINK("https://klasma.github.io/Logging_0482/artfynd/A 9512-2026 artfynd.xlsx", "A 9512-2026")</f>
        <v/>
      </c>
      <c r="X50">
        <f>HYPERLINK("https://klasma.github.io/Logging_0482/kartor/A 9512-2026 karta.png", "A 9512-2026")</f>
        <v/>
      </c>
      <c r="Y50">
        <f>HYPERLINK("https://klasma.github.io/Logging_0482/kartor_geotiff/A 9512-2026 georefererad karta.tif", "A 9512-2026")</f>
        <v/>
      </c>
      <c r="AA50">
        <f>HYPERLINK("https://klasma.github.io/Logging_0482/klagomål/A 9512-2026 FSC-klagomål.docx", "A 9512-2026")</f>
        <v/>
      </c>
      <c r="AB50">
        <f>HYPERLINK("https://klasma.github.io/Logging_0482/klagomålsmail/A 9512-2026 FSC-klagomål mail.docx", "A 9512-2026")</f>
        <v/>
      </c>
      <c r="AC50">
        <f>HYPERLINK("https://klasma.github.io/Logging_0482/tillsyn/A 9512-2026 tillsynsbegäran.docx", "A 9512-2026")</f>
        <v/>
      </c>
      <c r="AD50">
        <f>HYPERLINK("https://klasma.github.io/Logging_0482/tillsynsmail/A 9512-2026 tillsynsbegäran mail.docx", "A 9512-2026")</f>
        <v/>
      </c>
    </row>
    <row r="51" ht="15" customHeight="1">
      <c r="A51" t="inlineStr">
        <is>
          <t>A 9530-2026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46282</v>
      </c>
      <c r="F51" t="inlineStr">
        <is>
          <t>SÖDERMANLANDS LÄN</t>
        </is>
      </c>
      <c r="G51" t="inlineStr">
        <is>
          <t>FLEN</t>
        </is>
      </c>
      <c r="I51" t="n">
        <v>7.4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Blåmossa
Flagellkvastmossa
Tjäder</t>
        </is>
      </c>
      <c r="W51">
        <f>HYPERLINK("https://klasma.github.io/Logging_0482/artfynd/A 9530-2026 artfynd.xlsx", "A 9530-2026")</f>
        <v/>
      </c>
      <c r="X51">
        <f>HYPERLINK("https://klasma.github.io/Logging_0482/kartor/A 9530-2026 karta.png", "A 9530-2026")</f>
        <v/>
      </c>
      <c r="Y51">
        <f>HYPERLINK("https://klasma.github.io/Logging_0482/kartor_geotiff/A 9530-2026 georefererad karta.tif", "A 9530-2026")</f>
        <v/>
      </c>
      <c r="AA51">
        <f>HYPERLINK("https://klasma.github.io/Logging_0482/klagomål/A 9530-2026 FSC-klagomål.docx", "A 9530-2026")</f>
        <v/>
      </c>
      <c r="AB51">
        <f>HYPERLINK("https://klasma.github.io/Logging_0482/klagomålsmail/A 9530-2026 FSC-klagomål mail.docx", "A 9530-2026")</f>
        <v/>
      </c>
      <c r="AC51">
        <f>HYPERLINK("https://klasma.github.io/Logging_0482/tillsyn/A 9530-2026 tillsynsbegäran.docx", "A 9530-2026")</f>
        <v/>
      </c>
      <c r="AD51">
        <f>HYPERLINK("https://klasma.github.io/Logging_0482/tillsynsmail/A 9530-2026 tillsynsbegäran mail.docx", "A 9530-2026")</f>
        <v/>
      </c>
      <c r="AE51">
        <f>HYPERLINK("https://klasma.github.io/Logging_0482/fåglar/A 9530-2026 prioriterade fågelarter.docx", "A 9530-2026")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46282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22839-2025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46282</v>
      </c>
      <c r="F53" t="inlineStr">
        <is>
          <t>SÖDERMANLANDS LÄN</t>
        </is>
      </c>
      <c r="G53" t="inlineStr">
        <is>
          <t>FLEN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Blåsippa
Ekbräken
Missne</t>
        </is>
      </c>
      <c r="W53">
        <f>HYPERLINK("https://klasma.github.io/Logging_0482/artfynd/A 22839-2025 artfynd.xlsx", "A 22839-2025")</f>
        <v/>
      </c>
      <c r="X53">
        <f>HYPERLINK("https://klasma.github.io/Logging_0482/kartor/A 22839-2025 karta.png", "A 22839-2025")</f>
        <v/>
      </c>
      <c r="Y53">
        <f>HYPERLINK("https://klasma.github.io/Logging_0482/kartor_geotiff/A 22839-2025 georefererad karta.tif", "A 22839-2025")</f>
        <v/>
      </c>
      <c r="AA53">
        <f>HYPERLINK("https://klasma.github.io/Logging_0482/klagomål/A 22839-2025 FSC-klagomål.docx", "A 22839-2025")</f>
        <v/>
      </c>
      <c r="AB53">
        <f>HYPERLINK("https://klasma.github.io/Logging_0482/klagomålsmail/A 22839-2025 FSC-klagomål mail.docx", "A 22839-2025")</f>
        <v/>
      </c>
      <c r="AC53">
        <f>HYPERLINK("https://klasma.github.io/Logging_0482/tillsyn/A 22839-2025 tillsynsbegäran.docx", "A 22839-2025")</f>
        <v/>
      </c>
      <c r="AD53">
        <f>HYPERLINK("https://klasma.github.io/Logging_0482/tillsynsmail/A 22839-2025 tillsynsbegäran mail.docx", "A 22839-2025")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46282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46282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46282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46282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46282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46282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46282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46282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46282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46282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46282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46282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24464-2025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46282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Motaggsvamp
Vedskivlav</t>
        </is>
      </c>
      <c r="W67">
        <f>HYPERLINK("https://klasma.github.io/Logging_0482/artfynd/A 24464-2025 artfynd.xlsx", "A 24464-2025")</f>
        <v/>
      </c>
      <c r="X67">
        <f>HYPERLINK("https://klasma.github.io/Logging_0482/kartor/A 24464-2025 karta.png", "A 24464-2025")</f>
        <v/>
      </c>
      <c r="Y67">
        <f>HYPERLINK("https://klasma.github.io/Logging_0482/kartor_geotiff/A 24464-2025 georefererad karta.tif", "A 24464-2025")</f>
        <v/>
      </c>
      <c r="AA67">
        <f>HYPERLINK("https://klasma.github.io/Logging_0482/klagomål/A 24464-2025 FSC-klagomål.docx", "A 24464-2025")</f>
        <v/>
      </c>
      <c r="AB67">
        <f>HYPERLINK("https://klasma.github.io/Logging_0482/klagomålsmail/A 24464-2025 FSC-klagomål mail.docx", "A 24464-2025")</f>
        <v/>
      </c>
      <c r="AC67">
        <f>HYPERLINK("https://klasma.github.io/Logging_0482/tillsyn/A 24464-2025 tillsynsbegäran.docx", "A 24464-2025")</f>
        <v/>
      </c>
      <c r="AD67">
        <f>HYPERLINK("https://klasma.github.io/Logging_0482/tillsynsmail/A 24464-2025 tillsynsbegäran mail.docx", "A 24464-2025")</f>
        <v/>
      </c>
    </row>
    <row r="68" ht="15" customHeight="1">
      <c r="A68" t="inlineStr">
        <is>
          <t>A 41435-2022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46282</v>
      </c>
      <c r="F68" t="inlineStr">
        <is>
          <t>SÖDERMANLANDS LÄN</t>
        </is>
      </c>
      <c r="G68" t="inlineStr">
        <is>
          <t>FLEN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Vitsippa
Gullviva</t>
        </is>
      </c>
      <c r="W68">
        <f>HYPERLINK("https://klasma.github.io/Logging_0482/artfynd/A 41435-2022 artfynd.xlsx", "A 41435-2022")</f>
        <v/>
      </c>
      <c r="X68">
        <f>HYPERLINK("https://klasma.github.io/Logging_0482/kartor/A 41435-2022 karta.png", "A 41435-2022")</f>
        <v/>
      </c>
      <c r="Y68">
        <f>HYPERLINK("https://klasma.github.io/Logging_0482/kartor_geotiff/A 41435-2022 georefererad karta.tif", "A 41435-2022")</f>
        <v/>
      </c>
      <c r="AA68">
        <f>HYPERLINK("https://klasma.github.io/Logging_0482/klagomål/A 41435-2022 FSC-klagomål.docx", "A 41435-2022")</f>
        <v/>
      </c>
      <c r="AB68">
        <f>HYPERLINK("https://klasma.github.io/Logging_0482/klagomålsmail/A 41435-2022 FSC-klagomål mail.docx", "A 41435-2022")</f>
        <v/>
      </c>
      <c r="AC68">
        <f>HYPERLINK("https://klasma.github.io/Logging_0482/tillsyn/A 41435-2022 tillsynsbegäran.docx", "A 41435-2022")</f>
        <v/>
      </c>
      <c r="AD68">
        <f>HYPERLINK("https://klasma.github.io/Logging_0482/tillsynsmail/A 41435-2022 tillsynsbegäran mail.docx", "A 41435-2022")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46282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32744-2025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45838</v>
      </c>
      <c r="E70" s="1" t="n">
        <v>46282</v>
      </c>
      <c r="F70" t="inlineStr">
        <is>
          <t>SÖDERMANLANDS LÄN</t>
        </is>
      </c>
      <c r="G70" t="inlineStr">
        <is>
          <t>FLEN</t>
        </is>
      </c>
      <c r="I70" t="n">
        <v>1.8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Ekticka
Klasefibbla</t>
        </is>
      </c>
      <c r="W70">
        <f>HYPERLINK("https://klasma.github.io/Logging_0482/artfynd/A 32744-2025 artfynd.xlsx", "A 32744-2025")</f>
        <v/>
      </c>
      <c r="X70">
        <f>HYPERLINK("https://klasma.github.io/Logging_0482/kartor/A 32744-2025 karta.png", "A 32744-2025")</f>
        <v/>
      </c>
      <c r="Y70">
        <f>HYPERLINK("https://klasma.github.io/Logging_0482/kartor_geotiff/A 32744-2025 georefererad karta.tif", "A 32744-2025")</f>
        <v/>
      </c>
      <c r="AA70">
        <f>HYPERLINK("https://klasma.github.io/Logging_0482/klagomål/A 32744-2025 FSC-klagomål.docx", "A 32744-2025")</f>
        <v/>
      </c>
      <c r="AB70">
        <f>HYPERLINK("https://klasma.github.io/Logging_0482/klagomålsmail/A 32744-2025 FSC-klagomål mail.docx", "A 32744-2025")</f>
        <v/>
      </c>
      <c r="AC70">
        <f>HYPERLINK("https://klasma.github.io/Logging_0482/tillsyn/A 32744-2025 tillsynsbegäran.docx", "A 32744-2025")</f>
        <v/>
      </c>
      <c r="AD70">
        <f>HYPERLINK("https://klasma.github.io/Logging_0482/tillsynsmail/A 32744-2025 tillsynsbegäran mail.docx", "A 32744-2025")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46282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46282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46282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35278-2022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46282</v>
      </c>
      <c r="F74" t="inlineStr">
        <is>
          <t>SÖDERMANLANDS LÄN</t>
        </is>
      </c>
      <c r="G74" t="inlineStr">
        <is>
          <t>FLEN</t>
        </is>
      </c>
      <c r="I74" t="n">
        <v>2.3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Igelkott
Grönvit nattviol</t>
        </is>
      </c>
      <c r="W74">
        <f>HYPERLINK("https://klasma.github.io/Logging_0482/artfynd/A 35278-2022 artfynd.xlsx", "A 35278-2022")</f>
        <v/>
      </c>
      <c r="X74">
        <f>HYPERLINK("https://klasma.github.io/Logging_0482/kartor/A 35278-2022 karta.png", "A 35278-2022")</f>
        <v/>
      </c>
      <c r="Y74">
        <f>HYPERLINK("https://klasma.github.io/Logging_0482/kartor_geotiff/A 35278-2022 georefererad karta.tif", "A 35278-2022")</f>
        <v/>
      </c>
      <c r="AA74">
        <f>HYPERLINK("https://klasma.github.io/Logging_0482/klagomål/A 35278-2022 FSC-klagomål.docx", "A 35278-2022")</f>
        <v/>
      </c>
      <c r="AB74">
        <f>HYPERLINK("https://klasma.github.io/Logging_0482/klagomålsmail/A 35278-2022 FSC-klagomål mail.docx", "A 35278-2022")</f>
        <v/>
      </c>
      <c r="AC74">
        <f>HYPERLINK("https://klasma.github.io/Logging_0482/tillsyn/A 35278-2022 tillsynsbegäran.docx", "A 35278-2022")</f>
        <v/>
      </c>
      <c r="AD74">
        <f>HYPERLINK("https://klasma.github.io/Logging_0482/tillsynsmail/A 35278-2022 tillsynsbegäran mail.docx", "A 35278-2022")</f>
        <v/>
      </c>
    </row>
    <row r="75" ht="15" customHeight="1">
      <c r="A75" t="inlineStr">
        <is>
          <t>A 55092-2021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44474</v>
      </c>
      <c r="E75" s="1" t="n">
        <v>46282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Sälg
Huggorm</t>
        </is>
      </c>
      <c r="W75">
        <f>HYPERLINK("https://klasma.github.io/Logging_0482/artfynd/A 55092-2021 artfynd.xlsx", "A 55092-2021")</f>
        <v/>
      </c>
      <c r="X75">
        <f>HYPERLINK("https://klasma.github.io/Logging_0482/kartor/A 55092-2021 karta.png", "A 55092-2021")</f>
        <v/>
      </c>
      <c r="Y75">
        <f>HYPERLINK("https://klasma.github.io/Logging_0482/kartor_geotiff/A 55092-2021 georefererad karta.tif", "A 55092-2021")</f>
        <v/>
      </c>
      <c r="AA75">
        <f>HYPERLINK("https://klasma.github.io/Logging_0482/klagomål/A 55092-2021 FSC-klagomål.docx", "A 55092-2021")</f>
        <v/>
      </c>
      <c r="AB75">
        <f>HYPERLINK("https://klasma.github.io/Logging_0482/klagomålsmail/A 55092-2021 FSC-klagomål mail.docx", "A 55092-2021")</f>
        <v/>
      </c>
      <c r="AC75">
        <f>HYPERLINK("https://klasma.github.io/Logging_0482/tillsyn/A 55092-2021 tillsynsbegäran.docx", "A 55092-2021")</f>
        <v/>
      </c>
      <c r="AD75">
        <f>HYPERLINK("https://klasma.github.io/Logging_0482/tillsynsmail/A 55092-2021 tillsynsbegäran mail.docx", "A 55092-2021")</f>
        <v/>
      </c>
    </row>
    <row r="76" ht="15" customHeight="1">
      <c r="A76" t="inlineStr">
        <is>
          <t>A 7506-2023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44971</v>
      </c>
      <c r="E76" s="1" t="n">
        <v>46282</v>
      </c>
      <c r="F76" t="inlineStr">
        <is>
          <t>SÖDERMANLANDS LÄN</t>
        </is>
      </c>
      <c r="G76" t="inlineStr">
        <is>
          <t>FLEN</t>
        </is>
      </c>
      <c r="I76" t="n">
        <v>3.3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Slåtterfibbla
Svinrot</t>
        </is>
      </c>
      <c r="W76">
        <f>HYPERLINK("https://klasma.github.io/Logging_0482/artfynd/A 7506-2023 artfynd.xlsx", "A 7506-2023")</f>
        <v/>
      </c>
      <c r="X76">
        <f>HYPERLINK("https://klasma.github.io/Logging_0482/kartor/A 7506-2023 karta.png", "A 7506-2023")</f>
        <v/>
      </c>
      <c r="Y76">
        <f>HYPERLINK("https://klasma.github.io/Logging_0482/kartor_geotiff/A 7506-2023 georefererad karta.tif", "A 7506-2023")</f>
        <v/>
      </c>
      <c r="AA76">
        <f>HYPERLINK("https://klasma.github.io/Logging_0482/klagomål/A 7506-2023 FSC-klagomål.docx", "A 7506-2023")</f>
        <v/>
      </c>
      <c r="AB76">
        <f>HYPERLINK("https://klasma.github.io/Logging_0482/klagomålsmail/A 7506-2023 FSC-klagomål mail.docx", "A 7506-2023")</f>
        <v/>
      </c>
      <c r="AC76">
        <f>HYPERLINK("https://klasma.github.io/Logging_0482/tillsyn/A 7506-2023 tillsynsbegäran.docx", "A 7506-2023")</f>
        <v/>
      </c>
      <c r="AD76">
        <f>HYPERLINK("https://klasma.github.io/Logging_0482/tillsynsmail/A 7506-2023 tillsynsbegäran mail.docx", "A 7506-2023")</f>
        <v/>
      </c>
    </row>
    <row r="77" ht="15" customHeight="1">
      <c r="A77" t="inlineStr">
        <is>
          <t>A 52858-2023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46282</v>
      </c>
      <c r="F77" t="inlineStr">
        <is>
          <t>SÖDERMANLANDS LÄN</t>
        </is>
      </c>
      <c r="G77" t="inlineStr">
        <is>
          <t>FLEN</t>
        </is>
      </c>
      <c r="I77" t="n">
        <v>3.6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1</v>
      </c>
      <c r="V77" s="2" t="inlineStr">
        <is>
          <t>Mindre hackspett
Tallticka</t>
        </is>
      </c>
      <c r="W77">
        <f>HYPERLINK("https://klasma.github.io/Logging_0482/artfynd/A 52858-2023 artfynd.xlsx", "A 52858-2023")</f>
        <v/>
      </c>
      <c r="X77">
        <f>HYPERLINK("https://klasma.github.io/Logging_0482/kartor/A 52858-2023 karta.png", "A 52858-2023")</f>
        <v/>
      </c>
      <c r="Y77">
        <f>HYPERLINK("https://klasma.github.io/Logging_0482/kartor_geotiff/A 52858-2023 georefererad karta.tif", "A 52858-2023")</f>
        <v/>
      </c>
      <c r="AA77">
        <f>HYPERLINK("https://klasma.github.io/Logging_0482/klagomål/A 52858-2023 FSC-klagomål.docx", "A 52858-2023")</f>
        <v/>
      </c>
      <c r="AB77">
        <f>HYPERLINK("https://klasma.github.io/Logging_0482/klagomålsmail/A 52858-2023 FSC-klagomål mail.docx", "A 52858-2023")</f>
        <v/>
      </c>
      <c r="AC77">
        <f>HYPERLINK("https://klasma.github.io/Logging_0482/tillsyn/A 52858-2023 tillsynsbegäran.docx", "A 52858-2023")</f>
        <v/>
      </c>
      <c r="AD77">
        <f>HYPERLINK("https://klasma.github.io/Logging_0482/tillsynsmail/A 52858-2023 tillsynsbegäran mail.docx", "A 52858-2023")</f>
        <v/>
      </c>
      <c r="AE77">
        <f>HYPERLINK("https://klasma.github.io/Logging_0482/fåglar/A 52858-2023 prioriterade fågelarter.docx", "A 52858-2023")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46282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49816-2023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46282</v>
      </c>
      <c r="F79" t="inlineStr">
        <is>
          <t>SÖDERMANLANDS LÄN</t>
        </is>
      </c>
      <c r="G79" t="inlineStr">
        <is>
          <t>FLEN</t>
        </is>
      </c>
      <c r="I79" t="n">
        <v>4.6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Reliktbock
Tallticka</t>
        </is>
      </c>
      <c r="W79">
        <f>HYPERLINK("https://klasma.github.io/Logging_0482/artfynd/A 49816-2023 artfynd.xlsx", "A 49816-2023")</f>
        <v/>
      </c>
      <c r="X79">
        <f>HYPERLINK("https://klasma.github.io/Logging_0482/kartor/A 49816-2023 karta.png", "A 49816-2023")</f>
        <v/>
      </c>
      <c r="Y79">
        <f>HYPERLINK("https://klasma.github.io/Logging_0482/kartor_geotiff/A 49816-2023 georefererad karta.tif", "A 49816-2023")</f>
        <v/>
      </c>
      <c r="AA79">
        <f>HYPERLINK("https://klasma.github.io/Logging_0482/klagomål/A 49816-2023 FSC-klagomål.docx", "A 49816-2023")</f>
        <v/>
      </c>
      <c r="AB79">
        <f>HYPERLINK("https://klasma.github.io/Logging_0482/klagomålsmail/A 49816-2023 FSC-klagomål mail.docx", "A 49816-2023")</f>
        <v/>
      </c>
      <c r="AC79">
        <f>HYPERLINK("https://klasma.github.io/Logging_0482/tillsyn/A 49816-2023 tillsynsbegäran.docx", "A 49816-2023")</f>
        <v/>
      </c>
      <c r="AD79">
        <f>HYPERLINK("https://klasma.github.io/Logging_0482/tillsynsmail/A 49816-2023 tillsynsbegäran mail.docx", "A 49816-2023")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46282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46282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59607-2022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46282</v>
      </c>
      <c r="F82" t="inlineStr">
        <is>
          <t>SÖDERMANLANDS LÄN</t>
        </is>
      </c>
      <c r="G82" t="inlineStr">
        <is>
          <t>FLEN</t>
        </is>
      </c>
      <c r="I82" t="n">
        <v>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Jungfrulin
Svinrot</t>
        </is>
      </c>
      <c r="W82">
        <f>HYPERLINK("https://klasma.github.io/Logging_0482/artfynd/A 59607-2022 artfynd.xlsx", "A 59607-2022")</f>
        <v/>
      </c>
      <c r="X82">
        <f>HYPERLINK("https://klasma.github.io/Logging_0482/kartor/A 59607-2022 karta.png", "A 59607-2022")</f>
        <v/>
      </c>
      <c r="Y82">
        <f>HYPERLINK("https://klasma.github.io/Logging_0482/kartor_geotiff/A 59607-2022 georefererad karta.tif", "A 59607-2022")</f>
        <v/>
      </c>
      <c r="AA82">
        <f>HYPERLINK("https://klasma.github.io/Logging_0482/klagomål/A 59607-2022 FSC-klagomål.docx", "A 59607-2022")</f>
        <v/>
      </c>
      <c r="AB82">
        <f>HYPERLINK("https://klasma.github.io/Logging_0482/klagomålsmail/A 59607-2022 FSC-klagomål mail.docx", "A 59607-2022")</f>
        <v/>
      </c>
      <c r="AC82">
        <f>HYPERLINK("https://klasma.github.io/Logging_0482/tillsyn/A 59607-2022 tillsynsbegäran.docx", "A 59607-2022")</f>
        <v/>
      </c>
      <c r="AD82">
        <f>HYPERLINK("https://klasma.github.io/Logging_0482/tillsynsmail/A 59607-2022 tillsynsbegäran mail.docx", "A 59607-2022")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46282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Kamjordstjärna
Gullviva</t>
        </is>
      </c>
      <c r="W83">
        <f>HYPERLINK("https://klasma.github.io/Logging_0482/artfynd/A 5852-2022 artfynd.xlsx", "A 5852-2022")</f>
        <v/>
      </c>
      <c r="X83">
        <f>HYPERLINK("https://klasma.github.io/Logging_0482/kartor/A 5852-2022 karta.png", "A 5852-2022")</f>
        <v/>
      </c>
      <c r="Y83">
        <f>HYPERLINK("https://klasma.github.io/Logging_0482/kartor_geotiff/A 5852-2022 georefererad karta.tif", "A 5852-2022")</f>
        <v/>
      </c>
      <c r="AA83">
        <f>HYPERLINK("https://klasma.github.io/Logging_0482/klagomål/A 5852-2022 FSC-klagomål.docx", "A 5852-2022")</f>
        <v/>
      </c>
      <c r="AB83">
        <f>HYPERLINK("https://klasma.github.io/Logging_0482/klagomålsmail/A 5852-2022 FSC-klagomål mail.docx", "A 5852-2022")</f>
        <v/>
      </c>
      <c r="AC83">
        <f>HYPERLINK("https://klasma.github.io/Logging_0482/tillsyn/A 5852-2022 tillsynsbegäran.docx", "A 5852-2022")</f>
        <v/>
      </c>
      <c r="AD83">
        <f>HYPERLINK("https://klasma.github.io/Logging_0482/tillsynsmail/A 5852-2022 tillsynsbegäran mail.docx", "A 5852-2022")</f>
        <v/>
      </c>
    </row>
    <row r="84" ht="15" customHeight="1">
      <c r="A84" t="inlineStr">
        <is>
          <t>A 39240-2023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46282</v>
      </c>
      <c r="F84" t="inlineStr">
        <is>
          <t>SÖDERMANLANDS LÄN</t>
        </is>
      </c>
      <c r="G84" t="inlineStr">
        <is>
          <t>FLEN</t>
        </is>
      </c>
      <c r="H84" t="inlineStr">
        <is>
          <t>Holmen skog AB</t>
        </is>
      </c>
      <c r="I84" t="n">
        <v>4.6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Motaggsvamp
Blodticka</t>
        </is>
      </c>
      <c r="W84">
        <f>HYPERLINK("https://klasma.github.io/Logging_0482/artfynd/A 39240-2023 artfynd.xlsx", "A 39240-2023")</f>
        <v/>
      </c>
      <c r="X84">
        <f>HYPERLINK("https://klasma.github.io/Logging_0482/kartor/A 39240-2023 karta.png", "A 39240-2023")</f>
        <v/>
      </c>
      <c r="Y84">
        <f>HYPERLINK("https://klasma.github.io/Logging_0482/kartor_geotiff/A 39240-2023 georefererad karta.tif", "A 39240-2023")</f>
        <v/>
      </c>
      <c r="AA84">
        <f>HYPERLINK("https://klasma.github.io/Logging_0482/klagomål/A 39240-2023 FSC-klagomål.docx", "A 39240-2023")</f>
        <v/>
      </c>
      <c r="AB84">
        <f>HYPERLINK("https://klasma.github.io/Logging_0482/klagomålsmail/A 39240-2023 FSC-klagomål mail.docx", "A 39240-2023")</f>
        <v/>
      </c>
      <c r="AC84">
        <f>HYPERLINK("https://klasma.github.io/Logging_0482/tillsyn/A 39240-2023 tillsynsbegäran.docx", "A 39240-2023")</f>
        <v/>
      </c>
      <c r="AD84">
        <f>HYPERLINK("https://klasma.github.io/Logging_0482/tillsynsmail/A 39240-2023 tillsynsbegäran mail.docx", "A 39240-2023")</f>
        <v/>
      </c>
    </row>
    <row r="85" ht="15" customHeight="1">
      <c r="A85" t="inlineStr">
        <is>
          <t>A 47194-2022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44848</v>
      </c>
      <c r="E85" s="1" t="n">
        <v>46282</v>
      </c>
      <c r="F85" t="inlineStr">
        <is>
          <t>SÖDERMANLANDS LÄN</t>
        </is>
      </c>
      <c r="G85" t="inlineStr">
        <is>
          <t>FLEN</t>
        </is>
      </c>
      <c r="H85" t="inlineStr">
        <is>
          <t>Övriga statliga verk och myndigheter</t>
        </is>
      </c>
      <c r="I85" t="n">
        <v>2.3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Gullklöver
Svinrot</t>
        </is>
      </c>
      <c r="W85">
        <f>HYPERLINK("https://klasma.github.io/Logging_0482/artfynd/A 47194-2022 artfynd.xlsx", "A 47194-2022")</f>
        <v/>
      </c>
      <c r="X85">
        <f>HYPERLINK("https://klasma.github.io/Logging_0482/kartor/A 47194-2022 karta.png", "A 47194-2022")</f>
        <v/>
      </c>
      <c r="Y85">
        <f>HYPERLINK("https://klasma.github.io/Logging_0482/kartor_geotiff/A 47194-2022 georefererad karta.tif", "A 47194-2022")</f>
        <v/>
      </c>
      <c r="AA85">
        <f>HYPERLINK("https://klasma.github.io/Logging_0482/klagomål/A 47194-2022 FSC-klagomål.docx", "A 47194-2022")</f>
        <v/>
      </c>
      <c r="AB85">
        <f>HYPERLINK("https://klasma.github.io/Logging_0482/klagomålsmail/A 47194-2022 FSC-klagomål mail.docx", "A 47194-2022")</f>
        <v/>
      </c>
      <c r="AC85">
        <f>HYPERLINK("https://klasma.github.io/Logging_0482/tillsyn/A 47194-2022 tillsynsbegäran.docx", "A 47194-2022")</f>
        <v/>
      </c>
      <c r="AD85">
        <f>HYPERLINK("https://klasma.github.io/Logging_0482/tillsynsmail/A 47194-2022 tillsynsbegäran mail.docx", "A 47194-2022")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46282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34849-2026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46282</v>
      </c>
      <c r="F87" t="inlineStr">
        <is>
          <t>SÖDERMANLANDS LÄN</t>
        </is>
      </c>
      <c r="G87" t="inlineStr">
        <is>
          <t>FLEN</t>
        </is>
      </c>
      <c r="H87" t="inlineStr">
        <is>
          <t>Holmen skog AB</t>
        </is>
      </c>
      <c r="I87" t="n">
        <v>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5</v>
      </c>
      <c r="U87" t="n">
        <v>0</v>
      </c>
      <c r="V87" s="2" t="inlineStr">
        <is>
          <t>Motaggsvamp
Vedskivlav</t>
        </is>
      </c>
      <c r="W87">
        <f>HYPERLINK("https://klasma.github.io/Logging_0482/artfynd/A 34849-2026 artfynd.xlsx", "A 34849-2026")</f>
        <v/>
      </c>
      <c r="X87">
        <f>HYPERLINK("https://klasma.github.io/Logging_0482/kartor/A 34849-2026 karta.png", "A 34849-2026")</f>
        <v/>
      </c>
      <c r="Y87">
        <f>HYPERLINK("https://klasma.github.io/Logging_0482/kartor_geotiff/A 34849-2026 georefererad karta.tif", "A 34849-2026")</f>
        <v/>
      </c>
      <c r="AA87">
        <f>HYPERLINK("https://klasma.github.io/Logging_0482/klagomål/A 34849-2026 FSC-klagomål.docx", "A 34849-2026")</f>
        <v/>
      </c>
      <c r="AB87">
        <f>HYPERLINK("https://klasma.github.io/Logging_0482/klagomålsmail/A 34849-2026 FSC-klagomål mail.docx", "A 34849-2026")</f>
        <v/>
      </c>
      <c r="AC87">
        <f>HYPERLINK("https://klasma.github.io/Logging_0482/tillsyn/A 34849-2026 tillsynsbegäran.docx", "A 34849-2026")</f>
        <v/>
      </c>
      <c r="AD87">
        <f>HYPERLINK("https://klasma.github.io/Logging_0482/tillsynsmail/A 34849-2026 tillsynsbegäran mail.docx", "A 34849-2026")</f>
        <v/>
      </c>
    </row>
    <row r="88" ht="15" customHeight="1">
      <c r="A88" t="inlineStr">
        <is>
          <t>A 10825-2022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46282</v>
      </c>
      <c r="F88" t="inlineStr">
        <is>
          <t>SÖDERMANLANDS LÄN</t>
        </is>
      </c>
      <c r="G88" t="inlineStr">
        <is>
          <t>FLEN</t>
        </is>
      </c>
      <c r="I88" t="n">
        <v>4.7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Svinrot
Vanlig backsmörblomma</t>
        </is>
      </c>
      <c r="W88">
        <f>HYPERLINK("https://klasma.github.io/Logging_0482/artfynd/A 10825-2022 artfynd.xlsx", "A 10825-2022")</f>
        <v/>
      </c>
      <c r="X88">
        <f>HYPERLINK("https://klasma.github.io/Logging_0482/kartor/A 10825-2022 karta.png", "A 10825-2022")</f>
        <v/>
      </c>
      <c r="Y88">
        <f>HYPERLINK("https://klasma.github.io/Logging_0482/kartor_geotiff/A 10825-2022 georefererad karta.tif", "A 10825-2022")</f>
        <v/>
      </c>
      <c r="AA88">
        <f>HYPERLINK("https://klasma.github.io/Logging_0482/klagomål/A 10825-2022 FSC-klagomål.docx", "A 10825-2022")</f>
        <v/>
      </c>
      <c r="AB88">
        <f>HYPERLINK("https://klasma.github.io/Logging_0482/klagomålsmail/A 10825-2022 FSC-klagomål mail.docx", "A 10825-2022")</f>
        <v/>
      </c>
      <c r="AC88">
        <f>HYPERLINK("https://klasma.github.io/Logging_0482/tillsyn/A 10825-2022 tillsynsbegäran.docx", "A 10825-2022")</f>
        <v/>
      </c>
      <c r="AD88">
        <f>HYPERLINK("https://klasma.github.io/Logging_0482/tillsynsmail/A 10825-2022 tillsynsbegäran mail.docx", "A 10825-2022")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46282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46282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46282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46282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46282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46282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46282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34823-2023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46282</v>
      </c>
      <c r="F96" t="inlineStr">
        <is>
          <t>SÖDERMANLANDS LÄN</t>
        </is>
      </c>
      <c r="G96" t="inlineStr">
        <is>
          <t>FLEN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dunört</t>
        </is>
      </c>
      <c r="W96">
        <f>HYPERLINK("https://klasma.github.io/Logging_0482/artfynd/A 34823-2023 artfynd.xlsx", "A 34823-2023")</f>
        <v/>
      </c>
      <c r="X96">
        <f>HYPERLINK("https://klasma.github.io/Logging_0482/kartor/A 34823-2023 karta.png", "A 34823-2023")</f>
        <v/>
      </c>
      <c r="Y96">
        <f>HYPERLINK("https://klasma.github.io/Logging_0482/kartor_geotiff/A 34823-2023 georefererad karta.tif", "A 34823-2023")</f>
        <v/>
      </c>
      <c r="AA96">
        <f>HYPERLINK("https://klasma.github.io/Logging_0482/klagomål/A 34823-2023 FSC-klagomål.docx", "A 34823-2023")</f>
        <v/>
      </c>
      <c r="AB96">
        <f>HYPERLINK("https://klasma.github.io/Logging_0482/klagomålsmail/A 34823-2023 FSC-klagomål mail.docx", "A 34823-2023")</f>
        <v/>
      </c>
      <c r="AC96">
        <f>HYPERLINK("https://klasma.github.io/Logging_0482/tillsyn/A 34823-2023 tillsynsbegäran.docx", "A 34823-2023")</f>
        <v/>
      </c>
      <c r="AD96">
        <f>HYPERLINK("https://klasma.github.io/Logging_0482/tillsynsmail/A 34823-2023 tillsynsbegäran mail.docx", "A 34823-2023")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46282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46282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52563-2021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46282</v>
      </c>
      <c r="F99" t="inlineStr">
        <is>
          <t>SÖDERMANLANDS LÄN</t>
        </is>
      </c>
      <c r="G99" t="inlineStr">
        <is>
          <t>FLEN</t>
        </is>
      </c>
      <c r="I99" t="n">
        <v>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Gulsparv</t>
        </is>
      </c>
      <c r="W99">
        <f>HYPERLINK("https://klasma.github.io/Logging_0482/artfynd/A 52563-2021 artfynd.xlsx", "A 52563-2021")</f>
        <v/>
      </c>
      <c r="X99">
        <f>HYPERLINK("https://klasma.github.io/Logging_0482/kartor/A 52563-2021 karta.png", "A 52563-2021")</f>
        <v/>
      </c>
      <c r="Y99">
        <f>HYPERLINK("https://klasma.github.io/Logging_0482/kartor_geotiff/A 52563-2021 georefererad karta.tif", "A 52563-2021")</f>
        <v/>
      </c>
      <c r="AA99">
        <f>HYPERLINK("https://klasma.github.io/Logging_0482/klagomål/A 52563-2021 FSC-klagomål.docx", "A 52563-2021")</f>
        <v/>
      </c>
      <c r="AB99">
        <f>HYPERLINK("https://klasma.github.io/Logging_0482/klagomålsmail/A 52563-2021 FSC-klagomål mail.docx", "A 52563-2021")</f>
        <v/>
      </c>
      <c r="AC99">
        <f>HYPERLINK("https://klasma.github.io/Logging_0482/tillsyn/A 52563-2021 tillsynsbegäran.docx", "A 52563-2021")</f>
        <v/>
      </c>
      <c r="AD99">
        <f>HYPERLINK("https://klasma.github.io/Logging_0482/tillsynsmail/A 52563-2021 tillsynsbegäran mail.docx", "A 52563-2021")</f>
        <v/>
      </c>
      <c r="AE99">
        <f>HYPERLINK("https://klasma.github.io/Logging_0482/fåglar/A 52563-2021 prioriterade fågelarter.docx", "A 52563-2021")</f>
        <v/>
      </c>
    </row>
    <row r="100" ht="15" customHeight="1">
      <c r="A100" t="inlineStr">
        <is>
          <t>A 13858-2023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45007</v>
      </c>
      <c r="E100" s="1" t="n">
        <v>46282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Svedjenäva</t>
        </is>
      </c>
      <c r="W100">
        <f>HYPERLINK("https://klasma.github.io/Logging_0482/artfynd/A 13858-2023 artfynd.xlsx", "A 13858-2023")</f>
        <v/>
      </c>
      <c r="X100">
        <f>HYPERLINK("https://klasma.github.io/Logging_0482/kartor/A 13858-2023 karta.png", "A 13858-2023")</f>
        <v/>
      </c>
      <c r="Y100">
        <f>HYPERLINK("https://klasma.github.io/Logging_0482/kartor_geotiff/A 13858-2023 georefererad karta.tif", "A 13858-2023")</f>
        <v/>
      </c>
      <c r="AA100">
        <f>HYPERLINK("https://klasma.github.io/Logging_0482/klagomål/A 13858-2023 FSC-klagomål.docx", "A 13858-2023")</f>
        <v/>
      </c>
      <c r="AB100">
        <f>HYPERLINK("https://klasma.github.io/Logging_0482/klagomålsmail/A 13858-2023 FSC-klagomål mail.docx", "A 13858-2023")</f>
        <v/>
      </c>
      <c r="AC100">
        <f>HYPERLINK("https://klasma.github.io/Logging_0482/tillsyn/A 13858-2023 tillsynsbegäran.docx", "A 13858-2023")</f>
        <v/>
      </c>
      <c r="AD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46282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37283-2024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45540</v>
      </c>
      <c r="E102" s="1" t="n">
        <v>46282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37283-2024 artfynd.xlsx", "A 37283-2024")</f>
        <v/>
      </c>
      <c r="X102">
        <f>HYPERLINK("https://klasma.github.io/Logging_0482/kartor/A 37283-2024 karta.png", "A 37283-2024")</f>
        <v/>
      </c>
      <c r="Y102">
        <f>HYPERLINK("https://klasma.github.io/Logging_0482/kartor_geotiff/A 37283-2024 georefererad karta.tif", "A 37283-2024")</f>
        <v/>
      </c>
      <c r="AA102">
        <f>HYPERLINK("https://klasma.github.io/Logging_0482/klagomål/A 37283-2024 FSC-klagomål.docx", "A 37283-2024")</f>
        <v/>
      </c>
      <c r="AB102">
        <f>HYPERLINK("https://klasma.github.io/Logging_0482/klagomålsmail/A 37283-2024 FSC-klagomål mail.docx", "A 37283-2024")</f>
        <v/>
      </c>
      <c r="AC102">
        <f>HYPERLINK("https://klasma.github.io/Logging_0482/tillsyn/A 37283-2024 tillsynsbegäran.docx", "A 37283-2024")</f>
        <v/>
      </c>
      <c r="AD102">
        <f>HYPERLINK("https://klasma.github.io/Logging_0482/tillsynsmail/A 37283-2024 tillsynsbegäran mail.docx", "A 37283-2024")</f>
        <v/>
      </c>
    </row>
    <row r="103" ht="15" customHeight="1">
      <c r="A103" t="inlineStr">
        <is>
          <t>A 7525-2024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45348</v>
      </c>
      <c r="E103" s="1" t="n">
        <v>46282</v>
      </c>
      <c r="F103" t="inlineStr">
        <is>
          <t>SÖDERMANLANDS LÄN</t>
        </is>
      </c>
      <c r="G103" t="inlineStr">
        <is>
          <t>FLEN</t>
        </is>
      </c>
      <c r="I103" t="n">
        <v>2.3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Vanlig backsmörblomma</t>
        </is>
      </c>
      <c r="W103">
        <f>HYPERLINK("https://klasma.github.io/Logging_0482/artfynd/A 7525-2024 artfynd.xlsx", "A 7525-2024")</f>
        <v/>
      </c>
      <c r="X103">
        <f>HYPERLINK("https://klasma.github.io/Logging_0482/kartor/A 7525-2024 karta.png", "A 7525-2024")</f>
        <v/>
      </c>
      <c r="Y103">
        <f>HYPERLINK("https://klasma.github.io/Logging_0482/kartor_geotiff/A 7525-2024 georefererad karta.tif", "A 7525-2024")</f>
        <v/>
      </c>
      <c r="AA103">
        <f>HYPERLINK("https://klasma.github.io/Logging_0482/klagomål/A 7525-2024 FSC-klagomål.docx", "A 7525-2024")</f>
        <v/>
      </c>
      <c r="AB103">
        <f>HYPERLINK("https://klasma.github.io/Logging_0482/klagomålsmail/A 7525-2024 FSC-klagomål mail.docx", "A 7525-2024")</f>
        <v/>
      </c>
      <c r="AC103">
        <f>HYPERLINK("https://klasma.github.io/Logging_0482/tillsyn/A 7525-2024 tillsynsbegäran.docx", "A 7525-2024")</f>
        <v/>
      </c>
      <c r="AD103">
        <f>HYPERLINK("https://klasma.github.io/Logging_0482/tillsynsmail/A 7525-2024 tillsynsbegäran mail.docx", "A 7525-2024")</f>
        <v/>
      </c>
    </row>
    <row r="104" ht="15" customHeight="1">
      <c r="A104" t="inlineStr">
        <is>
          <t>A 2043-2026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46282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Scharlakansvaxing</t>
        </is>
      </c>
      <c r="W104">
        <f>HYPERLINK("https://klasma.github.io/Logging_0482/artfynd/A 2043-2026 artfynd.xlsx", "A 2043-2026")</f>
        <v/>
      </c>
      <c r="X104">
        <f>HYPERLINK("https://klasma.github.io/Logging_0482/kartor/A 2043-2026 karta.png", "A 2043-2026")</f>
        <v/>
      </c>
      <c r="Y104">
        <f>HYPERLINK("https://klasma.github.io/Logging_0482/kartor_geotiff/A 2043-2026 georefererad karta.tif", "A 2043-2026")</f>
        <v/>
      </c>
      <c r="AA104">
        <f>HYPERLINK("https://klasma.github.io/Logging_0482/klagomål/A 2043-2026 FSC-klagomål.docx", "A 2043-2026")</f>
        <v/>
      </c>
      <c r="AB104">
        <f>HYPERLINK("https://klasma.github.io/Logging_0482/klagomålsmail/A 2043-2026 FSC-klagomål mail.docx", "A 2043-2026")</f>
        <v/>
      </c>
      <c r="AC104">
        <f>HYPERLINK("https://klasma.github.io/Logging_0482/tillsyn/A 2043-2026 tillsynsbegäran.docx", "A 2043-2026")</f>
        <v/>
      </c>
      <c r="AD104">
        <f>HYPERLINK("https://klasma.github.io/Logging_0482/tillsynsmail/A 2043-2026 tillsynsbegäran mail.docx", "A 2043-2026")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46282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14113-2025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46282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14113-2025 artfynd.xlsx", "A 14113-2025")</f>
        <v/>
      </c>
      <c r="X106">
        <f>HYPERLINK("https://klasma.github.io/Logging_0482/kartor/A 14113-2025 karta.png", "A 14113-2025")</f>
        <v/>
      </c>
      <c r="Y106">
        <f>HYPERLINK("https://klasma.github.io/Logging_0482/kartor_geotiff/A 14113-2025 georefererad karta.tif", "A 14113-2025")</f>
        <v/>
      </c>
      <c r="AA106">
        <f>HYPERLINK("https://klasma.github.io/Logging_0482/klagomål/A 14113-2025 FSC-klagomål.docx", "A 14113-2025")</f>
        <v/>
      </c>
      <c r="AB106">
        <f>HYPERLINK("https://klasma.github.io/Logging_0482/klagomålsmail/A 14113-2025 FSC-klagomål mail.docx", "A 14113-2025")</f>
        <v/>
      </c>
      <c r="AC106">
        <f>HYPERLINK("https://klasma.github.io/Logging_0482/tillsyn/A 14113-2025 tillsynsbegäran.docx", "A 14113-2025")</f>
        <v/>
      </c>
      <c r="AD106">
        <f>HYPERLINK("https://klasma.github.io/Logging_0482/tillsynsmail/A 14113-2025 tillsynsbegäran mail.docx", "A 14113-2025")</f>
        <v/>
      </c>
    </row>
    <row r="107" ht="15" customHeight="1">
      <c r="A107" t="inlineStr">
        <is>
          <t>A 2036-2026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46282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0.6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HYPERLINK("https://klasma.github.io/Logging_0482/artfynd/A 2036-2026 artfynd.xlsx", "A 2036-2026")</f>
        <v/>
      </c>
      <c r="X107">
        <f>HYPERLINK("https://klasma.github.io/Logging_0482/kartor/A 2036-2026 karta.png", "A 2036-2026")</f>
        <v/>
      </c>
      <c r="Y107">
        <f>HYPERLINK("https://klasma.github.io/Logging_0482/kartor_geotiff/A 2036-2026 georefererad karta.tif", "A 2036-2026")</f>
        <v/>
      </c>
      <c r="Z107">
        <f>HYPERLINK("https://klasma.github.io/Logging_0482/knärot/A 2036-2026 karta knärot.png", "A 2036-2026")</f>
        <v/>
      </c>
      <c r="AA107">
        <f>HYPERLINK("https://klasma.github.io/Logging_0482/klagomål/A 2036-2026 FSC-klagomål.docx", "A 2036-2026")</f>
        <v/>
      </c>
      <c r="AB107">
        <f>HYPERLINK("https://klasma.github.io/Logging_0482/klagomålsmail/A 2036-2026 FSC-klagomål mail.docx", "A 2036-2026")</f>
        <v/>
      </c>
      <c r="AC107">
        <f>HYPERLINK("https://klasma.github.io/Logging_0482/tillsyn/A 2036-2026 tillsynsbegäran.docx", "A 2036-2026")</f>
        <v/>
      </c>
      <c r="AD107">
        <f>HYPERLINK("https://klasma.github.io/Logging_0482/tillsynsmail/A 2036-2026 tillsynsbegäran mail.docx", "A 2036-2026")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46282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46282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6714-2026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46282</v>
      </c>
      <c r="F110" t="inlineStr">
        <is>
          <t>SÖDERMANLANDS LÄN</t>
        </is>
      </c>
      <c r="G110" t="inlineStr">
        <is>
          <t>FLEN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6714-2026 artfynd.xlsx", "A 6714-2026")</f>
        <v/>
      </c>
      <c r="X110">
        <f>HYPERLINK("https://klasma.github.io/Logging_0482/kartor/A 6714-2026 karta.png", "A 6714-2026")</f>
        <v/>
      </c>
      <c r="Y110">
        <f>HYPERLINK("https://klasma.github.io/Logging_0482/kartor_geotiff/A 6714-2026 georefererad karta.tif", "A 6714-2026")</f>
        <v/>
      </c>
      <c r="AA110">
        <f>HYPERLINK("https://klasma.github.io/Logging_0482/klagomål/A 6714-2026 FSC-klagomål.docx", "A 6714-2026")</f>
        <v/>
      </c>
      <c r="AB110">
        <f>HYPERLINK("https://klasma.github.io/Logging_0482/klagomålsmail/A 6714-2026 FSC-klagomål mail.docx", "A 6714-2026")</f>
        <v/>
      </c>
      <c r="AC110">
        <f>HYPERLINK("https://klasma.github.io/Logging_0482/tillsyn/A 6714-2026 tillsynsbegäran.docx", "A 6714-2026")</f>
        <v/>
      </c>
      <c r="AD110">
        <f>HYPERLINK("https://klasma.github.io/Logging_0482/tillsynsmail/A 6714-2026 tillsynsbegäran mail.docx", "A 6714-2026")</f>
        <v/>
      </c>
    </row>
    <row r="111" ht="15" customHeight="1">
      <c r="A111" t="inlineStr">
        <is>
          <t>A 9446-2026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46282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9446-2026 artfynd.xlsx", "A 9446-2026")</f>
        <v/>
      </c>
      <c r="X111">
        <f>HYPERLINK("https://klasma.github.io/Logging_0482/kartor/A 9446-2026 karta.png", "A 9446-2026")</f>
        <v/>
      </c>
      <c r="Y111">
        <f>HYPERLINK("https://klasma.github.io/Logging_0482/kartor_geotiff/A 9446-2026 georefererad karta.tif", "A 9446-2026")</f>
        <v/>
      </c>
      <c r="AA111">
        <f>HYPERLINK("https://klasma.github.io/Logging_0482/klagomål/A 9446-2026 FSC-klagomål.docx", "A 9446-2026")</f>
        <v/>
      </c>
      <c r="AB111">
        <f>HYPERLINK("https://klasma.github.io/Logging_0482/klagomålsmail/A 9446-2026 FSC-klagomål mail.docx", "A 9446-2026")</f>
        <v/>
      </c>
      <c r="AC111">
        <f>HYPERLINK("https://klasma.github.io/Logging_0482/tillsyn/A 9446-2026 tillsynsbegäran.docx", "A 9446-2026")</f>
        <v/>
      </c>
      <c r="AD111">
        <f>HYPERLINK("https://klasma.github.io/Logging_0482/tillsynsmail/A 9446-2026 tillsynsbegäran mail.docx", "A 9446-2026")</f>
        <v/>
      </c>
    </row>
    <row r="112" ht="15" customHeight="1">
      <c r="A112" t="inlineStr">
        <is>
          <t>A 6982-2024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46282</v>
      </c>
      <c r="F112" t="inlineStr">
        <is>
          <t>SÖDERMANLANDS LÄN</t>
        </is>
      </c>
      <c r="G112" t="inlineStr">
        <is>
          <t>FLEN</t>
        </is>
      </c>
      <c r="I112" t="n">
        <v>1.1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HYPERLINK("https://klasma.github.io/Logging_0482/artfynd/A 6982-2024 artfynd.xlsx", "A 6982-2024")</f>
        <v/>
      </c>
      <c r="X112">
        <f>HYPERLINK("https://klasma.github.io/Logging_0482/kartor/A 6982-2024 karta.png", "A 6982-2024")</f>
        <v/>
      </c>
      <c r="Y112">
        <f>HYPERLINK("https://klasma.github.io/Logging_0482/kartor_geotiff/A 6982-2024 georefererad karta.tif", "A 6982-2024")</f>
        <v/>
      </c>
      <c r="AA112">
        <f>HYPERLINK("https://klasma.github.io/Logging_0482/klagomål/A 6982-2024 FSC-klagomål.docx", "A 6982-2024")</f>
        <v/>
      </c>
      <c r="AB112">
        <f>HYPERLINK("https://klasma.github.io/Logging_0482/klagomålsmail/A 6982-2024 FSC-klagomål mail.docx", "A 6982-2024")</f>
        <v/>
      </c>
      <c r="AC112">
        <f>HYPERLINK("https://klasma.github.io/Logging_0482/tillsyn/A 6982-2024 tillsynsbegäran.docx", "A 6982-2024")</f>
        <v/>
      </c>
      <c r="AD112">
        <f>HYPERLINK("https://klasma.github.io/Logging_0482/tillsynsmail/A 6982-2024 tillsynsbegäran mail.docx", "A 6982-2024")</f>
        <v/>
      </c>
    </row>
    <row r="113" ht="15" customHeight="1">
      <c r="A113" t="inlineStr">
        <is>
          <t>A 10999-2026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46079</v>
      </c>
      <c r="E113" s="1" t="n">
        <v>46282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3.6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HYPERLINK("https://klasma.github.io/Logging_0482/artfynd/A 10999-2026 artfynd.xlsx", "A 10999-2026")</f>
        <v/>
      </c>
      <c r="X113">
        <f>HYPERLINK("https://klasma.github.io/Logging_0482/kartor/A 10999-2026 karta.png", "A 10999-2026")</f>
        <v/>
      </c>
      <c r="Y113">
        <f>HYPERLINK("https://klasma.github.io/Logging_0482/kartor_geotiff/A 10999-2026 georefererad karta.tif", "A 10999-2026")</f>
        <v/>
      </c>
      <c r="AA113">
        <f>HYPERLINK("https://klasma.github.io/Logging_0482/klagomål/A 10999-2026 FSC-klagomål.docx", "A 10999-2026")</f>
        <v/>
      </c>
      <c r="AB113">
        <f>HYPERLINK("https://klasma.github.io/Logging_0482/klagomålsmail/A 10999-2026 FSC-klagomål mail.docx", "A 10999-2026")</f>
        <v/>
      </c>
      <c r="AC113">
        <f>HYPERLINK("https://klasma.github.io/Logging_0482/tillsyn/A 10999-2026 tillsynsbegäran.docx", "A 10999-2026")</f>
        <v/>
      </c>
      <c r="AD113">
        <f>HYPERLINK("https://klasma.github.io/Logging_0482/tillsynsmail/A 10999-2026 tillsynsbegäran mail.docx", "A 10999-2026")</f>
        <v/>
      </c>
    </row>
    <row r="114" ht="15" customHeight="1">
      <c r="A114" t="inlineStr">
        <is>
          <t>A 43008-2023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45182</v>
      </c>
      <c r="E114" s="1" t="n">
        <v>46282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43008-2023 artfynd.xlsx", "A 43008-2023")</f>
        <v/>
      </c>
      <c r="X114">
        <f>HYPERLINK("https://klasma.github.io/Logging_0482/kartor/A 43008-2023 karta.png", "A 43008-2023")</f>
        <v/>
      </c>
      <c r="Y114">
        <f>HYPERLINK("https://klasma.github.io/Logging_0482/kartor_geotiff/A 43008-2023 georefererad karta.tif", "A 43008-2023")</f>
        <v/>
      </c>
      <c r="AA114">
        <f>HYPERLINK("https://klasma.github.io/Logging_0482/klagomål/A 43008-2023 FSC-klagomål.docx", "A 43008-2023")</f>
        <v/>
      </c>
      <c r="AB114">
        <f>HYPERLINK("https://klasma.github.io/Logging_0482/klagomålsmail/A 43008-2023 FSC-klagomål mail.docx", "A 43008-2023")</f>
        <v/>
      </c>
      <c r="AC114">
        <f>HYPERLINK("https://klasma.github.io/Logging_0482/tillsyn/A 43008-2023 tillsynsbegäran.docx", "A 43008-2023")</f>
        <v/>
      </c>
      <c r="AD114">
        <f>HYPERLINK("https://klasma.github.io/Logging_0482/tillsynsmail/A 43008-2023 tillsynsbegäran mail.docx", "A 43008-2023")</f>
        <v/>
      </c>
    </row>
    <row r="115" ht="15" customHeight="1">
      <c r="A115" t="inlineStr">
        <is>
          <t>A 34721-2023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46282</v>
      </c>
      <c r="F115" t="inlineStr">
        <is>
          <t>SÖDERMANLANDS LÄN</t>
        </is>
      </c>
      <c r="G115" t="inlineStr">
        <is>
          <t>FLEN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34721-2023 artfynd.xlsx", "A 34721-2023")</f>
        <v/>
      </c>
      <c r="X115">
        <f>HYPERLINK("https://klasma.github.io/Logging_0482/kartor/A 34721-2023 karta.png", "A 34721-2023")</f>
        <v/>
      </c>
      <c r="Y115">
        <f>HYPERLINK("https://klasma.github.io/Logging_0482/kartor_geotiff/A 34721-2023 georefererad karta.tif", "A 34721-2023")</f>
        <v/>
      </c>
      <c r="AA115">
        <f>HYPERLINK("https://klasma.github.io/Logging_0482/klagomål/A 34721-2023 FSC-klagomål.docx", "A 34721-2023")</f>
        <v/>
      </c>
      <c r="AB115">
        <f>HYPERLINK("https://klasma.github.io/Logging_0482/klagomålsmail/A 34721-2023 FSC-klagomål mail.docx", "A 34721-2023")</f>
        <v/>
      </c>
      <c r="AC115">
        <f>HYPERLINK("https://klasma.github.io/Logging_0482/tillsyn/A 34721-2023 tillsynsbegäran.docx", "A 34721-2023")</f>
        <v/>
      </c>
      <c r="AD115">
        <f>HYPERLINK("https://klasma.github.io/Logging_0482/tillsynsmail/A 34721-2023 tillsynsbegäran mail.docx", "A 34721-2023")</f>
        <v/>
      </c>
    </row>
    <row r="116" ht="15" customHeight="1">
      <c r="A116" t="inlineStr">
        <is>
          <t>A 66230-2021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44518</v>
      </c>
      <c r="E116" s="1" t="n">
        <v>46282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66230-2021 artfynd.xlsx", "A 66230-2021")</f>
        <v/>
      </c>
      <c r="X116">
        <f>HYPERLINK("https://klasma.github.io/Logging_0482/kartor/A 66230-2021 karta.png", "A 66230-2021")</f>
        <v/>
      </c>
      <c r="Y116">
        <f>HYPERLINK("https://klasma.github.io/Logging_0482/kartor_geotiff/A 66230-2021 georefererad karta.tif", "A 66230-2021")</f>
        <v/>
      </c>
      <c r="AA116">
        <f>HYPERLINK("https://klasma.github.io/Logging_0482/klagomål/A 66230-2021 FSC-klagomål.docx", "A 66230-2021")</f>
        <v/>
      </c>
      <c r="AB116">
        <f>HYPERLINK("https://klasma.github.io/Logging_0482/klagomålsmail/A 66230-2021 FSC-klagomål mail.docx", "A 66230-2021")</f>
        <v/>
      </c>
      <c r="AC116">
        <f>HYPERLINK("https://klasma.github.io/Logging_0482/tillsyn/A 66230-2021 tillsynsbegäran.docx", "A 66230-2021")</f>
        <v/>
      </c>
      <c r="AD116">
        <f>HYPERLINK("https://klasma.github.io/Logging_0482/tillsynsmail/A 66230-2021 tillsynsbegäran mail.docx", "A 66230-2021")</f>
        <v/>
      </c>
    </row>
    <row r="117" ht="15" customHeight="1">
      <c r="A117" t="inlineStr">
        <is>
          <t>A 1242-2022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46282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Slåtterfibbla</t>
        </is>
      </c>
      <c r="W117">
        <f>HYPERLINK("https://klasma.github.io/Logging_0482/artfynd/A 1242-2022 artfynd.xlsx", "A 1242-2022")</f>
        <v/>
      </c>
      <c r="X117">
        <f>HYPERLINK("https://klasma.github.io/Logging_0482/kartor/A 1242-2022 karta.png", "A 1242-2022")</f>
        <v/>
      </c>
      <c r="Y117">
        <f>HYPERLINK("https://klasma.github.io/Logging_0482/kartor_geotiff/A 1242-2022 georefererad karta.tif", "A 1242-2022")</f>
        <v/>
      </c>
      <c r="AA117">
        <f>HYPERLINK("https://klasma.github.io/Logging_0482/klagomål/A 1242-2022 FSC-klagomål.docx", "A 1242-2022")</f>
        <v/>
      </c>
      <c r="AB117">
        <f>HYPERLINK("https://klasma.github.io/Logging_0482/klagomålsmail/A 1242-2022 FSC-klagomål mail.docx", "A 1242-2022")</f>
        <v/>
      </c>
      <c r="AC117">
        <f>HYPERLINK("https://klasma.github.io/Logging_0482/tillsyn/A 1242-2022 tillsynsbegäran.docx", "A 1242-2022")</f>
        <v/>
      </c>
      <c r="AD117">
        <f>HYPERLINK("https://klasma.github.io/Logging_0482/tillsynsmail/A 1242-2022 tillsynsbegäran mail.docx", "A 1242-2022")</f>
        <v/>
      </c>
    </row>
    <row r="118" ht="15" customHeight="1">
      <c r="A118" t="inlineStr">
        <is>
          <t>A 14101-2025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46282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HYPERLINK("https://klasma.github.io/Logging_0482/artfynd/A 14101-2025 artfynd.xlsx", "A 14101-2025")</f>
        <v/>
      </c>
      <c r="X118">
        <f>HYPERLINK("https://klasma.github.io/Logging_0482/kartor/A 14101-2025 karta.png", "A 14101-2025")</f>
        <v/>
      </c>
      <c r="Y118">
        <f>HYPERLINK("https://klasma.github.io/Logging_0482/kartor_geotiff/A 14101-2025 georefererad karta.tif", "A 14101-2025")</f>
        <v/>
      </c>
      <c r="AA118">
        <f>HYPERLINK("https://klasma.github.io/Logging_0482/klagomål/A 14101-2025 FSC-klagomål.docx", "A 14101-2025")</f>
        <v/>
      </c>
      <c r="AB118">
        <f>HYPERLINK("https://klasma.github.io/Logging_0482/klagomålsmail/A 14101-2025 FSC-klagomål mail.docx", "A 14101-2025")</f>
        <v/>
      </c>
      <c r="AC118">
        <f>HYPERLINK("https://klasma.github.io/Logging_0482/tillsyn/A 14101-2025 tillsynsbegäran.docx", "A 14101-2025")</f>
        <v/>
      </c>
      <c r="AD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37317-2023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46282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5.1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Svavelriska</t>
        </is>
      </c>
      <c r="W119">
        <f>HYPERLINK("https://klasma.github.io/Logging_0482/artfynd/A 37317-2023 artfynd.xlsx", "A 37317-2023")</f>
        <v/>
      </c>
      <c r="X119">
        <f>HYPERLINK("https://klasma.github.io/Logging_0482/kartor/A 37317-2023 karta.png", "A 37317-2023")</f>
        <v/>
      </c>
      <c r="Y119">
        <f>HYPERLINK("https://klasma.github.io/Logging_0482/kartor_geotiff/A 37317-2023 georefererad karta.tif", "A 37317-2023")</f>
        <v/>
      </c>
      <c r="AA119">
        <f>HYPERLINK("https://klasma.github.io/Logging_0482/klagomål/A 37317-2023 FSC-klagomål.docx", "A 37317-2023")</f>
        <v/>
      </c>
      <c r="AB119">
        <f>HYPERLINK("https://klasma.github.io/Logging_0482/klagomålsmail/A 37317-2023 FSC-klagomål mail.docx", "A 37317-2023")</f>
        <v/>
      </c>
      <c r="AC119">
        <f>HYPERLINK("https://klasma.github.io/Logging_0482/tillsyn/A 37317-2023 tillsynsbegäran.docx", "A 37317-2023")</f>
        <v/>
      </c>
      <c r="AD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60529-2024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46282</v>
      </c>
      <c r="F120" t="inlineStr">
        <is>
          <t>SÖDERMANLANDS LÄN</t>
        </is>
      </c>
      <c r="G120" t="inlineStr">
        <is>
          <t>FLEN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Skarp dropptaggsvamp</t>
        </is>
      </c>
      <c r="W120">
        <f>HYPERLINK("https://klasma.github.io/Logging_0482/artfynd/A 60529-2024 artfynd.xlsx", "A 60529-2024")</f>
        <v/>
      </c>
      <c r="X120">
        <f>HYPERLINK("https://klasma.github.io/Logging_0482/kartor/A 60529-2024 karta.png", "A 60529-2024")</f>
        <v/>
      </c>
      <c r="Y120">
        <f>HYPERLINK("https://klasma.github.io/Logging_0482/kartor_geotiff/A 60529-2024 georefererad karta.tif", "A 60529-2024")</f>
        <v/>
      </c>
      <c r="AA120">
        <f>HYPERLINK("https://klasma.github.io/Logging_0482/klagomål/A 60529-2024 FSC-klagomål.docx", "A 60529-2024")</f>
        <v/>
      </c>
      <c r="AB120">
        <f>HYPERLINK("https://klasma.github.io/Logging_0482/klagomålsmail/A 60529-2024 FSC-klagomål mail.docx", "A 60529-2024")</f>
        <v/>
      </c>
      <c r="AC120">
        <f>HYPERLINK("https://klasma.github.io/Logging_0482/tillsyn/A 60529-2024 tillsynsbegäran.docx", "A 60529-2024")</f>
        <v/>
      </c>
      <c r="AD120">
        <f>HYPERLINK("https://klasma.github.io/Logging_0482/tillsynsmail/A 60529-2024 tillsynsbegäran mail.docx", "A 60529-2024")</f>
        <v/>
      </c>
    </row>
    <row r="121" ht="15" customHeight="1">
      <c r="A121" t="inlineStr">
        <is>
          <t>A 53339-2023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46282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Blåsippa</t>
        </is>
      </c>
      <c r="W121">
        <f>HYPERLINK("https://klasma.github.io/Logging_0482/artfynd/A 53339-2023 artfynd.xlsx", "A 53339-2023")</f>
        <v/>
      </c>
      <c r="X121">
        <f>HYPERLINK("https://klasma.github.io/Logging_0482/kartor/A 53339-2023 karta.png", "A 53339-2023")</f>
        <v/>
      </c>
      <c r="Y121">
        <f>HYPERLINK("https://klasma.github.io/Logging_0482/kartor_geotiff/A 53339-2023 georefererad karta.tif", "A 53339-2023")</f>
        <v/>
      </c>
      <c r="AA121">
        <f>HYPERLINK("https://klasma.github.io/Logging_0482/klagomål/A 53339-2023 FSC-klagomål.docx", "A 53339-2023")</f>
        <v/>
      </c>
      <c r="AB121">
        <f>HYPERLINK("https://klasma.github.io/Logging_0482/klagomålsmail/A 53339-2023 FSC-klagomål mail.docx", "A 53339-2023")</f>
        <v/>
      </c>
      <c r="AC121">
        <f>HYPERLINK("https://klasma.github.io/Logging_0482/tillsyn/A 53339-2023 tillsynsbegäran.docx", "A 53339-2023")</f>
        <v/>
      </c>
      <c r="AD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52546-2021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44463</v>
      </c>
      <c r="E122" s="1" t="n">
        <v>46282</v>
      </c>
      <c r="F122" t="inlineStr">
        <is>
          <t>SÖDERMANLANDS LÄN</t>
        </is>
      </c>
      <c r="G122" t="inlineStr">
        <is>
          <t>FLEN</t>
        </is>
      </c>
      <c r="I122" t="n">
        <v>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Mindre bastardsvärmare</t>
        </is>
      </c>
      <c r="W122">
        <f>HYPERLINK("https://klasma.github.io/Logging_0482/artfynd/A 52546-2021 artfynd.xlsx", "A 52546-2021")</f>
        <v/>
      </c>
      <c r="X122">
        <f>HYPERLINK("https://klasma.github.io/Logging_0482/kartor/A 52546-2021 karta.png", "A 52546-2021")</f>
        <v/>
      </c>
      <c r="Y122">
        <f>HYPERLINK("https://klasma.github.io/Logging_0482/kartor_geotiff/A 52546-2021 georefererad karta.tif", "A 52546-2021")</f>
        <v/>
      </c>
      <c r="AA122">
        <f>HYPERLINK("https://klasma.github.io/Logging_0482/klagomål/A 52546-2021 FSC-klagomål.docx", "A 52546-2021")</f>
        <v/>
      </c>
      <c r="AB122">
        <f>HYPERLINK("https://klasma.github.io/Logging_0482/klagomålsmail/A 52546-2021 FSC-klagomål mail.docx", "A 52546-2021")</f>
        <v/>
      </c>
      <c r="AC122">
        <f>HYPERLINK("https://klasma.github.io/Logging_0482/tillsyn/A 52546-2021 tillsynsbegäran.docx", "A 52546-2021")</f>
        <v/>
      </c>
      <c r="AD122">
        <f>HYPERLINK("https://klasma.github.io/Logging_0482/tillsynsmail/A 52546-2021 tillsynsbegäran mail.docx", "A 52546-2021")</f>
        <v/>
      </c>
    </row>
    <row r="123" ht="15" customHeight="1">
      <c r="A123" t="inlineStr">
        <is>
          <t>A 21704-2026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46282</v>
      </c>
      <c r="F123" t="inlineStr">
        <is>
          <t>SÖDERMANLANDS LÄN</t>
        </is>
      </c>
      <c r="G123" t="inlineStr">
        <is>
          <t>FLEN</t>
        </is>
      </c>
      <c r="I123" t="n">
        <v>10.2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Kandelabersvamp</t>
        </is>
      </c>
      <c r="W123">
        <f>HYPERLINK("https://klasma.github.io/Logging_0482/artfynd/A 21704-2026 artfynd.xlsx", "A 21704-2026")</f>
        <v/>
      </c>
      <c r="X123">
        <f>HYPERLINK("https://klasma.github.io/Logging_0482/kartor/A 21704-2026 karta.png", "A 21704-2026")</f>
        <v/>
      </c>
      <c r="Y123">
        <f>HYPERLINK("https://klasma.github.io/Logging_0482/kartor_geotiff/A 21704-2026 georefererad karta.tif", "A 21704-2026")</f>
        <v/>
      </c>
      <c r="AA123">
        <f>HYPERLINK("https://klasma.github.io/Logging_0482/klagomål/A 21704-2026 FSC-klagomål.docx", "A 21704-2026")</f>
        <v/>
      </c>
      <c r="AB123">
        <f>HYPERLINK("https://klasma.github.io/Logging_0482/klagomålsmail/A 21704-2026 FSC-klagomål mail.docx", "A 21704-2026")</f>
        <v/>
      </c>
      <c r="AC123">
        <f>HYPERLINK("https://klasma.github.io/Logging_0482/tillsyn/A 21704-2026 tillsynsbegäran.docx", "A 21704-2026")</f>
        <v/>
      </c>
      <c r="AD123">
        <f>HYPERLINK("https://klasma.github.io/Logging_0482/tillsynsmail/A 21704-2026 tillsynsbegäran mail.docx", "A 21704-2026")</f>
        <v/>
      </c>
    </row>
    <row r="124" ht="15" customHeight="1">
      <c r="A124" t="inlineStr">
        <is>
          <t>A 46987-2024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45586</v>
      </c>
      <c r="E124" s="1" t="n">
        <v>46282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Svinrot</t>
        </is>
      </c>
      <c r="W124">
        <f>HYPERLINK("https://klasma.github.io/Logging_0482/artfynd/A 46987-2024 artfynd.xlsx", "A 46987-2024")</f>
        <v/>
      </c>
      <c r="X124">
        <f>HYPERLINK("https://klasma.github.io/Logging_0482/kartor/A 46987-2024 karta.png", "A 46987-2024")</f>
        <v/>
      </c>
      <c r="Y124">
        <f>HYPERLINK("https://klasma.github.io/Logging_0482/kartor_geotiff/A 46987-2024 georefererad karta.tif", "A 46987-2024")</f>
        <v/>
      </c>
      <c r="AA124">
        <f>HYPERLINK("https://klasma.github.io/Logging_0482/klagomål/A 46987-2024 FSC-klagomål.docx", "A 46987-2024")</f>
        <v/>
      </c>
      <c r="AB124">
        <f>HYPERLINK("https://klasma.github.io/Logging_0482/klagomålsmail/A 46987-2024 FSC-klagomål mail.docx", "A 46987-2024")</f>
        <v/>
      </c>
      <c r="AC124">
        <f>HYPERLINK("https://klasma.github.io/Logging_0482/tillsyn/A 46987-2024 tillsynsbegäran.docx", "A 46987-2024")</f>
        <v/>
      </c>
      <c r="AD124">
        <f>HYPERLINK("https://klasma.github.io/Logging_0482/tillsynsmail/A 46987-2024 tillsynsbegäran mail.docx", "A 46987-2024")</f>
        <v/>
      </c>
    </row>
    <row r="125" ht="15" customHeight="1">
      <c r="A125" t="inlineStr">
        <is>
          <t>A 10770-2022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44624</v>
      </c>
      <c r="E125" s="1" t="n">
        <v>46282</v>
      </c>
      <c r="F125" t="inlineStr">
        <is>
          <t>SÖDERMANLANDS LÄN</t>
        </is>
      </c>
      <c r="G125" t="inlineStr">
        <is>
          <t>FLEN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Svinrot</t>
        </is>
      </c>
      <c r="W125">
        <f>HYPERLINK("https://klasma.github.io/Logging_0482/artfynd/A 10770-2022 artfynd.xlsx", "A 10770-2022")</f>
        <v/>
      </c>
      <c r="X125">
        <f>HYPERLINK("https://klasma.github.io/Logging_0482/kartor/A 10770-2022 karta.png", "A 10770-2022")</f>
        <v/>
      </c>
      <c r="Y125">
        <f>HYPERLINK("https://klasma.github.io/Logging_0482/kartor_geotiff/A 10770-2022 georefererad karta.tif", "A 10770-2022")</f>
        <v/>
      </c>
      <c r="AA125">
        <f>HYPERLINK("https://klasma.github.io/Logging_0482/klagomål/A 10770-2022 FSC-klagomål.docx", "A 10770-2022")</f>
        <v/>
      </c>
      <c r="AB125">
        <f>HYPERLINK("https://klasma.github.io/Logging_0482/klagomålsmail/A 10770-2022 FSC-klagomål mail.docx", "A 10770-2022")</f>
        <v/>
      </c>
      <c r="AC125">
        <f>HYPERLINK("https://klasma.github.io/Logging_0482/tillsyn/A 10770-2022 tillsynsbegäran.docx", "A 10770-2022")</f>
        <v/>
      </c>
      <c r="AD125">
        <f>HYPERLINK("https://klasma.github.io/Logging_0482/tillsynsmail/A 10770-2022 tillsynsbegäran mail.docx", "A 10770-2022")</f>
        <v/>
      </c>
    </row>
    <row r="126" ht="15" customHeight="1">
      <c r="A126" t="inlineStr">
        <is>
          <t>A 39036-2023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46282</v>
      </c>
      <c r="F126" t="inlineStr">
        <is>
          <t>SÖDERMANLANDS LÄN</t>
        </is>
      </c>
      <c r="G126" t="inlineStr">
        <is>
          <t>FLEN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HYPERLINK("https://klasma.github.io/Logging_0482/artfynd/A 39036-2023 artfynd.xlsx", "A 39036-2023")</f>
        <v/>
      </c>
      <c r="X126">
        <f>HYPERLINK("https://klasma.github.io/Logging_0482/kartor/A 39036-2023 karta.png", "A 39036-2023")</f>
        <v/>
      </c>
      <c r="Y126">
        <f>HYPERLINK("https://klasma.github.io/Logging_0482/kartor_geotiff/A 39036-2023 georefererad karta.tif", "A 39036-2023")</f>
        <v/>
      </c>
      <c r="AA126">
        <f>HYPERLINK("https://klasma.github.io/Logging_0482/klagomål/A 39036-2023 FSC-klagomål.docx", "A 39036-2023")</f>
        <v/>
      </c>
      <c r="AB126">
        <f>HYPERLINK("https://klasma.github.io/Logging_0482/klagomålsmail/A 39036-2023 FSC-klagomål mail.docx", "A 39036-2023")</f>
        <v/>
      </c>
      <c r="AC126">
        <f>HYPERLINK("https://klasma.github.io/Logging_0482/tillsyn/A 39036-2023 tillsynsbegäran.docx", "A 39036-2023")</f>
        <v/>
      </c>
      <c r="AD126">
        <f>HYPERLINK("https://klasma.github.io/Logging_0482/tillsynsmail/A 39036-2023 tillsynsbegäran mail.docx", "A 39036-2023")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46282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12371-2022 artfynd.xlsx", "A 12371-2022")</f>
        <v/>
      </c>
      <c r="X127">
        <f>HYPERLINK("https://klasma.github.io/Logging_0482/kartor/A 12371-2022 karta.png", "A 12371-2022")</f>
        <v/>
      </c>
      <c r="Y127">
        <f>HYPERLINK("https://klasma.github.io/Logging_0482/kartor_geotiff/A 12371-2022 georefererad karta.tif", "A 12371-2022")</f>
        <v/>
      </c>
      <c r="AA127">
        <f>HYPERLINK("https://klasma.github.io/Logging_0482/klagomål/A 12371-2022 FSC-klagomål.docx", "A 12371-2022")</f>
        <v/>
      </c>
      <c r="AB127">
        <f>HYPERLINK("https://klasma.github.io/Logging_0482/klagomålsmail/A 12371-2022 FSC-klagomål mail.docx", "A 12371-2022")</f>
        <v/>
      </c>
      <c r="AC127">
        <f>HYPERLINK("https://klasma.github.io/Logging_0482/tillsyn/A 12371-2022 tillsynsbegäran.docx", "A 12371-2022")</f>
        <v/>
      </c>
      <c r="AD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60591-2022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44911</v>
      </c>
      <c r="E128" s="1" t="n">
        <v>46282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1.3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Grönpyrola</t>
        </is>
      </c>
      <c r="W128">
        <f>HYPERLINK("https://klasma.github.io/Logging_0482/artfynd/A 60591-2022 artfynd.xlsx", "A 60591-2022")</f>
        <v/>
      </c>
      <c r="X128">
        <f>HYPERLINK("https://klasma.github.io/Logging_0482/kartor/A 60591-2022 karta.png", "A 60591-2022")</f>
        <v/>
      </c>
      <c r="Y128">
        <f>HYPERLINK("https://klasma.github.io/Logging_0482/kartor_geotiff/A 60591-2022 georefererad karta.tif", "A 60591-2022")</f>
        <v/>
      </c>
      <c r="AA128">
        <f>HYPERLINK("https://klasma.github.io/Logging_0482/klagomål/A 60591-2022 FSC-klagomål.docx", "A 60591-2022")</f>
        <v/>
      </c>
      <c r="AB128">
        <f>HYPERLINK("https://klasma.github.io/Logging_0482/klagomålsmail/A 60591-2022 FSC-klagomål mail.docx", "A 60591-2022")</f>
        <v/>
      </c>
      <c r="AC128">
        <f>HYPERLINK("https://klasma.github.io/Logging_0482/tillsyn/A 60591-2022 tillsynsbegäran.docx", "A 60591-2022")</f>
        <v/>
      </c>
      <c r="AD128">
        <f>HYPERLINK("https://klasma.github.io/Logging_0482/tillsynsmail/A 60591-2022 tillsynsbegäran mail.docx", "A 60591-2022")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46282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24179-2026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46282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24179-2026 artfynd.xlsx", "A 24179-2026")</f>
        <v/>
      </c>
      <c r="X130">
        <f>HYPERLINK("https://klasma.github.io/Logging_0482/kartor/A 24179-2026 karta.png", "A 24179-2026")</f>
        <v/>
      </c>
      <c r="Y130">
        <f>HYPERLINK("https://klasma.github.io/Logging_0482/kartor_geotiff/A 24179-2026 georefererad karta.tif", "A 24179-2026")</f>
        <v/>
      </c>
      <c r="AA130">
        <f>HYPERLINK("https://klasma.github.io/Logging_0482/klagomål/A 24179-2026 FSC-klagomål.docx", "A 24179-2026")</f>
        <v/>
      </c>
      <c r="AB130">
        <f>HYPERLINK("https://klasma.github.io/Logging_0482/klagomålsmail/A 24179-2026 FSC-klagomål mail.docx", "A 24179-2026")</f>
        <v/>
      </c>
      <c r="AC130">
        <f>HYPERLINK("https://klasma.github.io/Logging_0482/tillsyn/A 24179-2026 tillsynsbegäran.docx", "A 24179-2026")</f>
        <v/>
      </c>
      <c r="AD130">
        <f>HYPERLINK("https://klasma.github.io/Logging_0482/tillsynsmail/A 24179-2026 tillsynsbegäran mail.docx", "A 24179-2026")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46282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46282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26310-2026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46282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HYPERLINK("https://klasma.github.io/Logging_0482/artfynd/A 26310-2026 artfynd.xlsx", "A 26310-2026")</f>
        <v/>
      </c>
      <c r="X133">
        <f>HYPERLINK("https://klasma.github.io/Logging_0482/kartor/A 26310-2026 karta.png", "A 26310-2026")</f>
        <v/>
      </c>
      <c r="Y133">
        <f>HYPERLINK("https://klasma.github.io/Logging_0482/kartor_geotiff/A 26310-2026 georefererad karta.tif", "A 26310-2026")</f>
        <v/>
      </c>
      <c r="AA133">
        <f>HYPERLINK("https://klasma.github.io/Logging_0482/klagomål/A 26310-2026 FSC-klagomål.docx", "A 26310-2026")</f>
        <v/>
      </c>
      <c r="AB133">
        <f>HYPERLINK("https://klasma.github.io/Logging_0482/klagomålsmail/A 26310-2026 FSC-klagomål mail.docx", "A 26310-2026")</f>
        <v/>
      </c>
      <c r="AC133">
        <f>HYPERLINK("https://klasma.github.io/Logging_0482/tillsyn/A 26310-2026 tillsynsbegäran.docx", "A 26310-2026")</f>
        <v/>
      </c>
      <c r="AD133">
        <f>HYPERLINK("https://klasma.github.io/Logging_0482/tillsynsmail/A 26310-2026 tillsynsbegäran mail.docx", "A 26310-2026")</f>
        <v/>
      </c>
      <c r="AE133">
        <f>HYPERLINK("https://klasma.github.io/Logging_0482/fåglar/A 26310-2026 prioriterade fågelarter.docx", "A 26310-2026")</f>
        <v/>
      </c>
    </row>
    <row r="134" ht="15" customHeight="1">
      <c r="A134" t="inlineStr">
        <is>
          <t>A 26052-2026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46282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HYPERLINK("https://klasma.github.io/Logging_0482/artfynd/A 26052-2026 artfynd.xlsx", "A 26052-2026")</f>
        <v/>
      </c>
      <c r="X134">
        <f>HYPERLINK("https://klasma.github.io/Logging_0482/kartor/A 26052-2026 karta.png", "A 26052-2026")</f>
        <v/>
      </c>
      <c r="Y134">
        <f>HYPERLINK("https://klasma.github.io/Logging_0482/kartor_geotiff/A 26052-2026 georefererad karta.tif", "A 26052-2026")</f>
        <v/>
      </c>
      <c r="AA134">
        <f>HYPERLINK("https://klasma.github.io/Logging_0482/klagomål/A 26052-2026 FSC-klagomål.docx", "A 26052-2026")</f>
        <v/>
      </c>
      <c r="AB134">
        <f>HYPERLINK("https://klasma.github.io/Logging_0482/klagomålsmail/A 26052-2026 FSC-klagomål mail.docx", "A 26052-2026")</f>
        <v/>
      </c>
      <c r="AC134">
        <f>HYPERLINK("https://klasma.github.io/Logging_0482/tillsyn/A 26052-2026 tillsynsbegäran.docx", "A 26052-2026")</f>
        <v/>
      </c>
      <c r="AD134">
        <f>HYPERLINK("https://klasma.github.io/Logging_0482/tillsynsmail/A 26052-2026 tillsynsbegäran mail.docx", "A 26052-2026")</f>
        <v/>
      </c>
    </row>
    <row r="135" ht="15" customHeight="1">
      <c r="A135" t="inlineStr">
        <is>
          <t>A 60562-2021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46282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60562-2021 artfynd.xlsx", "A 60562-2021")</f>
        <v/>
      </c>
      <c r="X135">
        <f>HYPERLINK("https://klasma.github.io/Logging_0482/kartor/A 60562-2021 karta.png", "A 60562-2021")</f>
        <v/>
      </c>
      <c r="Y135">
        <f>HYPERLINK("https://klasma.github.io/Logging_0482/kartor_geotiff/A 60562-2021 georefererad karta.tif", "A 60562-2021")</f>
        <v/>
      </c>
      <c r="AA135">
        <f>HYPERLINK("https://klasma.github.io/Logging_0482/klagomål/A 60562-2021 FSC-klagomål.docx", "A 60562-2021")</f>
        <v/>
      </c>
      <c r="AB135">
        <f>HYPERLINK("https://klasma.github.io/Logging_0482/klagomålsmail/A 60562-2021 FSC-klagomål mail.docx", "A 60562-2021")</f>
        <v/>
      </c>
      <c r="AC135">
        <f>HYPERLINK("https://klasma.github.io/Logging_0482/tillsyn/A 60562-2021 tillsynsbegäran.docx", "A 60562-2021")</f>
        <v/>
      </c>
      <c r="AD135">
        <f>HYPERLINK("https://klasma.github.io/Logging_0482/tillsynsmail/A 60562-2021 tillsynsbegäran mail.docx", "A 60562-2021")</f>
        <v/>
      </c>
    </row>
    <row r="136" ht="15" customHeight="1">
      <c r="A136" t="inlineStr">
        <is>
          <t>A 50202-2022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46282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5.8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50202-2022 artfynd.xlsx", "A 50202-2022")</f>
        <v/>
      </c>
      <c r="X136">
        <f>HYPERLINK("https://klasma.github.io/Logging_0482/kartor/A 50202-2022 karta.png", "A 50202-2022")</f>
        <v/>
      </c>
      <c r="Y136">
        <f>HYPERLINK("https://klasma.github.io/Logging_0482/kartor_geotiff/A 50202-2022 georefererad karta.tif", "A 50202-2022")</f>
        <v/>
      </c>
      <c r="AA136">
        <f>HYPERLINK("https://klasma.github.io/Logging_0482/klagomål/A 50202-2022 FSC-klagomål.docx", "A 50202-2022")</f>
        <v/>
      </c>
      <c r="AB136">
        <f>HYPERLINK("https://klasma.github.io/Logging_0482/klagomålsmail/A 50202-2022 FSC-klagomål mail.docx", "A 50202-2022")</f>
        <v/>
      </c>
      <c r="AC136">
        <f>HYPERLINK("https://klasma.github.io/Logging_0482/tillsyn/A 50202-2022 tillsynsbegäran.docx", "A 50202-2022")</f>
        <v/>
      </c>
      <c r="AD136">
        <f>HYPERLINK("https://klasma.github.io/Logging_0482/tillsynsmail/A 50202-2022 tillsynsbegäran mail.docx", "A 50202-2022")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46282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12056-2024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46282</v>
      </c>
      <c r="F138" t="inlineStr">
        <is>
          <t>SÖDERMANLANDS LÄN</t>
        </is>
      </c>
      <c r="G138" t="inlineStr">
        <is>
          <t>FLEN</t>
        </is>
      </c>
      <c r="I138" t="n">
        <v>8.4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Fjällig taggsvamp s.str.</t>
        </is>
      </c>
      <c r="W138">
        <f>HYPERLINK("https://klasma.github.io/Logging_0482/artfynd/A 12056-2024 artfynd.xlsx", "A 12056-2024")</f>
        <v/>
      </c>
      <c r="X138">
        <f>HYPERLINK("https://klasma.github.io/Logging_0482/kartor/A 12056-2024 karta.png", "A 12056-2024")</f>
        <v/>
      </c>
      <c r="Y138">
        <f>HYPERLINK("https://klasma.github.io/Logging_0482/kartor_geotiff/A 12056-2024 georefererad karta.tif", "A 12056-2024")</f>
        <v/>
      </c>
      <c r="AA138">
        <f>HYPERLINK("https://klasma.github.io/Logging_0482/klagomål/A 12056-2024 FSC-klagomål.docx", "A 12056-2024")</f>
        <v/>
      </c>
      <c r="AB138">
        <f>HYPERLINK("https://klasma.github.io/Logging_0482/klagomålsmail/A 12056-2024 FSC-klagomål mail.docx", "A 12056-2024")</f>
        <v/>
      </c>
      <c r="AC138">
        <f>HYPERLINK("https://klasma.github.io/Logging_0482/tillsyn/A 12056-2024 tillsynsbegäran.docx", "A 12056-2024")</f>
        <v/>
      </c>
      <c r="AD138">
        <f>HYPERLINK("https://klasma.github.io/Logging_0482/tillsynsmail/A 12056-2024 tillsynsbegäran mail.docx", "A 12056-2024")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46282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47756-2022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44854</v>
      </c>
      <c r="E140" s="1" t="n">
        <v>46282</v>
      </c>
      <c r="F140" t="inlineStr">
        <is>
          <t>SÖDERMANLANDS LÄN</t>
        </is>
      </c>
      <c r="G140" t="inlineStr">
        <is>
          <t>FLEN</t>
        </is>
      </c>
      <c r="I140" t="n">
        <v>2.4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Svinrot</t>
        </is>
      </c>
      <c r="W140">
        <f>HYPERLINK("https://klasma.github.io/Logging_0482/artfynd/A 47756-2022 artfynd.xlsx", "A 47756-2022")</f>
        <v/>
      </c>
      <c r="X140">
        <f>HYPERLINK("https://klasma.github.io/Logging_0482/kartor/A 47756-2022 karta.png", "A 47756-2022")</f>
        <v/>
      </c>
      <c r="Y140">
        <f>HYPERLINK("https://klasma.github.io/Logging_0482/kartor_geotiff/A 47756-2022 georefererad karta.tif", "A 47756-2022")</f>
        <v/>
      </c>
      <c r="AA140">
        <f>HYPERLINK("https://klasma.github.io/Logging_0482/klagomål/A 47756-2022 FSC-klagomål.docx", "A 47756-2022")</f>
        <v/>
      </c>
      <c r="AB140">
        <f>HYPERLINK("https://klasma.github.io/Logging_0482/klagomålsmail/A 47756-2022 FSC-klagomål mail.docx", "A 47756-2022")</f>
        <v/>
      </c>
      <c r="AC140">
        <f>HYPERLINK("https://klasma.github.io/Logging_0482/tillsyn/A 47756-2022 tillsynsbegäran.docx", "A 47756-2022")</f>
        <v/>
      </c>
      <c r="AD140">
        <f>HYPERLINK("https://klasma.github.io/Logging_0482/tillsynsmail/A 47756-2022 tillsynsbegäran mail.docx", "A 47756-2022")</f>
        <v/>
      </c>
    </row>
    <row r="141" ht="15" customHeight="1">
      <c r="A141" t="inlineStr">
        <is>
          <t>A 62535-2021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46282</v>
      </c>
      <c r="F141" t="inlineStr">
        <is>
          <t>SÖDERMANLANDS LÄN</t>
        </is>
      </c>
      <c r="G141" t="inlineStr">
        <is>
          <t>FLEN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HYPERLINK("https://klasma.github.io/Logging_0482/artfynd/A 62535-2021 artfynd.xlsx", "A 62535-2021")</f>
        <v/>
      </c>
      <c r="X141">
        <f>HYPERLINK("https://klasma.github.io/Logging_0482/kartor/A 62535-2021 karta.png", "A 62535-2021")</f>
        <v/>
      </c>
      <c r="Y141">
        <f>HYPERLINK("https://klasma.github.io/Logging_0482/kartor_geotiff/A 62535-2021 georefererad karta.tif", "A 62535-2021")</f>
        <v/>
      </c>
      <c r="AA141">
        <f>HYPERLINK("https://klasma.github.io/Logging_0482/klagomål/A 62535-2021 FSC-klagomål.docx", "A 62535-2021")</f>
        <v/>
      </c>
      <c r="AB141">
        <f>HYPERLINK("https://klasma.github.io/Logging_0482/klagomålsmail/A 62535-2021 FSC-klagomål mail.docx", "A 62535-2021")</f>
        <v/>
      </c>
      <c r="AC141">
        <f>HYPERLINK("https://klasma.github.io/Logging_0482/tillsyn/A 62535-2021 tillsynsbegäran.docx", "A 62535-2021")</f>
        <v/>
      </c>
      <c r="AD141">
        <f>HYPERLINK("https://klasma.github.io/Logging_0482/tillsynsmail/A 62535-2021 tillsynsbegäran mail.docx", "A 62535-2021")</f>
        <v/>
      </c>
    </row>
    <row r="142" ht="15" customHeight="1">
      <c r="A142" t="inlineStr">
        <is>
          <t>A 14273-2025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45740</v>
      </c>
      <c r="E142" s="1" t="n">
        <v>46282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3.1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Vedskivlav</t>
        </is>
      </c>
      <c r="W142">
        <f>HYPERLINK("https://klasma.github.io/Logging_0482/artfynd/A 14273-2025 artfynd.xlsx", "A 14273-2025")</f>
        <v/>
      </c>
      <c r="X142">
        <f>HYPERLINK("https://klasma.github.io/Logging_0482/kartor/A 14273-2025 karta.png", "A 14273-2025")</f>
        <v/>
      </c>
      <c r="Y142">
        <f>HYPERLINK("https://klasma.github.io/Logging_0482/kartor_geotiff/A 14273-2025 georefererad karta.tif", "A 14273-2025")</f>
        <v/>
      </c>
      <c r="AA142">
        <f>HYPERLINK("https://klasma.github.io/Logging_0482/klagomål/A 14273-2025 FSC-klagomål.docx", "A 14273-2025")</f>
        <v/>
      </c>
      <c r="AB142">
        <f>HYPERLINK("https://klasma.github.io/Logging_0482/klagomålsmail/A 14273-2025 FSC-klagomål mail.docx", "A 14273-2025")</f>
        <v/>
      </c>
      <c r="AC142">
        <f>HYPERLINK("https://klasma.github.io/Logging_0482/tillsyn/A 14273-2025 tillsynsbegäran.docx", "A 14273-2025")</f>
        <v/>
      </c>
      <c r="AD142">
        <f>HYPERLINK("https://klasma.github.io/Logging_0482/tillsynsmail/A 14273-2025 tillsynsbegäran mail.docx", "A 14273-2025")</f>
        <v/>
      </c>
    </row>
    <row r="143" ht="15" customHeight="1">
      <c r="A143" t="inlineStr">
        <is>
          <t>A 49820-2023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46282</v>
      </c>
      <c r="F143" t="inlineStr">
        <is>
          <t>SÖDERMANLANDS LÄN</t>
        </is>
      </c>
      <c r="G143" t="inlineStr">
        <is>
          <t>FLEN</t>
        </is>
      </c>
      <c r="I143" t="n">
        <v>3.2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Gullviva</t>
        </is>
      </c>
      <c r="W143">
        <f>HYPERLINK("https://klasma.github.io/Logging_0482/artfynd/A 49820-2023 artfynd.xlsx", "A 49820-2023")</f>
        <v/>
      </c>
      <c r="X143">
        <f>HYPERLINK("https://klasma.github.io/Logging_0482/kartor/A 49820-2023 karta.png", "A 49820-2023")</f>
        <v/>
      </c>
      <c r="Y143">
        <f>HYPERLINK("https://klasma.github.io/Logging_0482/kartor_geotiff/A 49820-2023 georefererad karta.tif", "A 49820-2023")</f>
        <v/>
      </c>
      <c r="AA143">
        <f>HYPERLINK("https://klasma.github.io/Logging_0482/klagomål/A 49820-2023 FSC-klagomål.docx", "A 49820-2023")</f>
        <v/>
      </c>
      <c r="AB143">
        <f>HYPERLINK("https://klasma.github.io/Logging_0482/klagomålsmail/A 49820-2023 FSC-klagomål mail.docx", "A 49820-2023")</f>
        <v/>
      </c>
      <c r="AC143">
        <f>HYPERLINK("https://klasma.github.io/Logging_0482/tillsyn/A 49820-2023 tillsynsbegäran.docx", "A 49820-2023")</f>
        <v/>
      </c>
      <c r="AD143">
        <f>HYPERLINK("https://klasma.github.io/Logging_0482/tillsynsmail/A 49820-2023 tillsynsbegäran mail.docx", "A 49820-2023")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46282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46115-2023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46282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HYPERLINK("https://klasma.github.io/Logging_0482/artfynd/A 46115-2023 artfynd.xlsx", "A 46115-2023")</f>
        <v/>
      </c>
      <c r="X145">
        <f>HYPERLINK("https://klasma.github.io/Logging_0482/kartor/A 46115-2023 karta.png", "A 46115-2023")</f>
        <v/>
      </c>
      <c r="Y145">
        <f>HYPERLINK("https://klasma.github.io/Logging_0482/kartor_geotiff/A 46115-2023 georefererad karta.tif", "A 46115-2023")</f>
        <v/>
      </c>
      <c r="AA145">
        <f>HYPERLINK("https://klasma.github.io/Logging_0482/klagomål/A 46115-2023 FSC-klagomål.docx", "A 46115-2023")</f>
        <v/>
      </c>
      <c r="AB145">
        <f>HYPERLINK("https://klasma.github.io/Logging_0482/klagomålsmail/A 46115-2023 FSC-klagomål mail.docx", "A 46115-2023")</f>
        <v/>
      </c>
      <c r="AC145">
        <f>HYPERLINK("https://klasma.github.io/Logging_0482/tillsyn/A 46115-2023 tillsynsbegäran.docx", "A 46115-2023")</f>
        <v/>
      </c>
      <c r="AD145">
        <f>HYPERLINK("https://klasma.github.io/Logging_0482/tillsynsmail/A 46115-2023 tillsynsbegäran mail.docx", "A 46115-2023")</f>
        <v/>
      </c>
    </row>
    <row r="146" ht="15" customHeight="1">
      <c r="A146" t="inlineStr">
        <is>
          <t>A 56308-2024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46282</v>
      </c>
      <c r="F146" t="inlineStr">
        <is>
          <t>SÖDERMANLANDS LÄN</t>
        </is>
      </c>
      <c r="G146" t="inlineStr">
        <is>
          <t>FLEN</t>
        </is>
      </c>
      <c r="I146" t="n">
        <v>2.1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Gullklöver</t>
        </is>
      </c>
      <c r="W146">
        <f>HYPERLINK("https://klasma.github.io/Logging_0482/artfynd/A 56308-2024 artfynd.xlsx", "A 56308-2024")</f>
        <v/>
      </c>
      <c r="X146">
        <f>HYPERLINK("https://klasma.github.io/Logging_0482/kartor/A 56308-2024 karta.png", "A 56308-2024")</f>
        <v/>
      </c>
      <c r="Y146">
        <f>HYPERLINK("https://klasma.github.io/Logging_0482/kartor_geotiff/A 56308-2024 georefererad karta.tif", "A 56308-2024")</f>
        <v/>
      </c>
      <c r="AA146">
        <f>HYPERLINK("https://klasma.github.io/Logging_0482/klagomål/A 56308-2024 FSC-klagomål.docx", "A 56308-2024")</f>
        <v/>
      </c>
      <c r="AB146">
        <f>HYPERLINK("https://klasma.github.io/Logging_0482/klagomålsmail/A 56308-2024 FSC-klagomål mail.docx", "A 56308-2024")</f>
        <v/>
      </c>
      <c r="AC146">
        <f>HYPERLINK("https://klasma.github.io/Logging_0482/tillsyn/A 56308-2024 tillsynsbegäran.docx", "A 56308-2024")</f>
        <v/>
      </c>
      <c r="AD146">
        <f>HYPERLINK("https://klasma.github.io/Logging_0482/tillsynsmail/A 56308-2024 tillsynsbegäran mail.docx", "A 56308-2024")</f>
        <v/>
      </c>
    </row>
    <row r="147" ht="15" customHeight="1">
      <c r="A147" t="inlineStr">
        <is>
          <t>A 62223-2021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46282</v>
      </c>
      <c r="F147" t="inlineStr">
        <is>
          <t>SÖDERMANLANDS LÄN</t>
        </is>
      </c>
      <c r="G147" t="inlineStr">
        <is>
          <t>FLEN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44724</v>
      </c>
      <c r="E148" s="1" t="n">
        <v>46282</v>
      </c>
      <c r="F148" t="inlineStr">
        <is>
          <t>SÖDERMANLANDS LÄN</t>
        </is>
      </c>
      <c r="G148" t="inlineStr">
        <is>
          <t>FLEN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70701-2021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44536</v>
      </c>
      <c r="E149" s="1" t="n">
        <v>46282</v>
      </c>
      <c r="F149" t="inlineStr">
        <is>
          <t>SÖDERMANLANDS LÄN</t>
        </is>
      </c>
      <c r="G149" t="inlineStr">
        <is>
          <t>FLEN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44458</v>
      </c>
      <c r="E150" s="1" t="n">
        <v>46282</v>
      </c>
      <c r="F150" t="inlineStr">
        <is>
          <t>SÖDERMANLANDS LÄN</t>
        </is>
      </c>
      <c r="G150" t="inlineStr">
        <is>
          <t>FLEN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44614</v>
      </c>
      <c r="E151" s="1" t="n">
        <v>46282</v>
      </c>
      <c r="F151" t="inlineStr">
        <is>
          <t>SÖDERMANLANDS LÄN</t>
        </is>
      </c>
      <c r="G151" t="inlineStr">
        <is>
          <t>FLEN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70215-2021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44535</v>
      </c>
      <c r="E152" s="1" t="n">
        <v>46282</v>
      </c>
      <c r="F152" t="inlineStr">
        <is>
          <t>SÖDERMANLANDS LÄN</t>
        </is>
      </c>
      <c r="G152" t="inlineStr">
        <is>
          <t>FLEN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44722</v>
      </c>
      <c r="E153" s="1" t="n">
        <v>46282</v>
      </c>
      <c r="F153" t="inlineStr">
        <is>
          <t>SÖDERMANLANDS LÄN</t>
        </is>
      </c>
      <c r="G153" t="inlineStr">
        <is>
          <t>FLEN</t>
        </is>
      </c>
      <c r="H153" t="inlineStr">
        <is>
          <t>Kyrkan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44869</v>
      </c>
      <c r="E154" s="1" t="n">
        <v>46282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44473</v>
      </c>
      <c r="E155" s="1" t="n">
        <v>46282</v>
      </c>
      <c r="F155" t="inlineStr">
        <is>
          <t>SÖDERMANLANDS LÄN</t>
        </is>
      </c>
      <c r="G155" t="inlineStr">
        <is>
          <t>FLEN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44608</v>
      </c>
      <c r="E156" s="1" t="n">
        <v>46282</v>
      </c>
      <c r="F156" t="inlineStr">
        <is>
          <t>SÖDERMANLANDS LÄN</t>
        </is>
      </c>
      <c r="G156" t="inlineStr">
        <is>
          <t>FLEN</t>
        </is>
      </c>
      <c r="H156" t="inlineStr">
        <is>
          <t>Övriga statliga verk och myndigheter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44752</v>
      </c>
      <c r="E157" s="1" t="n">
        <v>46282</v>
      </c>
      <c r="F157" t="inlineStr">
        <is>
          <t>SÖDERMANLANDS LÄN</t>
        </is>
      </c>
      <c r="G157" t="inlineStr">
        <is>
          <t>FLEN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44720</v>
      </c>
      <c r="E158" s="1" t="n">
        <v>46282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44873</v>
      </c>
      <c r="E159" s="1" t="n">
        <v>46282</v>
      </c>
      <c r="F159" t="inlineStr">
        <is>
          <t>SÖDERMANLANDS LÄN</t>
        </is>
      </c>
      <c r="G159" t="inlineStr">
        <is>
          <t>FLEN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46282</v>
      </c>
      <c r="F160" t="inlineStr">
        <is>
          <t>SÖDERMANLANDS LÄN</t>
        </is>
      </c>
      <c r="G160" t="inlineStr">
        <is>
          <t>FLEN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46282</v>
      </c>
      <c r="F161" t="inlineStr">
        <is>
          <t>SÖDERMANLANDS LÄN</t>
        </is>
      </c>
      <c r="G161" t="inlineStr">
        <is>
          <t>FLEN</t>
        </is>
      </c>
      <c r="H161" t="inlineStr">
        <is>
          <t>Holmen skog AB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27992-2022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44745</v>
      </c>
      <c r="E162" s="1" t="n">
        <v>46282</v>
      </c>
      <c r="F162" t="inlineStr">
        <is>
          <t>SÖDERMANLANDS LÄN</t>
        </is>
      </c>
      <c r="G162" t="inlineStr">
        <is>
          <t>FLEN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46282</v>
      </c>
      <c r="F163" t="inlineStr">
        <is>
          <t>SÖDERMANLANDS LÄN</t>
        </is>
      </c>
      <c r="G163" t="inlineStr">
        <is>
          <t>FLEN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46282</v>
      </c>
      <c r="F164" t="inlineStr">
        <is>
          <t>SÖDERMANLANDS LÄN</t>
        </is>
      </c>
      <c r="G164" t="inlineStr">
        <is>
          <t>FLEN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44807</v>
      </c>
      <c r="E165" s="1" t="n">
        <v>46282</v>
      </c>
      <c r="F165" t="inlineStr">
        <is>
          <t>SÖDERMANLANDS LÄN</t>
        </is>
      </c>
      <c r="G165" t="inlineStr">
        <is>
          <t>FLEN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48791-2022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44855</v>
      </c>
      <c r="E166" s="1" t="n">
        <v>46282</v>
      </c>
      <c r="F166" t="inlineStr">
        <is>
          <t>SÖDERMANLANDS LÄN</t>
        </is>
      </c>
      <c r="G166" t="inlineStr">
        <is>
          <t>FLEN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46282</v>
      </c>
      <c r="F167" t="inlineStr">
        <is>
          <t>SÖDERMANLANDS LÄN</t>
        </is>
      </c>
      <c r="G167" t="inlineStr">
        <is>
          <t>FLEN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52519-2021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46282</v>
      </c>
      <c r="F168" t="inlineStr">
        <is>
          <t>SÖDERMANLANDS LÄN</t>
        </is>
      </c>
      <c r="G168" t="inlineStr">
        <is>
          <t>FLEN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44739</v>
      </c>
      <c r="E169" s="1" t="n">
        <v>46282</v>
      </c>
      <c r="F169" t="inlineStr">
        <is>
          <t>SÖDERMANLANDS LÄN</t>
        </is>
      </c>
      <c r="G169" t="inlineStr">
        <is>
          <t>FLEN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44770</v>
      </c>
      <c r="E170" s="1" t="n">
        <v>46282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46282</v>
      </c>
      <c r="F171" t="inlineStr">
        <is>
          <t>SÖDERMANLANDS LÄN</t>
        </is>
      </c>
      <c r="G171" t="inlineStr">
        <is>
          <t>FLEN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12608-2022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44640</v>
      </c>
      <c r="E172" s="1" t="n">
        <v>46282</v>
      </c>
      <c r="F172" t="inlineStr">
        <is>
          <t>SÖDERMANLANDS LÄN</t>
        </is>
      </c>
      <c r="G172" t="inlineStr">
        <is>
          <t>FLEN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46282</v>
      </c>
      <c r="F173" t="inlineStr">
        <is>
          <t>SÖDERMANLANDS LÄN</t>
        </is>
      </c>
      <c r="G173" t="inlineStr">
        <is>
          <t>FLEN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46282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44643</v>
      </c>
      <c r="E175" s="1" t="n">
        <v>46282</v>
      </c>
      <c r="F175" t="inlineStr">
        <is>
          <t>SÖDERMANLANDS LÄN</t>
        </is>
      </c>
      <c r="G175" t="inlineStr">
        <is>
          <t>FLEN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54840-2021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46282</v>
      </c>
      <c r="F176" t="inlineStr">
        <is>
          <t>SÖDERMANLANDS LÄN</t>
        </is>
      </c>
      <c r="G176" t="inlineStr">
        <is>
          <t>FLEN</t>
        </is>
      </c>
      <c r="H176" t="inlineStr">
        <is>
          <t>Holmen skog AB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32098-2022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44778</v>
      </c>
      <c r="E177" s="1" t="n">
        <v>46282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46282</v>
      </c>
      <c r="F178" t="inlineStr">
        <is>
          <t>SÖDERMANLANDS LÄN</t>
        </is>
      </c>
      <c r="G178" t="inlineStr">
        <is>
          <t>FLEN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46282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44161-2022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46282</v>
      </c>
      <c r="F180" t="inlineStr">
        <is>
          <t>SÖDERMANLANDS LÄN</t>
        </is>
      </c>
      <c r="G180" t="inlineStr">
        <is>
          <t>FLEN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46282</v>
      </c>
      <c r="F181" t="inlineStr">
        <is>
          <t>SÖDERMANLANDS LÄN</t>
        </is>
      </c>
      <c r="G181" t="inlineStr">
        <is>
          <t>FLEN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47759-2022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44854</v>
      </c>
      <c r="E182" s="1" t="n">
        <v>46282</v>
      </c>
      <c r="F182" t="inlineStr">
        <is>
          <t>SÖDERMANLANDS LÄN</t>
        </is>
      </c>
      <c r="G182" t="inlineStr">
        <is>
          <t>FLEN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44697</v>
      </c>
      <c r="E183" s="1" t="n">
        <v>46282</v>
      </c>
      <c r="F183" t="inlineStr">
        <is>
          <t>SÖDERMANLANDS LÄN</t>
        </is>
      </c>
      <c r="G183" t="inlineStr">
        <is>
          <t>FLEN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46282</v>
      </c>
      <c r="F184" t="inlineStr">
        <is>
          <t>SÖDERMANLANDS LÄN</t>
        </is>
      </c>
      <c r="G184" t="inlineStr">
        <is>
          <t>FLEN</t>
        </is>
      </c>
      <c r="H184" t="inlineStr">
        <is>
          <t>Övriga statliga verk och myndigheter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44769</v>
      </c>
      <c r="E185" s="1" t="n">
        <v>46282</v>
      </c>
      <c r="F185" t="inlineStr">
        <is>
          <t>SÖDERMANLANDS LÄN</t>
        </is>
      </c>
      <c r="G185" t="inlineStr">
        <is>
          <t>FLEN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44846</v>
      </c>
      <c r="E186" s="1" t="n">
        <v>46282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12171-2022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44636</v>
      </c>
      <c r="E187" s="1" t="n">
        <v>46282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29378-2022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44752</v>
      </c>
      <c r="E188" s="1" t="n">
        <v>46282</v>
      </c>
      <c r="F188" t="inlineStr">
        <is>
          <t>SÖDERMANLANDS LÄN</t>
        </is>
      </c>
      <c r="G188" t="inlineStr">
        <is>
          <t>FLEN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29384-2022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44752</v>
      </c>
      <c r="E189" s="1" t="n">
        <v>46282</v>
      </c>
      <c r="F189" t="inlineStr">
        <is>
          <t>SÖDERMANLANDS LÄN</t>
        </is>
      </c>
      <c r="G189" t="inlineStr">
        <is>
          <t>FLEN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44566</v>
      </c>
      <c r="E190" s="1" t="n">
        <v>46282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46282</v>
      </c>
      <c r="F191" t="inlineStr">
        <is>
          <t>SÖDERMANLANDS LÄN</t>
        </is>
      </c>
      <c r="G191" t="inlineStr">
        <is>
          <t>FLEN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8301-2022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44610</v>
      </c>
      <c r="E192" s="1" t="n">
        <v>46282</v>
      </c>
      <c r="F192" t="inlineStr">
        <is>
          <t>SÖDERMANLANDS LÄN</t>
        </is>
      </c>
      <c r="G192" t="inlineStr">
        <is>
          <t>FLEN</t>
        </is>
      </c>
      <c r="H192" t="inlineStr">
        <is>
          <t>Övriga statliga verk och myndigheter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13533-2022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44643</v>
      </c>
      <c r="E193" s="1" t="n">
        <v>46282</v>
      </c>
      <c r="F193" t="inlineStr">
        <is>
          <t>SÖDERMANLANDS LÄN</t>
        </is>
      </c>
      <c r="G193" t="inlineStr">
        <is>
          <t>FLEN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46282</v>
      </c>
      <c r="F194" t="inlineStr">
        <is>
          <t>SÖDERMANLANDS LÄN</t>
        </is>
      </c>
      <c r="G194" t="inlineStr">
        <is>
          <t>FLEN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44636</v>
      </c>
      <c r="E195" s="1" t="n">
        <v>46282</v>
      </c>
      <c r="F195" t="inlineStr">
        <is>
          <t>SÖDERMANLANDS LÄN</t>
        </is>
      </c>
      <c r="G195" t="inlineStr">
        <is>
          <t>FLEN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44818</v>
      </c>
      <c r="E196" s="1" t="n">
        <v>46282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9257-2023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46282</v>
      </c>
      <c r="F197" t="inlineStr">
        <is>
          <t>SÖDERMANLANDS LÄN</t>
        </is>
      </c>
      <c r="G197" t="inlineStr">
        <is>
          <t>FLEN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35507-2024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46282</v>
      </c>
      <c r="F198" t="inlineStr">
        <is>
          <t>SÖDERMANLANDS LÄN</t>
        </is>
      </c>
      <c r="G198" t="inlineStr">
        <is>
          <t>FLEN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45555</v>
      </c>
      <c r="E199" s="1" t="n">
        <v>46282</v>
      </c>
      <c r="F199" t="inlineStr">
        <is>
          <t>SÖDERMANLANDS LÄN</t>
        </is>
      </c>
      <c r="G199" t="inlineStr">
        <is>
          <t>FLEN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12277-2024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45378</v>
      </c>
      <c r="E200" s="1" t="n">
        <v>46282</v>
      </c>
      <c r="F200" t="inlineStr">
        <is>
          <t>SÖDERMANLANDS LÄN</t>
        </is>
      </c>
      <c r="G200" t="inlineStr">
        <is>
          <t>FLEN</t>
        </is>
      </c>
      <c r="H200" t="inlineStr">
        <is>
          <t>Holmen skog AB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69588-2021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46282</v>
      </c>
      <c r="F201" t="inlineStr">
        <is>
          <t>SÖDERMANLANDS LÄN</t>
        </is>
      </c>
      <c r="G201" t="inlineStr">
        <is>
          <t>FLEN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65869-2021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46282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44785</v>
      </c>
      <c r="E203" s="1" t="n">
        <v>46282</v>
      </c>
      <c r="F203" t="inlineStr">
        <is>
          <t>SÖDERMANLANDS LÄN</t>
        </is>
      </c>
      <c r="G203" t="inlineStr">
        <is>
          <t>FLEN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44868</v>
      </c>
      <c r="E204" s="1" t="n">
        <v>46282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44986</v>
      </c>
      <c r="E205" s="1" t="n">
        <v>46282</v>
      </c>
      <c r="F205" t="inlineStr">
        <is>
          <t>SÖDERMANLANDS LÄN</t>
        </is>
      </c>
      <c r="G205" t="inlineStr">
        <is>
          <t>FLEN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60937-2022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46282</v>
      </c>
      <c r="F206" t="inlineStr">
        <is>
          <t>SÖDERMANLANDS LÄN</t>
        </is>
      </c>
      <c r="G206" t="inlineStr">
        <is>
          <t>FLEN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60255-2021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46282</v>
      </c>
      <c r="F207" t="inlineStr">
        <is>
          <t>SÖDERMANLANDS LÄN</t>
        </is>
      </c>
      <c r="G207" t="inlineStr">
        <is>
          <t>FLEN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72314-2021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44544</v>
      </c>
      <c r="E208" s="1" t="n">
        <v>46282</v>
      </c>
      <c r="F208" t="inlineStr">
        <is>
          <t>SÖDERMANLANDS LÄN</t>
        </is>
      </c>
      <c r="G208" t="inlineStr">
        <is>
          <t>FLEN</t>
        </is>
      </c>
      <c r="I208" t="n">
        <v>13.8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54666-2021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46282</v>
      </c>
      <c r="F209" t="inlineStr">
        <is>
          <t>SÖDERMANLANDS LÄN</t>
        </is>
      </c>
      <c r="G209" t="inlineStr">
        <is>
          <t>FLEN</t>
        </is>
      </c>
      <c r="I209" t="n">
        <v>10.1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58834-2024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45636</v>
      </c>
      <c r="E210" s="1" t="n">
        <v>46282</v>
      </c>
      <c r="F210" t="inlineStr">
        <is>
          <t>SÖDERMANLANDS LÄN</t>
        </is>
      </c>
      <c r="G210" t="inlineStr">
        <is>
          <t>FLEN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45068</v>
      </c>
      <c r="E211" s="1" t="n">
        <v>46282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45510</v>
      </c>
      <c r="E212" s="1" t="n">
        <v>46282</v>
      </c>
      <c r="F212" t="inlineStr">
        <is>
          <t>SÖDERMANLANDS LÄN</t>
        </is>
      </c>
      <c r="G212" t="inlineStr">
        <is>
          <t>FLEN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46282</v>
      </c>
      <c r="F213" t="inlineStr">
        <is>
          <t>SÖDERMANLANDS LÄN</t>
        </is>
      </c>
      <c r="G213" t="inlineStr">
        <is>
          <t>FLEN</t>
        </is>
      </c>
      <c r="H213" t="inlineStr">
        <is>
          <t>Övriga statliga verk och myndigheter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46282</v>
      </c>
      <c r="F214" t="inlineStr">
        <is>
          <t>SÖDERMANLANDS LÄN</t>
        </is>
      </c>
      <c r="G214" t="inlineStr">
        <is>
          <t>FLEN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46282</v>
      </c>
      <c r="F215" t="inlineStr">
        <is>
          <t>SÖDERMANLANDS LÄN</t>
        </is>
      </c>
      <c r="G215" t="inlineStr">
        <is>
          <t>FLEN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45597</v>
      </c>
      <c r="E216" s="1" t="n">
        <v>46282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29148-2024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45482</v>
      </c>
      <c r="E217" s="1" t="n">
        <v>46282</v>
      </c>
      <c r="F217" t="inlineStr">
        <is>
          <t>SÖDERMANLANDS LÄN</t>
        </is>
      </c>
      <c r="G217" t="inlineStr">
        <is>
          <t>FLEN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52980-2023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46282</v>
      </c>
      <c r="F218" t="inlineStr">
        <is>
          <t>SÖDERMANLANDS LÄN</t>
        </is>
      </c>
      <c r="G218" t="inlineStr">
        <is>
          <t>FLEN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39226-2023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46282</v>
      </c>
      <c r="F219" t="inlineStr">
        <is>
          <t>SÖDERMANLANDS LÄN</t>
        </is>
      </c>
      <c r="G219" t="inlineStr">
        <is>
          <t>FLEN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46282</v>
      </c>
      <c r="F220" t="inlineStr">
        <is>
          <t>SÖDERMANLANDS LÄN</t>
        </is>
      </c>
      <c r="G220" t="inlineStr">
        <is>
          <t>FLEN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46282</v>
      </c>
      <c r="F221" t="inlineStr">
        <is>
          <t>SÖDERMANLANDS LÄN</t>
        </is>
      </c>
      <c r="G221" t="inlineStr">
        <is>
          <t>FLEN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46282</v>
      </c>
      <c r="F222" t="inlineStr">
        <is>
          <t>SÖDERMANLANDS LÄN</t>
        </is>
      </c>
      <c r="G222" t="inlineStr">
        <is>
          <t>FLEN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46282</v>
      </c>
      <c r="F223" t="inlineStr">
        <is>
          <t>SÖDERMANLANDS LÄN</t>
        </is>
      </c>
      <c r="G223" t="inlineStr">
        <is>
          <t>FLEN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25823-2022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44733</v>
      </c>
      <c r="E224" s="1" t="n">
        <v>46282</v>
      </c>
      <c r="F224" t="inlineStr">
        <is>
          <t>SÖDERMANLANDS LÄN</t>
        </is>
      </c>
      <c r="G224" t="inlineStr">
        <is>
          <t>FLEN</t>
        </is>
      </c>
      <c r="I224" t="n">
        <v>8.699999999999999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45702</v>
      </c>
      <c r="E225" s="1" t="n">
        <v>46282</v>
      </c>
      <c r="F225" t="inlineStr">
        <is>
          <t>SÖDERMANLANDS LÄN</t>
        </is>
      </c>
      <c r="G225" t="inlineStr">
        <is>
          <t>FLEN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62579-2023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45270</v>
      </c>
      <c r="E226" s="1" t="n">
        <v>46282</v>
      </c>
      <c r="F226" t="inlineStr">
        <is>
          <t>SÖDERMANLANDS LÄN</t>
        </is>
      </c>
      <c r="G226" t="inlineStr">
        <is>
          <t>FLEN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46282</v>
      </c>
      <c r="F227" t="inlineStr">
        <is>
          <t>SÖDERMANLANDS LÄN</t>
        </is>
      </c>
      <c r="G227" t="inlineStr">
        <is>
          <t>FLEN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44970</v>
      </c>
      <c r="E228" s="1" t="n">
        <v>46282</v>
      </c>
      <c r="F228" t="inlineStr">
        <is>
          <t>SÖDERMANLANDS LÄN</t>
        </is>
      </c>
      <c r="G228" t="inlineStr">
        <is>
          <t>FLEN</t>
        </is>
      </c>
      <c r="H228" t="inlineStr">
        <is>
          <t>Kommuner</t>
        </is>
      </c>
      <c r="I228" t="n">
        <v>11.2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46282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45209</v>
      </c>
      <c r="E230" s="1" t="n">
        <v>46282</v>
      </c>
      <c r="F230" t="inlineStr">
        <is>
          <t>SÖDERMANLANDS LÄN</t>
        </is>
      </c>
      <c r="G230" t="inlineStr">
        <is>
          <t>FLEN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66867-2021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44522</v>
      </c>
      <c r="E231" s="1" t="n">
        <v>46282</v>
      </c>
      <c r="F231" t="inlineStr">
        <is>
          <t>SÖDERMANLANDS LÄN</t>
        </is>
      </c>
      <c r="G231" t="inlineStr">
        <is>
          <t>FLEN</t>
        </is>
      </c>
      <c r="H231" t="inlineStr">
        <is>
          <t>Kyrkan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44931</v>
      </c>
      <c r="E232" s="1" t="n">
        <v>46282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46282</v>
      </c>
      <c r="F233" t="inlineStr">
        <is>
          <t>SÖDERMANLANDS LÄN</t>
        </is>
      </c>
      <c r="G233" t="inlineStr">
        <is>
          <t>FLEN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46282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44979</v>
      </c>
      <c r="E235" s="1" t="n">
        <v>46282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45147</v>
      </c>
      <c r="E236" s="1" t="n">
        <v>46282</v>
      </c>
      <c r="F236" t="inlineStr">
        <is>
          <t>SÖDERMANLANDS LÄN</t>
        </is>
      </c>
      <c r="G236" t="inlineStr">
        <is>
          <t>FLEN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44859</v>
      </c>
      <c r="E237" s="1" t="n">
        <v>46282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46282</v>
      </c>
      <c r="F238" t="inlineStr">
        <is>
          <t>SÖDERMANLANDS LÄN</t>
        </is>
      </c>
      <c r="G238" t="inlineStr">
        <is>
          <t>FLEN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45830</v>
      </c>
      <c r="E239" s="1" t="n">
        <v>46282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10771-2022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44624</v>
      </c>
      <c r="E240" s="1" t="n">
        <v>46282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38762-2023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46282</v>
      </c>
      <c r="F241" t="inlineStr">
        <is>
          <t>SÖDERMANLANDS LÄN</t>
        </is>
      </c>
      <c r="G241" t="inlineStr">
        <is>
          <t>FLEN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45740</v>
      </c>
      <c r="E242" s="1" t="n">
        <v>46282</v>
      </c>
      <c r="F242" t="inlineStr">
        <is>
          <t>SÖDERMANLANDS LÄN</t>
        </is>
      </c>
      <c r="G242" t="inlineStr">
        <is>
          <t>FLEN</t>
        </is>
      </c>
      <c r="H242" t="inlineStr">
        <is>
          <t>Övriga statliga verk och myndigheter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45830</v>
      </c>
      <c r="E243" s="1" t="n">
        <v>46282</v>
      </c>
      <c r="F243" t="inlineStr">
        <is>
          <t>SÖDERMANLANDS LÄN</t>
        </is>
      </c>
      <c r="G243" t="inlineStr">
        <is>
          <t>FLEN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45311</v>
      </c>
      <c r="E244" s="1" t="n">
        <v>46282</v>
      </c>
      <c r="F244" t="inlineStr">
        <is>
          <t>SÖDERMANLANDS LÄN</t>
        </is>
      </c>
      <c r="G244" t="inlineStr">
        <is>
          <t>FLEN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44588</v>
      </c>
      <c r="E245" s="1" t="n">
        <v>46282</v>
      </c>
      <c r="F245" t="inlineStr">
        <is>
          <t>SÖDERMANLANDS LÄN</t>
        </is>
      </c>
      <c r="G245" t="inlineStr">
        <is>
          <t>FLEN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46282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46282</v>
      </c>
      <c r="F247" t="inlineStr">
        <is>
          <t>SÖDERMANLANDS LÄN</t>
        </is>
      </c>
      <c r="G247" t="inlineStr">
        <is>
          <t>FLEN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57356-2022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44896</v>
      </c>
      <c r="E248" s="1" t="n">
        <v>46282</v>
      </c>
      <c r="F248" t="inlineStr">
        <is>
          <t>SÖDERMANLANDS LÄN</t>
        </is>
      </c>
      <c r="G248" t="inlineStr">
        <is>
          <t>FLEN</t>
        </is>
      </c>
      <c r="H248" t="inlineStr">
        <is>
          <t>Övriga statliga verk och myndigheter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51872-2022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44872</v>
      </c>
      <c r="E249" s="1" t="n">
        <v>46282</v>
      </c>
      <c r="F249" t="inlineStr">
        <is>
          <t>SÖDERMANLANDS LÄN</t>
        </is>
      </c>
      <c r="G249" t="inlineStr">
        <is>
          <t>FLEN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48826-2022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44859</v>
      </c>
      <c r="E250" s="1" t="n">
        <v>46282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46282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45057</v>
      </c>
      <c r="E252" s="1" t="n">
        <v>46282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46282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45702</v>
      </c>
      <c r="E254" s="1" t="n">
        <v>46282</v>
      </c>
      <c r="F254" t="inlineStr">
        <is>
          <t>SÖDERMANLANDS LÄN</t>
        </is>
      </c>
      <c r="G254" t="inlineStr">
        <is>
          <t>FLEN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53121-2023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45228</v>
      </c>
      <c r="E255" s="1" t="n">
        <v>46282</v>
      </c>
      <c r="F255" t="inlineStr">
        <is>
          <t>SÖDERMANLANDS LÄN</t>
        </is>
      </c>
      <c r="G255" t="inlineStr">
        <is>
          <t>FLEN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46282</v>
      </c>
      <c r="F256" t="inlineStr">
        <is>
          <t>SÖDERMANLANDS LÄN</t>
        </is>
      </c>
      <c r="G256" t="inlineStr">
        <is>
          <t>FLEN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45034</v>
      </c>
      <c r="E257" s="1" t="n">
        <v>46282</v>
      </c>
      <c r="F257" t="inlineStr">
        <is>
          <t>SÖDERMANLANDS LÄN</t>
        </is>
      </c>
      <c r="G257" t="inlineStr">
        <is>
          <t>FLEN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46282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46282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57863-2022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44899</v>
      </c>
      <c r="E260" s="1" t="n">
        <v>46282</v>
      </c>
      <c r="F260" t="inlineStr">
        <is>
          <t>SÖDERMANLANDS LÄN</t>
        </is>
      </c>
      <c r="G260" t="inlineStr">
        <is>
          <t>FLEN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6725-2022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44602</v>
      </c>
      <c r="E261" s="1" t="n">
        <v>46282</v>
      </c>
      <c r="F261" t="inlineStr">
        <is>
          <t>SÖDERMANLANDS LÄN</t>
        </is>
      </c>
      <c r="G261" t="inlineStr">
        <is>
          <t>FLEN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46282</v>
      </c>
      <c r="F262" t="inlineStr">
        <is>
          <t>SÖDERMANLANDS LÄN</t>
        </is>
      </c>
      <c r="G262" t="inlineStr">
        <is>
          <t>FLEN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46282</v>
      </c>
      <c r="F263" t="inlineStr">
        <is>
          <t>SÖDERMANLANDS LÄN</t>
        </is>
      </c>
      <c r="G263" t="inlineStr">
        <is>
          <t>FLEN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45880</v>
      </c>
      <c r="E264" s="1" t="n">
        <v>46282</v>
      </c>
      <c r="F264" t="inlineStr">
        <is>
          <t>SÖDERMANLANDS LÄN</t>
        </is>
      </c>
      <c r="G264" t="inlineStr">
        <is>
          <t>FLEN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45883</v>
      </c>
      <c r="E265" s="1" t="n">
        <v>46282</v>
      </c>
      <c r="F265" t="inlineStr">
        <is>
          <t>SÖDERMANLANDS LÄN</t>
        </is>
      </c>
      <c r="G265" t="inlineStr">
        <is>
          <t>FLEN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46282</v>
      </c>
      <c r="F266" t="inlineStr">
        <is>
          <t>SÖDERMANLANDS LÄN</t>
        </is>
      </c>
      <c r="G266" t="inlineStr">
        <is>
          <t>FLEN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46282</v>
      </c>
      <c r="F267" t="inlineStr">
        <is>
          <t>SÖDERMANLANDS LÄN</t>
        </is>
      </c>
      <c r="G267" t="inlineStr">
        <is>
          <t>FLEN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45089</v>
      </c>
      <c r="E268" s="1" t="n">
        <v>46282</v>
      </c>
      <c r="F268" t="inlineStr">
        <is>
          <t>SÖDERMANLANDS LÄN</t>
        </is>
      </c>
      <c r="G268" t="inlineStr">
        <is>
          <t>FLEN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46282</v>
      </c>
      <c r="F269" t="inlineStr">
        <is>
          <t>SÖDERMANLANDS LÄN</t>
        </is>
      </c>
      <c r="G269" t="inlineStr">
        <is>
          <t>FLEN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51955-2025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46282</v>
      </c>
      <c r="F270" t="inlineStr">
        <is>
          <t>SÖDERMANLANDS LÄN</t>
        </is>
      </c>
      <c r="G270" t="inlineStr">
        <is>
          <t>FLEN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46282</v>
      </c>
      <c r="F271" t="inlineStr">
        <is>
          <t>SÖDERMANLANDS LÄN</t>
        </is>
      </c>
      <c r="G271" t="inlineStr">
        <is>
          <t>FLEN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30423-2022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44761</v>
      </c>
      <c r="E272" s="1" t="n">
        <v>46282</v>
      </c>
      <c r="F272" t="inlineStr">
        <is>
          <t>SÖDERMANLANDS LÄN</t>
        </is>
      </c>
      <c r="G272" t="inlineStr">
        <is>
          <t>FLEN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46282</v>
      </c>
      <c r="F273" t="inlineStr">
        <is>
          <t>SÖDERMANLANDS LÄN</t>
        </is>
      </c>
      <c r="G273" t="inlineStr">
        <is>
          <t>FLEN</t>
        </is>
      </c>
      <c r="H273" t="inlineStr">
        <is>
          <t>Övriga statliga verk och myndigheter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42731-2024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45566</v>
      </c>
      <c r="E274" s="1" t="n">
        <v>46282</v>
      </c>
      <c r="F274" t="inlineStr">
        <is>
          <t>SÖDERMANLANDS LÄN</t>
        </is>
      </c>
      <c r="G274" t="inlineStr">
        <is>
          <t>FLEN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45581</v>
      </c>
      <c r="E275" s="1" t="n">
        <v>46282</v>
      </c>
      <c r="F275" t="inlineStr">
        <is>
          <t>SÖDERMANLANDS LÄN</t>
        </is>
      </c>
      <c r="G275" t="inlineStr">
        <is>
          <t>FLEN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54283-2025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45964</v>
      </c>
      <c r="E276" s="1" t="n">
        <v>46282</v>
      </c>
      <c r="F276" t="inlineStr">
        <is>
          <t>SÖDERMANLANDS LÄN</t>
        </is>
      </c>
      <c r="G276" t="inlineStr">
        <is>
          <t>FLEN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54282-2025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45964</v>
      </c>
      <c r="E277" s="1" t="n">
        <v>46282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60613-2023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45260</v>
      </c>
      <c r="E278" s="1" t="n">
        <v>46282</v>
      </c>
      <c r="F278" t="inlineStr">
        <is>
          <t>SÖDERMANLANDS LÄN</t>
        </is>
      </c>
      <c r="G278" t="inlineStr">
        <is>
          <t>FLEN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44006-2022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44838</v>
      </c>
      <c r="E279" s="1" t="n">
        <v>46282</v>
      </c>
      <c r="F279" t="inlineStr">
        <is>
          <t>SÖDERMANLANDS LÄN</t>
        </is>
      </c>
      <c r="G279" t="inlineStr">
        <is>
          <t>FLEN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46282</v>
      </c>
      <c r="F280" t="inlineStr">
        <is>
          <t>SÖDERMANLANDS LÄN</t>
        </is>
      </c>
      <c r="G280" t="inlineStr">
        <is>
          <t>FLEN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46282</v>
      </c>
      <c r="F281" t="inlineStr">
        <is>
          <t>SÖDERMANLANDS LÄN</t>
        </is>
      </c>
      <c r="G281" t="inlineStr">
        <is>
          <t>FLEN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46282</v>
      </c>
      <c r="F282" t="inlineStr">
        <is>
          <t>SÖDERMANLANDS LÄN</t>
        </is>
      </c>
      <c r="G282" t="inlineStr">
        <is>
          <t>FLEN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33103-2022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44785</v>
      </c>
      <c r="E283" s="1" t="n">
        <v>46282</v>
      </c>
      <c r="F283" t="inlineStr">
        <is>
          <t>SÖDERMANLANDS LÄN</t>
        </is>
      </c>
      <c r="G283" t="inlineStr">
        <is>
          <t>FLEN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56573-2025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45974</v>
      </c>
      <c r="E284" s="1" t="n">
        <v>46282</v>
      </c>
      <c r="F284" t="inlineStr">
        <is>
          <t>SÖDERMANLANDS LÄN</t>
        </is>
      </c>
      <c r="G284" t="inlineStr">
        <is>
          <t>FLEN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9431-2022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44616</v>
      </c>
      <c r="E285" s="1" t="n">
        <v>46282</v>
      </c>
      <c r="F285" t="inlineStr">
        <is>
          <t>SÖDERMANLANDS LÄN</t>
        </is>
      </c>
      <c r="G285" t="inlineStr">
        <is>
          <t>FLEN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46071</v>
      </c>
      <c r="E286" s="1" t="n">
        <v>46282</v>
      </c>
      <c r="F286" t="inlineStr">
        <is>
          <t>SÖDERMANLANDS LÄN</t>
        </is>
      </c>
      <c r="G286" t="inlineStr">
        <is>
          <t>FLEN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9527-2026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46282</v>
      </c>
      <c r="F287" t="inlineStr">
        <is>
          <t>SÖDERMANLANDS LÄN</t>
        </is>
      </c>
      <c r="G287" t="inlineStr">
        <is>
          <t>FLEN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52692-2021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44466</v>
      </c>
      <c r="E288" s="1" t="n">
        <v>46282</v>
      </c>
      <c r="F288" t="inlineStr">
        <is>
          <t>SÖDERMANLANDS LÄN</t>
        </is>
      </c>
      <c r="G288" t="inlineStr">
        <is>
          <t>FLEN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46282</v>
      </c>
      <c r="F289" t="inlineStr">
        <is>
          <t>SÖDERMANLANDS LÄN</t>
        </is>
      </c>
      <c r="G289" t="inlineStr">
        <is>
          <t>FLEN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46282</v>
      </c>
      <c r="F290" t="inlineStr">
        <is>
          <t>SÖDERMANLANDS LÄN</t>
        </is>
      </c>
      <c r="G290" t="inlineStr">
        <is>
          <t>FLEN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46282</v>
      </c>
      <c r="F291" t="inlineStr">
        <is>
          <t>SÖDERMANLANDS LÄN</t>
        </is>
      </c>
      <c r="G291" t="inlineStr">
        <is>
          <t>FLEN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46282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46282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59910-2025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46282</v>
      </c>
      <c r="F294" t="inlineStr">
        <is>
          <t>SÖDERMANLANDS LÄN</t>
        </is>
      </c>
      <c r="G294" t="inlineStr">
        <is>
          <t>FLEN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45993</v>
      </c>
      <c r="E295" s="1" t="n">
        <v>46282</v>
      </c>
      <c r="F295" t="inlineStr">
        <is>
          <t>SÖDERMANLANDS LÄN</t>
        </is>
      </c>
      <c r="G295" t="inlineStr">
        <is>
          <t>FLEN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11004-2026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46282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46282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46282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46282</v>
      </c>
      <c r="F299" t="inlineStr">
        <is>
          <t>SÖDERMANLANDS LÄN</t>
        </is>
      </c>
      <c r="G299" t="inlineStr">
        <is>
          <t>FLEN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11187-2026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46080</v>
      </c>
      <c r="E300" s="1" t="n">
        <v>46282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46082</v>
      </c>
      <c r="E301" s="1" t="n">
        <v>46282</v>
      </c>
      <c r="F301" t="inlineStr">
        <is>
          <t>SÖDERMANLANDS LÄN</t>
        </is>
      </c>
      <c r="G301" t="inlineStr">
        <is>
          <t>FLEN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46282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45213</v>
      </c>
      <c r="E303" s="1" t="n">
        <v>46282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60144-2025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46282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9.699999999999999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45995</v>
      </c>
      <c r="E305" s="1" t="n">
        <v>46282</v>
      </c>
      <c r="F305" t="inlineStr">
        <is>
          <t>SÖDERMANLANDS LÄN</t>
        </is>
      </c>
      <c r="G305" t="inlineStr">
        <is>
          <t>FLEN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46282</v>
      </c>
      <c r="F306" t="inlineStr">
        <is>
          <t>SÖDERMANLANDS LÄN</t>
        </is>
      </c>
      <c r="G306" t="inlineStr">
        <is>
          <t>FLEN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46282</v>
      </c>
      <c r="F307" t="inlineStr">
        <is>
          <t>SÖDERMANLANDS LÄN</t>
        </is>
      </c>
      <c r="G307" t="inlineStr">
        <is>
          <t>FLEN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45994</v>
      </c>
      <c r="E308" s="1" t="n">
        <v>46282</v>
      </c>
      <c r="F308" t="inlineStr">
        <is>
          <t>SÖDERMANLANDS LÄN</t>
        </is>
      </c>
      <c r="G308" t="inlineStr">
        <is>
          <t>FLEN</t>
        </is>
      </c>
      <c r="H308" t="inlineStr">
        <is>
          <t>Kyrkan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45322</v>
      </c>
      <c r="E309" s="1" t="n">
        <v>46282</v>
      </c>
      <c r="F309" t="inlineStr">
        <is>
          <t>SÖDERMANLANDS LÄN</t>
        </is>
      </c>
      <c r="G309" t="inlineStr">
        <is>
          <t>FLEN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46282</v>
      </c>
      <c r="F310" t="inlineStr">
        <is>
          <t>SÖDERMANLANDS LÄN</t>
        </is>
      </c>
      <c r="G310" t="inlineStr">
        <is>
          <t>FLEN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46282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44862</v>
      </c>
      <c r="E312" s="1" t="n">
        <v>46282</v>
      </c>
      <c r="F312" t="inlineStr">
        <is>
          <t>SÖDERMANLANDS LÄN</t>
        </is>
      </c>
      <c r="G312" t="inlineStr">
        <is>
          <t>FLEN</t>
        </is>
      </c>
      <c r="H312" t="inlineStr">
        <is>
          <t>Kyrkan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67464-2021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44524</v>
      </c>
      <c r="E313" s="1" t="n">
        <v>46282</v>
      </c>
      <c r="F313" t="inlineStr">
        <is>
          <t>SÖDERMANLANDS LÄN</t>
        </is>
      </c>
      <c r="G313" t="inlineStr">
        <is>
          <t>FLEN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66979-2021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44522</v>
      </c>
      <c r="E314" s="1" t="n">
        <v>46282</v>
      </c>
      <c r="F314" t="inlineStr">
        <is>
          <t>SÖDERMANLANDS LÄN</t>
        </is>
      </c>
      <c r="G314" t="inlineStr">
        <is>
          <t>FLEN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16908-2024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45411</v>
      </c>
      <c r="E315" s="1" t="n">
        <v>46282</v>
      </c>
      <c r="F315" t="inlineStr">
        <is>
          <t>SÖDERMANLANDS LÄN</t>
        </is>
      </c>
      <c r="G315" t="inlineStr">
        <is>
          <t>FLEN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8883-2023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44979</v>
      </c>
      <c r="E316" s="1" t="n">
        <v>46282</v>
      </c>
      <c r="F316" t="inlineStr">
        <is>
          <t>SÖDERMANLANDS LÄN</t>
        </is>
      </c>
      <c r="G316" t="inlineStr">
        <is>
          <t>FLEN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46282</v>
      </c>
      <c r="F317" t="inlineStr">
        <is>
          <t>SÖDERMANLANDS LÄN</t>
        </is>
      </c>
      <c r="G317" t="inlineStr">
        <is>
          <t>FLEN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12712-2026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46282</v>
      </c>
      <c r="F318" t="inlineStr">
        <is>
          <t>SÖDERMANLANDS LÄN</t>
        </is>
      </c>
      <c r="G318" t="inlineStr">
        <is>
          <t>FLEN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25467-2023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45081</v>
      </c>
      <c r="E319" s="1" t="n">
        <v>46282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45081</v>
      </c>
      <c r="E320" s="1" t="n">
        <v>46282</v>
      </c>
      <c r="F320" t="inlineStr">
        <is>
          <t>SÖDERMANLANDS LÄN</t>
        </is>
      </c>
      <c r="G320" t="inlineStr">
        <is>
          <t>FLEN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46282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46282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46282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46282</v>
      </c>
      <c r="F324" t="inlineStr">
        <is>
          <t>SÖDERMANLANDS LÄN</t>
        </is>
      </c>
      <c r="G324" t="inlineStr">
        <is>
          <t>FLEN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46282</v>
      </c>
      <c r="F325" t="inlineStr">
        <is>
          <t>SÖDERMANLANDS LÄN</t>
        </is>
      </c>
      <c r="G325" t="inlineStr">
        <is>
          <t>FLEN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59258-2022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44897</v>
      </c>
      <c r="E326" s="1" t="n">
        <v>46282</v>
      </c>
      <c r="F326" t="inlineStr">
        <is>
          <t>SÖDERMANLANDS LÄN</t>
        </is>
      </c>
      <c r="G326" t="inlineStr">
        <is>
          <t>FLEN</t>
        </is>
      </c>
      <c r="H326" t="inlineStr">
        <is>
          <t>Övriga statliga verk och myndigheter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32023-2022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44778</v>
      </c>
      <c r="E327" s="1" t="n">
        <v>46282</v>
      </c>
      <c r="F327" t="inlineStr">
        <is>
          <t>SÖDERMANLANDS LÄN</t>
        </is>
      </c>
      <c r="G327" t="inlineStr">
        <is>
          <t>FLEN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52541-2021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44463</v>
      </c>
      <c r="E328" s="1" t="n">
        <v>46282</v>
      </c>
      <c r="F328" t="inlineStr">
        <is>
          <t>SÖDERMANLANDS LÄN</t>
        </is>
      </c>
      <c r="G328" t="inlineStr">
        <is>
          <t>FLEN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5331-2024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46282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45066</v>
      </c>
      <c r="E330" s="1" t="n">
        <v>46282</v>
      </c>
      <c r="F330" t="inlineStr">
        <is>
          <t>SÖDERMANLANDS LÄN</t>
        </is>
      </c>
      <c r="G330" t="inlineStr">
        <is>
          <t>FLEN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46282</v>
      </c>
      <c r="F331" t="inlineStr">
        <is>
          <t>SÖDERMANLANDS LÄN</t>
        </is>
      </c>
      <c r="G331" t="inlineStr">
        <is>
          <t>FLEN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16052-2026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46282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45330</v>
      </c>
      <c r="E333" s="1" t="n">
        <v>46282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50898-2022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44864</v>
      </c>
      <c r="E334" s="1" t="n">
        <v>46282</v>
      </c>
      <c r="F334" t="inlineStr">
        <is>
          <t>SÖDERMANLANDS LÄN</t>
        </is>
      </c>
      <c r="G334" t="inlineStr">
        <is>
          <t>FLEN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48749-2022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44855</v>
      </c>
      <c r="E335" s="1" t="n">
        <v>46282</v>
      </c>
      <c r="F335" t="inlineStr">
        <is>
          <t>SÖDERMANLANDS LÄN</t>
        </is>
      </c>
      <c r="G335" t="inlineStr">
        <is>
          <t>FLEN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58364-2023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46282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58377-2023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46282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44855</v>
      </c>
      <c r="E338" s="1" t="n">
        <v>46282</v>
      </c>
      <c r="F338" t="inlineStr">
        <is>
          <t>SÖDERMANLANDS LÄN</t>
        </is>
      </c>
      <c r="G338" t="inlineStr">
        <is>
          <t>FLEN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46112</v>
      </c>
      <c r="E339" s="1" t="n">
        <v>46282</v>
      </c>
      <c r="F339" t="inlineStr">
        <is>
          <t>SÖDERMANLANDS LÄN</t>
        </is>
      </c>
      <c r="G339" t="inlineStr">
        <is>
          <t>FLEN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16803-2026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46282</v>
      </c>
      <c r="F340" t="inlineStr">
        <is>
          <t>SÖDERMANLANDS LÄN</t>
        </is>
      </c>
      <c r="G340" t="inlineStr">
        <is>
          <t>FLEN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18508-2026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46282</v>
      </c>
      <c r="F341" t="inlineStr">
        <is>
          <t>SÖDERMANLANDS LÄN</t>
        </is>
      </c>
      <c r="G341" t="inlineStr">
        <is>
          <t>FLEN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46282</v>
      </c>
      <c r="F342" t="inlineStr">
        <is>
          <t>SÖDERMANLANDS LÄN</t>
        </is>
      </c>
      <c r="G342" t="inlineStr">
        <is>
          <t>FLEN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18000-2026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46125</v>
      </c>
      <c r="E343" s="1" t="n">
        <v>46282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46126</v>
      </c>
      <c r="E344" s="1" t="n">
        <v>46282</v>
      </c>
      <c r="F344" t="inlineStr">
        <is>
          <t>SÖDERMANLANDS LÄN</t>
        </is>
      </c>
      <c r="G344" t="inlineStr">
        <is>
          <t>FLEN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35118-2024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45528</v>
      </c>
      <c r="E345" s="1" t="n">
        <v>46282</v>
      </c>
      <c r="F345" t="inlineStr">
        <is>
          <t>SÖDERMANLANDS LÄN</t>
        </is>
      </c>
      <c r="G345" t="inlineStr">
        <is>
          <t>FLEN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46121</v>
      </c>
      <c r="E346" s="1" t="n">
        <v>46282</v>
      </c>
      <c r="F346" t="inlineStr">
        <is>
          <t>SÖDERMANLANDS LÄN</t>
        </is>
      </c>
      <c r="G346" t="inlineStr">
        <is>
          <t>FLEN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17847-2026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46282</v>
      </c>
      <c r="F347" t="inlineStr">
        <is>
          <t>SÖDERMANLANDS LÄN</t>
        </is>
      </c>
      <c r="G347" t="inlineStr">
        <is>
          <t>FLEN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46282</v>
      </c>
      <c r="F348" t="inlineStr">
        <is>
          <t>SÖDERMANLANDS LÄN</t>
        </is>
      </c>
      <c r="G348" t="inlineStr">
        <is>
          <t>FLEN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45306</v>
      </c>
      <c r="E349" s="1" t="n">
        <v>46282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46121</v>
      </c>
      <c r="E350" s="1" t="n">
        <v>46282</v>
      </c>
      <c r="F350" t="inlineStr">
        <is>
          <t>SÖDERMANLANDS LÄN</t>
        </is>
      </c>
      <c r="G350" t="inlineStr">
        <is>
          <t>FLEN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57353-2022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46282</v>
      </c>
      <c r="F351" t="inlineStr">
        <is>
          <t>SÖDERMANLANDS LÄN</t>
        </is>
      </c>
      <c r="G351" t="inlineStr">
        <is>
          <t>FLEN</t>
        </is>
      </c>
      <c r="H351" t="inlineStr">
        <is>
          <t>Övriga statliga verk och myndigheter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46132</v>
      </c>
      <c r="E352" s="1" t="n">
        <v>46282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46282</v>
      </c>
      <c r="F353" t="inlineStr">
        <is>
          <t>SÖDERMANLANDS LÄN</t>
        </is>
      </c>
      <c r="G353" t="inlineStr">
        <is>
          <t>FLEN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19102-2026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46282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46282</v>
      </c>
      <c r="F355" t="inlineStr">
        <is>
          <t>SÖDERMANLANDS LÄN</t>
        </is>
      </c>
      <c r="G355" t="inlineStr">
        <is>
          <t>FLEN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19618-2026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46282</v>
      </c>
      <c r="F356" t="inlineStr">
        <is>
          <t>SÖDERMANLANDS LÄN</t>
        </is>
      </c>
      <c r="G356" t="inlineStr">
        <is>
          <t>FLEN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39171-2025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46282</v>
      </c>
      <c r="F357" t="inlineStr">
        <is>
          <t>SÖDERMANLANDS LÄN</t>
        </is>
      </c>
      <c r="G357" t="inlineStr">
        <is>
          <t>FLEN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46282</v>
      </c>
      <c r="F358" t="inlineStr">
        <is>
          <t>SÖDERMANLANDS LÄN</t>
        </is>
      </c>
      <c r="G358" t="inlineStr">
        <is>
          <t>FLEN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45805</v>
      </c>
      <c r="E359" s="1" t="n">
        <v>46282</v>
      </c>
      <c r="F359" t="inlineStr">
        <is>
          <t>SÖDERMANLANDS LÄN</t>
        </is>
      </c>
      <c r="G359" t="inlineStr">
        <is>
          <t>FLEN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45718</v>
      </c>
      <c r="E360" s="1" t="n">
        <v>46282</v>
      </c>
      <c r="F360" t="inlineStr">
        <is>
          <t>SÖDERMANLANDS LÄN</t>
        </is>
      </c>
      <c r="G360" t="inlineStr">
        <is>
          <t>FLEN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44957</v>
      </c>
      <c r="E361" s="1" t="n">
        <v>46282</v>
      </c>
      <c r="F361" t="inlineStr">
        <is>
          <t>SÖDERMANLANDS LÄN</t>
        </is>
      </c>
      <c r="G361" t="inlineStr">
        <is>
          <t>FLEN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48852-2023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45209</v>
      </c>
      <c r="E362" s="1" t="n">
        <v>46282</v>
      </c>
      <c r="F362" t="inlineStr">
        <is>
          <t>SÖDERMANLANDS LÄN</t>
        </is>
      </c>
      <c r="G362" t="inlineStr">
        <is>
          <t>FLEN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45244</v>
      </c>
      <c r="E363" s="1" t="n">
        <v>46282</v>
      </c>
      <c r="F363" t="inlineStr">
        <is>
          <t>SÖDERMANLANDS LÄN</t>
        </is>
      </c>
      <c r="G363" t="inlineStr">
        <is>
          <t>FLEN</t>
        </is>
      </c>
      <c r="H363" t="inlineStr">
        <is>
          <t>Övriga statliga verk och myndigheter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46282</v>
      </c>
      <c r="F364" t="inlineStr">
        <is>
          <t>SÖDERMANLANDS LÄN</t>
        </is>
      </c>
      <c r="G364" t="inlineStr">
        <is>
          <t>FLEN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56229-2025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46282</v>
      </c>
      <c r="F365" t="inlineStr">
        <is>
          <t>SÖDERMANLANDS LÄN</t>
        </is>
      </c>
      <c r="G365" t="inlineStr">
        <is>
          <t>FLEN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45048</v>
      </c>
      <c r="E366" s="1" t="n">
        <v>46282</v>
      </c>
      <c r="F366" t="inlineStr">
        <is>
          <t>SÖDERMANLANDS LÄN</t>
        </is>
      </c>
      <c r="G366" t="inlineStr">
        <is>
          <t>FLEN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20980-2023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45056</v>
      </c>
      <c r="E367" s="1" t="n">
        <v>46282</v>
      </c>
      <c r="F367" t="inlineStr">
        <is>
          <t>SÖDERMANLANDS LÄN</t>
        </is>
      </c>
      <c r="G367" t="inlineStr">
        <is>
          <t>FLEN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46282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53509-2023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45230</v>
      </c>
      <c r="E369" s="1" t="n">
        <v>46282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46282</v>
      </c>
      <c r="F370" t="inlineStr">
        <is>
          <t>SÖDERMANLANDS LÄN</t>
        </is>
      </c>
      <c r="G370" t="inlineStr">
        <is>
          <t>FLEN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44566</v>
      </c>
      <c r="E371" s="1" t="n">
        <v>46282</v>
      </c>
      <c r="F371" t="inlineStr">
        <is>
          <t>SÖDERMANLANDS LÄN</t>
        </is>
      </c>
      <c r="G371" t="inlineStr">
        <is>
          <t>FLEN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10828-2022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44624</v>
      </c>
      <c r="E372" s="1" t="n">
        <v>46282</v>
      </c>
      <c r="F372" t="inlineStr">
        <is>
          <t>SÖDERMANLANDS LÄN</t>
        </is>
      </c>
      <c r="G372" t="inlineStr">
        <is>
          <t>FLEN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40439-2025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45895</v>
      </c>
      <c r="E373" s="1" t="n">
        <v>46282</v>
      </c>
      <c r="F373" t="inlineStr">
        <is>
          <t>SÖDERMANLANDS LÄN</t>
        </is>
      </c>
      <c r="G373" t="inlineStr">
        <is>
          <t>FLEN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45869</v>
      </c>
      <c r="E374" s="1" t="n">
        <v>46282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37256-2022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44807</v>
      </c>
      <c r="E375" s="1" t="n">
        <v>46282</v>
      </c>
      <c r="F375" t="inlineStr">
        <is>
          <t>SÖDERMANLANDS LÄN</t>
        </is>
      </c>
      <c r="G375" t="inlineStr">
        <is>
          <t>FLEN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18511-2023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46282</v>
      </c>
      <c r="F376" t="inlineStr">
        <is>
          <t>SÖDERMANLANDS LÄN</t>
        </is>
      </c>
      <c r="G376" t="inlineStr">
        <is>
          <t>FLEN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45222</v>
      </c>
      <c r="E377" s="1" t="n">
        <v>46282</v>
      </c>
      <c r="F377" t="inlineStr">
        <is>
          <t>SÖDERMANLANDS LÄN</t>
        </is>
      </c>
      <c r="G377" t="inlineStr">
        <is>
          <t>FLEN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45166</v>
      </c>
      <c r="E378" s="1" t="n">
        <v>46282</v>
      </c>
      <c r="F378" t="inlineStr">
        <is>
          <t>SÖDERMANLANDS LÄN</t>
        </is>
      </c>
      <c r="G378" t="inlineStr">
        <is>
          <t>FLEN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20791-2022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44701</v>
      </c>
      <c r="E379" s="1" t="n">
        <v>46282</v>
      </c>
      <c r="F379" t="inlineStr">
        <is>
          <t>SÖDERMANLANDS LÄN</t>
        </is>
      </c>
      <c r="G379" t="inlineStr">
        <is>
          <t>FLEN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46282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23216-2025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45791</v>
      </c>
      <c r="E381" s="1" t="n">
        <v>46282</v>
      </c>
      <c r="F381" t="inlineStr">
        <is>
          <t>SÖDERMANLANDS LÄN</t>
        </is>
      </c>
      <c r="G381" t="inlineStr">
        <is>
          <t>FLEN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60150-2022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44909</v>
      </c>
      <c r="E382" s="1" t="n">
        <v>46282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45518</v>
      </c>
      <c r="E383" s="1" t="n">
        <v>46282</v>
      </c>
      <c r="F383" t="inlineStr">
        <is>
          <t>SÖDERMANLANDS LÄN</t>
        </is>
      </c>
      <c r="G383" t="inlineStr">
        <is>
          <t>FLEN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46282</v>
      </c>
      <c r="F384" t="inlineStr">
        <is>
          <t>SÖDERMANLANDS LÄN</t>
        </is>
      </c>
      <c r="G384" t="inlineStr">
        <is>
          <t>FLEN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62763-2023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45271</v>
      </c>
      <c r="E385" s="1" t="n">
        <v>46282</v>
      </c>
      <c r="F385" t="inlineStr">
        <is>
          <t>SÖDERMANLANDS LÄN</t>
        </is>
      </c>
      <c r="G385" t="inlineStr">
        <is>
          <t>FLEN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46282</v>
      </c>
      <c r="F386" t="inlineStr">
        <is>
          <t>SÖDERMANLANDS LÄN</t>
        </is>
      </c>
      <c r="G386" t="inlineStr">
        <is>
          <t>FLEN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58635-2024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45632</v>
      </c>
      <c r="E387" s="1" t="n">
        <v>46282</v>
      </c>
      <c r="F387" t="inlineStr">
        <is>
          <t>SÖDERMANLANDS LÄN</t>
        </is>
      </c>
      <c r="G387" t="inlineStr">
        <is>
          <t>FLEN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45315</v>
      </c>
      <c r="E388" s="1" t="n">
        <v>46282</v>
      </c>
      <c r="F388" t="inlineStr">
        <is>
          <t>SÖDERMANLANDS LÄN</t>
        </is>
      </c>
      <c r="G388" t="inlineStr">
        <is>
          <t>FLEN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45321</v>
      </c>
      <c r="E389" s="1" t="n">
        <v>46282</v>
      </c>
      <c r="F389" t="inlineStr">
        <is>
          <t>SÖDERMANLANDS LÄN</t>
        </is>
      </c>
      <c r="G389" t="inlineStr">
        <is>
          <t>FLEN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44676</v>
      </c>
      <c r="E390" s="1" t="n">
        <v>46282</v>
      </c>
      <c r="F390" t="inlineStr">
        <is>
          <t>SÖDERMANLANDS LÄN</t>
        </is>
      </c>
      <c r="G390" t="inlineStr">
        <is>
          <t>FLEN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14599-2023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45013</v>
      </c>
      <c r="E391" s="1" t="n">
        <v>46282</v>
      </c>
      <c r="F391" t="inlineStr">
        <is>
          <t>SÖDERMANLANDS LÄN</t>
        </is>
      </c>
      <c r="G391" t="inlineStr">
        <is>
          <t>FLEN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53507-2023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45230</v>
      </c>
      <c r="E392" s="1" t="n">
        <v>46282</v>
      </c>
      <c r="F392" t="inlineStr">
        <is>
          <t>SÖDERMANLANDS LÄN</t>
        </is>
      </c>
      <c r="G392" t="inlineStr">
        <is>
          <t>FLEN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53518-2023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45230</v>
      </c>
      <c r="E393" s="1" t="n">
        <v>46282</v>
      </c>
      <c r="F393" t="inlineStr">
        <is>
          <t>SÖDERMANLANDS LÄN</t>
        </is>
      </c>
      <c r="G393" t="inlineStr">
        <is>
          <t>FLEN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50796-2021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44459</v>
      </c>
      <c r="E394" s="1" t="n">
        <v>46282</v>
      </c>
      <c r="F394" t="inlineStr">
        <is>
          <t>SÖDERMANLANDS LÄN</t>
        </is>
      </c>
      <c r="G394" t="inlineStr">
        <is>
          <t>FLEN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39053-2023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45163</v>
      </c>
      <c r="E395" s="1" t="n">
        <v>46282</v>
      </c>
      <c r="F395" t="inlineStr">
        <is>
          <t>SÖDERMANLANDS LÄN</t>
        </is>
      </c>
      <c r="G395" t="inlineStr">
        <is>
          <t>FLEN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44741</v>
      </c>
      <c r="E396" s="1" t="n">
        <v>46282</v>
      </c>
      <c r="F396" t="inlineStr">
        <is>
          <t>SÖDERMANLANDS LÄN</t>
        </is>
      </c>
      <c r="G396" t="inlineStr">
        <is>
          <t>FLEN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12172-2022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44636</v>
      </c>
      <c r="E397" s="1" t="n">
        <v>46282</v>
      </c>
      <c r="F397" t="inlineStr">
        <is>
          <t>SÖDERMANLANDS LÄN</t>
        </is>
      </c>
      <c r="G397" t="inlineStr">
        <is>
          <t>FLEN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52353-2023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45224</v>
      </c>
      <c r="E398" s="1" t="n">
        <v>46282</v>
      </c>
      <c r="F398" t="inlineStr">
        <is>
          <t>SÖDERMANLANDS LÄN</t>
        </is>
      </c>
      <c r="G398" t="inlineStr">
        <is>
          <t>FLEN</t>
        </is>
      </c>
      <c r="H398" t="inlineStr">
        <is>
          <t>Kyrkan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46069</v>
      </c>
      <c r="E399" s="1" t="n">
        <v>46282</v>
      </c>
      <c r="F399" t="inlineStr">
        <is>
          <t>SÖDERMANLANDS LÄN</t>
        </is>
      </c>
      <c r="G399" t="inlineStr">
        <is>
          <t>FLEN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56393-2022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44887</v>
      </c>
      <c r="E400" s="1" t="n">
        <v>46282</v>
      </c>
      <c r="F400" t="inlineStr">
        <is>
          <t>SÖDERMANLANDS LÄN</t>
        </is>
      </c>
      <c r="G400" t="inlineStr">
        <is>
          <t>FLEN</t>
        </is>
      </c>
      <c r="I400" t="n">
        <v>11.3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46282</v>
      </c>
      <c r="F401" t="inlineStr">
        <is>
          <t>SÖDERMANLANDS LÄN</t>
        </is>
      </c>
      <c r="G401" t="inlineStr">
        <is>
          <t>FLEN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44911</v>
      </c>
      <c r="E402" s="1" t="n">
        <v>46282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24223-2026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46168</v>
      </c>
      <c r="E403" s="1" t="n">
        <v>46282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46282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31214-2023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46282</v>
      </c>
      <c r="F405" t="inlineStr">
        <is>
          <t>SÖDERMANLANDS LÄN</t>
        </is>
      </c>
      <c r="G405" t="inlineStr">
        <is>
          <t>FLEN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46282</v>
      </c>
      <c r="F406" t="inlineStr">
        <is>
          <t>SÖDERMANLANDS LÄN</t>
        </is>
      </c>
      <c r="G406" t="inlineStr">
        <is>
          <t>FLEN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46282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24155-2026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46282</v>
      </c>
      <c r="F408" t="inlineStr">
        <is>
          <t>SÖDERMANLANDS LÄN</t>
        </is>
      </c>
      <c r="G408" t="inlineStr">
        <is>
          <t>FLEN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24163-2026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46282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46282</v>
      </c>
      <c r="F410" t="inlineStr">
        <is>
          <t>SÖDERMANLANDS LÄN</t>
        </is>
      </c>
      <c r="G410" t="inlineStr">
        <is>
          <t>FLEN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46282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  <c r="Z411">
        <f>HYPERLINK("https://klasma.github.io/Logging_0482/knärot/A 24450-2026 karta knärot.png", "A 24450-2026")</f>
        <v/>
      </c>
      <c r="AA411">
        <f>HYPERLINK("https://klasma.github.io/Logging_0482/klagomål/A 24450-2026 FSC-klagomål.docx", "A 24450-2026")</f>
        <v/>
      </c>
      <c r="AB411">
        <f>HYPERLINK("https://klasma.github.io/Logging_0482/klagomålsmail/A 24450-2026 FSC-klagomål mail.docx", "A 24450-2026")</f>
        <v/>
      </c>
      <c r="AC411">
        <f>HYPERLINK("https://klasma.github.io/Logging_0482/tillsyn/A 24450-2026 tillsynsbegäran.docx", "A 24450-2026")</f>
        <v/>
      </c>
      <c r="AD411">
        <f>HYPERLINK("https://klasma.github.io/Logging_0482/tillsynsmail/A 24450-2026 tillsynsbegäran mail.docx", "A 24450-2026")</f>
        <v/>
      </c>
    </row>
    <row r="412" ht="15" customHeight="1">
      <c r="A412" t="inlineStr">
        <is>
          <t>A 24721-2026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46282</v>
      </c>
      <c r="F412" t="inlineStr">
        <is>
          <t>SÖDERMANLANDS LÄN</t>
        </is>
      </c>
      <c r="G412" t="inlineStr">
        <is>
          <t>FLEN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46282</v>
      </c>
      <c r="F413" t="inlineStr">
        <is>
          <t>SÖDERMANLANDS LÄN</t>
        </is>
      </c>
      <c r="G413" t="inlineStr">
        <is>
          <t>FLEN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54781-2024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45618</v>
      </c>
      <c r="E414" s="1" t="n">
        <v>46282</v>
      </c>
      <c r="F414" t="inlineStr">
        <is>
          <t>SÖDERMANLANDS LÄN</t>
        </is>
      </c>
      <c r="G414" t="inlineStr">
        <is>
          <t>FLEN</t>
        </is>
      </c>
      <c r="I414" t="n">
        <v>10.3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46282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56497-2022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44887</v>
      </c>
      <c r="E416" s="1" t="n">
        <v>46282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47872-2025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45932</v>
      </c>
      <c r="E417" s="1" t="n">
        <v>46282</v>
      </c>
      <c r="F417" t="inlineStr">
        <is>
          <t>SÖDERMANLANDS LÄN</t>
        </is>
      </c>
      <c r="G417" t="inlineStr">
        <is>
          <t>FLEN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44958</v>
      </c>
      <c r="E418" s="1" t="n">
        <v>46282</v>
      </c>
      <c r="F418" t="inlineStr">
        <is>
          <t>SÖDERMANLANDS LÄN</t>
        </is>
      </c>
      <c r="G418" t="inlineStr">
        <is>
          <t>FLEN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46282</v>
      </c>
      <c r="F419" t="inlineStr">
        <is>
          <t>SÖDERMANLANDS LÄN</t>
        </is>
      </c>
      <c r="G419" t="inlineStr">
        <is>
          <t>FLEN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46282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46282</v>
      </c>
      <c r="F421" t="inlineStr">
        <is>
          <t>SÖDERMANLANDS LÄN</t>
        </is>
      </c>
      <c r="G421" t="inlineStr">
        <is>
          <t>FLEN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46176</v>
      </c>
      <c r="E422" s="1" t="n">
        <v>46282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59817-2022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46282</v>
      </c>
      <c r="F423" t="inlineStr">
        <is>
          <t>SÖDERMANLANDS LÄN</t>
        </is>
      </c>
      <c r="G423" t="inlineStr">
        <is>
          <t>FLEN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45072</v>
      </c>
      <c r="E424" s="1" t="n">
        <v>46282</v>
      </c>
      <c r="F424" t="inlineStr">
        <is>
          <t>SÖDERMANLANDS LÄN</t>
        </is>
      </c>
      <c r="G424" t="inlineStr">
        <is>
          <t>FLEN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46282</v>
      </c>
      <c r="F425" t="inlineStr">
        <is>
          <t>SÖDERMANLANDS LÄN</t>
        </is>
      </c>
      <c r="G425" t="inlineStr">
        <is>
          <t>FLEN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46282</v>
      </c>
      <c r="F426" t="inlineStr">
        <is>
          <t>SÖDERMANLANDS LÄN</t>
        </is>
      </c>
      <c r="G426" t="inlineStr">
        <is>
          <t>FLEN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50646-2023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46282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31352-2023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45114</v>
      </c>
      <c r="E428" s="1" t="n">
        <v>46282</v>
      </c>
      <c r="F428" t="inlineStr">
        <is>
          <t>SÖDERMANLANDS LÄN</t>
        </is>
      </c>
      <c r="G428" t="inlineStr">
        <is>
          <t>FLEN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45299</v>
      </c>
      <c r="E429" s="1" t="n">
        <v>46282</v>
      </c>
      <c r="F429" t="inlineStr">
        <is>
          <t>SÖDERMANLANDS LÄN</t>
        </is>
      </c>
      <c r="G429" t="inlineStr">
        <is>
          <t>FLEN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45923-2023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45189</v>
      </c>
      <c r="E430" s="1" t="n">
        <v>46282</v>
      </c>
      <c r="F430" t="inlineStr">
        <is>
          <t>SÖDERMANLANDS LÄN</t>
        </is>
      </c>
      <c r="G430" t="inlineStr">
        <is>
          <t>FLEN</t>
        </is>
      </c>
      <c r="H430" t="inlineStr">
        <is>
          <t>Övriga statliga verk och myndigheter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46282</v>
      </c>
      <c r="F431" t="inlineStr">
        <is>
          <t>SÖDERMANLANDS LÄN</t>
        </is>
      </c>
      <c r="G431" t="inlineStr">
        <is>
          <t>FLEN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26050-2026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46282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16580-2023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45030</v>
      </c>
      <c r="E433" s="1" t="n">
        <v>46282</v>
      </c>
      <c r="F433" t="inlineStr">
        <is>
          <t>SÖDERMANLANDS LÄN</t>
        </is>
      </c>
      <c r="G433" t="inlineStr">
        <is>
          <t>FLEN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46282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55445-2022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44887</v>
      </c>
      <c r="E435" s="1" t="n">
        <v>46282</v>
      </c>
      <c r="F435" t="inlineStr">
        <is>
          <t>SÖDERMANLANDS LÄN</t>
        </is>
      </c>
      <c r="G435" t="inlineStr">
        <is>
          <t>FLEN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26854-2026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46282</v>
      </c>
      <c r="F436" t="inlineStr">
        <is>
          <t>SÖDERMANLANDS LÄN</t>
        </is>
      </c>
      <c r="G436" t="inlineStr">
        <is>
          <t>FLEN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40286-2023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46282</v>
      </c>
      <c r="F437" t="inlineStr">
        <is>
          <t>SÖDERMANLANDS LÄN</t>
        </is>
      </c>
      <c r="G437" t="inlineStr">
        <is>
          <t>FLEN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46282</v>
      </c>
      <c r="F438" t="inlineStr">
        <is>
          <t>SÖDERMANLANDS LÄN</t>
        </is>
      </c>
      <c r="G438" t="inlineStr">
        <is>
          <t>FLEN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31028-2024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45501</v>
      </c>
      <c r="E439" s="1" t="n">
        <v>46282</v>
      </c>
      <c r="F439" t="inlineStr">
        <is>
          <t>SÖDERMANLANDS LÄN</t>
        </is>
      </c>
      <c r="G439" t="inlineStr">
        <is>
          <t>FLEN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26444-2026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46183</v>
      </c>
      <c r="E440" s="1" t="n">
        <v>46282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46282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40420-2024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46282</v>
      </c>
      <c r="F442" t="inlineStr">
        <is>
          <t>SÖDERMANLANDS LÄN</t>
        </is>
      </c>
      <c r="G442" t="inlineStr">
        <is>
          <t>FLEN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46282</v>
      </c>
      <c r="F443" t="inlineStr">
        <is>
          <t>SÖDERMANLANDS LÄN</t>
        </is>
      </c>
      <c r="G443" t="inlineStr">
        <is>
          <t>FLEN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46401-2022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44846</v>
      </c>
      <c r="E444" s="1" t="n">
        <v>46282</v>
      </c>
      <c r="F444" t="inlineStr">
        <is>
          <t>SÖDERMANLANDS LÄN</t>
        </is>
      </c>
      <c r="G444" t="inlineStr">
        <is>
          <t>FLEN</t>
        </is>
      </c>
      <c r="H444" t="inlineStr">
        <is>
          <t>Kyrkan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45161</v>
      </c>
      <c r="E445" s="1" t="n">
        <v>46282</v>
      </c>
      <c r="F445" t="inlineStr">
        <is>
          <t>SÖDERMANLANDS LÄN</t>
        </is>
      </c>
      <c r="G445" t="inlineStr">
        <is>
          <t>FLEN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46282</v>
      </c>
      <c r="F446" t="inlineStr">
        <is>
          <t>SÖDERMANLANDS LÄN</t>
        </is>
      </c>
      <c r="G446" t="inlineStr">
        <is>
          <t>FLEN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46188</v>
      </c>
      <c r="E447" s="1" t="n">
        <v>46282</v>
      </c>
      <c r="F447" t="inlineStr">
        <is>
          <t>SÖDERMANLANDS LÄN</t>
        </is>
      </c>
      <c r="G447" t="inlineStr">
        <is>
          <t>FLEN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58267-2023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45250</v>
      </c>
      <c r="E448" s="1" t="n">
        <v>46282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14.7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49811-2023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45211</v>
      </c>
      <c r="E449" s="1" t="n">
        <v>46282</v>
      </c>
      <c r="F449" t="inlineStr">
        <is>
          <t>SÖDERMANLANDS LÄN</t>
        </is>
      </c>
      <c r="G449" t="inlineStr">
        <is>
          <t>FLEN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52481-2023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46282</v>
      </c>
      <c r="F450" t="inlineStr">
        <is>
          <t>SÖDERMANLANDS LÄN</t>
        </is>
      </c>
      <c r="G450" t="inlineStr">
        <is>
          <t>FLEN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46282</v>
      </c>
      <c r="F451" t="inlineStr">
        <is>
          <t>SÖDERMANLANDS LÄN</t>
        </is>
      </c>
      <c r="G451" t="inlineStr">
        <is>
          <t>FLEN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47187-2022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44848</v>
      </c>
      <c r="E452" s="1" t="n">
        <v>46282</v>
      </c>
      <c r="F452" t="inlineStr">
        <is>
          <t>SÖDERMANLANDS LÄN</t>
        </is>
      </c>
      <c r="G452" t="inlineStr">
        <is>
          <t>FLEN</t>
        </is>
      </c>
      <c r="H452" t="inlineStr">
        <is>
          <t>Övriga statliga verk och myndigheter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21476-2024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45441</v>
      </c>
      <c r="E453" s="1" t="n">
        <v>46282</v>
      </c>
      <c r="F453" t="inlineStr">
        <is>
          <t>SÖDERMANLANDS LÄN</t>
        </is>
      </c>
      <c r="G453" t="inlineStr">
        <is>
          <t>FLEN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32693-2026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46240</v>
      </c>
      <c r="E454" s="1" t="n">
        <v>46282</v>
      </c>
      <c r="F454" t="inlineStr">
        <is>
          <t>SÖDERMANLANDS LÄN</t>
        </is>
      </c>
      <c r="G454" t="inlineStr">
        <is>
          <t>FLEN</t>
        </is>
      </c>
      <c r="I454" t="n">
        <v>9.5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8903-2022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44614</v>
      </c>
      <c r="E455" s="1" t="n">
        <v>46282</v>
      </c>
      <c r="F455" t="inlineStr">
        <is>
          <t>SÖDERMANLANDS LÄN</t>
        </is>
      </c>
      <c r="G455" t="inlineStr">
        <is>
          <t>FLEN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46282</v>
      </c>
      <c r="F456" t="inlineStr">
        <is>
          <t>SÖDERMANLANDS LÄN</t>
        </is>
      </c>
      <c r="G456" t="inlineStr">
        <is>
          <t>FLEN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46282</v>
      </c>
      <c r="F457" t="inlineStr">
        <is>
          <t>SÖDERMANLANDS LÄN</t>
        </is>
      </c>
      <c r="G457" t="inlineStr">
        <is>
          <t>FLEN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53517-2023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46282</v>
      </c>
      <c r="F458" t="inlineStr">
        <is>
          <t>SÖDERMANLANDS LÄN</t>
        </is>
      </c>
      <c r="G458" t="inlineStr">
        <is>
          <t>FLEN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37286-2024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45540</v>
      </c>
      <c r="E459" s="1" t="n">
        <v>46282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44614</v>
      </c>
      <c r="E460" s="1" t="n">
        <v>46282</v>
      </c>
      <c r="F460" t="inlineStr">
        <is>
          <t>SÖDERMANLANDS LÄN</t>
        </is>
      </c>
      <c r="G460" t="inlineStr">
        <is>
          <t>FLEN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46282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4536-2024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45327</v>
      </c>
      <c r="E462" s="1" t="n">
        <v>46282</v>
      </c>
      <c r="F462" t="inlineStr">
        <is>
          <t>SÖDERMANLANDS LÄN</t>
        </is>
      </c>
      <c r="G462" t="inlineStr">
        <is>
          <t>FLEN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45001</v>
      </c>
      <c r="E463" s="1" t="n">
        <v>46282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46282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33727-2026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46251</v>
      </c>
      <c r="E465" s="1" t="n">
        <v>46282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33730-2026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46251</v>
      </c>
      <c r="E466" s="1" t="n">
        <v>46282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29897-2026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46282</v>
      </c>
      <c r="F467" t="inlineStr">
        <is>
          <t>SÖDERMANLANDS LÄN</t>
        </is>
      </c>
      <c r="G467" t="inlineStr">
        <is>
          <t>FLEN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33936-2026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46250</v>
      </c>
      <c r="E468" s="1" t="n">
        <v>46282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73923-2021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44553</v>
      </c>
      <c r="E469" s="1" t="n">
        <v>46282</v>
      </c>
      <c r="F469" t="inlineStr">
        <is>
          <t>SÖDERMANLANDS LÄN</t>
        </is>
      </c>
      <c r="G469" t="inlineStr">
        <is>
          <t>FLEN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28664-2026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46198</v>
      </c>
      <c r="E470" s="1" t="n">
        <v>46282</v>
      </c>
      <c r="F470" t="inlineStr">
        <is>
          <t>SÖDERMANLANDS LÄN</t>
        </is>
      </c>
      <c r="G470" t="inlineStr">
        <is>
          <t>FLEN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45345</v>
      </c>
      <c r="E471" s="1" t="n">
        <v>46282</v>
      </c>
      <c r="F471" t="inlineStr">
        <is>
          <t>SÖDERMANLANDS LÄN</t>
        </is>
      </c>
      <c r="G471" t="inlineStr">
        <is>
          <t>FLEN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34325-2026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46253</v>
      </c>
      <c r="E472" s="1" t="n">
        <v>46282</v>
      </c>
      <c r="F472" t="inlineStr">
        <is>
          <t>SÖDERMANLANDS LÄN</t>
        </is>
      </c>
      <c r="G472" t="inlineStr">
        <is>
          <t>FLEN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46282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34851-2026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46258</v>
      </c>
      <c r="E474" s="1" t="n">
        <v>46282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44648</v>
      </c>
      <c r="E475" s="1" t="n">
        <v>46282</v>
      </c>
      <c r="F475" t="inlineStr">
        <is>
          <t>SÖDERMANLANDS LÄN</t>
        </is>
      </c>
      <c r="G475" t="inlineStr">
        <is>
          <t>FLEN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26663-2022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44739</v>
      </c>
      <c r="E476" s="1" t="n">
        <v>46282</v>
      </c>
      <c r="F476" t="inlineStr">
        <is>
          <t>SÖDERMANLANDS LÄN</t>
        </is>
      </c>
      <c r="G476" t="inlineStr">
        <is>
          <t>FLEN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23716-2024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45454</v>
      </c>
      <c r="E477" s="1" t="n">
        <v>46282</v>
      </c>
      <c r="F477" t="inlineStr">
        <is>
          <t>SÖDERMANLANDS LÄN</t>
        </is>
      </c>
      <c r="G477" t="inlineStr">
        <is>
          <t>FLEN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28768-2024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46282</v>
      </c>
      <c r="F478" t="inlineStr">
        <is>
          <t>SÖDERMANLANDS LÄN</t>
        </is>
      </c>
      <c r="G478" t="inlineStr">
        <is>
          <t>FLEN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34839-2026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46258</v>
      </c>
      <c r="E479" s="1" t="n">
        <v>46282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34097-2026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46252</v>
      </c>
      <c r="E480" s="1" t="n">
        <v>46282</v>
      </c>
      <c r="F480" t="inlineStr">
        <is>
          <t>SÖDERMANLANDS LÄN</t>
        </is>
      </c>
      <c r="G480" t="inlineStr">
        <is>
          <t>FLEN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45713</v>
      </c>
      <c r="E481" s="1" t="n">
        <v>46282</v>
      </c>
      <c r="F481" t="inlineStr">
        <is>
          <t>SÖDERMANLANDS LÄN</t>
        </is>
      </c>
      <c r="G481" t="inlineStr">
        <is>
          <t>FLEN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44580</v>
      </c>
      <c r="E482" s="1" t="n">
        <v>46282</v>
      </c>
      <c r="F482" t="inlineStr">
        <is>
          <t>SÖDERMANLANDS LÄN</t>
        </is>
      </c>
      <c r="G482" t="inlineStr">
        <is>
          <t>FLEN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34612-2023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45140</v>
      </c>
      <c r="E483" s="1" t="n">
        <v>46282</v>
      </c>
      <c r="F483" t="inlineStr">
        <is>
          <t>SÖDERMANLANDS LÄN</t>
        </is>
      </c>
      <c r="G483" t="inlineStr">
        <is>
          <t>FLEN</t>
        </is>
      </c>
      <c r="H483" t="inlineStr">
        <is>
          <t>Kyrkan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39891-2022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44819</v>
      </c>
      <c r="E484" s="1" t="n">
        <v>46282</v>
      </c>
      <c r="F484" t="inlineStr">
        <is>
          <t>SÖDERMANLANDS LÄN</t>
        </is>
      </c>
      <c r="G484" t="inlineStr">
        <is>
          <t>FLEN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46282</v>
      </c>
      <c r="F485" t="inlineStr">
        <is>
          <t>SÖDERMANLANDS LÄN</t>
        </is>
      </c>
      <c r="G485" t="inlineStr">
        <is>
          <t>FLEN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46282</v>
      </c>
      <c r="F486" t="inlineStr">
        <is>
          <t>SÖDERMANLANDS LÄN</t>
        </is>
      </c>
      <c r="G486" t="inlineStr">
        <is>
          <t>FLEN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44769</v>
      </c>
      <c r="E487" s="1" t="n">
        <v>46282</v>
      </c>
      <c r="F487" t="inlineStr">
        <is>
          <t>SÖDERMANLANDS LÄN</t>
        </is>
      </c>
      <c r="G487" t="inlineStr">
        <is>
          <t>FLEN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45110</v>
      </c>
      <c r="E488" s="1" t="n">
        <v>46282</v>
      </c>
      <c r="F488" t="inlineStr">
        <is>
          <t>SÖDERMANLANDS LÄN</t>
        </is>
      </c>
      <c r="G488" t="inlineStr">
        <is>
          <t>FLEN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45250</v>
      </c>
      <c r="E489" s="1" t="n">
        <v>46282</v>
      </c>
      <c r="F489" t="inlineStr">
        <is>
          <t>SÖDERMANLANDS LÄN</t>
        </is>
      </c>
      <c r="G489" t="inlineStr">
        <is>
          <t>FLEN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38135-2023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45161</v>
      </c>
      <c r="E490" s="1" t="n">
        <v>46282</v>
      </c>
      <c r="F490" t="inlineStr">
        <is>
          <t>SÖDERMANLANDS LÄN</t>
        </is>
      </c>
      <c r="G490" t="inlineStr">
        <is>
          <t>FLEN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46282</v>
      </c>
      <c r="F491" t="inlineStr">
        <is>
          <t>SÖDERMANLANDS LÄN</t>
        </is>
      </c>
      <c r="G491" t="inlineStr">
        <is>
          <t>FLEN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46265</v>
      </c>
      <c r="E492" s="1" t="n">
        <v>46282</v>
      </c>
      <c r="F492" t="inlineStr">
        <is>
          <t>SÖDERMANLANDS LÄN</t>
        </is>
      </c>
      <c r="G492" t="inlineStr">
        <is>
          <t>FLEN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46282</v>
      </c>
      <c r="F493" t="inlineStr">
        <is>
          <t>SÖDERMANLANDS LÄN</t>
        </is>
      </c>
      <c r="G493" t="inlineStr">
        <is>
          <t>FLEN</t>
        </is>
      </c>
      <c r="H493" t="inlineStr">
        <is>
          <t>Övriga statliga verk och myndigheter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35990-2026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46266</v>
      </c>
      <c r="E494" s="1" t="n">
        <v>46282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4657-2024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45328</v>
      </c>
      <c r="E495" s="1" t="n">
        <v>46282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45175</v>
      </c>
      <c r="E496" s="1" t="n">
        <v>46282</v>
      </c>
      <c r="F496" t="inlineStr">
        <is>
          <t>SÖDERMANLANDS LÄN</t>
        </is>
      </c>
      <c r="G496" t="inlineStr">
        <is>
          <t>FLEN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17654-2023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45036</v>
      </c>
      <c r="E497" s="1" t="n">
        <v>46282</v>
      </c>
      <c r="F497" t="inlineStr">
        <is>
          <t>SÖDERMANLANDS LÄN</t>
        </is>
      </c>
      <c r="G497" t="inlineStr">
        <is>
          <t>FLEN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46282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36173-2026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46267</v>
      </c>
      <c r="E499" s="1" t="n">
        <v>46282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59439-2022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44907</v>
      </c>
      <c r="E500" s="1" t="n">
        <v>46282</v>
      </c>
      <c r="F500" t="inlineStr">
        <is>
          <t>SÖDERMANLANDS LÄN</t>
        </is>
      </c>
      <c r="G500" t="inlineStr">
        <is>
          <t>FLEN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10256-2024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45365</v>
      </c>
      <c r="E501" s="1" t="n">
        <v>46282</v>
      </c>
      <c r="F501" t="inlineStr">
        <is>
          <t>SÖDERMANLANDS LÄN</t>
        </is>
      </c>
      <c r="G501" t="inlineStr">
        <is>
          <t>FLEN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56991-2023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46282</v>
      </c>
      <c r="F502" t="inlineStr">
        <is>
          <t>SÖDERMANLANDS LÄN</t>
        </is>
      </c>
      <c r="G502" t="inlineStr">
        <is>
          <t>FLEN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46267</v>
      </c>
      <c r="E503" s="1" t="n">
        <v>46282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33694-2026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46249</v>
      </c>
      <c r="E504" s="1" t="n">
        <v>46282</v>
      </c>
      <c r="F504" t="inlineStr">
        <is>
          <t>SÖDERMANLANDS LÄN</t>
        </is>
      </c>
      <c r="G504" t="inlineStr">
        <is>
          <t>FLEN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11747-2022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44634</v>
      </c>
      <c r="E505" s="1" t="n">
        <v>46282</v>
      </c>
      <c r="F505" t="inlineStr">
        <is>
          <t>SÖDERMANLANDS LÄN</t>
        </is>
      </c>
      <c r="G505" t="inlineStr">
        <is>
          <t>FLEN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41806-2023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45176</v>
      </c>
      <c r="E506" s="1" t="n">
        <v>46282</v>
      </c>
      <c r="F506" t="inlineStr">
        <is>
          <t>SÖDERMANLANDS LÄN</t>
        </is>
      </c>
      <c r="G506" t="inlineStr">
        <is>
          <t>FLEN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36990-2026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46273</v>
      </c>
      <c r="E507" s="1" t="n">
        <v>46282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37002-2026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46273</v>
      </c>
      <c r="E508" s="1" t="n">
        <v>46282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45216</v>
      </c>
      <c r="E509" s="1" t="n">
        <v>46282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31762-2026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46229</v>
      </c>
      <c r="E510" s="1" t="n">
        <v>46282</v>
      </c>
      <c r="F510" t="inlineStr">
        <is>
          <t>SÖDERMANLANDS LÄN</t>
        </is>
      </c>
      <c r="G510" t="inlineStr">
        <is>
          <t>FLEN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36982-2026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46273</v>
      </c>
      <c r="E511" s="1" t="n">
        <v>46282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46282</v>
      </c>
      <c r="F512" t="inlineStr">
        <is>
          <t>SÖDERMANLANDS LÄN</t>
        </is>
      </c>
      <c r="G512" t="inlineStr">
        <is>
          <t>FLEN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45256</v>
      </c>
      <c r="E513" s="1" t="n">
        <v>46282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46282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45448</v>
      </c>
      <c r="E515" s="1" t="n">
        <v>46282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13233-2024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45386</v>
      </c>
      <c r="E516" s="1" t="n">
        <v>46282</v>
      </c>
      <c r="F516" t="inlineStr">
        <is>
          <t>SÖDERMANLANDS LÄN</t>
        </is>
      </c>
      <c r="G516" t="inlineStr">
        <is>
          <t>FLEN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8293-2022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44610</v>
      </c>
      <c r="E517" s="1" t="n">
        <v>46282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45014</v>
      </c>
      <c r="E518" s="1" t="n">
        <v>46282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46282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46282</v>
      </c>
      <c r="F520" t="inlineStr">
        <is>
          <t>SÖDERMANLANDS LÄN</t>
        </is>
      </c>
      <c r="G520" t="inlineStr">
        <is>
          <t>FLEN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4899-2023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44958</v>
      </c>
      <c r="E521" s="1" t="n">
        <v>46282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20952-2025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45777</v>
      </c>
      <c r="E522" s="1" t="n">
        <v>46282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45414</v>
      </c>
      <c r="E523" s="1" t="n">
        <v>46282</v>
      </c>
      <c r="F523" t="inlineStr">
        <is>
          <t>SÖDERMANLANDS LÄN</t>
        </is>
      </c>
      <c r="G523" t="inlineStr">
        <is>
          <t>FLEN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59051-2023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45252</v>
      </c>
      <c r="E524" s="1" t="n">
        <v>46282</v>
      </c>
      <c r="F524" t="inlineStr">
        <is>
          <t>SÖDERMANLANDS LÄN</t>
        </is>
      </c>
      <c r="G524" t="inlineStr">
        <is>
          <t>FLEN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7960-2024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45350</v>
      </c>
      <c r="E525" s="1" t="n">
        <v>46282</v>
      </c>
      <c r="F525" t="inlineStr">
        <is>
          <t>SÖDERMANLANDS LÄN</t>
        </is>
      </c>
      <c r="G525" t="inlineStr">
        <is>
          <t>FLEN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44883</v>
      </c>
      <c r="E526" s="1" t="n">
        <v>46282</v>
      </c>
      <c r="F526" t="inlineStr">
        <is>
          <t>SÖDERMANLANDS LÄN</t>
        </is>
      </c>
      <c r="G526" t="inlineStr">
        <is>
          <t>FLEN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47055-2022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44852</v>
      </c>
      <c r="E527" s="1" t="n">
        <v>46282</v>
      </c>
      <c r="F527" t="inlineStr">
        <is>
          <t>SÖDERMANLANDS LÄN</t>
        </is>
      </c>
      <c r="G527" t="inlineStr">
        <is>
          <t>FLEN</t>
        </is>
      </c>
      <c r="I527" t="n">
        <v>8.699999999999999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13909-2023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45008</v>
      </c>
      <c r="E528" s="1" t="n">
        <v>46282</v>
      </c>
      <c r="F528" t="inlineStr">
        <is>
          <t>SÖDERMANLANDS LÄN</t>
        </is>
      </c>
      <c r="G528" t="inlineStr">
        <is>
          <t>FLEN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45790</v>
      </c>
      <c r="E529" s="1" t="n">
        <v>46282</v>
      </c>
      <c r="F529" t="inlineStr">
        <is>
          <t>SÖDERMANLANDS LÄN</t>
        </is>
      </c>
      <c r="G529" t="inlineStr">
        <is>
          <t>FLEN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22998-2025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46282</v>
      </c>
      <c r="F530" t="inlineStr">
        <is>
          <t>SÖDERMANLANDS LÄN</t>
        </is>
      </c>
      <c r="G530" t="inlineStr">
        <is>
          <t>FLEN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46282</v>
      </c>
      <c r="F531" t="inlineStr">
        <is>
          <t>SÖDERMANLANDS LÄN</t>
        </is>
      </c>
      <c r="G531" t="inlineStr">
        <is>
          <t>FLEN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46282</v>
      </c>
      <c r="F532" t="inlineStr">
        <is>
          <t>SÖDERMANLANDS LÄN</t>
        </is>
      </c>
      <c r="G532" t="inlineStr">
        <is>
          <t>FLEN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40412-2024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45555</v>
      </c>
      <c r="E533" s="1" t="n">
        <v>46282</v>
      </c>
      <c r="F533" t="inlineStr">
        <is>
          <t>SÖDERMANLANDS LÄN</t>
        </is>
      </c>
      <c r="G533" t="inlineStr">
        <is>
          <t>FLEN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45797</v>
      </c>
      <c r="E534" s="1" t="n">
        <v>46282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458-2023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44964</v>
      </c>
      <c r="E535" s="1" t="n">
        <v>46282</v>
      </c>
      <c r="F535" t="inlineStr">
        <is>
          <t>SÖDERMANLANDS LÄN</t>
        </is>
      </c>
      <c r="G535" t="inlineStr">
        <is>
          <t>FLEN</t>
        </is>
      </c>
      <c r="H535" t="inlineStr">
        <is>
          <t>Kyrkan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292-2025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45686</v>
      </c>
      <c r="E536" s="1" t="n">
        <v>46282</v>
      </c>
      <c r="F536" t="inlineStr">
        <is>
          <t>SÖDERMANLANDS LÄN</t>
        </is>
      </c>
      <c r="G536" t="inlineStr">
        <is>
          <t>FLEN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3723-2022</t>
        </is>
      </c>
      <c r="B537" t="inlineStr">
        <is>
          <t>samrådsanmälan</t>
        </is>
      </c>
      <c r="C537" t="inlineStr">
        <is>
          <t>Åtgärd i nyckelbiotop</t>
        </is>
      </c>
      <c r="D537" s="1" t="n">
        <v>44742</v>
      </c>
      <c r="E537" s="1" t="n">
        <v>46282</v>
      </c>
      <c r="F537" t="inlineStr">
        <is>
          <t>SÖDERMANLANDS LÄN</t>
        </is>
      </c>
      <c r="G537" t="inlineStr">
        <is>
          <t>FLEN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482-2022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44588</v>
      </c>
      <c r="E538" s="1" t="n">
        <v>46282</v>
      </c>
      <c r="F538" t="inlineStr">
        <is>
          <t>SÖDERMANLANDS LÄN</t>
        </is>
      </c>
      <c r="G538" t="inlineStr">
        <is>
          <t>FLEN</t>
        </is>
      </c>
      <c r="I538" t="n">
        <v>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2321-2022</t>
        </is>
      </c>
      <c r="B539" t="inlineStr">
        <is>
          <t>samrådsanmälan</t>
        </is>
      </c>
      <c r="C539" t="inlineStr">
        <is>
          <t>Åtgärd i nyckelbiotop</t>
        </is>
      </c>
      <c r="D539" s="1" t="n">
        <v>44685</v>
      </c>
      <c r="E539" s="1" t="n">
        <v>46282</v>
      </c>
      <c r="F539" t="inlineStr">
        <is>
          <t>SÖDERMANLANDS LÄN</t>
        </is>
      </c>
      <c r="G539" t="inlineStr">
        <is>
          <t>FLEN</t>
        </is>
      </c>
      <c r="H539" t="inlineStr">
        <is>
          <t>Kyrkan</t>
        </is>
      </c>
      <c r="I539" t="n">
        <v>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1976-2024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45446</v>
      </c>
      <c r="E540" s="1" t="n">
        <v>46282</v>
      </c>
      <c r="F540" t="inlineStr">
        <is>
          <t>SÖDERMANLANDS LÄN</t>
        </is>
      </c>
      <c r="G540" t="inlineStr">
        <is>
          <t>FLEN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1287-2024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45403</v>
      </c>
      <c r="E541" s="1" t="n">
        <v>46282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>
      <c r="A542" t="inlineStr">
        <is>
          <t>S 1528-2026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46164</v>
      </c>
      <c r="E542" s="1" t="n">
        <v>46282</v>
      </c>
      <c r="F542" t="inlineStr">
        <is>
          <t>SÖDERMANLANDS LÄN</t>
        </is>
      </c>
      <c r="G542" t="inlineStr">
        <is>
          <t>FLEN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2026-09-17T02:00:07Z</dcterms:created>
  <dcterms:modified xmlns:dcterms="http://purl.org/dc/terms/" xmlns:xsi="http://www.w3.org/2001/XMLSchema-instance" xsi:type="dcterms:W3CDTF">2026-09-17T02:00:07Z</dcterms:modified>
</cp:coreProperties>
</file>