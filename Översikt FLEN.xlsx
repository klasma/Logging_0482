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46259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46259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46259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46259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46259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46259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46259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46259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46259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32901-2025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46259</v>
      </c>
      <c r="F26" t="inlineStr">
        <is>
          <t>SÖDERMANLANDS LÄN</t>
        </is>
      </c>
      <c r="G26" t="inlineStr">
        <is>
          <t>FLEN</t>
        </is>
      </c>
      <c r="I26" t="n">
        <v>2.6</v>
      </c>
      <c r="J26" t="n">
        <v>1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5</v>
      </c>
      <c r="V26" s="2" t="inlineStr">
        <is>
          <t>Motaggsvamp
Ullticka
Blomkålssvamp
Flagellkvastmossa
Spillkråka</t>
        </is>
      </c>
      <c r="W26">
        <f>HYPERLINK("https://klasma.github.io/Logging_0482/artfynd/A 32901-2025 artfynd.xlsx", "A 32901-2025")</f>
        <v/>
      </c>
      <c r="X26">
        <f>HYPERLINK("https://klasma.github.io/Logging_0482/kartor/A 32901-2025 karta.png", "A 32901-2025")</f>
        <v/>
      </c>
      <c r="Y26">
        <f>HYPERLINK("https://klasma.github.io/Logging_0482/kartor_geotiff/A 32901-2025 georefererad karta.tif", "A 32901-2025")</f>
        <v/>
      </c>
      <c r="AA26">
        <f>HYPERLINK("https://klasma.github.io/Logging_0482/klagomål/A 32901-2025 FSC-klagomål.docx", "A 32901-2025")</f>
        <v/>
      </c>
      <c r="AB26">
        <f>HYPERLINK("https://klasma.github.io/Logging_0482/klagomålsmail/A 32901-2025 FSC-klagomål mail.docx", "A 32901-2025")</f>
        <v/>
      </c>
      <c r="AC26">
        <f>HYPERLINK("https://klasma.github.io/Logging_0482/tillsyn/A 32901-2025 tillsynsbegäran.docx", "A 32901-2025")</f>
        <v/>
      </c>
      <c r="AD26">
        <f>HYPERLINK("https://klasma.github.io/Logging_0482/tillsynsmail/A 32901-2025 tillsynsbegäran mail.docx", "A 32901-2025")</f>
        <v/>
      </c>
      <c r="AE26">
        <f>HYPERLINK("https://klasma.github.io/Logging_0482/fåglar/A 32901-2025 prioriterade fågelarter.docx", "A 32901-2025")</f>
        <v/>
      </c>
    </row>
    <row r="27" ht="15" customHeight="1">
      <c r="A27" t="inlineStr">
        <is>
          <t>A 38832-2022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44814</v>
      </c>
      <c r="E27" s="1" t="n">
        <v>46259</v>
      </c>
      <c r="F27" t="inlineStr">
        <is>
          <t>SÖDERMANLANDS LÄN</t>
        </is>
      </c>
      <c r="G27" t="inlineStr">
        <is>
          <t>FLEN</t>
        </is>
      </c>
      <c r="I27" t="n">
        <v>1.8</v>
      </c>
      <c r="J27" t="n">
        <v>2</v>
      </c>
      <c r="K27" t="n">
        <v>0</v>
      </c>
      <c r="L27" t="n">
        <v>2</v>
      </c>
      <c r="M27" t="n">
        <v>1</v>
      </c>
      <c r="N27" t="n">
        <v>1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5</v>
      </c>
      <c r="U27" t="n">
        <v>1</v>
      </c>
      <c r="V27" s="2" t="inlineStr">
        <is>
          <t>Ask
Gulvit blekspik
Gulsparv
Tallticka
Skogsödla</t>
        </is>
      </c>
      <c r="W27">
        <f>HYPERLINK("https://klasma.github.io/Logging_0482/artfynd/A 38832-2022 artfynd.xlsx", "A 38832-2022")</f>
        <v/>
      </c>
      <c r="X27">
        <f>HYPERLINK("https://klasma.github.io/Logging_0482/kartor/A 38832-2022 karta.png", "A 38832-2022")</f>
        <v/>
      </c>
      <c r="Y27">
        <f>HYPERLINK("https://klasma.github.io/Logging_0482/kartor_geotiff/A 38832-2022 georefererad karta.tif", "A 38832-2022")</f>
        <v/>
      </c>
      <c r="AA27">
        <f>HYPERLINK("https://klasma.github.io/Logging_0482/klagomål/A 38832-2022 FSC-klagomål.docx", "A 38832-2022")</f>
        <v/>
      </c>
      <c r="AB27">
        <f>HYPERLINK("https://klasma.github.io/Logging_0482/klagomålsmail/A 38832-2022 FSC-klagomål mail.docx", "A 38832-2022")</f>
        <v/>
      </c>
      <c r="AC27">
        <f>HYPERLINK("https://klasma.github.io/Logging_0482/tillsyn/A 38832-2022 tillsynsbegäran.docx", "A 38832-2022")</f>
        <v/>
      </c>
      <c r="AD27">
        <f>HYPERLINK("https://klasma.github.io/Logging_0482/tillsynsmail/A 38832-2022 tillsynsbegäran mail.docx", "A 38832-2022")</f>
        <v/>
      </c>
      <c r="AE27">
        <f>HYPERLINK("https://klasma.github.io/Logging_0482/fåglar/A 38832-2022 prioriterade fågelarter.docx", "A 38832-2022")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46259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t="n">
        <v>4</v>
      </c>
      <c r="V28" s="2" t="inlineStr">
        <is>
          <t>Ask
Krusfrö
Svinrot
Älg
Större vattensalamander</t>
        </is>
      </c>
      <c r="W28">
        <f>HYPERLINK("https://klasma.github.io/Logging_0482/artfynd/A 4551-2023 artfynd.xlsx", "A 4551-2023")</f>
        <v/>
      </c>
      <c r="X28">
        <f>HYPERLINK("https://klasma.github.io/Logging_0482/kartor/A 4551-2023 karta.png", "A 4551-2023")</f>
        <v/>
      </c>
      <c r="Y28">
        <f>HYPERLINK("https://klasma.github.io/Logging_0482/kartor_geotiff/A 4551-2023 georefererad karta.tif", "A 4551-2023")</f>
        <v/>
      </c>
      <c r="AA28">
        <f>HYPERLINK("https://klasma.github.io/Logging_0482/klagomål/A 4551-2023 FSC-klagomål.docx", "A 4551-2023")</f>
        <v/>
      </c>
      <c r="AB28">
        <f>HYPERLINK("https://klasma.github.io/Logging_0482/klagomålsmail/A 4551-2023 FSC-klagomål mail.docx", "A 4551-2023")</f>
        <v/>
      </c>
      <c r="AC28">
        <f>HYPERLINK("https://klasma.github.io/Logging_0482/tillsyn/A 4551-2023 tillsynsbegäran.docx", "A 4551-2023")</f>
        <v/>
      </c>
      <c r="AD28">
        <f>HYPERLINK("https://klasma.github.io/Logging_0482/tillsynsmail/A 4551-2023 tillsynsbegäran mail.docx", "A 4551-2023")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46259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46259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46259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46259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46259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46259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46259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46259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33225-2024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46259</v>
      </c>
      <c r="F37" t="inlineStr">
        <is>
          <t>SÖDERMANLANDS LÄN</t>
        </is>
      </c>
      <c r="G37" t="inlineStr">
        <is>
          <t>FLEN</t>
        </is>
      </c>
      <c r="I37" t="n">
        <v>0.1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Skogsklocka
Svinrot
Vippärt
Grönvit nattviol</t>
        </is>
      </c>
      <c r="W37">
        <f>HYPERLINK("https://klasma.github.io/Logging_0482/artfynd/A 33225-2024 artfynd.xlsx", "A 33225-2024")</f>
        <v/>
      </c>
      <c r="X37">
        <f>HYPERLINK("https://klasma.github.io/Logging_0482/kartor/A 33225-2024 karta.png", "A 33225-2024")</f>
        <v/>
      </c>
      <c r="Y37">
        <f>HYPERLINK("https://klasma.github.io/Logging_0482/kartor_geotiff/A 33225-2024 georefererad karta.tif", "A 33225-2024")</f>
        <v/>
      </c>
      <c r="AA37">
        <f>HYPERLINK("https://klasma.github.io/Logging_0482/klagomål/A 33225-2024 FSC-klagomål.docx", "A 33225-2024")</f>
        <v/>
      </c>
      <c r="AB37">
        <f>HYPERLINK("https://klasma.github.io/Logging_0482/klagomålsmail/A 33225-2024 FSC-klagomål mail.docx", "A 33225-2024")</f>
        <v/>
      </c>
      <c r="AC37">
        <f>HYPERLINK("https://klasma.github.io/Logging_0482/tillsyn/A 33225-2024 tillsynsbegäran.docx", "A 33225-2024")</f>
        <v/>
      </c>
      <c r="AD37">
        <f>HYPERLINK("https://klasma.github.io/Logging_0482/tillsynsmail/A 33225-2024 tillsynsbegäran mail.docx", "A 33225-2024")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46259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46259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13230-2023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46259</v>
      </c>
      <c r="F40" t="inlineStr">
        <is>
          <t>SÖDERMANLANDS LÄN</t>
        </is>
      </c>
      <c r="G40" t="inlineStr">
        <is>
          <t>FLEN</t>
        </is>
      </c>
      <c r="H40" t="inlineStr">
        <is>
          <t>Kommuner</t>
        </is>
      </c>
      <c r="I40" t="n">
        <v>7.8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Källpraktmossa
Stor aspticka
Blåsippa
Glansfläck</t>
        </is>
      </c>
      <c r="W40">
        <f>HYPERLINK("https://klasma.github.io/Logging_0482/artfynd/A 13230-2023 artfynd.xlsx", "A 13230-2023")</f>
        <v/>
      </c>
      <c r="X40">
        <f>HYPERLINK("https://klasma.github.io/Logging_0482/kartor/A 13230-2023 karta.png", "A 13230-2023")</f>
        <v/>
      </c>
      <c r="Y40">
        <f>HYPERLINK("https://klasma.github.io/Logging_0482/kartor_geotiff/A 13230-2023 georefererad karta.tif", "A 13230-2023")</f>
        <v/>
      </c>
      <c r="AA40">
        <f>HYPERLINK("https://klasma.github.io/Logging_0482/klagomål/A 13230-2023 FSC-klagomål.docx", "A 13230-2023")</f>
        <v/>
      </c>
      <c r="AB40">
        <f>HYPERLINK("https://klasma.github.io/Logging_0482/klagomålsmail/A 13230-2023 FSC-klagomål mail.docx", "A 13230-2023")</f>
        <v/>
      </c>
      <c r="AC40">
        <f>HYPERLINK("https://klasma.github.io/Logging_0482/tillsyn/A 13230-2023 tillsynsbegäran.docx", "A 13230-2023")</f>
        <v/>
      </c>
      <c r="AD40">
        <f>HYPERLINK("https://klasma.github.io/Logging_0482/tillsynsmail/A 13230-2023 tillsynsbegäran mail.docx", "A 13230-2023")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46259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46259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4290-2026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46044</v>
      </c>
      <c r="E43" s="1" t="n">
        <v>46259</v>
      </c>
      <c r="F43" t="inlineStr">
        <is>
          <t>SÖDERMANLANDS LÄN</t>
        </is>
      </c>
      <c r="G43" t="inlineStr">
        <is>
          <t>FLEN</t>
        </is>
      </c>
      <c r="H43" t="inlineStr">
        <is>
          <t>Övriga statliga verk och myndigheter</t>
        </is>
      </c>
      <c r="I43" t="n">
        <v>3.4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Jungfrulin
Vanlig backsmörblomma
Mindre vattensalamander
Gullviva</t>
        </is>
      </c>
      <c r="W43">
        <f>HYPERLINK("https://klasma.github.io/Logging_0482/artfynd/A 4290-2026 artfynd.xlsx", "A 4290-2026")</f>
        <v/>
      </c>
      <c r="X43">
        <f>HYPERLINK("https://klasma.github.io/Logging_0482/kartor/A 4290-2026 karta.png", "A 4290-2026")</f>
        <v/>
      </c>
      <c r="Y43">
        <f>HYPERLINK("https://klasma.github.io/Logging_0482/kartor_geotiff/A 4290-2026 georefererad karta.tif", "A 4290-2026")</f>
        <v/>
      </c>
      <c r="AA43">
        <f>HYPERLINK("https://klasma.github.io/Logging_0482/klagomål/A 4290-2026 FSC-klagomål.docx", "A 4290-2026")</f>
        <v/>
      </c>
      <c r="AB43">
        <f>HYPERLINK("https://klasma.github.io/Logging_0482/klagomålsmail/A 4290-2026 FSC-klagomål mail.docx", "A 4290-2026")</f>
        <v/>
      </c>
      <c r="AC43">
        <f>HYPERLINK("https://klasma.github.io/Logging_0482/tillsyn/A 4290-2026 tillsynsbegäran.docx", "A 4290-2026")</f>
        <v/>
      </c>
      <c r="AD43">
        <f>HYPERLINK("https://klasma.github.io/Logging_0482/tillsynsmail/A 4290-2026 tillsynsbegäran mail.docx", "A 4290-2026")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46259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46259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Dropptaggsvamp
Fönsterlav
Grå renlav
Gulvit renlav</t>
        </is>
      </c>
      <c r="W45">
        <f>HYPERLINK("https://klasma.github.io/Logging_0482/artfynd/A 11115-2026 artfynd.xlsx", "A 11115-2026")</f>
        <v/>
      </c>
      <c r="X45">
        <f>HYPERLINK("https://klasma.github.io/Logging_0482/kartor/A 11115-2026 karta.png", "A 11115-2026")</f>
        <v/>
      </c>
      <c r="Y45">
        <f>HYPERLINK("https://klasma.github.io/Logging_0482/kartor_geotiff/A 11115-2026 georefererad karta.tif", "A 11115-2026")</f>
        <v/>
      </c>
      <c r="AA45">
        <f>HYPERLINK("https://klasma.github.io/Logging_0482/klagomål/A 11115-2026 FSC-klagomål.docx", "A 11115-2026")</f>
        <v/>
      </c>
      <c r="AB45">
        <f>HYPERLINK("https://klasma.github.io/Logging_0482/klagomålsmail/A 11115-2026 FSC-klagomål mail.docx", "A 11115-2026")</f>
        <v/>
      </c>
      <c r="AC45">
        <f>HYPERLINK("https://klasma.github.io/Logging_0482/tillsyn/A 11115-2026 tillsynsbegäran.docx", "A 11115-2026")</f>
        <v/>
      </c>
      <c r="AD45">
        <f>HYPERLINK("https://klasma.github.io/Logging_0482/tillsynsmail/A 11115-2026 tillsynsbegäran mail.docx", "A 11115-2026")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46259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46259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46259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46259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17512-2026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46119</v>
      </c>
      <c r="E50" s="1" t="n">
        <v>46259</v>
      </c>
      <c r="F50" t="inlineStr">
        <is>
          <t>SÖDERMANLANDS LÄN</t>
        </is>
      </c>
      <c r="G50" t="inlineStr">
        <is>
          <t>FLEN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Majbräken
Sälg</t>
        </is>
      </c>
      <c r="W50">
        <f>HYPERLINK("https://klasma.github.io/Logging_0482/artfynd/A 17512-2026 artfynd.xlsx", "A 17512-2026")</f>
        <v/>
      </c>
      <c r="X50">
        <f>HYPERLINK("https://klasma.github.io/Logging_0482/kartor/A 17512-2026 karta.png", "A 17512-2026")</f>
        <v/>
      </c>
      <c r="Y50">
        <f>HYPERLINK("https://klasma.github.io/Logging_0482/kartor_geotiff/A 17512-2026 georefererad karta.tif", "A 17512-2026")</f>
        <v/>
      </c>
      <c r="AA50">
        <f>HYPERLINK("https://klasma.github.io/Logging_0482/klagomål/A 17512-2026 FSC-klagomål.docx", "A 17512-2026")</f>
        <v/>
      </c>
      <c r="AB50">
        <f>HYPERLINK("https://klasma.github.io/Logging_0482/klagomålsmail/A 17512-2026 FSC-klagomål mail.docx", "A 17512-2026")</f>
        <v/>
      </c>
      <c r="AC50">
        <f>HYPERLINK("https://klasma.github.io/Logging_0482/tillsyn/A 17512-2026 tillsynsbegäran.docx", "A 17512-2026")</f>
        <v/>
      </c>
      <c r="AD50">
        <f>HYPERLINK("https://klasma.github.io/Logging_0482/tillsynsmail/A 17512-2026 tillsynsbegäran mail.docx", "A 17512-2026")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46259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31238-2022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44771</v>
      </c>
      <c r="E52" s="1" t="n">
        <v>46259</v>
      </c>
      <c r="F52" t="inlineStr">
        <is>
          <t>SÖDERMANLANDS LÄN</t>
        </is>
      </c>
      <c r="G52" t="inlineStr">
        <is>
          <t>FLEN</t>
        </is>
      </c>
      <c r="I52" t="n">
        <v>7.5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Svedjenäva
Svinrot
Skogsbräsma</t>
        </is>
      </c>
      <c r="W52">
        <f>HYPERLINK("https://klasma.github.io/Logging_0482/artfynd/A 31238-2022 artfynd.xlsx", "A 31238-2022")</f>
        <v/>
      </c>
      <c r="X52">
        <f>HYPERLINK("https://klasma.github.io/Logging_0482/kartor/A 31238-2022 karta.png", "A 31238-2022")</f>
        <v/>
      </c>
      <c r="Y52">
        <f>HYPERLINK("https://klasma.github.io/Logging_0482/kartor_geotiff/A 31238-2022 georefererad karta.tif", "A 31238-2022")</f>
        <v/>
      </c>
      <c r="AA52">
        <f>HYPERLINK("https://klasma.github.io/Logging_0482/klagomål/A 31238-2022 FSC-klagomål.docx", "A 31238-2022")</f>
        <v/>
      </c>
      <c r="AB52">
        <f>HYPERLINK("https://klasma.github.io/Logging_0482/klagomålsmail/A 31238-2022 FSC-klagomål mail.docx", "A 31238-2022")</f>
        <v/>
      </c>
      <c r="AC52">
        <f>HYPERLINK("https://klasma.github.io/Logging_0482/tillsyn/A 31238-2022 tillsynsbegäran.docx", "A 31238-2022")</f>
        <v/>
      </c>
      <c r="AD52">
        <f>HYPERLINK("https://klasma.github.io/Logging_0482/tillsynsmail/A 31238-2022 tillsynsbegäran mail.docx", "A 31238-2022")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46259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46259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46259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46259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34985-2023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46259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2.8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Knärot
Grönpyrola
Revlummer</t>
        </is>
      </c>
      <c r="W57">
        <f>HYPERLINK("https://klasma.github.io/Logging_0482/artfynd/A 34985-2023 artfynd.xlsx", "A 34985-2023")</f>
        <v/>
      </c>
      <c r="X57">
        <f>HYPERLINK("https://klasma.github.io/Logging_0482/kartor/A 34985-2023 karta.png", "A 34985-2023")</f>
        <v/>
      </c>
      <c r="Y57">
        <f>HYPERLINK("https://klasma.github.io/Logging_0482/kartor_geotiff/A 34985-2023 georefererad karta.tif", "A 34985-2023")</f>
        <v/>
      </c>
      <c r="Z57">
        <f>HYPERLINK("https://klasma.github.io/Logging_0482/knärot/A 34985-2023 karta knärot.png", "A 34985-2023")</f>
        <v/>
      </c>
      <c r="AA57">
        <f>HYPERLINK("https://klasma.github.io/Logging_0482/klagomål/A 34985-2023 FSC-klagomål.docx", "A 34985-2023")</f>
        <v/>
      </c>
      <c r="AB57">
        <f>HYPERLINK("https://klasma.github.io/Logging_0482/klagomålsmail/A 34985-2023 FSC-klagomål mail.docx", "A 34985-2023")</f>
        <v/>
      </c>
      <c r="AC57">
        <f>HYPERLINK("https://klasma.github.io/Logging_0482/tillsyn/A 34985-2023 tillsynsbegäran.docx", "A 34985-2023")</f>
        <v/>
      </c>
      <c r="AD57">
        <f>HYPERLINK("https://klasma.github.io/Logging_0482/tillsynsmail/A 34985-2023 tillsynsbegäran mail.docx", "A 34985-2023")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46259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9512-2026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46259</v>
      </c>
      <c r="F59" t="inlineStr">
        <is>
          <t>SÖDERMANLANDS LÄN</t>
        </is>
      </c>
      <c r="G59" t="inlineStr">
        <is>
          <t>FLEN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Gullpudra
Bäckbräsma
Hultbräken</t>
        </is>
      </c>
      <c r="W59">
        <f>HYPERLINK("https://klasma.github.io/Logging_0482/artfynd/A 9512-2026 artfynd.xlsx", "A 9512-2026")</f>
        <v/>
      </c>
      <c r="X59">
        <f>HYPERLINK("https://klasma.github.io/Logging_0482/kartor/A 9512-2026 karta.png", "A 9512-2026")</f>
        <v/>
      </c>
      <c r="Y59">
        <f>HYPERLINK("https://klasma.github.io/Logging_0482/kartor_geotiff/A 9512-2026 georefererad karta.tif", "A 9512-2026")</f>
        <v/>
      </c>
      <c r="AA59">
        <f>HYPERLINK("https://klasma.github.io/Logging_0482/klagomål/A 9512-2026 FSC-klagomål.docx", "A 9512-2026")</f>
        <v/>
      </c>
      <c r="AB59">
        <f>HYPERLINK("https://klasma.github.io/Logging_0482/klagomålsmail/A 9512-2026 FSC-klagomål mail.docx", "A 9512-2026")</f>
        <v/>
      </c>
      <c r="AC59">
        <f>HYPERLINK("https://klasma.github.io/Logging_0482/tillsyn/A 9512-2026 tillsynsbegäran.docx", "A 9512-2026")</f>
        <v/>
      </c>
      <c r="AD59">
        <f>HYPERLINK("https://klasma.github.io/Logging_0482/tillsynsmail/A 9512-2026 tillsynsbegäran mail.docx", "A 9512-2026")</f>
        <v/>
      </c>
    </row>
    <row r="60" ht="15" customHeight="1">
      <c r="A60" t="inlineStr">
        <is>
          <t>A 9530-2026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46259</v>
      </c>
      <c r="F60" t="inlineStr">
        <is>
          <t>SÖDERMANLANDS LÄN</t>
        </is>
      </c>
      <c r="G60" t="inlineStr">
        <is>
          <t>FLEN</t>
        </is>
      </c>
      <c r="I60" t="n">
        <v>7.4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Blåmossa
Flagellkvastmossa
Tjäder</t>
        </is>
      </c>
      <c r="W60">
        <f>HYPERLINK("https://klasma.github.io/Logging_0482/artfynd/A 9530-2026 artfynd.xlsx", "A 9530-2026")</f>
        <v/>
      </c>
      <c r="X60">
        <f>HYPERLINK("https://klasma.github.io/Logging_0482/kartor/A 9530-2026 karta.png", "A 9530-2026")</f>
        <v/>
      </c>
      <c r="Y60">
        <f>HYPERLINK("https://klasma.github.io/Logging_0482/kartor_geotiff/A 9530-2026 georefererad karta.tif", "A 9530-2026")</f>
        <v/>
      </c>
      <c r="AA60">
        <f>HYPERLINK("https://klasma.github.io/Logging_0482/klagomål/A 9530-2026 FSC-klagomål.docx", "A 9530-2026")</f>
        <v/>
      </c>
      <c r="AB60">
        <f>HYPERLINK("https://klasma.github.io/Logging_0482/klagomålsmail/A 9530-2026 FSC-klagomål mail.docx", "A 9530-2026")</f>
        <v/>
      </c>
      <c r="AC60">
        <f>HYPERLINK("https://klasma.github.io/Logging_0482/tillsyn/A 9530-2026 tillsynsbegäran.docx", "A 9530-2026")</f>
        <v/>
      </c>
      <c r="AD60">
        <f>HYPERLINK("https://klasma.github.io/Logging_0482/tillsynsmail/A 9530-2026 tillsynsbegäran mail.docx", "A 9530-2026")</f>
        <v/>
      </c>
      <c r="AE60">
        <f>HYPERLINK("https://klasma.github.io/Logging_0482/fåglar/A 9530-2026 prioriterade fågelarter.docx", "A 9530-2026")</f>
        <v/>
      </c>
    </row>
    <row r="61" ht="15" customHeight="1">
      <c r="A61" t="inlineStr">
        <is>
          <t>A 9539-2026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46259</v>
      </c>
      <c r="F61" t="inlineStr">
        <is>
          <t>SÖDERMANLANDS LÄN</t>
        </is>
      </c>
      <c r="G61" t="inlineStr">
        <is>
          <t>FLEN</t>
        </is>
      </c>
      <c r="I61" t="n">
        <v>7.6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Ask
Slåtterfibbla
Blåsippa</t>
        </is>
      </c>
      <c r="W61">
        <f>HYPERLINK("https://klasma.github.io/Logging_0482/artfynd/A 9539-2026 artfynd.xlsx", "A 9539-2026")</f>
        <v/>
      </c>
      <c r="X61">
        <f>HYPERLINK("https://klasma.github.io/Logging_0482/kartor/A 9539-2026 karta.png", "A 9539-2026")</f>
        <v/>
      </c>
      <c r="Y61">
        <f>HYPERLINK("https://klasma.github.io/Logging_0482/kartor_geotiff/A 9539-2026 georefererad karta.tif", "A 9539-2026")</f>
        <v/>
      </c>
      <c r="AA61">
        <f>HYPERLINK("https://klasma.github.io/Logging_0482/klagomål/A 9539-2026 FSC-klagomål.docx", "A 9539-2026")</f>
        <v/>
      </c>
      <c r="AB61">
        <f>HYPERLINK("https://klasma.github.io/Logging_0482/klagomålsmail/A 9539-2026 FSC-klagomål mail.docx", "A 9539-2026")</f>
        <v/>
      </c>
      <c r="AC61">
        <f>HYPERLINK("https://klasma.github.io/Logging_0482/tillsyn/A 9539-2026 tillsynsbegäran.docx", "A 9539-2026")</f>
        <v/>
      </c>
      <c r="AD61">
        <f>HYPERLINK("https://klasma.github.io/Logging_0482/tillsynsmail/A 9539-2026 tillsynsbegäran mail.docx", "A 9539-2026")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46259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46259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46259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46259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46259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46259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55092-2021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46259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Sälg
Huggorm</t>
        </is>
      </c>
      <c r="W68">
        <f>HYPERLINK("https://klasma.github.io/Logging_0482/artfynd/A 55092-2021 artfynd.xlsx", "A 55092-2021")</f>
        <v/>
      </c>
      <c r="X68">
        <f>HYPERLINK("https://klasma.github.io/Logging_0482/kartor/A 55092-2021 karta.png", "A 55092-2021")</f>
        <v/>
      </c>
      <c r="Y68">
        <f>HYPERLINK("https://klasma.github.io/Logging_0482/kartor_geotiff/A 55092-2021 georefererad karta.tif", "A 55092-2021")</f>
        <v/>
      </c>
      <c r="AA68">
        <f>HYPERLINK("https://klasma.github.io/Logging_0482/klagomål/A 55092-2021 FSC-klagomål.docx", "A 55092-2021")</f>
        <v/>
      </c>
      <c r="AB68">
        <f>HYPERLINK("https://klasma.github.io/Logging_0482/klagomålsmail/A 55092-2021 FSC-klagomål mail.docx", "A 55092-2021")</f>
        <v/>
      </c>
      <c r="AC68">
        <f>HYPERLINK("https://klasma.github.io/Logging_0482/tillsyn/A 55092-2021 tillsynsbegäran.docx", "A 55092-2021")</f>
        <v/>
      </c>
      <c r="AD68">
        <f>HYPERLINK("https://klasma.github.io/Logging_0482/tillsynsmail/A 55092-2021 tillsynsbegäran mail.docx", "A 55092-2021")</f>
        <v/>
      </c>
    </row>
    <row r="69" ht="15" customHeight="1">
      <c r="A69" t="inlineStr">
        <is>
          <t>A 47194-2022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46259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2.3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Gullklöver
Svinrot</t>
        </is>
      </c>
      <c r="W69">
        <f>HYPERLINK("https://klasma.github.io/Logging_0482/artfynd/A 47194-2022 artfynd.xlsx", "A 47194-2022")</f>
        <v/>
      </c>
      <c r="X69">
        <f>HYPERLINK("https://klasma.github.io/Logging_0482/kartor/A 47194-2022 karta.png", "A 47194-2022")</f>
        <v/>
      </c>
      <c r="Y69">
        <f>HYPERLINK("https://klasma.github.io/Logging_0482/kartor_geotiff/A 47194-2022 georefererad karta.tif", "A 47194-2022")</f>
        <v/>
      </c>
      <c r="AA69">
        <f>HYPERLINK("https://klasma.github.io/Logging_0482/klagomål/A 47194-2022 FSC-klagomål.docx", "A 47194-2022")</f>
        <v/>
      </c>
      <c r="AB69">
        <f>HYPERLINK("https://klasma.github.io/Logging_0482/klagomålsmail/A 47194-2022 FSC-klagomål mail.docx", "A 47194-2022")</f>
        <v/>
      </c>
      <c r="AC69">
        <f>HYPERLINK("https://klasma.github.io/Logging_0482/tillsyn/A 47194-2022 tillsynsbegäran.docx", "A 47194-2022")</f>
        <v/>
      </c>
      <c r="AD69">
        <f>HYPERLINK("https://klasma.github.io/Logging_0482/tillsynsmail/A 47194-2022 tillsynsbegäran mail.docx", "A 47194-2022")</f>
        <v/>
      </c>
    </row>
    <row r="70" ht="15" customHeight="1">
      <c r="A70" t="inlineStr">
        <is>
          <t>A 22883-2022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46259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2.7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Gullklöver
Vippärt</t>
        </is>
      </c>
      <c r="W70">
        <f>HYPERLINK("https://klasma.github.io/Logging_0482/artfynd/A 22883-2022 artfynd.xlsx", "A 22883-2022")</f>
        <v/>
      </c>
      <c r="X70">
        <f>HYPERLINK("https://klasma.github.io/Logging_0482/kartor/A 22883-2022 karta.png", "A 22883-2022")</f>
        <v/>
      </c>
      <c r="Y70">
        <f>HYPERLINK("https://klasma.github.io/Logging_0482/kartor_geotiff/A 22883-2022 georefererad karta.tif", "A 22883-2022")</f>
        <v/>
      </c>
      <c r="AA70">
        <f>HYPERLINK("https://klasma.github.io/Logging_0482/klagomål/A 22883-2022 FSC-klagomål.docx", "A 22883-2022")</f>
        <v/>
      </c>
      <c r="AB70">
        <f>HYPERLINK("https://klasma.github.io/Logging_0482/klagomålsmail/A 22883-2022 FSC-klagomål mail.docx", "A 22883-2022")</f>
        <v/>
      </c>
      <c r="AC70">
        <f>HYPERLINK("https://klasma.github.io/Logging_0482/tillsyn/A 22883-2022 tillsynsbegäran.docx", "A 22883-2022")</f>
        <v/>
      </c>
      <c r="AD70">
        <f>HYPERLINK("https://klasma.github.io/Logging_0482/tillsynsmail/A 22883-2022 tillsynsbegäran mail.docx", "A 22883-2022")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46259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15452-2024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46259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Svinrot
Älg</t>
        </is>
      </c>
      <c r="W72">
        <f>HYPERLINK("https://klasma.github.io/Logging_0482/artfynd/A 15452-2024 artfynd.xlsx", "A 15452-2024")</f>
        <v/>
      </c>
      <c r="X72">
        <f>HYPERLINK("https://klasma.github.io/Logging_0482/kartor/A 15452-2024 karta.png", "A 15452-2024")</f>
        <v/>
      </c>
      <c r="Y72">
        <f>HYPERLINK("https://klasma.github.io/Logging_0482/kartor_geotiff/A 15452-2024 georefererad karta.tif", "A 15452-2024")</f>
        <v/>
      </c>
      <c r="AA72">
        <f>HYPERLINK("https://klasma.github.io/Logging_0482/klagomål/A 15452-2024 FSC-klagomål.docx", "A 15452-2024")</f>
        <v/>
      </c>
      <c r="AB72">
        <f>HYPERLINK("https://klasma.github.io/Logging_0482/klagomålsmail/A 15452-2024 FSC-klagomål mail.docx", "A 15452-2024")</f>
        <v/>
      </c>
      <c r="AC72">
        <f>HYPERLINK("https://klasma.github.io/Logging_0482/tillsyn/A 15452-2024 tillsynsbegäran.docx", "A 15452-2024")</f>
        <v/>
      </c>
      <c r="AD72">
        <f>HYPERLINK("https://klasma.github.io/Logging_0482/tillsynsmail/A 15452-2024 tillsynsbegäran mail.docx", "A 15452-2024")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46259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22101-2023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46259</v>
      </c>
      <c r="F74" t="inlineStr">
        <is>
          <t>SÖDERMANLANDS LÄN</t>
        </is>
      </c>
      <c r="G74" t="inlineStr">
        <is>
          <t>FLEN</t>
        </is>
      </c>
      <c r="I74" t="n">
        <v>2.7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Bombmurkla
Blåsippa</t>
        </is>
      </c>
      <c r="W74">
        <f>HYPERLINK("https://klasma.github.io/Logging_0482/artfynd/A 22101-2023 artfynd.xlsx", "A 22101-2023")</f>
        <v/>
      </c>
      <c r="X74">
        <f>HYPERLINK("https://klasma.github.io/Logging_0482/kartor/A 22101-2023 karta.png", "A 22101-2023")</f>
        <v/>
      </c>
      <c r="Y74">
        <f>HYPERLINK("https://klasma.github.io/Logging_0482/kartor_geotiff/A 22101-2023 georefererad karta.tif", "A 22101-2023")</f>
        <v/>
      </c>
      <c r="AA74">
        <f>HYPERLINK("https://klasma.github.io/Logging_0482/klagomål/A 22101-2023 FSC-klagomål.docx", "A 22101-2023")</f>
        <v/>
      </c>
      <c r="AB74">
        <f>HYPERLINK("https://klasma.github.io/Logging_0482/klagomålsmail/A 22101-2023 FSC-klagomål mail.docx", "A 22101-2023")</f>
        <v/>
      </c>
      <c r="AC74">
        <f>HYPERLINK("https://klasma.github.io/Logging_0482/tillsyn/A 22101-2023 tillsynsbegäran.docx", "A 22101-2023")</f>
        <v/>
      </c>
      <c r="AD74">
        <f>HYPERLINK("https://klasma.github.io/Logging_0482/tillsynsmail/A 22101-2023 tillsynsbegäran mail.docx", "A 22101-2023")</f>
        <v/>
      </c>
    </row>
    <row r="75" ht="15" customHeight="1">
      <c r="A75" t="inlineStr">
        <is>
          <t>A 39240-2023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46259</v>
      </c>
      <c r="F75" t="inlineStr">
        <is>
          <t>SÖDERMANLANDS LÄN</t>
        </is>
      </c>
      <c r="G75" t="inlineStr">
        <is>
          <t>FLEN</t>
        </is>
      </c>
      <c r="H75" t="inlineStr">
        <is>
          <t>Holmen skog AB</t>
        </is>
      </c>
      <c r="I75" t="n">
        <v>4.6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Motaggsvamp
Blodticka</t>
        </is>
      </c>
      <c r="W75">
        <f>HYPERLINK("https://klasma.github.io/Logging_0482/artfynd/A 39240-2023 artfynd.xlsx", "A 39240-2023")</f>
        <v/>
      </c>
      <c r="X75">
        <f>HYPERLINK("https://klasma.github.io/Logging_0482/kartor/A 39240-2023 karta.png", "A 39240-2023")</f>
        <v/>
      </c>
      <c r="Y75">
        <f>HYPERLINK("https://klasma.github.io/Logging_0482/kartor_geotiff/A 39240-2023 georefererad karta.tif", "A 39240-2023")</f>
        <v/>
      </c>
      <c r="AA75">
        <f>HYPERLINK("https://klasma.github.io/Logging_0482/klagomål/A 39240-2023 FSC-klagomål.docx", "A 39240-2023")</f>
        <v/>
      </c>
      <c r="AB75">
        <f>HYPERLINK("https://klasma.github.io/Logging_0482/klagomålsmail/A 39240-2023 FSC-klagomål mail.docx", "A 39240-2023")</f>
        <v/>
      </c>
      <c r="AC75">
        <f>HYPERLINK("https://klasma.github.io/Logging_0482/tillsyn/A 39240-2023 tillsynsbegäran.docx", "A 39240-2023")</f>
        <v/>
      </c>
      <c r="AD75">
        <f>HYPERLINK("https://klasma.github.io/Logging_0482/tillsynsmail/A 39240-2023 tillsynsbegäran mail.docx", "A 39240-2023")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46259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46259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52858-2023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46259</v>
      </c>
      <c r="F78" t="inlineStr">
        <is>
          <t>SÖDERMANLANDS LÄN</t>
        </is>
      </c>
      <c r="G78" t="inlineStr">
        <is>
          <t>FLEN</t>
        </is>
      </c>
      <c r="I78" t="n">
        <v>3.6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1</v>
      </c>
      <c r="V78" s="2" t="inlineStr">
        <is>
          <t>Mindre hackspett
Tallticka</t>
        </is>
      </c>
      <c r="W78">
        <f>HYPERLINK("https://klasma.github.io/Logging_0482/artfynd/A 52858-2023 artfynd.xlsx", "A 52858-2023")</f>
        <v/>
      </c>
      <c r="X78">
        <f>HYPERLINK("https://klasma.github.io/Logging_0482/kartor/A 52858-2023 karta.png", "A 52858-2023")</f>
        <v/>
      </c>
      <c r="Y78">
        <f>HYPERLINK("https://klasma.github.io/Logging_0482/kartor_geotiff/A 52858-2023 georefererad karta.tif", "A 52858-2023")</f>
        <v/>
      </c>
      <c r="AA78">
        <f>HYPERLINK("https://klasma.github.io/Logging_0482/klagomål/A 52858-2023 FSC-klagomål.docx", "A 52858-2023")</f>
        <v/>
      </c>
      <c r="AB78">
        <f>HYPERLINK("https://klasma.github.io/Logging_0482/klagomålsmail/A 52858-2023 FSC-klagomål mail.docx", "A 52858-2023")</f>
        <v/>
      </c>
      <c r="AC78">
        <f>HYPERLINK("https://klasma.github.io/Logging_0482/tillsyn/A 52858-2023 tillsynsbegäran.docx", "A 52858-2023")</f>
        <v/>
      </c>
      <c r="AD78">
        <f>HYPERLINK("https://klasma.github.io/Logging_0482/tillsynsmail/A 52858-2023 tillsynsbegäran mail.docx", "A 52858-2023")</f>
        <v/>
      </c>
      <c r="AE78">
        <f>HYPERLINK("https://klasma.github.io/Logging_0482/fåglar/A 52858-2023 prioriterade fågelarter.docx", "A 52858-2023")</f>
        <v/>
      </c>
    </row>
    <row r="79" ht="15" customHeight="1">
      <c r="A79" t="inlineStr">
        <is>
          <t>A 59607-2022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44907</v>
      </c>
      <c r="E79" s="1" t="n">
        <v>46259</v>
      </c>
      <c r="F79" t="inlineStr">
        <is>
          <t>SÖDERMANLANDS LÄN</t>
        </is>
      </c>
      <c r="G79" t="inlineStr">
        <is>
          <t>FLEN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Jungfrulin
Svinrot</t>
        </is>
      </c>
      <c r="W79">
        <f>HYPERLINK("https://klasma.github.io/Logging_0482/artfynd/A 59607-2022 artfynd.xlsx", "A 59607-2022")</f>
        <v/>
      </c>
      <c r="X79">
        <f>HYPERLINK("https://klasma.github.io/Logging_0482/kartor/A 59607-2022 karta.png", "A 59607-2022")</f>
        <v/>
      </c>
      <c r="Y79">
        <f>HYPERLINK("https://klasma.github.io/Logging_0482/kartor_geotiff/A 59607-2022 georefererad karta.tif", "A 59607-2022")</f>
        <v/>
      </c>
      <c r="AA79">
        <f>HYPERLINK("https://klasma.github.io/Logging_0482/klagomål/A 59607-2022 FSC-klagomål.docx", "A 59607-2022")</f>
        <v/>
      </c>
      <c r="AB79">
        <f>HYPERLINK("https://klasma.github.io/Logging_0482/klagomålsmail/A 59607-2022 FSC-klagomål mail.docx", "A 59607-2022")</f>
        <v/>
      </c>
      <c r="AC79">
        <f>HYPERLINK("https://klasma.github.io/Logging_0482/tillsyn/A 59607-2022 tillsynsbegäran.docx", "A 59607-2022")</f>
        <v/>
      </c>
      <c r="AD79">
        <f>HYPERLINK("https://klasma.github.io/Logging_0482/tillsynsmail/A 59607-2022 tillsynsbegäran mail.docx", "A 59607-2022")</f>
        <v/>
      </c>
    </row>
    <row r="80" ht="15" customHeight="1">
      <c r="A80" t="inlineStr">
        <is>
          <t>A 35278-2022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46259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Igelkott
Grönvit nattviol</t>
        </is>
      </c>
      <c r="W80">
        <f>HYPERLINK("https://klasma.github.io/Logging_0482/artfynd/A 35278-2022 artfynd.xlsx", "A 35278-2022")</f>
        <v/>
      </c>
      <c r="X80">
        <f>HYPERLINK("https://klasma.github.io/Logging_0482/kartor/A 35278-2022 karta.png", "A 35278-2022")</f>
        <v/>
      </c>
      <c r="Y80">
        <f>HYPERLINK("https://klasma.github.io/Logging_0482/kartor_geotiff/A 35278-2022 georefererad karta.tif", "A 35278-2022")</f>
        <v/>
      </c>
      <c r="AA80">
        <f>HYPERLINK("https://klasma.github.io/Logging_0482/klagomål/A 35278-2022 FSC-klagomål.docx", "A 35278-2022")</f>
        <v/>
      </c>
      <c r="AB80">
        <f>HYPERLINK("https://klasma.github.io/Logging_0482/klagomålsmail/A 35278-2022 FSC-klagomål mail.docx", "A 35278-2022")</f>
        <v/>
      </c>
      <c r="AC80">
        <f>HYPERLINK("https://klasma.github.io/Logging_0482/tillsyn/A 35278-2022 tillsynsbegäran.docx", "A 35278-2022")</f>
        <v/>
      </c>
      <c r="AD80">
        <f>HYPERLINK("https://klasma.github.io/Logging_0482/tillsynsmail/A 35278-2022 tillsynsbegäran mail.docx", "A 35278-2022")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46259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10825-2022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46259</v>
      </c>
      <c r="F82" t="inlineStr">
        <is>
          <t>SÖDERMANLANDS LÄN</t>
        </is>
      </c>
      <c r="G82" t="inlineStr">
        <is>
          <t>FLEN</t>
        </is>
      </c>
      <c r="I82" t="n">
        <v>4.7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Vanlig backsmörblomma</t>
        </is>
      </c>
      <c r="W82">
        <f>HYPERLINK("https://klasma.github.io/Logging_0482/artfynd/A 10825-2022 artfynd.xlsx", "A 10825-2022")</f>
        <v/>
      </c>
      <c r="X82">
        <f>HYPERLINK("https://klasma.github.io/Logging_0482/kartor/A 10825-2022 karta.png", "A 10825-2022")</f>
        <v/>
      </c>
      <c r="Y82">
        <f>HYPERLINK("https://klasma.github.io/Logging_0482/kartor_geotiff/A 10825-2022 georefererad karta.tif", "A 10825-2022")</f>
        <v/>
      </c>
      <c r="AA82">
        <f>HYPERLINK("https://klasma.github.io/Logging_0482/klagomål/A 10825-2022 FSC-klagomål.docx", "A 10825-2022")</f>
        <v/>
      </c>
      <c r="AB82">
        <f>HYPERLINK("https://klasma.github.io/Logging_0482/klagomålsmail/A 10825-2022 FSC-klagomål mail.docx", "A 10825-2022")</f>
        <v/>
      </c>
      <c r="AC82">
        <f>HYPERLINK("https://klasma.github.io/Logging_0482/tillsyn/A 10825-2022 tillsynsbegäran.docx", "A 10825-2022")</f>
        <v/>
      </c>
      <c r="AD82">
        <f>HYPERLINK("https://klasma.github.io/Logging_0482/tillsynsmail/A 10825-2022 tillsynsbegäran mail.docx", "A 10825-2022")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46259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32744-2025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45838</v>
      </c>
      <c r="E84" s="1" t="n">
        <v>46259</v>
      </c>
      <c r="F84" t="inlineStr">
        <is>
          <t>SÖDERMANLANDS LÄN</t>
        </is>
      </c>
      <c r="G84" t="inlineStr">
        <is>
          <t>FLEN</t>
        </is>
      </c>
      <c r="I84" t="n">
        <v>1.8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Ekticka
Klasefibbla</t>
        </is>
      </c>
      <c r="W84">
        <f>HYPERLINK("https://klasma.github.io/Logging_0482/artfynd/A 32744-2025 artfynd.xlsx", "A 32744-2025")</f>
        <v/>
      </c>
      <c r="X84">
        <f>HYPERLINK("https://klasma.github.io/Logging_0482/kartor/A 32744-2025 karta.png", "A 32744-2025")</f>
        <v/>
      </c>
      <c r="Y84">
        <f>HYPERLINK("https://klasma.github.io/Logging_0482/kartor_geotiff/A 32744-2025 georefererad karta.tif", "A 32744-2025")</f>
        <v/>
      </c>
      <c r="AA84">
        <f>HYPERLINK("https://klasma.github.io/Logging_0482/klagomål/A 32744-2025 FSC-klagomål.docx", "A 32744-2025")</f>
        <v/>
      </c>
      <c r="AB84">
        <f>HYPERLINK("https://klasma.github.io/Logging_0482/klagomålsmail/A 32744-2025 FSC-klagomål mail.docx", "A 32744-2025")</f>
        <v/>
      </c>
      <c r="AC84">
        <f>HYPERLINK("https://klasma.github.io/Logging_0482/tillsyn/A 32744-2025 tillsynsbegäran.docx", "A 32744-2025")</f>
        <v/>
      </c>
      <c r="AD84">
        <f>HYPERLINK("https://klasma.github.io/Logging_0482/tillsynsmail/A 32744-2025 tillsynsbegäran mail.docx", "A 32744-2025")</f>
        <v/>
      </c>
    </row>
    <row r="85" ht="15" customHeight="1">
      <c r="A85" t="inlineStr">
        <is>
          <t>A 15557-2026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46259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0</v>
      </c>
      <c r="V85" s="2" t="inlineStr">
        <is>
          <t>Gullklöver
Svinrot</t>
        </is>
      </c>
      <c r="W85">
        <f>HYPERLINK("https://klasma.github.io/Logging_0482/artfynd/A 15557-2026 artfynd.xlsx", "A 15557-2026")</f>
        <v/>
      </c>
      <c r="X85">
        <f>HYPERLINK("https://klasma.github.io/Logging_0482/kartor/A 15557-2026 karta.png", "A 15557-2026")</f>
        <v/>
      </c>
      <c r="Y85">
        <f>HYPERLINK("https://klasma.github.io/Logging_0482/kartor_geotiff/A 15557-2026 georefererad karta.tif", "A 15557-2026")</f>
        <v/>
      </c>
      <c r="AA85">
        <f>HYPERLINK("https://klasma.github.io/Logging_0482/klagomål/A 15557-2026 FSC-klagomål.docx", "A 15557-2026")</f>
        <v/>
      </c>
      <c r="AB85">
        <f>HYPERLINK("https://klasma.github.io/Logging_0482/klagomålsmail/A 15557-2026 FSC-klagomål mail.docx", "A 15557-2026")</f>
        <v/>
      </c>
      <c r="AC85">
        <f>HYPERLINK("https://klasma.github.io/Logging_0482/tillsyn/A 15557-2026 tillsynsbegäran.docx", "A 15557-2026")</f>
        <v/>
      </c>
      <c r="AD85">
        <f>HYPERLINK("https://klasma.github.io/Logging_0482/tillsynsmail/A 15557-2026 tillsynsbegäran mail.docx", "A 15557-2026")</f>
        <v/>
      </c>
    </row>
    <row r="86" ht="15" customHeight="1">
      <c r="A86" t="inlineStr">
        <is>
          <t>A 49255-2021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46259</v>
      </c>
      <c r="F86" t="inlineStr">
        <is>
          <t>SÖDERMANLANDS LÄN</t>
        </is>
      </c>
      <c r="G86" t="inlineStr">
        <is>
          <t>FLEN</t>
        </is>
      </c>
      <c r="I86" t="n">
        <v>15.6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Backstarr
Revlummer</t>
        </is>
      </c>
      <c r="W86">
        <f>HYPERLINK("https://klasma.github.io/Logging_0482/artfynd/A 49255-2021 artfynd.xlsx", "A 49255-2021")</f>
        <v/>
      </c>
      <c r="X86">
        <f>HYPERLINK("https://klasma.github.io/Logging_0482/kartor/A 49255-2021 karta.png", "A 49255-2021")</f>
        <v/>
      </c>
      <c r="Y86">
        <f>HYPERLINK("https://klasma.github.io/Logging_0482/kartor_geotiff/A 49255-2021 georefererad karta.tif", "A 49255-2021")</f>
        <v/>
      </c>
      <c r="AA86">
        <f>HYPERLINK("https://klasma.github.io/Logging_0482/klagomål/A 49255-2021 FSC-klagomål.docx", "A 49255-2021")</f>
        <v/>
      </c>
      <c r="AB86">
        <f>HYPERLINK("https://klasma.github.io/Logging_0482/klagomålsmail/A 49255-2021 FSC-klagomål mail.docx", "A 49255-2021")</f>
        <v/>
      </c>
      <c r="AC86">
        <f>HYPERLINK("https://klasma.github.io/Logging_0482/tillsyn/A 49255-2021 tillsynsbegäran.docx", "A 49255-2021")</f>
        <v/>
      </c>
      <c r="AD86">
        <f>HYPERLINK("https://klasma.github.io/Logging_0482/tillsynsmail/A 49255-2021 tillsynsbegäran mail.docx", "A 49255-2021")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46259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46259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4330-2026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46259</v>
      </c>
      <c r="F89" t="inlineStr">
        <is>
          <t>SÖDERMANLANDS LÄN</t>
        </is>
      </c>
      <c r="G89" t="inlineStr">
        <is>
          <t>FLEN</t>
        </is>
      </c>
      <c r="H89" t="inlineStr">
        <is>
          <t>Övriga statliga verk och myndigheter</t>
        </is>
      </c>
      <c r="I89" t="n">
        <v>4.9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Backstarr
Blåsippa</t>
        </is>
      </c>
      <c r="W89">
        <f>HYPERLINK("https://klasma.github.io/Logging_0482/artfynd/A 4330-2026 artfynd.xlsx", "A 4330-2026")</f>
        <v/>
      </c>
      <c r="X89">
        <f>HYPERLINK("https://klasma.github.io/Logging_0482/kartor/A 4330-2026 karta.png", "A 4330-2026")</f>
        <v/>
      </c>
      <c r="Y89">
        <f>HYPERLINK("https://klasma.github.io/Logging_0482/kartor_geotiff/A 4330-2026 georefererad karta.tif", "A 4330-2026")</f>
        <v/>
      </c>
      <c r="AA89">
        <f>HYPERLINK("https://klasma.github.io/Logging_0482/klagomål/A 4330-2026 FSC-klagomål.docx", "A 4330-2026")</f>
        <v/>
      </c>
      <c r="AB89">
        <f>HYPERLINK("https://klasma.github.io/Logging_0482/klagomålsmail/A 4330-2026 FSC-klagomål mail.docx", "A 4330-2026")</f>
        <v/>
      </c>
      <c r="AC89">
        <f>HYPERLINK("https://klasma.github.io/Logging_0482/tillsyn/A 4330-2026 tillsynsbegäran.docx", "A 4330-2026")</f>
        <v/>
      </c>
      <c r="AD89">
        <f>HYPERLINK("https://klasma.github.io/Logging_0482/tillsynsmail/A 4330-2026 tillsynsbegäran mail.docx", "A 4330-2026")</f>
        <v/>
      </c>
    </row>
    <row r="90" ht="15" customHeight="1">
      <c r="A90" t="inlineStr">
        <is>
          <t>A 34849-2026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46259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5</v>
      </c>
      <c r="U90" t="n">
        <v>0</v>
      </c>
      <c r="V90" s="2" t="inlineStr">
        <is>
          <t>Motaggsvamp
Vedskivlav</t>
        </is>
      </c>
      <c r="W90">
        <f>HYPERLINK("https://klasma.github.io/Logging_0482/artfynd/A 34849-2026 artfynd.xlsx", "A 34849-2026")</f>
        <v/>
      </c>
      <c r="X90">
        <f>HYPERLINK("https://klasma.github.io/Logging_0482/kartor/A 34849-2026 karta.png", "A 34849-2026")</f>
        <v/>
      </c>
      <c r="Y90">
        <f>HYPERLINK("https://klasma.github.io/Logging_0482/kartor_geotiff/A 34849-2026 georefererad karta.tif", "A 34849-2026")</f>
        <v/>
      </c>
      <c r="AA90">
        <f>HYPERLINK("https://klasma.github.io/Logging_0482/klagomål/A 34849-2026 FSC-klagomål.docx", "A 34849-2026")</f>
        <v/>
      </c>
      <c r="AB90">
        <f>HYPERLINK("https://klasma.github.io/Logging_0482/klagomålsmail/A 34849-2026 FSC-klagomål mail.docx", "A 34849-2026")</f>
        <v/>
      </c>
      <c r="AC90">
        <f>HYPERLINK("https://klasma.github.io/Logging_0482/tillsyn/A 34849-2026 tillsynsbegäran.docx", "A 34849-2026")</f>
        <v/>
      </c>
      <c r="AD90">
        <f>HYPERLINK("https://klasma.github.io/Logging_0482/tillsynsmail/A 34849-2026 tillsynsbegäran mail.docx", "A 34849-2026")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46259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8887-2026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46068</v>
      </c>
      <c r="E92" s="1" t="n">
        <v>46259</v>
      </c>
      <c r="F92" t="inlineStr">
        <is>
          <t>SÖDERMANLANDS LÄN</t>
        </is>
      </c>
      <c r="G92" t="inlineStr">
        <is>
          <t>FLEN</t>
        </is>
      </c>
      <c r="I92" t="n">
        <v>2.1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Större vattensalamander
Mindre vattensalamander</t>
        </is>
      </c>
      <c r="W92">
        <f>HYPERLINK("https://klasma.github.io/Logging_0482/artfynd/A 8887-2026 artfynd.xlsx", "A 8887-2026")</f>
        <v/>
      </c>
      <c r="X92">
        <f>HYPERLINK("https://klasma.github.io/Logging_0482/kartor/A 8887-2026 karta.png", "A 8887-2026")</f>
        <v/>
      </c>
      <c r="Y92">
        <f>HYPERLINK("https://klasma.github.io/Logging_0482/kartor_geotiff/A 8887-2026 georefererad karta.tif", "A 8887-2026")</f>
        <v/>
      </c>
      <c r="AA92">
        <f>HYPERLINK("https://klasma.github.io/Logging_0482/klagomål/A 8887-2026 FSC-klagomål.docx", "A 8887-2026")</f>
        <v/>
      </c>
      <c r="AB92">
        <f>HYPERLINK("https://klasma.github.io/Logging_0482/klagomålsmail/A 8887-2026 FSC-klagomål mail.docx", "A 8887-2026")</f>
        <v/>
      </c>
      <c r="AC92">
        <f>HYPERLINK("https://klasma.github.io/Logging_0482/tillsyn/A 8887-2026 tillsynsbegäran.docx", "A 8887-2026")</f>
        <v/>
      </c>
      <c r="AD92">
        <f>HYPERLINK("https://klasma.github.io/Logging_0482/tillsynsmail/A 8887-2026 tillsynsbegäran mail.docx", "A 8887-2026")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46259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46259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46259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46259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46259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46259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62535-2021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46259</v>
      </c>
      <c r="F99" t="inlineStr">
        <is>
          <t>SÖDERMANLANDS LÄN</t>
        </is>
      </c>
      <c r="G99" t="inlineStr">
        <is>
          <t>FLEN</t>
        </is>
      </c>
      <c r="I99" t="n">
        <v>0.6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HYPERLINK("https://klasma.github.io/Logging_0482/artfynd/A 62535-2021 artfynd.xlsx", "A 62535-2021")</f>
        <v/>
      </c>
      <c r="X99">
        <f>HYPERLINK("https://klasma.github.io/Logging_0482/kartor/A 62535-2021 karta.png", "A 62535-2021")</f>
        <v/>
      </c>
      <c r="Y99">
        <f>HYPERLINK("https://klasma.github.io/Logging_0482/kartor_geotiff/A 62535-2021 georefererad karta.tif", "A 62535-2021")</f>
        <v/>
      </c>
      <c r="AA99">
        <f>HYPERLINK("https://klasma.github.io/Logging_0482/klagomål/A 62535-2021 FSC-klagomål.docx", "A 62535-2021")</f>
        <v/>
      </c>
      <c r="AB99">
        <f>HYPERLINK("https://klasma.github.io/Logging_0482/klagomålsmail/A 62535-2021 FSC-klagomål mail.docx", "A 62535-2021")</f>
        <v/>
      </c>
      <c r="AC99">
        <f>HYPERLINK("https://klasma.github.io/Logging_0482/tillsyn/A 62535-2021 tillsynsbegäran.docx", "A 62535-2021")</f>
        <v/>
      </c>
      <c r="AD99">
        <f>HYPERLINK("https://klasma.github.io/Logging_0482/tillsynsmail/A 62535-2021 tillsynsbegäran mail.docx", "A 62535-2021")</f>
        <v/>
      </c>
    </row>
    <row r="100" ht="15" customHeight="1">
      <c r="A100" t="inlineStr">
        <is>
          <t>A 50202-2022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46259</v>
      </c>
      <c r="F100" t="inlineStr">
        <is>
          <t>SÖDERMANLANDS LÄN</t>
        </is>
      </c>
      <c r="G100" t="inlineStr">
        <is>
          <t>FLEN</t>
        </is>
      </c>
      <c r="H100" t="inlineStr">
        <is>
          <t>Kyrkan</t>
        </is>
      </c>
      <c r="I100" t="n">
        <v>5.8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50202-2022 artfynd.xlsx", "A 50202-2022")</f>
        <v/>
      </c>
      <c r="X100">
        <f>HYPERLINK("https://klasma.github.io/Logging_0482/kartor/A 50202-2022 karta.png", "A 50202-2022")</f>
        <v/>
      </c>
      <c r="Y100">
        <f>HYPERLINK("https://klasma.github.io/Logging_0482/kartor_geotiff/A 50202-2022 georefererad karta.tif", "A 50202-2022")</f>
        <v/>
      </c>
      <c r="AA100">
        <f>HYPERLINK("https://klasma.github.io/Logging_0482/klagomål/A 50202-2022 FSC-klagomål.docx", "A 50202-2022")</f>
        <v/>
      </c>
      <c r="AB100">
        <f>HYPERLINK("https://klasma.github.io/Logging_0482/klagomålsmail/A 50202-2022 FSC-klagomål mail.docx", "A 50202-2022")</f>
        <v/>
      </c>
      <c r="AC100">
        <f>HYPERLINK("https://klasma.github.io/Logging_0482/tillsyn/A 50202-2022 tillsynsbegäran.docx", "A 50202-2022")</f>
        <v/>
      </c>
      <c r="AD100">
        <f>HYPERLINK("https://klasma.github.io/Logging_0482/tillsynsmail/A 50202-2022 tillsynsbegäran mail.docx", "A 50202-2022")</f>
        <v/>
      </c>
    </row>
    <row r="101" ht="15" customHeight="1">
      <c r="A101" t="inlineStr">
        <is>
          <t>A 52563-2021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46259</v>
      </c>
      <c r="F101" t="inlineStr">
        <is>
          <t>SÖDERMANLANDS LÄN</t>
        </is>
      </c>
      <c r="G101" t="inlineStr">
        <is>
          <t>FLEN</t>
        </is>
      </c>
      <c r="I101" t="n">
        <v>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HYPERLINK("https://klasma.github.io/Logging_0482/artfynd/A 52563-2021 artfynd.xlsx", "A 52563-2021")</f>
        <v/>
      </c>
      <c r="X101">
        <f>HYPERLINK("https://klasma.github.io/Logging_0482/kartor/A 52563-2021 karta.png", "A 52563-2021")</f>
        <v/>
      </c>
      <c r="Y101">
        <f>HYPERLINK("https://klasma.github.io/Logging_0482/kartor_geotiff/A 52563-2021 georefererad karta.tif", "A 52563-2021")</f>
        <v/>
      </c>
      <c r="AA101">
        <f>HYPERLINK("https://klasma.github.io/Logging_0482/klagomål/A 52563-2021 FSC-klagomål.docx", "A 52563-2021")</f>
        <v/>
      </c>
      <c r="AB101">
        <f>HYPERLINK("https://klasma.github.io/Logging_0482/klagomålsmail/A 52563-2021 FSC-klagomål mail.docx", "A 52563-2021")</f>
        <v/>
      </c>
      <c r="AC101">
        <f>HYPERLINK("https://klasma.github.io/Logging_0482/tillsyn/A 52563-2021 tillsynsbegäran.docx", "A 52563-2021")</f>
        <v/>
      </c>
      <c r="AD101">
        <f>HYPERLINK("https://klasma.github.io/Logging_0482/tillsynsmail/A 52563-2021 tillsynsbegäran mail.docx", "A 52563-2021")</f>
        <v/>
      </c>
      <c r="AE101">
        <f>HYPERLINK("https://klasma.github.io/Logging_0482/fåglar/A 52563-2021 prioriterade fågelarter.docx", "A 52563-2021")</f>
        <v/>
      </c>
    </row>
    <row r="102" ht="15" customHeight="1">
      <c r="A102" t="inlineStr">
        <is>
          <t>A 14101-2025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46259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1.3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HYPERLINK("https://klasma.github.io/Logging_0482/artfynd/A 14101-2025 artfynd.xlsx", "A 14101-2025")</f>
        <v/>
      </c>
      <c r="X102">
        <f>HYPERLINK("https://klasma.github.io/Logging_0482/kartor/A 14101-2025 karta.png", "A 14101-2025")</f>
        <v/>
      </c>
      <c r="Y102">
        <f>HYPERLINK("https://klasma.github.io/Logging_0482/kartor_geotiff/A 14101-2025 georefererad karta.tif", "A 14101-2025")</f>
        <v/>
      </c>
      <c r="AA102">
        <f>HYPERLINK("https://klasma.github.io/Logging_0482/klagomål/A 14101-2025 FSC-klagomål.docx", "A 14101-2025")</f>
        <v/>
      </c>
      <c r="AB102">
        <f>HYPERLINK("https://klasma.github.io/Logging_0482/klagomålsmail/A 14101-2025 FSC-klagomål mail.docx", "A 14101-2025")</f>
        <v/>
      </c>
      <c r="AC102">
        <f>HYPERLINK("https://klasma.github.io/Logging_0482/tillsyn/A 14101-2025 tillsynsbegäran.docx", "A 14101-2025")</f>
        <v/>
      </c>
      <c r="AD102">
        <f>HYPERLINK("https://klasma.github.io/Logging_0482/tillsynsmail/A 14101-2025 tillsynsbegäran mail.docx", "A 14101-2025")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46259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45120-2021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44439</v>
      </c>
      <c r="E104" s="1" t="n">
        <v>46259</v>
      </c>
      <c r="F104" t="inlineStr">
        <is>
          <t>SÖDERMANLANDS LÄN</t>
        </is>
      </c>
      <c r="G104" t="inlineStr">
        <is>
          <t>FLEN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Svinrot</t>
        </is>
      </c>
      <c r="W104">
        <f>HYPERLINK("https://klasma.github.io/Logging_0482/artfynd/A 45120-2021 artfynd.xlsx", "A 45120-2021")</f>
        <v/>
      </c>
      <c r="X104">
        <f>HYPERLINK("https://klasma.github.io/Logging_0482/kartor/A 45120-2021 karta.png", "A 45120-2021")</f>
        <v/>
      </c>
      <c r="Y104">
        <f>HYPERLINK("https://klasma.github.io/Logging_0482/kartor_geotiff/A 45120-2021 georefererad karta.tif", "A 45120-2021")</f>
        <v/>
      </c>
      <c r="AA104">
        <f>HYPERLINK("https://klasma.github.io/Logging_0482/klagomål/A 45120-2021 FSC-klagomål.docx", "A 45120-2021")</f>
        <v/>
      </c>
      <c r="AB104">
        <f>HYPERLINK("https://klasma.github.io/Logging_0482/klagomålsmail/A 45120-2021 FSC-klagomål mail.docx", "A 45120-2021")</f>
        <v/>
      </c>
      <c r="AC104">
        <f>HYPERLINK("https://klasma.github.io/Logging_0482/tillsyn/A 45120-2021 tillsynsbegäran.docx", "A 45120-2021")</f>
        <v/>
      </c>
      <c r="AD104">
        <f>HYPERLINK("https://klasma.github.io/Logging_0482/tillsynsmail/A 45120-2021 tillsynsbegäran mail.docx", "A 45120-2021")</f>
        <v/>
      </c>
    </row>
    <row r="105" ht="15" customHeight="1">
      <c r="A105" t="inlineStr">
        <is>
          <t>A 60562-2021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44495</v>
      </c>
      <c r="E105" s="1" t="n">
        <v>46259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1.3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Gullklöver</t>
        </is>
      </c>
      <c r="W105">
        <f>HYPERLINK("https://klasma.github.io/Logging_0482/artfynd/A 60562-2021 artfynd.xlsx", "A 60562-2021")</f>
        <v/>
      </c>
      <c r="X105">
        <f>HYPERLINK("https://klasma.github.io/Logging_0482/kartor/A 60562-2021 karta.png", "A 60562-2021")</f>
        <v/>
      </c>
      <c r="Y105">
        <f>HYPERLINK("https://klasma.github.io/Logging_0482/kartor_geotiff/A 60562-2021 georefererad karta.tif", "A 60562-2021")</f>
        <v/>
      </c>
      <c r="AA105">
        <f>HYPERLINK("https://klasma.github.io/Logging_0482/klagomål/A 60562-2021 FSC-klagomål.docx", "A 60562-2021")</f>
        <v/>
      </c>
      <c r="AB105">
        <f>HYPERLINK("https://klasma.github.io/Logging_0482/klagomålsmail/A 60562-2021 FSC-klagomål mail.docx", "A 60562-2021")</f>
        <v/>
      </c>
      <c r="AC105">
        <f>HYPERLINK("https://klasma.github.io/Logging_0482/tillsyn/A 60562-2021 tillsynsbegäran.docx", "A 60562-2021")</f>
        <v/>
      </c>
      <c r="AD105">
        <f>HYPERLINK("https://klasma.github.io/Logging_0482/tillsynsmail/A 60562-2021 tillsynsbegäran mail.docx", "A 60562-2021")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46259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54737-2022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46259</v>
      </c>
      <c r="F107" t="inlineStr">
        <is>
          <t>SÖDERMANLANDS LÄN</t>
        </is>
      </c>
      <c r="G107" t="inlineStr">
        <is>
          <t>FLEN</t>
        </is>
      </c>
      <c r="I107" t="n">
        <v>5.7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54737-2022 artfynd.xlsx", "A 54737-2022")</f>
        <v/>
      </c>
      <c r="X107">
        <f>HYPERLINK("https://klasma.github.io/Logging_0482/kartor/A 54737-2022 karta.png", "A 54737-2022")</f>
        <v/>
      </c>
      <c r="Y107">
        <f>HYPERLINK("https://klasma.github.io/Logging_0482/kartor_geotiff/A 54737-2022 georefererad karta.tif", "A 54737-2022")</f>
        <v/>
      </c>
      <c r="AA107">
        <f>HYPERLINK("https://klasma.github.io/Logging_0482/klagomål/A 54737-2022 FSC-klagomål.docx", "A 54737-2022")</f>
        <v/>
      </c>
      <c r="AB107">
        <f>HYPERLINK("https://klasma.github.io/Logging_0482/klagomålsmail/A 54737-2022 FSC-klagomål mail.docx", "A 54737-2022")</f>
        <v/>
      </c>
      <c r="AC107">
        <f>HYPERLINK("https://klasma.github.io/Logging_0482/tillsyn/A 54737-2022 tillsynsbegäran.docx", "A 54737-2022")</f>
        <v/>
      </c>
      <c r="AD107">
        <f>HYPERLINK("https://klasma.github.io/Logging_0482/tillsynsmail/A 54737-2022 tillsynsbegäran mail.docx", "A 54737-2022")</f>
        <v/>
      </c>
    </row>
    <row r="108" ht="15" customHeight="1">
      <c r="A108" t="inlineStr">
        <is>
          <t>A 13858-2023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45007</v>
      </c>
      <c r="E108" s="1" t="n">
        <v>46259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Svedjenäva</t>
        </is>
      </c>
      <c r="W108">
        <f>HYPERLINK("https://klasma.github.io/Logging_0482/artfynd/A 13858-2023 artfynd.xlsx", "A 13858-2023")</f>
        <v/>
      </c>
      <c r="X108">
        <f>HYPERLINK("https://klasma.github.io/Logging_0482/kartor/A 13858-2023 karta.png", "A 13858-2023")</f>
        <v/>
      </c>
      <c r="Y108">
        <f>HYPERLINK("https://klasma.github.io/Logging_0482/kartor_geotiff/A 13858-2023 georefererad karta.tif", "A 13858-2023")</f>
        <v/>
      </c>
      <c r="AA108">
        <f>HYPERLINK("https://klasma.github.io/Logging_0482/klagomål/A 13858-2023 FSC-klagomål.docx", "A 13858-2023")</f>
        <v/>
      </c>
      <c r="AB108">
        <f>HYPERLINK("https://klasma.github.io/Logging_0482/klagomålsmail/A 13858-2023 FSC-klagomål mail.docx", "A 13858-2023")</f>
        <v/>
      </c>
      <c r="AC108">
        <f>HYPERLINK("https://klasma.github.io/Logging_0482/tillsyn/A 13858-2023 tillsynsbegäran.docx", "A 13858-2023")</f>
        <v/>
      </c>
      <c r="AD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12056-2024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46259</v>
      </c>
      <c r="F109" t="inlineStr">
        <is>
          <t>SÖDERMANLANDS LÄN</t>
        </is>
      </c>
      <c r="G109" t="inlineStr">
        <is>
          <t>FLEN</t>
        </is>
      </c>
      <c r="I109" t="n">
        <v>8.4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Fjällig taggsvamp s.str.</t>
        </is>
      </c>
      <c r="W109">
        <f>HYPERLINK("https://klasma.github.io/Logging_0482/artfynd/A 12056-2024 artfynd.xlsx", "A 12056-2024")</f>
        <v/>
      </c>
      <c r="X109">
        <f>HYPERLINK("https://klasma.github.io/Logging_0482/kartor/A 12056-2024 karta.png", "A 12056-2024")</f>
        <v/>
      </c>
      <c r="Y109">
        <f>HYPERLINK("https://klasma.github.io/Logging_0482/kartor_geotiff/A 12056-2024 georefererad karta.tif", "A 12056-2024")</f>
        <v/>
      </c>
      <c r="AA109">
        <f>HYPERLINK("https://klasma.github.io/Logging_0482/klagomål/A 12056-2024 FSC-klagomål.docx", "A 12056-2024")</f>
        <v/>
      </c>
      <c r="AB109">
        <f>HYPERLINK("https://klasma.github.io/Logging_0482/klagomålsmail/A 12056-2024 FSC-klagomål mail.docx", "A 12056-2024")</f>
        <v/>
      </c>
      <c r="AC109">
        <f>HYPERLINK("https://klasma.github.io/Logging_0482/tillsyn/A 12056-2024 tillsynsbegäran.docx", "A 12056-2024")</f>
        <v/>
      </c>
      <c r="AD109">
        <f>HYPERLINK("https://klasma.github.io/Logging_0482/tillsynsmail/A 12056-2024 tillsynsbegäran mail.docx", "A 12056-2024")</f>
        <v/>
      </c>
    </row>
    <row r="110" ht="15" customHeight="1">
      <c r="A110" t="inlineStr">
        <is>
          <t>A 52546-2021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44463</v>
      </c>
      <c r="E110" s="1" t="n">
        <v>46259</v>
      </c>
      <c r="F110" t="inlineStr">
        <is>
          <t>SÖDERMANLANDS LÄN</t>
        </is>
      </c>
      <c r="G110" t="inlineStr">
        <is>
          <t>FLEN</t>
        </is>
      </c>
      <c r="I110" t="n">
        <v>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Mindre bastardsvärmare</t>
        </is>
      </c>
      <c r="W110">
        <f>HYPERLINK("https://klasma.github.io/Logging_0482/artfynd/A 52546-2021 artfynd.xlsx", "A 52546-2021")</f>
        <v/>
      </c>
      <c r="X110">
        <f>HYPERLINK("https://klasma.github.io/Logging_0482/kartor/A 52546-2021 karta.png", "A 52546-2021")</f>
        <v/>
      </c>
      <c r="Y110">
        <f>HYPERLINK("https://klasma.github.io/Logging_0482/kartor_geotiff/A 52546-2021 georefererad karta.tif", "A 52546-2021")</f>
        <v/>
      </c>
      <c r="AA110">
        <f>HYPERLINK("https://klasma.github.io/Logging_0482/klagomål/A 52546-2021 FSC-klagomål.docx", "A 52546-2021")</f>
        <v/>
      </c>
      <c r="AB110">
        <f>HYPERLINK("https://klasma.github.io/Logging_0482/klagomålsmail/A 52546-2021 FSC-klagomål mail.docx", "A 52546-2021")</f>
        <v/>
      </c>
      <c r="AC110">
        <f>HYPERLINK("https://klasma.github.io/Logging_0482/tillsyn/A 52546-2021 tillsynsbegäran.docx", "A 52546-2021")</f>
        <v/>
      </c>
      <c r="AD110">
        <f>HYPERLINK("https://klasma.github.io/Logging_0482/tillsynsmail/A 52546-2021 tillsynsbegäran mail.docx", "A 52546-2021")</f>
        <v/>
      </c>
    </row>
    <row r="111" ht="15" customHeight="1">
      <c r="A111" t="inlineStr">
        <is>
          <t>A 10770-2022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46259</v>
      </c>
      <c r="F111" t="inlineStr">
        <is>
          <t>SÖDERMANLANDS LÄN</t>
        </is>
      </c>
      <c r="G111" t="inlineStr">
        <is>
          <t>FLEN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Svinrot</t>
        </is>
      </c>
      <c r="W111">
        <f>HYPERLINK("https://klasma.github.io/Logging_0482/artfynd/A 10770-2022 artfynd.xlsx", "A 10770-2022")</f>
        <v/>
      </c>
      <c r="X111">
        <f>HYPERLINK("https://klasma.github.io/Logging_0482/kartor/A 10770-2022 karta.png", "A 10770-2022")</f>
        <v/>
      </c>
      <c r="Y111">
        <f>HYPERLINK("https://klasma.github.io/Logging_0482/kartor_geotiff/A 10770-2022 georefererad karta.tif", "A 10770-2022")</f>
        <v/>
      </c>
      <c r="AA111">
        <f>HYPERLINK("https://klasma.github.io/Logging_0482/klagomål/A 10770-2022 FSC-klagomål.docx", "A 10770-2022")</f>
        <v/>
      </c>
      <c r="AB111">
        <f>HYPERLINK("https://klasma.github.io/Logging_0482/klagomålsmail/A 10770-2022 FSC-klagomål mail.docx", "A 10770-2022")</f>
        <v/>
      </c>
      <c r="AC111">
        <f>HYPERLINK("https://klasma.github.io/Logging_0482/tillsyn/A 10770-2022 tillsynsbegäran.docx", "A 10770-2022")</f>
        <v/>
      </c>
      <c r="AD111">
        <f>HYPERLINK("https://klasma.github.io/Logging_0482/tillsynsmail/A 10770-2022 tillsynsbegäran mail.docx", "A 10770-2022")</f>
        <v/>
      </c>
    </row>
    <row r="112" ht="15" customHeight="1">
      <c r="A112" t="inlineStr">
        <is>
          <t>A 14273-2025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46259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3.1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Vedskivlav</t>
        </is>
      </c>
      <c r="W112">
        <f>HYPERLINK("https://klasma.github.io/Logging_0482/artfynd/A 14273-2025 artfynd.xlsx", "A 14273-2025")</f>
        <v/>
      </c>
      <c r="X112">
        <f>HYPERLINK("https://klasma.github.io/Logging_0482/kartor/A 14273-2025 karta.png", "A 14273-2025")</f>
        <v/>
      </c>
      <c r="Y112">
        <f>HYPERLINK("https://klasma.github.io/Logging_0482/kartor_geotiff/A 14273-2025 georefererad karta.tif", "A 14273-2025")</f>
        <v/>
      </c>
      <c r="AA112">
        <f>HYPERLINK("https://klasma.github.io/Logging_0482/klagomål/A 14273-2025 FSC-klagomål.docx", "A 14273-2025")</f>
        <v/>
      </c>
      <c r="AB112">
        <f>HYPERLINK("https://klasma.github.io/Logging_0482/klagomålsmail/A 14273-2025 FSC-klagomål mail.docx", "A 14273-2025")</f>
        <v/>
      </c>
      <c r="AC112">
        <f>HYPERLINK("https://klasma.github.io/Logging_0482/tillsyn/A 14273-2025 tillsynsbegäran.docx", "A 14273-2025")</f>
        <v/>
      </c>
      <c r="AD112">
        <f>HYPERLINK("https://klasma.github.io/Logging_0482/tillsynsmail/A 14273-2025 tillsynsbegäran mail.docx", "A 14273-2025")</f>
        <v/>
      </c>
    </row>
    <row r="113" ht="15" customHeight="1">
      <c r="A113" t="inlineStr">
        <is>
          <t>A 45107-2023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46259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Brudborste</t>
        </is>
      </c>
      <c r="W113">
        <f>HYPERLINK("https://klasma.github.io/Logging_0482/artfynd/A 45107-2023 artfynd.xlsx", "A 45107-2023")</f>
        <v/>
      </c>
      <c r="X113">
        <f>HYPERLINK("https://klasma.github.io/Logging_0482/kartor/A 45107-2023 karta.png", "A 45107-2023")</f>
        <v/>
      </c>
      <c r="Y113">
        <f>HYPERLINK("https://klasma.github.io/Logging_0482/kartor_geotiff/A 45107-2023 georefererad karta.tif", "A 45107-2023")</f>
        <v/>
      </c>
      <c r="AA113">
        <f>HYPERLINK("https://klasma.github.io/Logging_0482/klagomål/A 45107-2023 FSC-klagomål.docx", "A 45107-2023")</f>
        <v/>
      </c>
      <c r="AB113">
        <f>HYPERLINK("https://klasma.github.io/Logging_0482/klagomålsmail/A 45107-2023 FSC-klagomål mail.docx", "A 45107-2023")</f>
        <v/>
      </c>
      <c r="AC113">
        <f>HYPERLINK("https://klasma.github.io/Logging_0482/tillsyn/A 45107-2023 tillsynsbegäran.docx", "A 45107-2023")</f>
        <v/>
      </c>
      <c r="AD113">
        <f>HYPERLINK("https://klasma.github.io/Logging_0482/tillsynsmail/A 45107-2023 tillsynsbegäran mail.docx", "A 45107-2023")</f>
        <v/>
      </c>
    </row>
    <row r="114" ht="15" customHeight="1">
      <c r="A114" t="inlineStr">
        <is>
          <t>A 1242-2022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46259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9.300000000000001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1242-2022 artfynd.xlsx", "A 1242-2022")</f>
        <v/>
      </c>
      <c r="X114">
        <f>HYPERLINK("https://klasma.github.io/Logging_0482/kartor/A 1242-2022 karta.png", "A 1242-2022")</f>
        <v/>
      </c>
      <c r="Y114">
        <f>HYPERLINK("https://klasma.github.io/Logging_0482/kartor_geotiff/A 1242-2022 georefererad karta.tif", "A 1242-2022")</f>
        <v/>
      </c>
      <c r="AA114">
        <f>HYPERLINK("https://klasma.github.io/Logging_0482/klagomål/A 1242-2022 FSC-klagomål.docx", "A 1242-2022")</f>
        <v/>
      </c>
      <c r="AB114">
        <f>HYPERLINK("https://klasma.github.io/Logging_0482/klagomålsmail/A 1242-2022 FSC-klagomål mail.docx", "A 1242-2022")</f>
        <v/>
      </c>
      <c r="AC114">
        <f>HYPERLINK("https://klasma.github.io/Logging_0482/tillsyn/A 1242-2022 tillsynsbegäran.docx", "A 1242-2022")</f>
        <v/>
      </c>
      <c r="AD114">
        <f>HYPERLINK("https://klasma.github.io/Logging_0482/tillsynsmail/A 1242-2022 tillsynsbegäran mail.docx", "A 1242-2022")</f>
        <v/>
      </c>
    </row>
    <row r="115" ht="15" customHeight="1">
      <c r="A115" t="inlineStr">
        <is>
          <t>A 12371-2022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46259</v>
      </c>
      <c r="F115" t="inlineStr">
        <is>
          <t>SÖDERMANLANDS LÄN</t>
        </is>
      </c>
      <c r="G115" t="inlineStr">
        <is>
          <t>FLEN</t>
        </is>
      </c>
      <c r="H115" t="inlineStr">
        <is>
          <t>Kommuner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12371-2022 artfynd.xlsx", "A 12371-2022")</f>
        <v/>
      </c>
      <c r="X115">
        <f>HYPERLINK("https://klasma.github.io/Logging_0482/kartor/A 12371-2022 karta.png", "A 12371-2022")</f>
        <v/>
      </c>
      <c r="Y115">
        <f>HYPERLINK("https://klasma.github.io/Logging_0482/kartor_geotiff/A 12371-2022 georefererad karta.tif", "A 12371-2022")</f>
        <v/>
      </c>
      <c r="AA115">
        <f>HYPERLINK("https://klasma.github.io/Logging_0482/klagomål/A 12371-2022 FSC-klagomål.docx", "A 12371-2022")</f>
        <v/>
      </c>
      <c r="AB115">
        <f>HYPERLINK("https://klasma.github.io/Logging_0482/klagomålsmail/A 12371-2022 FSC-klagomål mail.docx", "A 12371-2022")</f>
        <v/>
      </c>
      <c r="AC115">
        <f>HYPERLINK("https://klasma.github.io/Logging_0482/tillsyn/A 12371-2022 tillsynsbegäran.docx", "A 12371-2022")</f>
        <v/>
      </c>
      <c r="AD115">
        <f>HYPERLINK("https://klasma.github.io/Logging_0482/tillsynsmail/A 12371-2022 tillsynsbegäran mail.docx", "A 12371-2022")</f>
        <v/>
      </c>
    </row>
    <row r="116" ht="15" customHeight="1">
      <c r="A116" t="inlineStr">
        <is>
          <t>A 14113-2025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46259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14113-2025 artfynd.xlsx", "A 14113-2025")</f>
        <v/>
      </c>
      <c r="X116">
        <f>HYPERLINK("https://klasma.github.io/Logging_0482/kartor/A 14113-2025 karta.png", "A 14113-2025")</f>
        <v/>
      </c>
      <c r="Y116">
        <f>HYPERLINK("https://klasma.github.io/Logging_0482/kartor_geotiff/A 14113-2025 georefererad karta.tif", "A 14113-2025")</f>
        <v/>
      </c>
      <c r="AA116">
        <f>HYPERLINK("https://klasma.github.io/Logging_0482/klagomål/A 14113-2025 FSC-klagomål.docx", "A 14113-2025")</f>
        <v/>
      </c>
      <c r="AB116">
        <f>HYPERLINK("https://klasma.github.io/Logging_0482/klagomålsmail/A 14113-2025 FSC-klagomål mail.docx", "A 14113-2025")</f>
        <v/>
      </c>
      <c r="AC116">
        <f>HYPERLINK("https://klasma.github.io/Logging_0482/tillsyn/A 14113-2025 tillsynsbegäran.docx", "A 14113-2025")</f>
        <v/>
      </c>
      <c r="AD116">
        <f>HYPERLINK("https://klasma.github.io/Logging_0482/tillsynsmail/A 14113-2025 tillsynsbegäran mail.docx", "A 14113-2025")</f>
        <v/>
      </c>
    </row>
    <row r="117" ht="15" customHeight="1">
      <c r="A117" t="inlineStr">
        <is>
          <t>A 39036-2023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46259</v>
      </c>
      <c r="F117" t="inlineStr">
        <is>
          <t>SÖDERMANLANDS LÄN</t>
        </is>
      </c>
      <c r="G117" t="inlineStr">
        <is>
          <t>FLEN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HYPERLINK("https://klasma.github.io/Logging_0482/artfynd/A 39036-2023 artfynd.xlsx", "A 39036-2023")</f>
        <v/>
      </c>
      <c r="X117">
        <f>HYPERLINK("https://klasma.github.io/Logging_0482/kartor/A 39036-2023 karta.png", "A 39036-2023")</f>
        <v/>
      </c>
      <c r="Y117">
        <f>HYPERLINK("https://klasma.github.io/Logging_0482/kartor_geotiff/A 39036-2023 georefererad karta.tif", "A 39036-2023")</f>
        <v/>
      </c>
      <c r="AA117">
        <f>HYPERLINK("https://klasma.github.io/Logging_0482/klagomål/A 39036-2023 FSC-klagomål.docx", "A 39036-2023")</f>
        <v/>
      </c>
      <c r="AB117">
        <f>HYPERLINK("https://klasma.github.io/Logging_0482/klagomålsmail/A 39036-2023 FSC-klagomål mail.docx", "A 39036-2023")</f>
        <v/>
      </c>
      <c r="AC117">
        <f>HYPERLINK("https://klasma.github.io/Logging_0482/tillsyn/A 39036-2023 tillsynsbegäran.docx", "A 39036-2023")</f>
        <v/>
      </c>
      <c r="AD117">
        <f>HYPERLINK("https://klasma.github.io/Logging_0482/tillsynsmail/A 39036-2023 tillsynsbegäran mail.docx", "A 39036-2023")</f>
        <v/>
      </c>
    </row>
    <row r="118" ht="15" customHeight="1">
      <c r="A118" t="inlineStr">
        <is>
          <t>A 47581-2025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46259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47581-2025 artfynd.xlsx", "A 47581-2025")</f>
        <v/>
      </c>
      <c r="X118">
        <f>HYPERLINK("https://klasma.github.io/Logging_0482/kartor/A 47581-2025 karta.png", "A 47581-2025")</f>
        <v/>
      </c>
      <c r="Y118">
        <f>HYPERLINK("https://klasma.github.io/Logging_0482/kartor_geotiff/A 47581-2025 georefererad karta.tif", "A 47581-2025")</f>
        <v/>
      </c>
      <c r="AA118">
        <f>HYPERLINK("https://klasma.github.io/Logging_0482/klagomål/A 47581-2025 FSC-klagomål.docx", "A 47581-2025")</f>
        <v/>
      </c>
      <c r="AB118">
        <f>HYPERLINK("https://klasma.github.io/Logging_0482/klagomålsmail/A 47581-2025 FSC-klagomål mail.docx", "A 47581-2025")</f>
        <v/>
      </c>
      <c r="AC118">
        <f>HYPERLINK("https://klasma.github.io/Logging_0482/tillsyn/A 47581-2025 tillsynsbegäran.docx", "A 47581-2025")</f>
        <v/>
      </c>
      <c r="AD118">
        <f>HYPERLINK("https://klasma.github.io/Logging_0482/tillsynsmail/A 47581-2025 tillsynsbegäran mail.docx", "A 47581-2025")</f>
        <v/>
      </c>
    </row>
    <row r="119" ht="15" customHeight="1">
      <c r="A119" t="inlineStr">
        <is>
          <t>A 31427-2022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46259</v>
      </c>
      <c r="F119" t="inlineStr">
        <is>
          <t>SÖDERMANLANDS LÄN</t>
        </is>
      </c>
      <c r="G119" t="inlineStr">
        <is>
          <t>FLEN</t>
        </is>
      </c>
      <c r="I119" t="n">
        <v>3.7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Älg</t>
        </is>
      </c>
      <c r="W119">
        <f>HYPERLINK("https://klasma.github.io/Logging_0482/artfynd/A 31427-2022 artfynd.xlsx", "A 31427-2022")</f>
        <v/>
      </c>
      <c r="X119">
        <f>HYPERLINK("https://klasma.github.io/Logging_0482/kartor/A 31427-2022 karta.png", "A 31427-2022")</f>
        <v/>
      </c>
      <c r="Y119">
        <f>HYPERLINK("https://klasma.github.io/Logging_0482/kartor_geotiff/A 31427-2022 georefererad karta.tif", "A 31427-2022")</f>
        <v/>
      </c>
      <c r="AA119">
        <f>HYPERLINK("https://klasma.github.io/Logging_0482/klagomål/A 31427-2022 FSC-klagomål.docx", "A 31427-2022")</f>
        <v/>
      </c>
      <c r="AB119">
        <f>HYPERLINK("https://klasma.github.io/Logging_0482/klagomålsmail/A 31427-2022 FSC-klagomål mail.docx", "A 31427-2022")</f>
        <v/>
      </c>
      <c r="AC119">
        <f>HYPERLINK("https://klasma.github.io/Logging_0482/tillsyn/A 31427-2022 tillsynsbegäran.docx", "A 31427-2022")</f>
        <v/>
      </c>
      <c r="AD119">
        <f>HYPERLINK("https://klasma.github.io/Logging_0482/tillsynsmail/A 31427-2022 tillsynsbegäran mail.docx", "A 31427-2022")</f>
        <v/>
      </c>
    </row>
    <row r="120" ht="15" customHeight="1">
      <c r="A120" t="inlineStr">
        <is>
          <t>A 47756-2022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44854</v>
      </c>
      <c r="E120" s="1" t="n">
        <v>46259</v>
      </c>
      <c r="F120" t="inlineStr">
        <is>
          <t>SÖDERMANLANDS LÄN</t>
        </is>
      </c>
      <c r="G120" t="inlineStr">
        <is>
          <t>FLEN</t>
        </is>
      </c>
      <c r="I120" t="n">
        <v>2.4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47756-2022 artfynd.xlsx", "A 47756-2022")</f>
        <v/>
      </c>
      <c r="X120">
        <f>HYPERLINK("https://klasma.github.io/Logging_0482/kartor/A 47756-2022 karta.png", "A 47756-2022")</f>
        <v/>
      </c>
      <c r="Y120">
        <f>HYPERLINK("https://klasma.github.io/Logging_0482/kartor_geotiff/A 47756-2022 georefererad karta.tif", "A 47756-2022")</f>
        <v/>
      </c>
      <c r="AA120">
        <f>HYPERLINK("https://klasma.github.io/Logging_0482/klagomål/A 47756-2022 FSC-klagomål.docx", "A 47756-2022")</f>
        <v/>
      </c>
      <c r="AB120">
        <f>HYPERLINK("https://klasma.github.io/Logging_0482/klagomålsmail/A 47756-2022 FSC-klagomål mail.docx", "A 47756-2022")</f>
        <v/>
      </c>
      <c r="AC120">
        <f>HYPERLINK("https://klasma.github.io/Logging_0482/tillsyn/A 47756-2022 tillsynsbegäran.docx", "A 47756-2022")</f>
        <v/>
      </c>
      <c r="AD120">
        <f>HYPERLINK("https://klasma.github.io/Logging_0482/tillsynsmail/A 47756-2022 tillsynsbegäran mail.docx", "A 47756-2022")</f>
        <v/>
      </c>
    </row>
    <row r="121" ht="15" customHeight="1">
      <c r="A121" t="inlineStr">
        <is>
          <t>A 31972-2024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46259</v>
      </c>
      <c r="F121" t="inlineStr">
        <is>
          <t>SÖDERMANLANDS LÄN</t>
        </is>
      </c>
      <c r="G121" t="inlineStr">
        <is>
          <t>FLEN</t>
        </is>
      </c>
      <c r="I121" t="n">
        <v>3.4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Åkerrödtoppa</t>
        </is>
      </c>
      <c r="W121">
        <f>HYPERLINK("https://klasma.github.io/Logging_0482/artfynd/A 31972-2024 artfynd.xlsx", "A 31972-2024")</f>
        <v/>
      </c>
      <c r="X121">
        <f>HYPERLINK("https://klasma.github.io/Logging_0482/kartor/A 31972-2024 karta.png", "A 31972-2024")</f>
        <v/>
      </c>
      <c r="Y121">
        <f>HYPERLINK("https://klasma.github.io/Logging_0482/kartor_geotiff/A 31972-2024 georefererad karta.tif", "A 31972-2024")</f>
        <v/>
      </c>
      <c r="AA121">
        <f>HYPERLINK("https://klasma.github.io/Logging_0482/klagomål/A 31972-2024 FSC-klagomål.docx", "A 31972-2024")</f>
        <v/>
      </c>
      <c r="AB121">
        <f>HYPERLINK("https://klasma.github.io/Logging_0482/klagomålsmail/A 31972-2024 FSC-klagomål mail.docx", "A 31972-2024")</f>
        <v/>
      </c>
      <c r="AC121">
        <f>HYPERLINK("https://klasma.github.io/Logging_0482/tillsyn/A 31972-2024 tillsynsbegäran.docx", "A 31972-2024")</f>
        <v/>
      </c>
      <c r="AD121">
        <f>HYPERLINK("https://klasma.github.io/Logging_0482/tillsynsmail/A 31972-2024 tillsynsbegäran mail.docx", "A 31972-2024")</f>
        <v/>
      </c>
    </row>
    <row r="122" ht="15" customHeight="1">
      <c r="A122" t="inlineStr">
        <is>
          <t>A 6982-2024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46259</v>
      </c>
      <c r="F122" t="inlineStr">
        <is>
          <t>SÖDERMANLANDS LÄN</t>
        </is>
      </c>
      <c r="G122" t="inlineStr">
        <is>
          <t>FLEN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HYPERLINK("https://klasma.github.io/Logging_0482/artfynd/A 6982-2024 artfynd.xlsx", "A 6982-2024")</f>
        <v/>
      </c>
      <c r="X122">
        <f>HYPERLINK("https://klasma.github.io/Logging_0482/kartor/A 6982-2024 karta.png", "A 6982-2024")</f>
        <v/>
      </c>
      <c r="Y122">
        <f>HYPERLINK("https://klasma.github.io/Logging_0482/kartor_geotiff/A 6982-2024 georefererad karta.tif", "A 6982-2024")</f>
        <v/>
      </c>
      <c r="AA122">
        <f>HYPERLINK("https://klasma.github.io/Logging_0482/klagomål/A 6982-2024 FSC-klagomål.docx", "A 6982-2024")</f>
        <v/>
      </c>
      <c r="AB122">
        <f>HYPERLINK("https://klasma.github.io/Logging_0482/klagomålsmail/A 6982-2024 FSC-klagomål mail.docx", "A 6982-2024")</f>
        <v/>
      </c>
      <c r="AC122">
        <f>HYPERLINK("https://klasma.github.io/Logging_0482/tillsyn/A 6982-2024 tillsynsbegäran.docx", "A 6982-2024")</f>
        <v/>
      </c>
      <c r="AD122">
        <f>HYPERLINK("https://klasma.github.io/Logging_0482/tillsynsmail/A 6982-2024 tillsynsbegäran mail.docx", "A 6982-2024")</f>
        <v/>
      </c>
    </row>
    <row r="123" ht="15" customHeight="1">
      <c r="A123" t="inlineStr">
        <is>
          <t>A 21704-2026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46259</v>
      </c>
      <c r="F123" t="inlineStr">
        <is>
          <t>SÖDERMANLANDS LÄN</t>
        </is>
      </c>
      <c r="G123" t="inlineStr">
        <is>
          <t>FLEN</t>
        </is>
      </c>
      <c r="I123" t="n">
        <v>10.2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Kandelabersvamp</t>
        </is>
      </c>
      <c r="W123">
        <f>HYPERLINK("https://klasma.github.io/Logging_0482/artfynd/A 21704-2026 artfynd.xlsx", "A 21704-2026")</f>
        <v/>
      </c>
      <c r="X123">
        <f>HYPERLINK("https://klasma.github.io/Logging_0482/kartor/A 21704-2026 karta.png", "A 21704-2026")</f>
        <v/>
      </c>
      <c r="Y123">
        <f>HYPERLINK("https://klasma.github.io/Logging_0482/kartor_geotiff/A 21704-2026 georefererad karta.tif", "A 21704-2026")</f>
        <v/>
      </c>
      <c r="AA123">
        <f>HYPERLINK("https://klasma.github.io/Logging_0482/klagomål/A 21704-2026 FSC-klagomål.docx", "A 21704-2026")</f>
        <v/>
      </c>
      <c r="AB123">
        <f>HYPERLINK("https://klasma.github.io/Logging_0482/klagomålsmail/A 21704-2026 FSC-klagomål mail.docx", "A 21704-2026")</f>
        <v/>
      </c>
      <c r="AC123">
        <f>HYPERLINK("https://klasma.github.io/Logging_0482/tillsyn/A 21704-2026 tillsynsbegäran.docx", "A 21704-2026")</f>
        <v/>
      </c>
      <c r="AD123">
        <f>HYPERLINK("https://klasma.github.io/Logging_0482/tillsynsmail/A 21704-2026 tillsynsbegäran mail.docx", "A 21704-2026")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46259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46259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12306-2022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46259</v>
      </c>
      <c r="F126" t="inlineStr">
        <is>
          <t>SÖDERMANLANDS LÄN</t>
        </is>
      </c>
      <c r="G126" t="inlineStr">
        <is>
          <t>FLEN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Järnsparv</t>
        </is>
      </c>
      <c r="W126">
        <f>HYPERLINK("https://klasma.github.io/Logging_0482/artfynd/A 12306-2022 artfynd.xlsx", "A 12306-2022")</f>
        <v/>
      </c>
      <c r="X126">
        <f>HYPERLINK("https://klasma.github.io/Logging_0482/kartor/A 12306-2022 karta.png", "A 12306-2022")</f>
        <v/>
      </c>
      <c r="Y126">
        <f>HYPERLINK("https://klasma.github.io/Logging_0482/kartor_geotiff/A 12306-2022 georefererad karta.tif", "A 12306-2022")</f>
        <v/>
      </c>
      <c r="AA126">
        <f>HYPERLINK("https://klasma.github.io/Logging_0482/klagomål/A 12306-2022 FSC-klagomål.docx", "A 12306-2022")</f>
        <v/>
      </c>
      <c r="AB126">
        <f>HYPERLINK("https://klasma.github.io/Logging_0482/klagomålsmail/A 12306-2022 FSC-klagomål mail.docx", "A 12306-2022")</f>
        <v/>
      </c>
      <c r="AC126">
        <f>HYPERLINK("https://klasma.github.io/Logging_0482/tillsyn/A 12306-2022 tillsynsbegäran.docx", "A 12306-2022")</f>
        <v/>
      </c>
      <c r="AD126">
        <f>HYPERLINK("https://klasma.github.io/Logging_0482/tillsynsmail/A 12306-2022 tillsynsbegäran mail.docx", "A 12306-2022")</f>
        <v/>
      </c>
      <c r="AE126">
        <f>HYPERLINK("https://klasma.github.io/Logging_0482/fåglar/A 12306-2022 prioriterade fågelarter.docx", "A 12306-2022")</f>
        <v/>
      </c>
    </row>
    <row r="127" ht="15" customHeight="1">
      <c r="A127" t="inlineStr">
        <is>
          <t>A 46987-2024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46259</v>
      </c>
      <c r="F127" t="inlineStr">
        <is>
          <t>SÖDERMANLANDS LÄN</t>
        </is>
      </c>
      <c r="G127" t="inlineStr">
        <is>
          <t>FLEN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46987-2024 artfynd.xlsx", "A 46987-2024")</f>
        <v/>
      </c>
      <c r="X127">
        <f>HYPERLINK("https://klasma.github.io/Logging_0482/kartor/A 46987-2024 karta.png", "A 46987-2024")</f>
        <v/>
      </c>
      <c r="Y127">
        <f>HYPERLINK("https://klasma.github.io/Logging_0482/kartor_geotiff/A 46987-2024 georefererad karta.tif", "A 46987-2024")</f>
        <v/>
      </c>
      <c r="AA127">
        <f>HYPERLINK("https://klasma.github.io/Logging_0482/klagomål/A 46987-2024 FSC-klagomål.docx", "A 46987-2024")</f>
        <v/>
      </c>
      <c r="AB127">
        <f>HYPERLINK("https://klasma.github.io/Logging_0482/klagomålsmail/A 46987-2024 FSC-klagomål mail.docx", "A 46987-2024")</f>
        <v/>
      </c>
      <c r="AC127">
        <f>HYPERLINK("https://klasma.github.io/Logging_0482/tillsyn/A 46987-2024 tillsynsbegäran.docx", "A 46987-2024")</f>
        <v/>
      </c>
      <c r="AD127">
        <f>HYPERLINK("https://klasma.github.io/Logging_0482/tillsynsmail/A 46987-2024 tillsynsbegäran mail.docx", "A 46987-2024")</f>
        <v/>
      </c>
    </row>
    <row r="128" ht="15" customHeight="1">
      <c r="A128" t="inlineStr">
        <is>
          <t>A 52579-2025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45954</v>
      </c>
      <c r="E128" s="1" t="n">
        <v>46259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4.5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Slåtterfibbla</t>
        </is>
      </c>
      <c r="W128">
        <f>HYPERLINK("https://klasma.github.io/Logging_0482/artfynd/A 52579-2025 artfynd.xlsx", "A 52579-2025")</f>
        <v/>
      </c>
      <c r="X128">
        <f>HYPERLINK("https://klasma.github.io/Logging_0482/kartor/A 52579-2025 karta.png", "A 52579-2025")</f>
        <v/>
      </c>
      <c r="Y128">
        <f>HYPERLINK("https://klasma.github.io/Logging_0482/kartor_geotiff/A 52579-2025 georefererad karta.tif", "A 52579-2025")</f>
        <v/>
      </c>
      <c r="AA128">
        <f>HYPERLINK("https://klasma.github.io/Logging_0482/klagomål/A 52579-2025 FSC-klagomål.docx", "A 52579-2025")</f>
        <v/>
      </c>
      <c r="AB128">
        <f>HYPERLINK("https://klasma.github.io/Logging_0482/klagomålsmail/A 52579-2025 FSC-klagomål mail.docx", "A 52579-2025")</f>
        <v/>
      </c>
      <c r="AC128">
        <f>HYPERLINK("https://klasma.github.io/Logging_0482/tillsyn/A 52579-2025 tillsynsbegäran.docx", "A 52579-2025")</f>
        <v/>
      </c>
      <c r="AD128">
        <f>HYPERLINK("https://klasma.github.io/Logging_0482/tillsynsmail/A 52579-2025 tillsynsbegäran mail.docx", "A 52579-2025")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46259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66230-2021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44518</v>
      </c>
      <c r="E130" s="1" t="n">
        <v>46259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66230-2021 artfynd.xlsx", "A 66230-2021")</f>
        <v/>
      </c>
      <c r="X130">
        <f>HYPERLINK("https://klasma.github.io/Logging_0482/kartor/A 66230-2021 karta.png", "A 66230-2021")</f>
        <v/>
      </c>
      <c r="Y130">
        <f>HYPERLINK("https://klasma.github.io/Logging_0482/kartor_geotiff/A 66230-2021 georefererad karta.tif", "A 66230-2021")</f>
        <v/>
      </c>
      <c r="AA130">
        <f>HYPERLINK("https://klasma.github.io/Logging_0482/klagomål/A 66230-2021 FSC-klagomål.docx", "A 66230-2021")</f>
        <v/>
      </c>
      <c r="AB130">
        <f>HYPERLINK("https://klasma.github.io/Logging_0482/klagomålsmail/A 66230-2021 FSC-klagomål mail.docx", "A 66230-2021")</f>
        <v/>
      </c>
      <c r="AC130">
        <f>HYPERLINK("https://klasma.github.io/Logging_0482/tillsyn/A 66230-2021 tillsynsbegäran.docx", "A 66230-2021")</f>
        <v/>
      </c>
      <c r="AD130">
        <f>HYPERLINK("https://klasma.github.io/Logging_0482/tillsynsmail/A 66230-2021 tillsynsbegäran mail.docx", "A 66230-2021")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46259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26310-2026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46259</v>
      </c>
      <c r="F132" t="inlineStr">
        <is>
          <t>SÖDERMANLANDS LÄN</t>
        </is>
      </c>
      <c r="G132" t="inlineStr">
        <is>
          <t>FLEN</t>
        </is>
      </c>
      <c r="I132" t="n">
        <v>1.2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HYPERLINK("https://klasma.github.io/Logging_0482/artfynd/A 26310-2026 artfynd.xlsx", "A 26310-2026")</f>
        <v/>
      </c>
      <c r="X132">
        <f>HYPERLINK("https://klasma.github.io/Logging_0482/kartor/A 26310-2026 karta.png", "A 26310-2026")</f>
        <v/>
      </c>
      <c r="Y132">
        <f>HYPERLINK("https://klasma.github.io/Logging_0482/kartor_geotiff/A 26310-2026 georefererad karta.tif", "A 26310-2026")</f>
        <v/>
      </c>
      <c r="AA132">
        <f>HYPERLINK("https://klasma.github.io/Logging_0482/klagomål/A 26310-2026 FSC-klagomål.docx", "A 26310-2026")</f>
        <v/>
      </c>
      <c r="AB132">
        <f>HYPERLINK("https://klasma.github.io/Logging_0482/klagomålsmail/A 26310-2026 FSC-klagomål mail.docx", "A 26310-2026")</f>
        <v/>
      </c>
      <c r="AC132">
        <f>HYPERLINK("https://klasma.github.io/Logging_0482/tillsyn/A 26310-2026 tillsynsbegäran.docx", "A 26310-2026")</f>
        <v/>
      </c>
      <c r="AD132">
        <f>HYPERLINK("https://klasma.github.io/Logging_0482/tillsynsmail/A 26310-2026 tillsynsbegäran mail.docx", "A 26310-2026")</f>
        <v/>
      </c>
      <c r="AE132">
        <f>HYPERLINK("https://klasma.github.io/Logging_0482/fåglar/A 26310-2026 prioriterade fågelarter.docx", "A 26310-2026")</f>
        <v/>
      </c>
    </row>
    <row r="133" ht="15" customHeight="1">
      <c r="A133" t="inlineStr">
        <is>
          <t>A 26052-2026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46259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HYPERLINK("https://klasma.github.io/Logging_0482/artfynd/A 26052-2026 artfynd.xlsx", "A 26052-2026")</f>
        <v/>
      </c>
      <c r="X133">
        <f>HYPERLINK("https://klasma.github.io/Logging_0482/kartor/A 26052-2026 karta.png", "A 26052-2026")</f>
        <v/>
      </c>
      <c r="Y133">
        <f>HYPERLINK("https://klasma.github.io/Logging_0482/kartor_geotiff/A 26052-2026 georefererad karta.tif", "A 26052-2026")</f>
        <v/>
      </c>
      <c r="AA133">
        <f>HYPERLINK("https://klasma.github.io/Logging_0482/klagomål/A 26052-2026 FSC-klagomål.docx", "A 26052-2026")</f>
        <v/>
      </c>
      <c r="AB133">
        <f>HYPERLINK("https://klasma.github.io/Logging_0482/klagomålsmail/A 26052-2026 FSC-klagomål mail.docx", "A 26052-2026")</f>
        <v/>
      </c>
      <c r="AC133">
        <f>HYPERLINK("https://klasma.github.io/Logging_0482/tillsyn/A 26052-2026 tillsynsbegäran.docx", "A 26052-2026")</f>
        <v/>
      </c>
      <c r="AD133">
        <f>HYPERLINK("https://klasma.github.io/Logging_0482/tillsynsmail/A 26052-2026 tillsynsbegäran mail.docx", "A 26052-2026")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46259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46259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46259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Mörk dunört</t>
        </is>
      </c>
      <c r="W136">
        <f>HYPERLINK("https://klasma.github.io/Logging_0482/artfynd/A 34823-2023 artfynd.xlsx", "A 34823-2023")</f>
        <v/>
      </c>
      <c r="X136">
        <f>HYPERLINK("https://klasma.github.io/Logging_0482/kartor/A 34823-2023 karta.png", "A 34823-2023")</f>
        <v/>
      </c>
      <c r="Y136">
        <f>HYPERLINK("https://klasma.github.io/Logging_0482/kartor_geotiff/A 34823-2023 georefererad karta.tif", "A 34823-2023")</f>
        <v/>
      </c>
      <c r="AA136">
        <f>HYPERLINK("https://klasma.github.io/Logging_0482/klagomål/A 34823-2023 FSC-klagomål.docx", "A 34823-2023")</f>
        <v/>
      </c>
      <c r="AB136">
        <f>HYPERLINK("https://klasma.github.io/Logging_0482/klagomålsmail/A 34823-2023 FSC-klagomål mail.docx", "A 34823-2023")</f>
        <v/>
      </c>
      <c r="AC136">
        <f>HYPERLINK("https://klasma.github.io/Logging_0482/tillsyn/A 34823-2023 tillsynsbegäran.docx", "A 34823-2023")</f>
        <v/>
      </c>
      <c r="AD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46259</v>
      </c>
      <c r="F137" t="inlineStr">
        <is>
          <t>SÖDERMANLANDS LÄN</t>
        </is>
      </c>
      <c r="G137" t="inlineStr">
        <is>
          <t>FLEN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Skarp dropptaggsvamp</t>
        </is>
      </c>
      <c r="W137">
        <f>HYPERLINK("https://klasma.github.io/Logging_0482/artfynd/A 60529-2024 artfynd.xlsx", "A 60529-2024")</f>
        <v/>
      </c>
      <c r="X137">
        <f>HYPERLINK("https://klasma.github.io/Logging_0482/kartor/A 60529-2024 karta.png", "A 60529-2024")</f>
        <v/>
      </c>
      <c r="Y137">
        <f>HYPERLINK("https://klasma.github.io/Logging_0482/kartor_geotiff/A 60529-2024 georefererad karta.tif", "A 60529-2024")</f>
        <v/>
      </c>
      <c r="AA137">
        <f>HYPERLINK("https://klasma.github.io/Logging_0482/klagomål/A 60529-2024 FSC-klagomål.docx", "A 60529-2024")</f>
        <v/>
      </c>
      <c r="AB137">
        <f>HYPERLINK("https://klasma.github.io/Logging_0482/klagomålsmail/A 60529-2024 FSC-klagomål mail.docx", "A 60529-2024")</f>
        <v/>
      </c>
      <c r="AC137">
        <f>HYPERLINK("https://klasma.github.io/Logging_0482/tillsyn/A 60529-2024 tillsynsbegäran.docx", "A 60529-2024")</f>
        <v/>
      </c>
      <c r="AD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46259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46259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37283-2024 artfynd.xlsx", "A 37283-2024")</f>
        <v/>
      </c>
      <c r="X139">
        <f>HYPERLINK("https://klasma.github.io/Logging_0482/kartor/A 37283-2024 karta.png", "A 37283-2024")</f>
        <v/>
      </c>
      <c r="Y139">
        <f>HYPERLINK("https://klasma.github.io/Logging_0482/kartor_geotiff/A 37283-2024 georefererad karta.tif", "A 37283-2024")</f>
        <v/>
      </c>
      <c r="AA139">
        <f>HYPERLINK("https://klasma.github.io/Logging_0482/klagomål/A 37283-2024 FSC-klagomål.docx", "A 37283-2024")</f>
        <v/>
      </c>
      <c r="AB139">
        <f>HYPERLINK("https://klasma.github.io/Logging_0482/klagomålsmail/A 37283-2024 FSC-klagomål mail.docx", "A 37283-2024")</f>
        <v/>
      </c>
      <c r="AC139">
        <f>HYPERLINK("https://klasma.github.io/Logging_0482/tillsyn/A 37283-2024 tillsynsbegäran.docx", "A 37283-2024")</f>
        <v/>
      </c>
      <c r="AD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46259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46259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43008-2023 artfynd.xlsx", "A 43008-2023")</f>
        <v/>
      </c>
      <c r="X141">
        <f>HYPERLINK("https://klasma.github.io/Logging_0482/kartor/A 43008-2023 karta.png", "A 43008-2023")</f>
        <v/>
      </c>
      <c r="Y141">
        <f>HYPERLINK("https://klasma.github.io/Logging_0482/kartor_geotiff/A 43008-2023 georefererad karta.tif", "A 43008-2023")</f>
        <v/>
      </c>
      <c r="AA141">
        <f>HYPERLINK("https://klasma.github.io/Logging_0482/klagomål/A 43008-2023 FSC-klagomål.docx", "A 43008-2023")</f>
        <v/>
      </c>
      <c r="AB141">
        <f>HYPERLINK("https://klasma.github.io/Logging_0482/klagomålsmail/A 43008-2023 FSC-klagomål mail.docx", "A 43008-2023")</f>
        <v/>
      </c>
      <c r="AC141">
        <f>HYPERLINK("https://klasma.github.io/Logging_0482/tillsyn/A 43008-2023 tillsynsbegäran.docx", "A 43008-2023")</f>
        <v/>
      </c>
      <c r="AD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2043-2026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46259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Scharlakansvaxing</t>
        </is>
      </c>
      <c r="W142">
        <f>HYPERLINK("https://klasma.github.io/Logging_0482/artfynd/A 2043-2026 artfynd.xlsx", "A 2043-2026")</f>
        <v/>
      </c>
      <c r="X142">
        <f>HYPERLINK("https://klasma.github.io/Logging_0482/kartor/A 2043-2026 karta.png", "A 2043-2026")</f>
        <v/>
      </c>
      <c r="Y142">
        <f>HYPERLINK("https://klasma.github.io/Logging_0482/kartor_geotiff/A 2043-2026 georefererad karta.tif", "A 2043-2026")</f>
        <v/>
      </c>
      <c r="AA142">
        <f>HYPERLINK("https://klasma.github.io/Logging_0482/klagomål/A 2043-2026 FSC-klagomål.docx", "A 2043-2026")</f>
        <v/>
      </c>
      <c r="AB142">
        <f>HYPERLINK("https://klasma.github.io/Logging_0482/klagomålsmail/A 2043-2026 FSC-klagomål mail.docx", "A 2043-2026")</f>
        <v/>
      </c>
      <c r="AC142">
        <f>HYPERLINK("https://klasma.github.io/Logging_0482/tillsyn/A 2043-2026 tillsynsbegäran.docx", "A 2043-2026")</f>
        <v/>
      </c>
      <c r="AD142">
        <f>HYPERLINK("https://klasma.github.io/Logging_0482/tillsynsmail/A 2043-2026 tillsynsbegäran mail.docx", "A 2043-2026")</f>
        <v/>
      </c>
    </row>
    <row r="143" ht="15" customHeight="1">
      <c r="A143" t="inlineStr">
        <is>
          <t>A 2036-2026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46259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HYPERLINK("https://klasma.github.io/Logging_0482/artfynd/A 2036-2026 artfynd.xlsx", "A 2036-2026")</f>
        <v/>
      </c>
      <c r="X143">
        <f>HYPERLINK("https://klasma.github.io/Logging_0482/kartor/A 2036-2026 karta.png", "A 2036-2026")</f>
        <v/>
      </c>
      <c r="Y143">
        <f>HYPERLINK("https://klasma.github.io/Logging_0482/kartor_geotiff/A 2036-2026 georefererad karta.tif", "A 2036-2026")</f>
        <v/>
      </c>
      <c r="Z143">
        <f>HYPERLINK("https://klasma.github.io/Logging_0482/knärot/A 2036-2026 karta knärot.png", "A 2036-2026")</f>
        <v/>
      </c>
      <c r="AA143">
        <f>HYPERLINK("https://klasma.github.io/Logging_0482/klagomål/A 2036-2026 FSC-klagomål.docx", "A 2036-2026")</f>
        <v/>
      </c>
      <c r="AB143">
        <f>HYPERLINK("https://klasma.github.io/Logging_0482/klagomålsmail/A 2036-2026 FSC-klagomål mail.docx", "A 2036-2026")</f>
        <v/>
      </c>
      <c r="AC143">
        <f>HYPERLINK("https://klasma.github.io/Logging_0482/tillsyn/A 2036-2026 tillsynsbegäran.docx", "A 2036-2026")</f>
        <v/>
      </c>
      <c r="AD143">
        <f>HYPERLINK("https://klasma.github.io/Logging_0482/tillsynsmail/A 2036-2026 tillsynsbegäran mail.docx", "A 2036-2026")</f>
        <v/>
      </c>
    </row>
    <row r="144" ht="15" customHeight="1">
      <c r="A144" t="inlineStr">
        <is>
          <t>A 37317-2023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45156</v>
      </c>
      <c r="E144" s="1" t="n">
        <v>46259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5.1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Svavelriska</t>
        </is>
      </c>
      <c r="W144">
        <f>HYPERLINK("https://klasma.github.io/Logging_0482/artfynd/A 37317-2023 artfynd.xlsx", "A 37317-2023")</f>
        <v/>
      </c>
      <c r="X144">
        <f>HYPERLINK("https://klasma.github.io/Logging_0482/kartor/A 37317-2023 karta.png", "A 37317-2023")</f>
        <v/>
      </c>
      <c r="Y144">
        <f>HYPERLINK("https://klasma.github.io/Logging_0482/kartor_geotiff/A 37317-2023 georefererad karta.tif", "A 37317-2023")</f>
        <v/>
      </c>
      <c r="AA144">
        <f>HYPERLINK("https://klasma.github.io/Logging_0482/klagomål/A 37317-2023 FSC-klagomål.docx", "A 37317-2023")</f>
        <v/>
      </c>
      <c r="AB144">
        <f>HYPERLINK("https://klasma.github.io/Logging_0482/klagomålsmail/A 37317-2023 FSC-klagomål mail.docx", "A 37317-2023")</f>
        <v/>
      </c>
      <c r="AC144">
        <f>HYPERLINK("https://klasma.github.io/Logging_0482/tillsyn/A 37317-2023 tillsynsbegäran.docx", "A 37317-2023")</f>
        <v/>
      </c>
      <c r="AD144">
        <f>HYPERLINK("https://klasma.github.io/Logging_0482/tillsynsmail/A 37317-2023 tillsynsbegäran mail.docx", "A 37317-2023")</f>
        <v/>
      </c>
    </row>
    <row r="145" ht="15" customHeight="1">
      <c r="A145" t="inlineStr">
        <is>
          <t>A 30406-2026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46209</v>
      </c>
      <c r="E145" s="1" t="n">
        <v>46259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HYPERLINK("https://klasma.github.io/Logging_0482/artfynd/A 30406-2026 artfynd.xlsx", "A 30406-2026")</f>
        <v/>
      </c>
      <c r="X145">
        <f>HYPERLINK("https://klasma.github.io/Logging_0482/kartor/A 30406-2026 karta.png", "A 30406-2026")</f>
        <v/>
      </c>
      <c r="Y145">
        <f>HYPERLINK("https://klasma.github.io/Logging_0482/kartor_geotiff/A 30406-2026 georefererad karta.tif", "A 30406-2026")</f>
        <v/>
      </c>
      <c r="AA145">
        <f>HYPERLINK("https://klasma.github.io/Logging_0482/klagomål/A 30406-2026 FSC-klagomål.docx", "A 30406-2026")</f>
        <v/>
      </c>
      <c r="AB145">
        <f>HYPERLINK("https://klasma.github.io/Logging_0482/klagomålsmail/A 30406-2026 FSC-klagomål mail.docx", "A 30406-2026")</f>
        <v/>
      </c>
      <c r="AC145">
        <f>HYPERLINK("https://klasma.github.io/Logging_0482/tillsyn/A 30406-2026 tillsynsbegäran.docx", "A 30406-2026")</f>
        <v/>
      </c>
      <c r="AD145">
        <f>HYPERLINK("https://klasma.github.io/Logging_0482/tillsynsmail/A 30406-2026 tillsynsbegäran mail.docx", "A 30406-2026")</f>
        <v/>
      </c>
    </row>
    <row r="146" ht="15" customHeight="1">
      <c r="A146" t="inlineStr">
        <is>
          <t>A 46115-2023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46259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Ullticka</t>
        </is>
      </c>
      <c r="W146">
        <f>HYPERLINK("https://klasma.github.io/Logging_0482/artfynd/A 46115-2023 artfynd.xlsx", "A 46115-2023")</f>
        <v/>
      </c>
      <c r="X146">
        <f>HYPERLINK("https://klasma.github.io/Logging_0482/kartor/A 46115-2023 karta.png", "A 46115-2023")</f>
        <v/>
      </c>
      <c r="Y146">
        <f>HYPERLINK("https://klasma.github.io/Logging_0482/kartor_geotiff/A 46115-2023 georefererad karta.tif", "A 46115-2023")</f>
        <v/>
      </c>
      <c r="AA146">
        <f>HYPERLINK("https://klasma.github.io/Logging_0482/klagomål/A 46115-2023 FSC-klagomål.docx", "A 46115-2023")</f>
        <v/>
      </c>
      <c r="AB146">
        <f>HYPERLINK("https://klasma.github.io/Logging_0482/klagomålsmail/A 46115-2023 FSC-klagomål mail.docx", "A 46115-2023")</f>
        <v/>
      </c>
      <c r="AC146">
        <f>HYPERLINK("https://klasma.github.io/Logging_0482/tillsyn/A 46115-2023 tillsynsbegäran.docx", "A 46115-2023")</f>
        <v/>
      </c>
      <c r="AD146">
        <f>HYPERLINK("https://klasma.github.io/Logging_0482/tillsynsmail/A 46115-2023 tillsynsbegäran mail.docx", "A 46115-2023")</f>
        <v/>
      </c>
    </row>
    <row r="147" ht="15" customHeight="1">
      <c r="A147" t="inlineStr">
        <is>
          <t>A 56308-2024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46259</v>
      </c>
      <c r="F147" t="inlineStr">
        <is>
          <t>SÖDERMANLANDS LÄN</t>
        </is>
      </c>
      <c r="G147" t="inlineStr">
        <is>
          <t>FLEN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Gullklöver</t>
        </is>
      </c>
      <c r="W147">
        <f>HYPERLINK("https://klasma.github.io/Logging_0482/artfynd/A 56308-2024 artfynd.xlsx", "A 56308-2024")</f>
        <v/>
      </c>
      <c r="X147">
        <f>HYPERLINK("https://klasma.github.io/Logging_0482/kartor/A 56308-2024 karta.png", "A 56308-2024")</f>
        <v/>
      </c>
      <c r="Y147">
        <f>HYPERLINK("https://klasma.github.io/Logging_0482/kartor_geotiff/A 56308-2024 georefererad karta.tif", "A 56308-2024")</f>
        <v/>
      </c>
      <c r="AA147">
        <f>HYPERLINK("https://klasma.github.io/Logging_0482/klagomål/A 56308-2024 FSC-klagomål.docx", "A 56308-2024")</f>
        <v/>
      </c>
      <c r="AB147">
        <f>HYPERLINK("https://klasma.github.io/Logging_0482/klagomålsmail/A 56308-2024 FSC-klagomål mail.docx", "A 56308-2024")</f>
        <v/>
      </c>
      <c r="AC147">
        <f>HYPERLINK("https://klasma.github.io/Logging_0482/tillsyn/A 56308-2024 tillsynsbegäran.docx", "A 56308-2024")</f>
        <v/>
      </c>
      <c r="AD147">
        <f>HYPERLINK("https://klasma.github.io/Logging_0482/tillsynsmail/A 56308-2024 tillsynsbegäran mail.docx", "A 56308-2024")</f>
        <v/>
      </c>
    </row>
    <row r="148" ht="15" customHeight="1">
      <c r="A148" t="inlineStr">
        <is>
          <t>A 6714-2026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46056</v>
      </c>
      <c r="E148" s="1" t="n">
        <v>46259</v>
      </c>
      <c r="F148" t="inlineStr">
        <is>
          <t>SÖDERMANLANDS LÄN</t>
        </is>
      </c>
      <c r="G148" t="inlineStr">
        <is>
          <t>FLEN</t>
        </is>
      </c>
      <c r="I148" t="n">
        <v>4.6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Svinrot</t>
        </is>
      </c>
      <c r="W148">
        <f>HYPERLINK("https://klasma.github.io/Logging_0482/artfynd/A 6714-2026 artfynd.xlsx", "A 6714-2026")</f>
        <v/>
      </c>
      <c r="X148">
        <f>HYPERLINK("https://klasma.github.io/Logging_0482/kartor/A 6714-2026 karta.png", "A 6714-2026")</f>
        <v/>
      </c>
      <c r="Y148">
        <f>HYPERLINK("https://klasma.github.io/Logging_0482/kartor_geotiff/A 6714-2026 georefererad karta.tif", "A 6714-2026")</f>
        <v/>
      </c>
      <c r="AA148">
        <f>HYPERLINK("https://klasma.github.io/Logging_0482/klagomål/A 6714-2026 FSC-klagomål.docx", "A 6714-2026")</f>
        <v/>
      </c>
      <c r="AB148">
        <f>HYPERLINK("https://klasma.github.io/Logging_0482/klagomålsmail/A 6714-2026 FSC-klagomål mail.docx", "A 6714-2026")</f>
        <v/>
      </c>
      <c r="AC148">
        <f>HYPERLINK("https://klasma.github.io/Logging_0482/tillsyn/A 6714-2026 tillsynsbegäran.docx", "A 6714-2026")</f>
        <v/>
      </c>
      <c r="AD148">
        <f>HYPERLINK("https://klasma.github.io/Logging_0482/tillsynsmail/A 6714-2026 tillsynsbegäran mail.docx", "A 6714-2026")</f>
        <v/>
      </c>
    </row>
    <row r="149" ht="15" customHeight="1">
      <c r="A149" t="inlineStr">
        <is>
          <t>A 9446-2026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46071</v>
      </c>
      <c r="E149" s="1" t="n">
        <v>46259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0.8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Blåsippa</t>
        </is>
      </c>
      <c r="W149">
        <f>HYPERLINK("https://klasma.github.io/Logging_0482/artfynd/A 9446-2026 artfynd.xlsx", "A 9446-2026")</f>
        <v/>
      </c>
      <c r="X149">
        <f>HYPERLINK("https://klasma.github.io/Logging_0482/kartor/A 9446-2026 karta.png", "A 9446-2026")</f>
        <v/>
      </c>
      <c r="Y149">
        <f>HYPERLINK("https://klasma.github.io/Logging_0482/kartor_geotiff/A 9446-2026 georefererad karta.tif", "A 9446-2026")</f>
        <v/>
      </c>
      <c r="AA149">
        <f>HYPERLINK("https://klasma.github.io/Logging_0482/klagomål/A 9446-2026 FSC-klagomål.docx", "A 9446-2026")</f>
        <v/>
      </c>
      <c r="AB149">
        <f>HYPERLINK("https://klasma.github.io/Logging_0482/klagomålsmail/A 9446-2026 FSC-klagomål mail.docx", "A 9446-2026")</f>
        <v/>
      </c>
      <c r="AC149">
        <f>HYPERLINK("https://klasma.github.io/Logging_0482/tillsyn/A 9446-2026 tillsynsbegäran.docx", "A 9446-2026")</f>
        <v/>
      </c>
      <c r="AD149">
        <f>HYPERLINK("https://klasma.github.io/Logging_0482/tillsynsmail/A 9446-2026 tillsynsbegäran mail.docx", "A 9446-2026")</f>
        <v/>
      </c>
    </row>
    <row r="150" ht="15" customHeight="1">
      <c r="A150" t="inlineStr">
        <is>
          <t>A 10999-2026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46259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3.6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Blåsippa</t>
        </is>
      </c>
      <c r="W150">
        <f>HYPERLINK("https://klasma.github.io/Logging_0482/artfynd/A 10999-2026 artfynd.xlsx", "A 10999-2026")</f>
        <v/>
      </c>
      <c r="X150">
        <f>HYPERLINK("https://klasma.github.io/Logging_0482/kartor/A 10999-2026 karta.png", "A 10999-2026")</f>
        <v/>
      </c>
      <c r="Y150">
        <f>HYPERLINK("https://klasma.github.io/Logging_0482/kartor_geotiff/A 10999-2026 georefererad karta.tif", "A 10999-2026")</f>
        <v/>
      </c>
      <c r="AA150">
        <f>HYPERLINK("https://klasma.github.io/Logging_0482/klagomål/A 10999-2026 FSC-klagomål.docx", "A 10999-2026")</f>
        <v/>
      </c>
      <c r="AB150">
        <f>HYPERLINK("https://klasma.github.io/Logging_0482/klagomålsmail/A 10999-2026 FSC-klagomål mail.docx", "A 10999-2026")</f>
        <v/>
      </c>
      <c r="AC150">
        <f>HYPERLINK("https://klasma.github.io/Logging_0482/tillsyn/A 10999-2026 tillsynsbegäran.docx", "A 10999-2026")</f>
        <v/>
      </c>
      <c r="AD150">
        <f>HYPERLINK("https://klasma.github.io/Logging_0482/tillsynsmail/A 10999-2026 tillsynsbegäran mail.docx", "A 10999-2026")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46259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46259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46259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46259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46259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46259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46259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46259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46259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46259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46259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46259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46259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46259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46259</v>
      </c>
      <c r="F165" t="inlineStr">
        <is>
          <t>SÖDERMANLANDS LÄN</t>
        </is>
      </c>
      <c r="G165" t="inlineStr">
        <is>
          <t>FLEN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46259</v>
      </c>
      <c r="F166" t="inlineStr">
        <is>
          <t>SÖDERMANLANDS LÄN</t>
        </is>
      </c>
      <c r="G166" t="inlineStr">
        <is>
          <t>FLEN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46259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46259</v>
      </c>
      <c r="F168" t="inlineStr">
        <is>
          <t>SÖDERMANLANDS LÄN</t>
        </is>
      </c>
      <c r="G168" t="inlineStr">
        <is>
          <t>FLEN</t>
        </is>
      </c>
      <c r="H168" t="inlineStr">
        <is>
          <t>Holmen skog AB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46259</v>
      </c>
      <c r="F169" t="inlineStr">
        <is>
          <t>SÖDERMANLANDS LÄN</t>
        </is>
      </c>
      <c r="G169" t="inlineStr">
        <is>
          <t>FLEN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44579</v>
      </c>
      <c r="E170" s="1" t="n">
        <v>46259</v>
      </c>
      <c r="F170" t="inlineStr">
        <is>
          <t>SÖDERMANLANDS LÄN</t>
        </is>
      </c>
      <c r="G170" t="inlineStr">
        <is>
          <t>FLEN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46259</v>
      </c>
      <c r="F171" t="inlineStr">
        <is>
          <t>SÖDERMANLANDS LÄN</t>
        </is>
      </c>
      <c r="G171" t="inlineStr">
        <is>
          <t>FLEN</t>
        </is>
      </c>
      <c r="I171" t="n">
        <v>14.7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44807</v>
      </c>
      <c r="E172" s="1" t="n">
        <v>46259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46259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46259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46259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46259</v>
      </c>
      <c r="F176" t="inlineStr">
        <is>
          <t>SÖDERMANLANDS LÄN</t>
        </is>
      </c>
      <c r="G176" t="inlineStr">
        <is>
          <t>FLEN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46259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46259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46259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44770</v>
      </c>
      <c r="E180" s="1" t="n">
        <v>46259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44640</v>
      </c>
      <c r="E181" s="1" t="n">
        <v>46259</v>
      </c>
      <c r="F181" t="inlineStr">
        <is>
          <t>SÖDERMANLANDS LÄN</t>
        </is>
      </c>
      <c r="G181" t="inlineStr">
        <is>
          <t>FLEN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46259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46259</v>
      </c>
      <c r="F183" t="inlineStr">
        <is>
          <t>SÖDERMANLANDS LÄN</t>
        </is>
      </c>
      <c r="G183" t="inlineStr">
        <is>
          <t>FLEN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46259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44643</v>
      </c>
      <c r="E185" s="1" t="n">
        <v>46259</v>
      </c>
      <c r="F185" t="inlineStr">
        <is>
          <t>SÖDERMANLANDS LÄN</t>
        </is>
      </c>
      <c r="G185" t="inlineStr">
        <is>
          <t>FLEN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46259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46259</v>
      </c>
      <c r="F187" t="inlineStr">
        <is>
          <t>SÖDERMANLANDS LÄN</t>
        </is>
      </c>
      <c r="G187" t="inlineStr">
        <is>
          <t>FLEN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46259</v>
      </c>
      <c r="F188" t="inlineStr">
        <is>
          <t>SÖDERMANLANDS LÄN</t>
        </is>
      </c>
      <c r="G188" t="inlineStr">
        <is>
          <t>FLEN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46259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46259</v>
      </c>
      <c r="F190" t="inlineStr">
        <is>
          <t>SÖDERMANLANDS LÄN</t>
        </is>
      </c>
      <c r="G190" t="inlineStr">
        <is>
          <t>FLEN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44854</v>
      </c>
      <c r="E191" s="1" t="n">
        <v>46259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46259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44450</v>
      </c>
      <c r="E193" s="1" t="n">
        <v>46259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46259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46259</v>
      </c>
      <c r="F195" t="inlineStr">
        <is>
          <t>SÖDERMANLANDS LÄN</t>
        </is>
      </c>
      <c r="G195" t="inlineStr">
        <is>
          <t>FLEN</t>
        </is>
      </c>
      <c r="H195" t="inlineStr">
        <is>
          <t>Övriga statliga verk och myndigheter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46259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44610</v>
      </c>
      <c r="E197" s="1" t="n">
        <v>46259</v>
      </c>
      <c r="F197" t="inlineStr">
        <is>
          <t>SÖDERMANLANDS LÄN</t>
        </is>
      </c>
      <c r="G197" t="inlineStr">
        <is>
          <t>FLEN</t>
        </is>
      </c>
      <c r="H197" t="inlineStr">
        <is>
          <t>Övriga statliga verk och myndigheter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46259</v>
      </c>
      <c r="F198" t="inlineStr">
        <is>
          <t>SÖDERMANLANDS LÄN</t>
        </is>
      </c>
      <c r="G198" t="inlineStr">
        <is>
          <t>FLEN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46259</v>
      </c>
      <c r="F199" t="inlineStr">
        <is>
          <t>SÖDERMANLANDS LÄN</t>
        </is>
      </c>
      <c r="G199" t="inlineStr">
        <is>
          <t>FLEN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45048</v>
      </c>
      <c r="E200" s="1" t="n">
        <v>46259</v>
      </c>
      <c r="F200" t="inlineStr">
        <is>
          <t>SÖDERMANLANDS LÄN</t>
        </is>
      </c>
      <c r="G200" t="inlineStr">
        <is>
          <t>FLEN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44643</v>
      </c>
      <c r="E201" s="1" t="n">
        <v>46259</v>
      </c>
      <c r="F201" t="inlineStr">
        <is>
          <t>SÖDERMANLANDS LÄN</t>
        </is>
      </c>
      <c r="G201" t="inlineStr">
        <is>
          <t>FLEN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46259</v>
      </c>
      <c r="F202" t="inlineStr">
        <is>
          <t>SÖDERMANLANDS LÄN</t>
        </is>
      </c>
      <c r="G202" t="inlineStr">
        <is>
          <t>FLEN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46259</v>
      </c>
      <c r="F203" t="inlineStr">
        <is>
          <t>SÖDERMANLANDS LÄN</t>
        </is>
      </c>
      <c r="G203" t="inlineStr">
        <is>
          <t>FLEN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45345</v>
      </c>
      <c r="E204" s="1" t="n">
        <v>46259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44448</v>
      </c>
      <c r="E205" s="1" t="n">
        <v>46259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46259</v>
      </c>
      <c r="F206" t="inlineStr">
        <is>
          <t>SÖDERMANLANDS LÄN</t>
        </is>
      </c>
      <c r="G206" t="inlineStr">
        <is>
          <t>FLEN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44909</v>
      </c>
      <c r="E207" s="1" t="n">
        <v>46259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46259</v>
      </c>
      <c r="F208" t="inlineStr">
        <is>
          <t>SÖDERMANLANDS LÄN</t>
        </is>
      </c>
      <c r="G208" t="inlineStr">
        <is>
          <t>FLEN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44705</v>
      </c>
      <c r="E209" s="1" t="n">
        <v>46259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46259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44818</v>
      </c>
      <c r="E211" s="1" t="n">
        <v>46259</v>
      </c>
      <c r="F211" t="inlineStr">
        <is>
          <t>SÖDERMANLANDS LÄN</t>
        </is>
      </c>
      <c r="G211" t="inlineStr">
        <is>
          <t>FLEN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46259</v>
      </c>
      <c r="F212" t="inlineStr">
        <is>
          <t>SÖDERMANLANDS LÄN</t>
        </is>
      </c>
      <c r="G212" t="inlineStr">
        <is>
          <t>FLEN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45468-2021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44440</v>
      </c>
      <c r="E213" s="1" t="n">
        <v>46259</v>
      </c>
      <c r="F213" t="inlineStr">
        <is>
          <t>SÖDERMANLANDS LÄN</t>
        </is>
      </c>
      <c r="G213" t="inlineStr">
        <is>
          <t>FLEN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46259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46259</v>
      </c>
      <c r="F215" t="inlineStr">
        <is>
          <t>SÖDERMANLANDS LÄN</t>
        </is>
      </c>
      <c r="G215" t="inlineStr">
        <is>
          <t>FLEN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46259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43640-2021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46259</v>
      </c>
      <c r="F217" t="inlineStr">
        <is>
          <t>SÖDERMANLANDS LÄN</t>
        </is>
      </c>
      <c r="G217" t="inlineStr">
        <is>
          <t>FLEN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44752</v>
      </c>
      <c r="E218" s="1" t="n">
        <v>46259</v>
      </c>
      <c r="F218" t="inlineStr">
        <is>
          <t>SÖDERMANLANDS LÄN</t>
        </is>
      </c>
      <c r="G218" t="inlineStr">
        <is>
          <t>FLEN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46259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45230</v>
      </c>
      <c r="E220" s="1" t="n">
        <v>46259</v>
      </c>
      <c r="F220" t="inlineStr">
        <is>
          <t>SÖDERMANLANDS LÄN</t>
        </is>
      </c>
      <c r="G220" t="inlineStr">
        <is>
          <t>FLEN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45311</v>
      </c>
      <c r="E221" s="1" t="n">
        <v>46259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46259</v>
      </c>
      <c r="F222" t="inlineStr">
        <is>
          <t>SÖDERMANLANDS LÄN</t>
        </is>
      </c>
      <c r="G222" t="inlineStr">
        <is>
          <t>FLEN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46259</v>
      </c>
      <c r="F223" t="inlineStr">
        <is>
          <t>SÖDERMANLANDS LÄN</t>
        </is>
      </c>
      <c r="G223" t="inlineStr">
        <is>
          <t>FLEN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47187-2022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44848</v>
      </c>
      <c r="E224" s="1" t="n">
        <v>46259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46259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44741</v>
      </c>
      <c r="E226" s="1" t="n">
        <v>46259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45228</v>
      </c>
      <c r="E227" s="1" t="n">
        <v>46259</v>
      </c>
      <c r="F227" t="inlineStr">
        <is>
          <t>SÖDERMANLANDS LÄN</t>
        </is>
      </c>
      <c r="G227" t="inlineStr">
        <is>
          <t>FLEN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46259</v>
      </c>
      <c r="F228" t="inlineStr">
        <is>
          <t>SÖDERMANLANDS LÄN</t>
        </is>
      </c>
      <c r="G228" t="inlineStr">
        <is>
          <t>FLEN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44862</v>
      </c>
      <c r="E229" s="1" t="n">
        <v>46259</v>
      </c>
      <c r="F229" t="inlineStr">
        <is>
          <t>SÖDERMANLANDS LÄN</t>
        </is>
      </c>
      <c r="G229" t="inlineStr">
        <is>
          <t>FLEN</t>
        </is>
      </c>
      <c r="H229" t="inlineStr">
        <is>
          <t>Kyrkan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44566</v>
      </c>
      <c r="E230" s="1" t="n">
        <v>46259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46259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44864</v>
      </c>
      <c r="E232" s="1" t="n">
        <v>46259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50796-2021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44459</v>
      </c>
      <c r="E233" s="1" t="n">
        <v>46259</v>
      </c>
      <c r="F233" t="inlineStr">
        <is>
          <t>SÖDERMANLANDS LÄN</t>
        </is>
      </c>
      <c r="G233" t="inlineStr">
        <is>
          <t>FLEN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45216</v>
      </c>
      <c r="E234" s="1" t="n">
        <v>46259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45555</v>
      </c>
      <c r="E235" s="1" t="n">
        <v>46259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45222</v>
      </c>
      <c r="E236" s="1" t="n">
        <v>46259</v>
      </c>
      <c r="F236" t="inlineStr">
        <is>
          <t>SÖDERMANLANDS LÄN</t>
        </is>
      </c>
      <c r="G236" t="inlineStr">
        <is>
          <t>FLEN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46259</v>
      </c>
      <c r="F237" t="inlineStr">
        <is>
          <t>SÖDERMANLANDS LÄN</t>
        </is>
      </c>
      <c r="G237" t="inlineStr">
        <is>
          <t>FLEN</t>
        </is>
      </c>
      <c r="H237" t="inlineStr">
        <is>
          <t>Övriga statliga verk och myndigheter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52692-2021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44466</v>
      </c>
      <c r="E238" s="1" t="n">
        <v>46259</v>
      </c>
      <c r="F238" t="inlineStr">
        <is>
          <t>SÖDERMANLANDS LÄN</t>
        </is>
      </c>
      <c r="G238" t="inlineStr">
        <is>
          <t>FLEN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46259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45830</v>
      </c>
      <c r="E240" s="1" t="n">
        <v>46259</v>
      </c>
      <c r="F240" t="inlineStr">
        <is>
          <t>SÖDERMANLANDS LÄN</t>
        </is>
      </c>
      <c r="G240" t="inlineStr">
        <is>
          <t>FLEN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45830</v>
      </c>
      <c r="E241" s="1" t="n">
        <v>46259</v>
      </c>
      <c r="F241" t="inlineStr">
        <is>
          <t>SÖDERMANLANDS LÄN</t>
        </is>
      </c>
      <c r="G241" t="inlineStr">
        <is>
          <t>FLEN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46259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58926-2023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46259</v>
      </c>
      <c r="F243" t="inlineStr">
        <is>
          <t>SÖDERMANLANDS LÄN</t>
        </is>
      </c>
      <c r="G243" t="inlineStr">
        <is>
          <t>FLEN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46259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45260</v>
      </c>
      <c r="E245" s="1" t="n">
        <v>46259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46259</v>
      </c>
      <c r="F246" t="inlineStr">
        <is>
          <t>SÖDERMANLANDS LÄN</t>
        </is>
      </c>
      <c r="G246" t="inlineStr">
        <is>
          <t>FLEN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46259</v>
      </c>
      <c r="F247" t="inlineStr">
        <is>
          <t>SÖDERMANLANDS LÄN</t>
        </is>
      </c>
      <c r="G247" t="inlineStr">
        <is>
          <t>FLEN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46259</v>
      </c>
      <c r="F248" t="inlineStr">
        <is>
          <t>SÖDERMANLANDS LÄN</t>
        </is>
      </c>
      <c r="G248" t="inlineStr">
        <is>
          <t>FLEN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46259</v>
      </c>
      <c r="F249" t="inlineStr">
        <is>
          <t>SÖDERMANLANDS LÄN</t>
        </is>
      </c>
      <c r="G249" t="inlineStr">
        <is>
          <t>FLEN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46259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44796</v>
      </c>
      <c r="E251" s="1" t="n">
        <v>46259</v>
      </c>
      <c r="F251" t="inlineStr">
        <is>
          <t>SÖDERMANLANDS LÄN</t>
        </is>
      </c>
      <c r="G251" t="inlineStr">
        <is>
          <t>FLEN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46259</v>
      </c>
      <c r="F252" t="inlineStr">
        <is>
          <t>SÖDERMANLANDS LÄN</t>
        </is>
      </c>
      <c r="G252" t="inlineStr">
        <is>
          <t>FLEN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46259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46259</v>
      </c>
      <c r="F254" t="inlineStr">
        <is>
          <t>SÖDERMANLANDS LÄN</t>
        </is>
      </c>
      <c r="G254" t="inlineStr">
        <is>
          <t>FLEN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45081</v>
      </c>
      <c r="E255" s="1" t="n">
        <v>46259</v>
      </c>
      <c r="F255" t="inlineStr">
        <is>
          <t>SÖDERMANLANDS LÄN</t>
        </is>
      </c>
      <c r="G255" t="inlineStr">
        <is>
          <t>FLEN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45081</v>
      </c>
      <c r="E256" s="1" t="n">
        <v>46259</v>
      </c>
      <c r="F256" t="inlineStr">
        <is>
          <t>SÖDERMANLANDS LÄN</t>
        </is>
      </c>
      <c r="G256" t="inlineStr">
        <is>
          <t>FLEN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46259</v>
      </c>
      <c r="F257" t="inlineStr">
        <is>
          <t>SÖDERMANLANDS LÄN</t>
        </is>
      </c>
      <c r="G257" t="inlineStr">
        <is>
          <t>FLEN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46259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46259</v>
      </c>
      <c r="F259" t="inlineStr">
        <is>
          <t>SÖDERMANLANDS LÄN</t>
        </is>
      </c>
      <c r="G259" t="inlineStr">
        <is>
          <t>FLEN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46259</v>
      </c>
      <c r="F260" t="inlineStr">
        <is>
          <t>SÖDERMANLANDS LÄN</t>
        </is>
      </c>
      <c r="G260" t="inlineStr">
        <is>
          <t>FLEN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45702</v>
      </c>
      <c r="E261" s="1" t="n">
        <v>46259</v>
      </c>
      <c r="F261" t="inlineStr">
        <is>
          <t>SÖDERMANLANDS LÄN</t>
        </is>
      </c>
      <c r="G261" t="inlineStr">
        <is>
          <t>FLEN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46259</v>
      </c>
      <c r="F262" t="inlineStr">
        <is>
          <t>SÖDERMANLANDS LÄN</t>
        </is>
      </c>
      <c r="G262" t="inlineStr">
        <is>
          <t>FLEN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46259</v>
      </c>
      <c r="F263" t="inlineStr">
        <is>
          <t>SÖDERMANLANDS LÄN</t>
        </is>
      </c>
      <c r="G263" t="inlineStr">
        <is>
          <t>FLEN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73923-2021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44553</v>
      </c>
      <c r="E264" s="1" t="n">
        <v>46259</v>
      </c>
      <c r="F264" t="inlineStr">
        <is>
          <t>SÖDERMANLANDS LÄN</t>
        </is>
      </c>
      <c r="G264" t="inlineStr">
        <is>
          <t>FLEN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65869-2021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44517</v>
      </c>
      <c r="E265" s="1" t="n">
        <v>46259</v>
      </c>
      <c r="F265" t="inlineStr">
        <is>
          <t>SÖDERMANLANDS LÄN</t>
        </is>
      </c>
      <c r="G265" t="inlineStr">
        <is>
          <t>FLEN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46259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46259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45256</v>
      </c>
      <c r="E268" s="1" t="n">
        <v>46259</v>
      </c>
      <c r="F268" t="inlineStr">
        <is>
          <t>SÖDERMANLANDS LÄN</t>
        </is>
      </c>
      <c r="G268" t="inlineStr">
        <is>
          <t>FLEN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46259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44899</v>
      </c>
      <c r="E270" s="1" t="n">
        <v>46259</v>
      </c>
      <c r="F270" t="inlineStr">
        <is>
          <t>SÖDERMANLANDS LÄN</t>
        </is>
      </c>
      <c r="G270" t="inlineStr">
        <is>
          <t>FLEN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46259</v>
      </c>
      <c r="F271" t="inlineStr">
        <is>
          <t>SÖDERMANLANDS LÄN</t>
        </is>
      </c>
      <c r="G271" t="inlineStr">
        <is>
          <t>FLEN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46259</v>
      </c>
      <c r="F272" t="inlineStr">
        <is>
          <t>SÖDERMANLANDS LÄN</t>
        </is>
      </c>
      <c r="G272" t="inlineStr">
        <is>
          <t>FLEN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46259</v>
      </c>
      <c r="F273" t="inlineStr">
        <is>
          <t>SÖDERMANLANDS LÄN</t>
        </is>
      </c>
      <c r="G273" t="inlineStr">
        <is>
          <t>FLEN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46259</v>
      </c>
      <c r="F274" t="inlineStr">
        <is>
          <t>SÖDERMANLANDS LÄN</t>
        </is>
      </c>
      <c r="G274" t="inlineStr">
        <is>
          <t>FLEN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54666-2021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44473</v>
      </c>
      <c r="E275" s="1" t="n">
        <v>46259</v>
      </c>
      <c r="F275" t="inlineStr">
        <is>
          <t>SÖDERMANLANDS LÄN</t>
        </is>
      </c>
      <c r="G275" t="inlineStr">
        <is>
          <t>FLEN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44991</v>
      </c>
      <c r="E276" s="1" t="n">
        <v>46259</v>
      </c>
      <c r="F276" t="inlineStr">
        <is>
          <t>SÖDERMANLANDS LÄN</t>
        </is>
      </c>
      <c r="G276" t="inlineStr">
        <is>
          <t>FLEN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46259</v>
      </c>
      <c r="F277" t="inlineStr">
        <is>
          <t>SÖDERMANLANDS LÄN</t>
        </is>
      </c>
      <c r="G277" t="inlineStr">
        <is>
          <t>FLEN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44887</v>
      </c>
      <c r="E278" s="1" t="n">
        <v>46259</v>
      </c>
      <c r="F278" t="inlineStr">
        <is>
          <t>SÖDERMANLANDS LÄN</t>
        </is>
      </c>
      <c r="G278" t="inlineStr">
        <is>
          <t>FLEN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44957</v>
      </c>
      <c r="E279" s="1" t="n">
        <v>46259</v>
      </c>
      <c r="F279" t="inlineStr">
        <is>
          <t>SÖDERMANLANDS LÄN</t>
        </is>
      </c>
      <c r="G279" t="inlineStr">
        <is>
          <t>FLEN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44614</v>
      </c>
      <c r="E280" s="1" t="n">
        <v>46259</v>
      </c>
      <c r="F280" t="inlineStr">
        <is>
          <t>SÖDERMANLANDS LÄN</t>
        </is>
      </c>
      <c r="G280" t="inlineStr">
        <is>
          <t>FLEN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46259</v>
      </c>
      <c r="F281" t="inlineStr">
        <is>
          <t>SÖDERMANLANDS LÄN</t>
        </is>
      </c>
      <c r="G281" t="inlineStr">
        <is>
          <t>FLEN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46259</v>
      </c>
      <c r="F282" t="inlineStr">
        <is>
          <t>SÖDERMANLANDS LÄN</t>
        </is>
      </c>
      <c r="G282" t="inlineStr">
        <is>
          <t>FLEN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45528</v>
      </c>
      <c r="E283" s="1" t="n">
        <v>46259</v>
      </c>
      <c r="F283" t="inlineStr">
        <is>
          <t>SÖDERMANLANDS LÄN</t>
        </is>
      </c>
      <c r="G283" t="inlineStr">
        <is>
          <t>FLEN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72314-2021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44544</v>
      </c>
      <c r="E284" s="1" t="n">
        <v>46259</v>
      </c>
      <c r="F284" t="inlineStr">
        <is>
          <t>SÖDERMANLANDS LÄN</t>
        </is>
      </c>
      <c r="G284" t="inlineStr">
        <is>
          <t>FLEN</t>
        </is>
      </c>
      <c r="I284" t="n">
        <v>13.8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46259</v>
      </c>
      <c r="F285" t="inlineStr">
        <is>
          <t>SÖDERMANLANDS LÄN</t>
        </is>
      </c>
      <c r="G285" t="inlineStr">
        <is>
          <t>FLEN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46259</v>
      </c>
      <c r="F286" t="inlineStr">
        <is>
          <t>SÖDERMANLANDS LÄN</t>
        </is>
      </c>
      <c r="G286" t="inlineStr">
        <is>
          <t>FLEN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66979-2021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44522</v>
      </c>
      <c r="E287" s="1" t="n">
        <v>46259</v>
      </c>
      <c r="F287" t="inlineStr">
        <is>
          <t>SÖDERMANLANDS LÄN</t>
        </is>
      </c>
      <c r="G287" t="inlineStr">
        <is>
          <t>FLEN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45175</v>
      </c>
      <c r="E288" s="1" t="n">
        <v>46259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46259</v>
      </c>
      <c r="F289" t="inlineStr">
        <is>
          <t>SÖDERMANLANDS LÄN</t>
        </is>
      </c>
      <c r="G289" t="inlineStr">
        <is>
          <t>FLEN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46259</v>
      </c>
      <c r="F290" t="inlineStr">
        <is>
          <t>SÖDERMANLANDS LÄN</t>
        </is>
      </c>
      <c r="G290" t="inlineStr">
        <is>
          <t>FLEN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46259</v>
      </c>
      <c r="F291" t="inlineStr">
        <is>
          <t>SÖDERMANLANDS LÄN</t>
        </is>
      </c>
      <c r="G291" t="inlineStr">
        <is>
          <t>FLEN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12172-2022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46259</v>
      </c>
      <c r="F292" t="inlineStr">
        <is>
          <t>SÖDERMANLANDS LÄN</t>
        </is>
      </c>
      <c r="G292" t="inlineStr">
        <is>
          <t>FLEN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60255-2021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44495</v>
      </c>
      <c r="E293" s="1" t="n">
        <v>46259</v>
      </c>
      <c r="F293" t="inlineStr">
        <is>
          <t>SÖDERMANLANDS LÄN</t>
        </is>
      </c>
      <c r="G293" t="inlineStr">
        <is>
          <t>FLEN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46259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64480-2023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46259</v>
      </c>
      <c r="F295" t="inlineStr">
        <is>
          <t>SÖDERMANLANDS LÄN</t>
        </is>
      </c>
      <c r="G295" t="inlineStr">
        <is>
          <t>FLEN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46259</v>
      </c>
      <c r="F296" t="inlineStr">
        <is>
          <t>SÖDERMANLANDS LÄN</t>
        </is>
      </c>
      <c r="G296" t="inlineStr">
        <is>
          <t>FLEN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45161</v>
      </c>
      <c r="E297" s="1" t="n">
        <v>46259</v>
      </c>
      <c r="F297" t="inlineStr">
        <is>
          <t>SÖDERMANLANDS LÄN</t>
        </is>
      </c>
      <c r="G297" t="inlineStr">
        <is>
          <t>FLEN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46259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46259</v>
      </c>
      <c r="F299" t="inlineStr">
        <is>
          <t>SÖDERMANLANDS LÄN</t>
        </is>
      </c>
      <c r="G299" t="inlineStr">
        <is>
          <t>FLEN</t>
        </is>
      </c>
      <c r="H299" t="inlineStr">
        <is>
          <t>Övriga statliga verk och myndigheter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46259</v>
      </c>
      <c r="F300" t="inlineStr">
        <is>
          <t>SÖDERMANLANDS LÄN</t>
        </is>
      </c>
      <c r="G300" t="inlineStr">
        <is>
          <t>FLEN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46259</v>
      </c>
      <c r="F301" t="inlineStr">
        <is>
          <t>SÖDERMANLANDS LÄN</t>
        </is>
      </c>
      <c r="G301" t="inlineStr">
        <is>
          <t>FLEN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44616</v>
      </c>
      <c r="E302" s="1" t="n">
        <v>46259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45014</v>
      </c>
      <c r="E303" s="1" t="n">
        <v>46259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44588</v>
      </c>
      <c r="E304" s="1" t="n">
        <v>46259</v>
      </c>
      <c r="F304" t="inlineStr">
        <is>
          <t>SÖDERMANLANDS LÄN</t>
        </is>
      </c>
      <c r="G304" t="inlineStr">
        <is>
          <t>FLEN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44838</v>
      </c>
      <c r="E305" s="1" t="n">
        <v>46259</v>
      </c>
      <c r="F305" t="inlineStr">
        <is>
          <t>SÖDERMANLANDS LÄN</t>
        </is>
      </c>
      <c r="G305" t="inlineStr">
        <is>
          <t>FLEN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4899-2023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44958</v>
      </c>
      <c r="E306" s="1" t="n">
        <v>46259</v>
      </c>
      <c r="F306" t="inlineStr">
        <is>
          <t>SÖDERMANLANDS LÄN</t>
        </is>
      </c>
      <c r="G306" t="inlineStr">
        <is>
          <t>FLEN</t>
        </is>
      </c>
      <c r="H306" t="inlineStr">
        <is>
          <t>Kyrkan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44610</v>
      </c>
      <c r="E307" s="1" t="n">
        <v>46259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44602</v>
      </c>
      <c r="E308" s="1" t="n">
        <v>46259</v>
      </c>
      <c r="F308" t="inlineStr">
        <is>
          <t>SÖDERMANLANDS LÄN</t>
        </is>
      </c>
      <c r="G308" t="inlineStr">
        <is>
          <t>FLEN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45226</v>
      </c>
      <c r="E309" s="1" t="n">
        <v>46259</v>
      </c>
      <c r="F309" t="inlineStr">
        <is>
          <t>SÖDERMANLANDS LÄN</t>
        </is>
      </c>
      <c r="G309" t="inlineStr">
        <is>
          <t>FLEN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45114</v>
      </c>
      <c r="E310" s="1" t="n">
        <v>46259</v>
      </c>
      <c r="F310" t="inlineStr">
        <is>
          <t>SÖDERMANLANDS LÄN</t>
        </is>
      </c>
      <c r="G310" t="inlineStr">
        <is>
          <t>FLEN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46259</v>
      </c>
      <c r="F311" t="inlineStr">
        <is>
          <t>SÖDERMANLANDS LÄN</t>
        </is>
      </c>
      <c r="G311" t="inlineStr">
        <is>
          <t>FLEN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46259</v>
      </c>
      <c r="F312" t="inlineStr">
        <is>
          <t>SÖDERMANLANDS LÄN</t>
        </is>
      </c>
      <c r="G312" t="inlineStr">
        <is>
          <t>FLEN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46259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46259</v>
      </c>
      <c r="F314" t="inlineStr">
        <is>
          <t>SÖDERMANLANDS LÄN</t>
        </is>
      </c>
      <c r="G314" t="inlineStr">
        <is>
          <t>FLEN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46259</v>
      </c>
      <c r="F315" t="inlineStr">
        <is>
          <t>SÖDERMANLANDS LÄN</t>
        </is>
      </c>
      <c r="G315" t="inlineStr">
        <is>
          <t>FLEN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46259</v>
      </c>
      <c r="F316" t="inlineStr">
        <is>
          <t>SÖDERMANLANDS LÄN</t>
        </is>
      </c>
      <c r="G316" t="inlineStr">
        <is>
          <t>FLEN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39226-2023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45166</v>
      </c>
      <c r="E317" s="1" t="n">
        <v>46259</v>
      </c>
      <c r="F317" t="inlineStr">
        <is>
          <t>SÖDERMANLANDS LÄN</t>
        </is>
      </c>
      <c r="G317" t="inlineStr">
        <is>
          <t>FLEN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44979</v>
      </c>
      <c r="E318" s="1" t="n">
        <v>46259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46259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46126</v>
      </c>
      <c r="E320" s="1" t="n">
        <v>46259</v>
      </c>
      <c r="F320" t="inlineStr">
        <is>
          <t>SÖDERMANLANDS LÄN</t>
        </is>
      </c>
      <c r="G320" t="inlineStr">
        <is>
          <t>FLEN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46129</v>
      </c>
      <c r="E321" s="1" t="n">
        <v>46259</v>
      </c>
      <c r="F321" t="inlineStr">
        <is>
          <t>SÖDERMANLANDS LÄN</t>
        </is>
      </c>
      <c r="G321" t="inlineStr">
        <is>
          <t>FLEN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46132</v>
      </c>
      <c r="E322" s="1" t="n">
        <v>46259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44524</v>
      </c>
      <c r="E323" s="1" t="n">
        <v>46259</v>
      </c>
      <c r="F323" t="inlineStr">
        <is>
          <t>SÖDERMANLANDS LÄN</t>
        </is>
      </c>
      <c r="G323" t="inlineStr">
        <is>
          <t>FLEN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46259</v>
      </c>
      <c r="F324" t="inlineStr">
        <is>
          <t>SÖDERMANLANDS LÄN</t>
        </is>
      </c>
      <c r="G324" t="inlineStr">
        <is>
          <t>FLEN</t>
        </is>
      </c>
      <c r="H324" t="inlineStr">
        <is>
          <t>Övriga statliga verk och myndigheter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69588-2021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44531</v>
      </c>
      <c r="E325" s="1" t="n">
        <v>46259</v>
      </c>
      <c r="F325" t="inlineStr">
        <is>
          <t>SÖDERMANLANDS LÄN</t>
        </is>
      </c>
      <c r="G325" t="inlineStr">
        <is>
          <t>FLEN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46259</v>
      </c>
      <c r="F326" t="inlineStr">
        <is>
          <t>SÖDERMANLANDS LÄN</t>
        </is>
      </c>
      <c r="G326" t="inlineStr">
        <is>
          <t>FLEN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46259</v>
      </c>
      <c r="F327" t="inlineStr">
        <is>
          <t>SÖDERMANLANDS LÄN</t>
        </is>
      </c>
      <c r="G327" t="inlineStr">
        <is>
          <t>FLEN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46259</v>
      </c>
      <c r="F328" t="inlineStr">
        <is>
          <t>SÖDERMANLANDS LÄN</t>
        </is>
      </c>
      <c r="G328" t="inlineStr">
        <is>
          <t>FLEN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46259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46259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46259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45209</v>
      </c>
      <c r="E332" s="1" t="n">
        <v>46259</v>
      </c>
      <c r="F332" t="inlineStr">
        <is>
          <t>SÖDERMANLANDS LÄN</t>
        </is>
      </c>
      <c r="G332" t="inlineStr">
        <is>
          <t>FLEN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44986</v>
      </c>
      <c r="E333" s="1" t="n">
        <v>46259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46259</v>
      </c>
      <c r="F334" t="inlineStr">
        <is>
          <t>SÖDERMANLANDS LÄN</t>
        </is>
      </c>
      <c r="G334" t="inlineStr">
        <is>
          <t>FLEN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46259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46259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45789</v>
      </c>
      <c r="E337" s="1" t="n">
        <v>46259</v>
      </c>
      <c r="F337" t="inlineStr">
        <is>
          <t>SÖDERMANLANDS LÄN</t>
        </is>
      </c>
      <c r="G337" t="inlineStr">
        <is>
          <t>FLEN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44634</v>
      </c>
      <c r="E338" s="1" t="n">
        <v>46259</v>
      </c>
      <c r="F338" t="inlineStr">
        <is>
          <t>SÖDERMANLANDS LÄN</t>
        </is>
      </c>
      <c r="G338" t="inlineStr">
        <is>
          <t>FLEN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46259</v>
      </c>
      <c r="F339" t="inlineStr">
        <is>
          <t>SÖDERMANLANDS LÄN</t>
        </is>
      </c>
      <c r="G339" t="inlineStr">
        <is>
          <t>FLEN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45448</v>
      </c>
      <c r="E340" s="1" t="n">
        <v>46259</v>
      </c>
      <c r="F340" t="inlineStr">
        <is>
          <t>SÖDERMANLANDS LÄN</t>
        </is>
      </c>
      <c r="G340" t="inlineStr">
        <is>
          <t>FLEN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45189</v>
      </c>
      <c r="E341" s="1" t="n">
        <v>46259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46259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46259</v>
      </c>
      <c r="F343" t="inlineStr">
        <is>
          <t>SÖDERMANLANDS LÄN</t>
        </is>
      </c>
      <c r="G343" t="inlineStr">
        <is>
          <t>FLEN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46259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48858-2023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45209</v>
      </c>
      <c r="E345" s="1" t="n">
        <v>46259</v>
      </c>
      <c r="F345" t="inlineStr">
        <is>
          <t>SÖDERMANLANDS LÄN</t>
        </is>
      </c>
      <c r="G345" t="inlineStr">
        <is>
          <t>FLEN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8903-2022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44614</v>
      </c>
      <c r="E346" s="1" t="n">
        <v>46259</v>
      </c>
      <c r="F346" t="inlineStr">
        <is>
          <t>SÖDERMANLANDS LÄN</t>
        </is>
      </c>
      <c r="G346" t="inlineStr">
        <is>
          <t>FLEN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46259</v>
      </c>
      <c r="F347" t="inlineStr">
        <is>
          <t>SÖDERMANLANDS LÄN</t>
        </is>
      </c>
      <c r="G347" t="inlineStr">
        <is>
          <t>FLEN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44676</v>
      </c>
      <c r="E348" s="1" t="n">
        <v>46259</v>
      </c>
      <c r="F348" t="inlineStr">
        <is>
          <t>SÖDERMANLANDS LÄN</t>
        </is>
      </c>
      <c r="G348" t="inlineStr">
        <is>
          <t>FLEN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23716-2024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45454</v>
      </c>
      <c r="E349" s="1" t="n">
        <v>46259</v>
      </c>
      <c r="F349" t="inlineStr">
        <is>
          <t>SÖDERMANLANDS LÄN</t>
        </is>
      </c>
      <c r="G349" t="inlineStr">
        <is>
          <t>FLEN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44911</v>
      </c>
      <c r="E350" s="1" t="n">
        <v>46259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45581</v>
      </c>
      <c r="E351" s="1" t="n">
        <v>46259</v>
      </c>
      <c r="F351" t="inlineStr">
        <is>
          <t>SÖDERMANLANDS LÄN</t>
        </is>
      </c>
      <c r="G351" t="inlineStr">
        <is>
          <t>FLEN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44761</v>
      </c>
      <c r="E352" s="1" t="n">
        <v>46259</v>
      </c>
      <c r="F352" t="inlineStr">
        <is>
          <t>SÖDERMANLANDS LÄN</t>
        </is>
      </c>
      <c r="G352" t="inlineStr">
        <is>
          <t>FLEN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44807</v>
      </c>
      <c r="E353" s="1" t="n">
        <v>46259</v>
      </c>
      <c r="F353" t="inlineStr">
        <is>
          <t>SÖDERMANLANDS LÄN</t>
        </is>
      </c>
      <c r="G353" t="inlineStr">
        <is>
          <t>FLEN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46259</v>
      </c>
      <c r="F354" t="inlineStr">
        <is>
          <t>SÖDERMANLANDS LÄN</t>
        </is>
      </c>
      <c r="G354" t="inlineStr">
        <is>
          <t>FLEN</t>
        </is>
      </c>
      <c r="H354" t="inlineStr">
        <is>
          <t>Övriga statliga verk och myndigheter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33024-2022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44785</v>
      </c>
      <c r="E355" s="1" t="n">
        <v>46259</v>
      </c>
      <c r="F355" t="inlineStr">
        <is>
          <t>SÖDERMANLANDS LÄN</t>
        </is>
      </c>
      <c r="G355" t="inlineStr">
        <is>
          <t>FLEN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45230</v>
      </c>
      <c r="E356" s="1" t="n">
        <v>46259</v>
      </c>
      <c r="F356" t="inlineStr">
        <is>
          <t>SÖDERMANLANDS LÄN</t>
        </is>
      </c>
      <c r="G356" t="inlineStr">
        <is>
          <t>FLEN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46259</v>
      </c>
      <c r="F357" t="inlineStr">
        <is>
          <t>SÖDERMANLANDS LÄN</t>
        </is>
      </c>
      <c r="G357" t="inlineStr">
        <is>
          <t>FLEN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44846</v>
      </c>
      <c r="E358" s="1" t="n">
        <v>46259</v>
      </c>
      <c r="F358" t="inlineStr">
        <is>
          <t>SÖDERMANLANDS LÄN</t>
        </is>
      </c>
      <c r="G358" t="inlineStr">
        <is>
          <t>FLEN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44819</v>
      </c>
      <c r="E359" s="1" t="n">
        <v>46259</v>
      </c>
      <c r="F359" t="inlineStr">
        <is>
          <t>SÖDERMANLANDS LÄN</t>
        </is>
      </c>
      <c r="G359" t="inlineStr">
        <is>
          <t>FLEN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46259</v>
      </c>
      <c r="F360" t="inlineStr">
        <is>
          <t>SÖDERMANLANDS LÄN</t>
        </is>
      </c>
      <c r="G360" t="inlineStr">
        <is>
          <t>FLEN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45932</v>
      </c>
      <c r="E361" s="1" t="n">
        <v>46259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45057</v>
      </c>
      <c r="E362" s="1" t="n">
        <v>46259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45869</v>
      </c>
      <c r="E363" s="1" t="n">
        <v>46259</v>
      </c>
      <c r="F363" t="inlineStr">
        <is>
          <t>SÖDERMANLANDS LÄN</t>
        </is>
      </c>
      <c r="G363" t="inlineStr">
        <is>
          <t>FLEN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46259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46259</v>
      </c>
      <c r="F365" t="inlineStr">
        <is>
          <t>SÖDERMANLANDS LÄN</t>
        </is>
      </c>
      <c r="G365" t="inlineStr">
        <is>
          <t>FLEN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39171-2025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45888</v>
      </c>
      <c r="E366" s="1" t="n">
        <v>46259</v>
      </c>
      <c r="F366" t="inlineStr">
        <is>
          <t>SÖDERMANLANDS LÄN</t>
        </is>
      </c>
      <c r="G366" t="inlineStr">
        <is>
          <t>FLEN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23835-2022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46259</v>
      </c>
      <c r="F367" t="inlineStr">
        <is>
          <t>SÖDERMANLANDS LÄN</t>
        </is>
      </c>
      <c r="G367" t="inlineStr">
        <is>
          <t>FLEN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23859-2022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44722</v>
      </c>
      <c r="E368" s="1" t="n">
        <v>46259</v>
      </c>
      <c r="F368" t="inlineStr">
        <is>
          <t>SÖDERMANLANDS LÄN</t>
        </is>
      </c>
      <c r="G368" t="inlineStr">
        <is>
          <t>FLEN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46259</v>
      </c>
      <c r="F369" t="inlineStr">
        <is>
          <t>SÖDERMANLANDS LÄN</t>
        </is>
      </c>
      <c r="G369" t="inlineStr">
        <is>
          <t>FLEN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45718</v>
      </c>
      <c r="E370" s="1" t="n">
        <v>46259</v>
      </c>
      <c r="F370" t="inlineStr">
        <is>
          <t>SÖDERMANLANDS LÄN</t>
        </is>
      </c>
      <c r="G370" t="inlineStr">
        <is>
          <t>FLEN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44733</v>
      </c>
      <c r="E371" s="1" t="n">
        <v>46259</v>
      </c>
      <c r="F371" t="inlineStr">
        <is>
          <t>SÖDERMANLANDS LÄN</t>
        </is>
      </c>
      <c r="G371" t="inlineStr">
        <is>
          <t>FLEN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46259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46259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46259</v>
      </c>
      <c r="F374" t="inlineStr">
        <is>
          <t>SÖDERMANLANDS LÄN</t>
        </is>
      </c>
      <c r="G374" t="inlineStr">
        <is>
          <t>FLEN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55445-2022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44887</v>
      </c>
      <c r="E375" s="1" t="n">
        <v>46259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45378</v>
      </c>
      <c r="E376" s="1" t="n">
        <v>46259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46259</v>
      </c>
      <c r="F377" t="inlineStr">
        <is>
          <t>SÖDERMANLANDS LÄN</t>
        </is>
      </c>
      <c r="G377" t="inlineStr">
        <is>
          <t>FLEN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45163</v>
      </c>
      <c r="E378" s="1" t="n">
        <v>46259</v>
      </c>
      <c r="F378" t="inlineStr">
        <is>
          <t>SÖDERMANLANDS LÄN</t>
        </is>
      </c>
      <c r="G378" t="inlineStr">
        <is>
          <t>FLEN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45791</v>
      </c>
      <c r="E379" s="1" t="n">
        <v>46259</v>
      </c>
      <c r="F379" t="inlineStr">
        <is>
          <t>SÖDERMANLANDS LÄN</t>
        </is>
      </c>
      <c r="G379" t="inlineStr">
        <is>
          <t>FLEN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45250</v>
      </c>
      <c r="E380" s="1" t="n">
        <v>46259</v>
      </c>
      <c r="F380" t="inlineStr">
        <is>
          <t>SÖDERMANLANDS LÄN</t>
        </is>
      </c>
      <c r="G380" t="inlineStr">
        <is>
          <t>FLEN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49775-2024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46259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45632</v>
      </c>
      <c r="E382" s="1" t="n">
        <v>46259</v>
      </c>
      <c r="F382" t="inlineStr">
        <is>
          <t>SÖDERMANLANDS LÄN</t>
        </is>
      </c>
      <c r="G382" t="inlineStr">
        <is>
          <t>FLEN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46259</v>
      </c>
      <c r="F383" t="inlineStr">
        <is>
          <t>SÖDERMANLANDS LÄN</t>
        </is>
      </c>
      <c r="G383" t="inlineStr">
        <is>
          <t>FLEN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45321</v>
      </c>
      <c r="E384" s="1" t="n">
        <v>46259</v>
      </c>
      <c r="F384" t="inlineStr">
        <is>
          <t>SÖDERMANLANDS LÄN</t>
        </is>
      </c>
      <c r="G384" t="inlineStr">
        <is>
          <t>FLEN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44900</v>
      </c>
      <c r="E385" s="1" t="n">
        <v>46259</v>
      </c>
      <c r="F385" t="inlineStr">
        <is>
          <t>SÖDERMANLANDS LÄN</t>
        </is>
      </c>
      <c r="G385" t="inlineStr">
        <is>
          <t>FLEN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45225</v>
      </c>
      <c r="E386" s="1" t="n">
        <v>46259</v>
      </c>
      <c r="F386" t="inlineStr">
        <is>
          <t>SÖDERMANLANDS LÄN</t>
        </is>
      </c>
      <c r="G386" t="inlineStr">
        <is>
          <t>FLEN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45225</v>
      </c>
      <c r="E387" s="1" t="n">
        <v>46259</v>
      </c>
      <c r="F387" t="inlineStr">
        <is>
          <t>SÖDERMANLANDS LÄN</t>
        </is>
      </c>
      <c r="G387" t="inlineStr">
        <is>
          <t>FLEN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46259</v>
      </c>
      <c r="F388" t="inlineStr">
        <is>
          <t>SÖDERMANLANDS LÄN</t>
        </is>
      </c>
      <c r="G388" t="inlineStr">
        <is>
          <t>FLEN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44958</v>
      </c>
      <c r="E389" s="1" t="n">
        <v>46259</v>
      </c>
      <c r="F389" t="inlineStr">
        <is>
          <t>SÖDERMANLANDS LÄN</t>
        </is>
      </c>
      <c r="G389" t="inlineStr">
        <is>
          <t>FLEN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44868</v>
      </c>
      <c r="E390" s="1" t="n">
        <v>46259</v>
      </c>
      <c r="F390" t="inlineStr">
        <is>
          <t>SÖDERMANLANDS LÄN</t>
        </is>
      </c>
      <c r="G390" t="inlineStr">
        <is>
          <t>FLEN</t>
        </is>
      </c>
      <c r="H390" t="inlineStr">
        <is>
          <t>Övriga statliga verk och myndigheter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45030</v>
      </c>
      <c r="E391" s="1" t="n">
        <v>46259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46259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44624</v>
      </c>
      <c r="E393" s="1" t="n">
        <v>46259</v>
      </c>
      <c r="F393" t="inlineStr">
        <is>
          <t>SÖDERMANLANDS LÄN</t>
        </is>
      </c>
      <c r="G393" t="inlineStr">
        <is>
          <t>FLEN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46259</v>
      </c>
      <c r="F394" t="inlineStr">
        <is>
          <t>SÖDERMANLANDS LÄN</t>
        </is>
      </c>
      <c r="G394" t="inlineStr">
        <is>
          <t>FLEN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16908-2024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45411</v>
      </c>
      <c r="E395" s="1" t="n">
        <v>46259</v>
      </c>
      <c r="F395" t="inlineStr">
        <is>
          <t>SÖDERMANLANDS LÄN</t>
        </is>
      </c>
      <c r="G395" t="inlineStr">
        <is>
          <t>FLEN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53119-2023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45228</v>
      </c>
      <c r="E396" s="1" t="n">
        <v>46259</v>
      </c>
      <c r="F396" t="inlineStr">
        <is>
          <t>SÖDERMANLANDS LÄN</t>
        </is>
      </c>
      <c r="G396" t="inlineStr">
        <is>
          <t>FLEN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44970</v>
      </c>
      <c r="E397" s="1" t="n">
        <v>46259</v>
      </c>
      <c r="F397" t="inlineStr">
        <is>
          <t>SÖDERMANLANDS LÄN</t>
        </is>
      </c>
      <c r="G397" t="inlineStr">
        <is>
          <t>FLEN</t>
        </is>
      </c>
      <c r="H397" t="inlineStr">
        <is>
          <t>Kommuner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57356-2022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46259</v>
      </c>
      <c r="F398" t="inlineStr">
        <is>
          <t>SÖDERMANLANDS LÄN</t>
        </is>
      </c>
      <c r="G398" t="inlineStr">
        <is>
          <t>FLEN</t>
        </is>
      </c>
      <c r="H398" t="inlineStr">
        <is>
          <t>Övriga statliga verk och myndigheter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45244</v>
      </c>
      <c r="E399" s="1" t="n">
        <v>46259</v>
      </c>
      <c r="F399" t="inlineStr">
        <is>
          <t>SÖDERMANLANDS LÄN</t>
        </is>
      </c>
      <c r="G399" t="inlineStr">
        <is>
          <t>FLEN</t>
        </is>
      </c>
      <c r="H399" t="inlineStr">
        <is>
          <t>Övriga statliga verk och myndigheter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66867-2021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44522</v>
      </c>
      <c r="E400" s="1" t="n">
        <v>46259</v>
      </c>
      <c r="F400" t="inlineStr">
        <is>
          <t>SÖDERMANLANDS LÄN</t>
        </is>
      </c>
      <c r="G400" t="inlineStr">
        <is>
          <t>FLEN</t>
        </is>
      </c>
      <c r="H400" t="inlineStr">
        <is>
          <t>Kyrkan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46259</v>
      </c>
      <c r="F401" t="inlineStr">
        <is>
          <t>SÖDERMANLANDS LÄN</t>
        </is>
      </c>
      <c r="G401" t="inlineStr">
        <is>
          <t>FLEN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44859</v>
      </c>
      <c r="E402" s="1" t="n">
        <v>46259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45501</v>
      </c>
      <c r="E403" s="1" t="n">
        <v>46259</v>
      </c>
      <c r="F403" t="inlineStr">
        <is>
          <t>SÖDERMANLANDS LÄN</t>
        </is>
      </c>
      <c r="G403" t="inlineStr">
        <is>
          <t>FLEN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46259</v>
      </c>
      <c r="F404" t="inlineStr">
        <is>
          <t>SÖDERMANLANDS LÄN</t>
        </is>
      </c>
      <c r="G404" t="inlineStr">
        <is>
          <t>FLEN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46259</v>
      </c>
      <c r="F405" t="inlineStr">
        <is>
          <t>SÖDERMANLANDS LÄN</t>
        </is>
      </c>
      <c r="G405" t="inlineStr">
        <is>
          <t>FLEN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44566</v>
      </c>
      <c r="E406" s="1" t="n">
        <v>46259</v>
      </c>
      <c r="F406" t="inlineStr">
        <is>
          <t>SÖDERMANLANDS LÄN</t>
        </is>
      </c>
      <c r="G406" t="inlineStr">
        <is>
          <t>FLEN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52353-2023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45224</v>
      </c>
      <c r="E407" s="1" t="n">
        <v>46259</v>
      </c>
      <c r="F407" t="inlineStr">
        <is>
          <t>SÖDERMANLANDS LÄN</t>
        </is>
      </c>
      <c r="G407" t="inlineStr">
        <is>
          <t>FLEN</t>
        </is>
      </c>
      <c r="H407" t="inlineStr">
        <is>
          <t>Kyrkan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46259</v>
      </c>
      <c r="F408" t="inlineStr">
        <is>
          <t>SÖDERMANLANDS LÄN</t>
        </is>
      </c>
      <c r="G408" t="inlineStr">
        <is>
          <t>FLEN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9088-2026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46069</v>
      </c>
      <c r="E409" s="1" t="n">
        <v>46259</v>
      </c>
      <c r="F409" t="inlineStr">
        <is>
          <t>SÖDERMANLANDS LÄN</t>
        </is>
      </c>
      <c r="G409" t="inlineStr">
        <is>
          <t>FLEN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48749-2022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44855</v>
      </c>
      <c r="E410" s="1" t="n">
        <v>46259</v>
      </c>
      <c r="F410" t="inlineStr">
        <is>
          <t>SÖDERMANLANDS LÄN</t>
        </is>
      </c>
      <c r="G410" t="inlineStr">
        <is>
          <t>FLEN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48774-2022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46259</v>
      </c>
      <c r="F411" t="inlineStr">
        <is>
          <t>SÖDERMANLANDS LÄN</t>
        </is>
      </c>
      <c r="G411" t="inlineStr">
        <is>
          <t>FLEN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46259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46259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45140</v>
      </c>
      <c r="E414" s="1" t="n">
        <v>46259</v>
      </c>
      <c r="F414" t="inlineStr">
        <is>
          <t>SÖDERMANLANDS LÄN</t>
        </is>
      </c>
      <c r="G414" t="inlineStr">
        <is>
          <t>FLEN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46259</v>
      </c>
      <c r="F415" t="inlineStr">
        <is>
          <t>SÖDERMANLANDS LÄN</t>
        </is>
      </c>
      <c r="G415" t="inlineStr">
        <is>
          <t>FLEN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46259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45952</v>
      </c>
      <c r="E417" s="1" t="n">
        <v>46259</v>
      </c>
      <c r="F417" t="inlineStr">
        <is>
          <t>SÖDERMANLANDS LÄN</t>
        </is>
      </c>
      <c r="G417" t="inlineStr">
        <is>
          <t>FLEN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46259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46259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24721-2026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46259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48497-2021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44449</v>
      </c>
      <c r="E421" s="1" t="n">
        <v>46259</v>
      </c>
      <c r="F421" t="inlineStr">
        <is>
          <t>SÖDERMANLANDS LÄN</t>
        </is>
      </c>
      <c r="G421" t="inlineStr">
        <is>
          <t>FLEN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46121</v>
      </c>
      <c r="E422" s="1" t="n">
        <v>46259</v>
      </c>
      <c r="F422" t="inlineStr">
        <is>
          <t>SÖDERMANLANDS LÄN</t>
        </is>
      </c>
      <c r="G422" t="inlineStr">
        <is>
          <t>FLEN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54781-2024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45618</v>
      </c>
      <c r="E423" s="1" t="n">
        <v>46259</v>
      </c>
      <c r="F423" t="inlineStr">
        <is>
          <t>SÖDERMANLANDS LÄN</t>
        </is>
      </c>
      <c r="G423" t="inlineStr">
        <is>
          <t>FLEN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46259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  <c r="Z424">
        <f>HYPERLINK("https://klasma.github.io/Logging_0482/knärot/A 24450-2026 karta knärot.png", "A 24450-2026")</f>
        <v/>
      </c>
      <c r="AA424">
        <f>HYPERLINK("https://klasma.github.io/Logging_0482/klagomål/A 24450-2026 FSC-klagomål.docx", "A 24450-2026")</f>
        <v/>
      </c>
      <c r="AB424">
        <f>HYPERLINK("https://klasma.github.io/Logging_0482/klagomålsmail/A 24450-2026 FSC-klagomål mail.docx", "A 24450-2026")</f>
        <v/>
      </c>
      <c r="AC424">
        <f>HYPERLINK("https://klasma.github.io/Logging_0482/tillsyn/A 24450-2026 tillsynsbegäran.docx", "A 24450-2026")</f>
        <v/>
      </c>
      <c r="AD424">
        <f>HYPERLINK("https://klasma.github.io/Logging_0482/tillsynsmail/A 24450-2026 tillsynsbegäran mail.docx", "A 24450-2026")</f>
        <v/>
      </c>
    </row>
    <row r="425" ht="15" customHeight="1">
      <c r="A425" t="inlineStr">
        <is>
          <t>A 22957-2023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46259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47872-2025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45932</v>
      </c>
      <c r="E426" s="1" t="n">
        <v>46259</v>
      </c>
      <c r="F426" t="inlineStr">
        <is>
          <t>SÖDERMANLANDS LÄN</t>
        </is>
      </c>
      <c r="G426" t="inlineStr">
        <is>
          <t>FLEN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46259</v>
      </c>
      <c r="F427" t="inlineStr">
        <is>
          <t>SÖDERMANLANDS LÄN</t>
        </is>
      </c>
      <c r="G427" t="inlineStr">
        <is>
          <t>FLEN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46175</v>
      </c>
      <c r="E428" s="1" t="n">
        <v>46259</v>
      </c>
      <c r="F428" t="inlineStr">
        <is>
          <t>SÖDERMANLANDS LÄN</t>
        </is>
      </c>
      <c r="G428" t="inlineStr">
        <is>
          <t>FLEN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45482</v>
      </c>
      <c r="E429" s="1" t="n">
        <v>46259</v>
      </c>
      <c r="F429" t="inlineStr">
        <is>
          <t>SÖDERMANLANDS LÄN</t>
        </is>
      </c>
      <c r="G429" t="inlineStr">
        <is>
          <t>FLEN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45213</v>
      </c>
      <c r="E430" s="1" t="n">
        <v>46259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46259</v>
      </c>
      <c r="F431" t="inlineStr">
        <is>
          <t>SÖDERMANLANDS LÄN</t>
        </is>
      </c>
      <c r="G431" t="inlineStr">
        <is>
          <t>FLEN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46176</v>
      </c>
      <c r="E432" s="1" t="n">
        <v>46259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54282-2025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45964</v>
      </c>
      <c r="E433" s="1" t="n">
        <v>46259</v>
      </c>
      <c r="F433" t="inlineStr">
        <is>
          <t>SÖDERMANLANDS LÄN</t>
        </is>
      </c>
      <c r="G433" t="inlineStr">
        <is>
          <t>FLEN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54283-2025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45964</v>
      </c>
      <c r="E434" s="1" t="n">
        <v>46259</v>
      </c>
      <c r="F434" t="inlineStr">
        <is>
          <t>SÖDERMANLANDS LÄN</t>
        </is>
      </c>
      <c r="G434" t="inlineStr">
        <is>
          <t>FLEN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60937-2022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44914</v>
      </c>
      <c r="E435" s="1" t="n">
        <v>46259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33103-2022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44785</v>
      </c>
      <c r="E436" s="1" t="n">
        <v>46259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44648</v>
      </c>
      <c r="E437" s="1" t="n">
        <v>46259</v>
      </c>
      <c r="F437" t="inlineStr">
        <is>
          <t>SÖDERMANLANDS LÄN</t>
        </is>
      </c>
      <c r="G437" t="inlineStr">
        <is>
          <t>FLEN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52541-2021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44463</v>
      </c>
      <c r="E438" s="1" t="n">
        <v>46259</v>
      </c>
      <c r="F438" t="inlineStr">
        <is>
          <t>SÖDERMANLANDS LÄN</t>
        </is>
      </c>
      <c r="G438" t="inlineStr">
        <is>
          <t>FLEN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44979</v>
      </c>
      <c r="E439" s="1" t="n">
        <v>46259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45056</v>
      </c>
      <c r="E440" s="1" t="n">
        <v>46259</v>
      </c>
      <c r="F440" t="inlineStr">
        <is>
          <t>SÖDERMANLANDS LÄN</t>
        </is>
      </c>
      <c r="G440" t="inlineStr">
        <is>
          <t>FLEN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44739</v>
      </c>
      <c r="E441" s="1" t="n">
        <v>46259</v>
      </c>
      <c r="F441" t="inlineStr">
        <is>
          <t>SÖDERMANLANDS LÄN</t>
        </is>
      </c>
      <c r="G441" t="inlineStr">
        <is>
          <t>FLEN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46259</v>
      </c>
      <c r="F442" t="inlineStr">
        <is>
          <t>SÖDERMANLANDS LÄN</t>
        </is>
      </c>
      <c r="G442" t="inlineStr">
        <is>
          <t>FLEN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46259</v>
      </c>
      <c r="F443" t="inlineStr">
        <is>
          <t>SÖDERMANLANDS LÄN</t>
        </is>
      </c>
      <c r="G443" t="inlineStr">
        <is>
          <t>FLEN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26050-2026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46259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46259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56573-2025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45974</v>
      </c>
      <c r="E446" s="1" t="n">
        <v>46259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31083-2022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44769</v>
      </c>
      <c r="E447" s="1" t="n">
        <v>46259</v>
      </c>
      <c r="F447" t="inlineStr">
        <is>
          <t>SÖDERMANLANDS LÄN</t>
        </is>
      </c>
      <c r="G447" t="inlineStr">
        <is>
          <t>FLEN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46259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46229</v>
      </c>
      <c r="E449" s="1" t="n">
        <v>46259</v>
      </c>
      <c r="F449" t="inlineStr">
        <is>
          <t>SÖDERMANLANDS LÄN</t>
        </is>
      </c>
      <c r="G449" t="inlineStr">
        <is>
          <t>FLEN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45036</v>
      </c>
      <c r="E450" s="1" t="n">
        <v>46259</v>
      </c>
      <c r="F450" t="inlineStr">
        <is>
          <t>SÖDERMANLANDS LÄN</t>
        </is>
      </c>
      <c r="G450" t="inlineStr">
        <is>
          <t>FLEN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46259</v>
      </c>
      <c r="F451" t="inlineStr">
        <is>
          <t>SÖDERMANLANDS LÄN</t>
        </is>
      </c>
      <c r="G451" t="inlineStr">
        <is>
          <t>FLEN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46185</v>
      </c>
      <c r="E452" s="1" t="n">
        <v>46259</v>
      </c>
      <c r="F452" t="inlineStr">
        <is>
          <t>SÖDERMANLANDS LÄN</t>
        </is>
      </c>
      <c r="G452" t="inlineStr">
        <is>
          <t>FLEN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51872-2022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44872</v>
      </c>
      <c r="E453" s="1" t="n">
        <v>46259</v>
      </c>
      <c r="F453" t="inlineStr">
        <is>
          <t>SÖDERMANLANDS LÄN</t>
        </is>
      </c>
      <c r="G453" t="inlineStr">
        <is>
          <t>FLEN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27304-2026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46259</v>
      </c>
      <c r="F454" t="inlineStr">
        <is>
          <t>SÖDERMANLANDS LÄN</t>
        </is>
      </c>
      <c r="G454" t="inlineStr">
        <is>
          <t>FLEN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27317-2026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46259</v>
      </c>
      <c r="F455" t="inlineStr">
        <is>
          <t>SÖDERMANLANDS LÄN</t>
        </is>
      </c>
      <c r="G455" t="inlineStr">
        <is>
          <t>FLEN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46259</v>
      </c>
      <c r="F456" t="inlineStr">
        <is>
          <t>SÖDERMANLANDS LÄN</t>
        </is>
      </c>
      <c r="G456" t="inlineStr">
        <is>
          <t>FLEN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46259</v>
      </c>
      <c r="F457" t="inlineStr">
        <is>
          <t>SÖDERMANLANDS LÄN</t>
        </is>
      </c>
      <c r="G457" t="inlineStr">
        <is>
          <t>FLEN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46259</v>
      </c>
      <c r="F458" t="inlineStr">
        <is>
          <t>SÖDERMANLANDS LÄN</t>
        </is>
      </c>
      <c r="G458" t="inlineStr">
        <is>
          <t>FLEN</t>
        </is>
      </c>
      <c r="H458" t="inlineStr">
        <is>
          <t>Kyrkan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45994</v>
      </c>
      <c r="E459" s="1" t="n">
        <v>46259</v>
      </c>
      <c r="F459" t="inlineStr">
        <is>
          <t>SÖDERMANLANDS LÄN</t>
        </is>
      </c>
      <c r="G459" t="inlineStr">
        <is>
          <t>FLEN</t>
        </is>
      </c>
      <c r="H459" t="inlineStr">
        <is>
          <t>Kyrkan</t>
        </is>
      </c>
      <c r="I459" t="n">
        <v>9.699999999999999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46259</v>
      </c>
      <c r="F460" t="inlineStr">
        <is>
          <t>SÖDERMANLANDS LÄN</t>
        </is>
      </c>
      <c r="G460" t="inlineStr">
        <is>
          <t>FLEN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59894-2025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46259</v>
      </c>
      <c r="F461" t="inlineStr">
        <is>
          <t>SÖDERMANLANDS LÄN</t>
        </is>
      </c>
      <c r="G461" t="inlineStr">
        <is>
          <t>FLEN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46259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46259</v>
      </c>
      <c r="F463" t="inlineStr">
        <is>
          <t>SÖDERMANLANDS LÄN</t>
        </is>
      </c>
      <c r="G463" t="inlineStr">
        <is>
          <t>FLEN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45239</v>
      </c>
      <c r="E464" s="1" t="n">
        <v>46259</v>
      </c>
      <c r="F464" t="inlineStr">
        <is>
          <t>SÖDERMANLANDS LÄN</t>
        </is>
      </c>
      <c r="G464" t="inlineStr">
        <is>
          <t>FLEN</t>
        </is>
      </c>
      <c r="H464" t="inlineStr">
        <is>
          <t>Övriga statliga verk och myndigheter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46259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46259</v>
      </c>
      <c r="F466" t="inlineStr">
        <is>
          <t>SÖDERMANLANDS LÄN</t>
        </is>
      </c>
      <c r="G466" t="inlineStr">
        <is>
          <t>FLEN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20791-2022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44701</v>
      </c>
      <c r="E467" s="1" t="n">
        <v>46259</v>
      </c>
      <c r="F467" t="inlineStr">
        <is>
          <t>SÖDERMANLANDS LÄN</t>
        </is>
      </c>
      <c r="G467" t="inlineStr">
        <is>
          <t>FLEN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62579-2023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45270</v>
      </c>
      <c r="E468" s="1" t="n">
        <v>46259</v>
      </c>
      <c r="F468" t="inlineStr">
        <is>
          <t>SÖDERMANLANDS LÄN</t>
        </is>
      </c>
      <c r="G468" t="inlineStr">
        <is>
          <t>FLEN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46259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46259</v>
      </c>
      <c r="F470" t="inlineStr">
        <is>
          <t>SÖDERMANLANDS LÄN</t>
        </is>
      </c>
      <c r="G470" t="inlineStr">
        <is>
          <t>FLEN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45574</v>
      </c>
      <c r="E471" s="1" t="n">
        <v>46259</v>
      </c>
      <c r="F471" t="inlineStr">
        <is>
          <t>SÖDERMANLANDS LÄN</t>
        </is>
      </c>
      <c r="G471" t="inlineStr">
        <is>
          <t>FLEN</t>
        </is>
      </c>
      <c r="H471" t="inlineStr">
        <is>
          <t>Övriga statliga verk och myndigheter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46259</v>
      </c>
      <c r="F472" t="inlineStr">
        <is>
          <t>SÖDERMANLANDS LÄN</t>
        </is>
      </c>
      <c r="G472" t="inlineStr">
        <is>
          <t>FLEN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45299</v>
      </c>
      <c r="E473" s="1" t="n">
        <v>46259</v>
      </c>
      <c r="F473" t="inlineStr">
        <is>
          <t>SÖDERMANLANDS LÄN</t>
        </is>
      </c>
      <c r="G473" t="inlineStr">
        <is>
          <t>FLEN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45299</v>
      </c>
      <c r="E474" s="1" t="n">
        <v>46259</v>
      </c>
      <c r="F474" t="inlineStr">
        <is>
          <t>SÖDERMANLANDS LÄN</t>
        </is>
      </c>
      <c r="G474" t="inlineStr">
        <is>
          <t>FLEN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46259</v>
      </c>
      <c r="F475" t="inlineStr">
        <is>
          <t>SÖDERMANLANDS LÄN</t>
        </is>
      </c>
      <c r="G475" t="inlineStr">
        <is>
          <t>FLEN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45022</v>
      </c>
      <c r="E476" s="1" t="n">
        <v>46259</v>
      </c>
      <c r="F476" t="inlineStr">
        <is>
          <t>SÖDERMANLANDS LÄN</t>
        </is>
      </c>
      <c r="G476" t="inlineStr">
        <is>
          <t>FLEN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45110</v>
      </c>
      <c r="E477" s="1" t="n">
        <v>46259</v>
      </c>
      <c r="F477" t="inlineStr">
        <is>
          <t>SÖDERMANLANDS LÄN</t>
        </is>
      </c>
      <c r="G477" t="inlineStr">
        <is>
          <t>FLEN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46259</v>
      </c>
      <c r="F478" t="inlineStr">
        <is>
          <t>SÖDERMANLANDS LÄN</t>
        </is>
      </c>
      <c r="G478" t="inlineStr">
        <is>
          <t>FLEN</t>
        </is>
      </c>
      <c r="H478" t="inlineStr">
        <is>
          <t>Kyrkan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40408-2024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45555</v>
      </c>
      <c r="E479" s="1" t="n">
        <v>46259</v>
      </c>
      <c r="F479" t="inlineStr">
        <is>
          <t>SÖDERMANLANDS LÄN</t>
        </is>
      </c>
      <c r="G479" t="inlineStr">
        <is>
          <t>FLEN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45331</v>
      </c>
      <c r="E480" s="1" t="n">
        <v>46259</v>
      </c>
      <c r="F480" t="inlineStr">
        <is>
          <t>SÖDERMANLANDS LÄN</t>
        </is>
      </c>
      <c r="G480" t="inlineStr">
        <is>
          <t>FLEN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46240</v>
      </c>
      <c r="E481" s="1" t="n">
        <v>46259</v>
      </c>
      <c r="F481" t="inlineStr">
        <is>
          <t>SÖDERMANLANDS LÄN</t>
        </is>
      </c>
      <c r="G481" t="inlineStr">
        <is>
          <t>FLEN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46259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46259</v>
      </c>
      <c r="F483" t="inlineStr">
        <is>
          <t>SÖDERMANLANDS LÄN</t>
        </is>
      </c>
      <c r="G483" t="inlineStr">
        <is>
          <t>FLEN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44931</v>
      </c>
      <c r="E484" s="1" t="n">
        <v>46259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2738-2022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44580</v>
      </c>
      <c r="E485" s="1" t="n">
        <v>46259</v>
      </c>
      <c r="F485" t="inlineStr">
        <is>
          <t>SÖDERMANLANDS LÄN</t>
        </is>
      </c>
      <c r="G485" t="inlineStr">
        <is>
          <t>FLEN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50646-2023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46259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45066</v>
      </c>
      <c r="E487" s="1" t="n">
        <v>46259</v>
      </c>
      <c r="F487" t="inlineStr">
        <is>
          <t>SÖDERMANLANDS LÄN</t>
        </is>
      </c>
      <c r="G487" t="inlineStr">
        <is>
          <t>FLEN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44907</v>
      </c>
      <c r="E488" s="1" t="n">
        <v>46259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46259</v>
      </c>
      <c r="F489" t="inlineStr">
        <is>
          <t>SÖDERMANLANDS LÄN</t>
        </is>
      </c>
      <c r="G489" t="inlineStr">
        <is>
          <t>FLEN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46259</v>
      </c>
      <c r="F490" t="inlineStr">
        <is>
          <t>SÖDERMANLANDS LÄN</t>
        </is>
      </c>
      <c r="G490" t="inlineStr">
        <is>
          <t>FLEN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45230</v>
      </c>
      <c r="E491" s="1" t="n">
        <v>46259</v>
      </c>
      <c r="F491" t="inlineStr">
        <is>
          <t>SÖDERMANLANDS LÄN</t>
        </is>
      </c>
      <c r="G491" t="inlineStr">
        <is>
          <t>FLEN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46259</v>
      </c>
      <c r="F492" t="inlineStr">
        <is>
          <t>SÖDERMANLANDS LÄN</t>
        </is>
      </c>
      <c r="G492" t="inlineStr">
        <is>
          <t>FLEN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14599-2023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45013</v>
      </c>
      <c r="E493" s="1" t="n">
        <v>46259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46259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46259</v>
      </c>
      <c r="F495" t="inlineStr">
        <is>
          <t>SÖDERMANLANDS LÄN</t>
        </is>
      </c>
      <c r="G495" t="inlineStr">
        <is>
          <t>FLEN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46044</v>
      </c>
      <c r="E496" s="1" t="n">
        <v>46259</v>
      </c>
      <c r="F496" t="inlineStr">
        <is>
          <t>SÖDERMANLANDS LÄN</t>
        </is>
      </c>
      <c r="G496" t="inlineStr">
        <is>
          <t>FLEN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46259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33936-2026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46250</v>
      </c>
      <c r="E498" s="1" t="n">
        <v>46259</v>
      </c>
      <c r="F498" t="inlineStr">
        <is>
          <t>SÖDERMANLANDS LÄN</t>
        </is>
      </c>
      <c r="G498" t="inlineStr">
        <is>
          <t>FLEN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42731-2024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45566</v>
      </c>
      <c r="E499" s="1" t="n">
        <v>46259</v>
      </c>
      <c r="F499" t="inlineStr">
        <is>
          <t>SÖDERMANLANDS LÄN</t>
        </is>
      </c>
      <c r="G499" t="inlineStr">
        <is>
          <t>FLEN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46249</v>
      </c>
      <c r="E500" s="1" t="n">
        <v>46259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57044-2023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46259</v>
      </c>
      <c r="F501" t="inlineStr">
        <is>
          <t>SÖDERMANLANDS LÄN</t>
        </is>
      </c>
      <c r="G501" t="inlineStr">
        <is>
          <t>FLEN</t>
        </is>
      </c>
      <c r="H501" t="inlineStr">
        <is>
          <t>Övriga statliga verk och myndigheter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13233-2024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45386</v>
      </c>
      <c r="E502" s="1" t="n">
        <v>46259</v>
      </c>
      <c r="F502" t="inlineStr">
        <is>
          <t>SÖDERMANLANDS LÄN</t>
        </is>
      </c>
      <c r="G502" t="inlineStr">
        <is>
          <t>FLEN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33727-2026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46251</v>
      </c>
      <c r="E503" s="1" t="n">
        <v>46259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33730-2026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46259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20952-2025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45777</v>
      </c>
      <c r="E505" s="1" t="n">
        <v>46259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7960-2024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45350</v>
      </c>
      <c r="E506" s="1" t="n">
        <v>46259</v>
      </c>
      <c r="F506" t="inlineStr">
        <is>
          <t>SÖDERMANLANDS LÄN</t>
        </is>
      </c>
      <c r="G506" t="inlineStr">
        <is>
          <t>FLEN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45252</v>
      </c>
      <c r="E507" s="1" t="n">
        <v>46259</v>
      </c>
      <c r="F507" t="inlineStr">
        <is>
          <t>SÖDERMANLANDS LÄN</t>
        </is>
      </c>
      <c r="G507" t="inlineStr">
        <is>
          <t>FLEN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46259</v>
      </c>
      <c r="F508" t="inlineStr">
        <is>
          <t>SÖDERMANLANDS LÄN</t>
        </is>
      </c>
      <c r="G508" t="inlineStr">
        <is>
          <t>FLEN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34325-2026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46259</v>
      </c>
      <c r="F509" t="inlineStr">
        <is>
          <t>SÖDERMANLANDS LÄN</t>
        </is>
      </c>
      <c r="G509" t="inlineStr">
        <is>
          <t>FLEN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47055-2022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44852</v>
      </c>
      <c r="E510" s="1" t="n">
        <v>46259</v>
      </c>
      <c r="F510" t="inlineStr">
        <is>
          <t>SÖDERMANLANDS LÄN</t>
        </is>
      </c>
      <c r="G510" t="inlineStr">
        <is>
          <t>FLEN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54736-2022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44883</v>
      </c>
      <c r="E511" s="1" t="n">
        <v>46259</v>
      </c>
      <c r="F511" t="inlineStr">
        <is>
          <t>SÖDERMANLANDS LÄN</t>
        </is>
      </c>
      <c r="G511" t="inlineStr">
        <is>
          <t>FLEN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46259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34839-2026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46259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8.5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46259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22989-2025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45790</v>
      </c>
      <c r="E515" s="1" t="n">
        <v>46259</v>
      </c>
      <c r="F515" t="inlineStr">
        <is>
          <t>SÖDERMANLANDS LÄN</t>
        </is>
      </c>
      <c r="G515" t="inlineStr">
        <is>
          <t>FLEN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45790</v>
      </c>
      <c r="E516" s="1" t="n">
        <v>46259</v>
      </c>
      <c r="F516" t="inlineStr">
        <is>
          <t>SÖDERMANLANDS LÄN</t>
        </is>
      </c>
      <c r="G516" t="inlineStr">
        <is>
          <t>FLEN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46259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46259</v>
      </c>
      <c r="F518" t="inlineStr">
        <is>
          <t>SÖDERMANLANDS LÄN</t>
        </is>
      </c>
      <c r="G518" t="inlineStr">
        <is>
          <t>FLEN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46259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46259</v>
      </c>
      <c r="F520" t="inlineStr">
        <is>
          <t>SÖDERMANLANDS LÄN</t>
        </is>
      </c>
      <c r="G520" t="inlineStr">
        <is>
          <t>FLEN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46259</v>
      </c>
      <c r="F521" t="inlineStr">
        <is>
          <t>SÖDERMANLANDS LÄN</t>
        </is>
      </c>
      <c r="G521" t="inlineStr">
        <is>
          <t>FLEN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46259</v>
      </c>
      <c r="F522" t="inlineStr">
        <is>
          <t>SÖDERMANLANDS LÄN</t>
        </is>
      </c>
      <c r="G522" t="inlineStr">
        <is>
          <t>FLEN</t>
        </is>
      </c>
      <c r="H522" t="inlineStr">
        <is>
          <t>Övriga statliga verk och myndigheter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45610</v>
      </c>
      <c r="E523" s="1" t="n">
        <v>46259</v>
      </c>
      <c r="F523" t="inlineStr">
        <is>
          <t>SÖDERMANLANDS LÄN</t>
        </is>
      </c>
      <c r="G523" t="inlineStr">
        <is>
          <t>FLEN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46259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45797</v>
      </c>
      <c r="E525" s="1" t="n">
        <v>46259</v>
      </c>
      <c r="F525" t="inlineStr">
        <is>
          <t>SÖDERMANLANDS LÄN</t>
        </is>
      </c>
      <c r="G525" t="inlineStr">
        <is>
          <t>FLEN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45798</v>
      </c>
      <c r="E526" s="1" t="n">
        <v>46259</v>
      </c>
      <c r="F526" t="inlineStr">
        <is>
          <t>SÖDERMANLANDS LÄN</t>
        </is>
      </c>
      <c r="G526" t="inlineStr">
        <is>
          <t>FLEN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46259</v>
      </c>
      <c r="F527" t="inlineStr">
        <is>
          <t>SÖDERMANLANDS LÄN</t>
        </is>
      </c>
      <c r="G527" t="inlineStr">
        <is>
          <t>FLEN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45798</v>
      </c>
      <c r="E528" s="1" t="n">
        <v>46259</v>
      </c>
      <c r="F528" t="inlineStr">
        <is>
          <t>SÖDERMANLANDS LÄN</t>
        </is>
      </c>
      <c r="G528" t="inlineStr">
        <is>
          <t>FLEN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46259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46259</v>
      </c>
      <c r="F530" t="inlineStr">
        <is>
          <t>SÖDERMANLANDS LÄN</t>
        </is>
      </c>
      <c r="G530" t="inlineStr">
        <is>
          <t>FLEN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46259</v>
      </c>
      <c r="F531" t="inlineStr">
        <is>
          <t>SÖDERMANLANDS LÄN</t>
        </is>
      </c>
      <c r="G531" t="inlineStr">
        <is>
          <t>FLEN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46259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46259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46079</v>
      </c>
      <c r="E534" s="1" t="n">
        <v>46259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46082</v>
      </c>
      <c r="E535" s="1" t="n">
        <v>46259</v>
      </c>
      <c r="F535" t="inlineStr">
        <is>
          <t>SÖDERMANLANDS LÄN</t>
        </is>
      </c>
      <c r="G535" t="inlineStr">
        <is>
          <t>FLEN</t>
        </is>
      </c>
      <c r="I535" t="n">
        <v>7.7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46080</v>
      </c>
      <c r="E536" s="1" t="n">
        <v>46259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46259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11180-2026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46259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46259</v>
      </c>
      <c r="F539" t="inlineStr">
        <is>
          <t>SÖDERMANLANDS LÄN</t>
        </is>
      </c>
      <c r="G539" t="inlineStr">
        <is>
          <t>FLEN</t>
        </is>
      </c>
      <c r="H539" t="inlineStr">
        <is>
          <t>Holmen skog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12712-2026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46091</v>
      </c>
      <c r="E540" s="1" t="n">
        <v>46259</v>
      </c>
      <c r="F540" t="inlineStr">
        <is>
          <t>SÖDERMANLANDS LÄN</t>
        </is>
      </c>
      <c r="G540" t="inlineStr">
        <is>
          <t>FLEN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46259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46259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46259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46259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46259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46259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46259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46259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2026-08-25T01:54:26Z</dcterms:created>
  <dcterms:modified xmlns:dcterms="http://purl.org/dc/terms/" xmlns:xsi="http://www.w3.org/2001/XMLSchema-instance" xsi:type="dcterms:W3CDTF">2026-08-25T01:54:27Z</dcterms:modified>
</cp:coreProperties>
</file>