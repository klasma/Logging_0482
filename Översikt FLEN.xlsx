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46313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46313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46313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46313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46313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46313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46313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46313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46313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46313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46313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46313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46313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46313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46313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46313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46313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46313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46313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32901-2025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45839</v>
      </c>
      <c r="E32" s="1" t="n">
        <v>46313</v>
      </c>
      <c r="F32" t="inlineStr">
        <is>
          <t>SÖDERMANLANDS LÄN</t>
        </is>
      </c>
      <c r="G32" t="inlineStr">
        <is>
          <t>FLEN</t>
        </is>
      </c>
      <c r="I32" t="n">
        <v>2.6</v>
      </c>
      <c r="J32" t="n">
        <v>1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9</v>
      </c>
      <c r="U32" t="n">
        <v>5</v>
      </c>
      <c r="V32" s="2" t="inlineStr">
        <is>
          <t>Motaggsvamp
Ullticka
Blomkålssvamp
Flagellkvastmossa
Spillkråka</t>
        </is>
      </c>
      <c r="W32">
        <f>HYPERLINK("https://klasma.github.io/Logging_0482/artfynd/A 32901-2025 artfynd.xlsx", "A 32901-2025")</f>
        <v/>
      </c>
      <c r="X32">
        <f>HYPERLINK("https://klasma.github.io/Logging_0482/kartor/A 32901-2025 karta.png", "A 32901-2025")</f>
        <v/>
      </c>
      <c r="Y32">
        <f>HYPERLINK("https://klasma.github.io/Logging_0482/kartor_geotiff/A 32901-2025 georefererad karta.tif", "A 32901-2025")</f>
        <v/>
      </c>
      <c r="AA32">
        <f>HYPERLINK("https://klasma.github.io/Logging_0482/klagomål/A 32901-2025 FSC-klagomål.docx", "A 32901-2025")</f>
        <v/>
      </c>
      <c r="AB32">
        <f>HYPERLINK("https://klasma.github.io/Logging_0482/klagomålsmail/A 32901-2025 FSC-klagomål mail.docx", "A 32901-2025")</f>
        <v/>
      </c>
      <c r="AC32">
        <f>HYPERLINK("https://klasma.github.io/Logging_0482/tillsyn/A 32901-2025 tillsynsbegäran.docx", "A 32901-2025")</f>
        <v/>
      </c>
      <c r="AD32">
        <f>HYPERLINK("https://klasma.github.io/Logging_0482/tillsynsmail/A 32901-2025 tillsynsbegäran mail.docx", "A 32901-2025")</f>
        <v/>
      </c>
      <c r="AE32">
        <f>HYPERLINK("https://klasma.github.io/Logging_0482/fåglar/A 32901-2025 prioriterade fågelarter.docx", "A 32901-2025")</f>
        <v/>
      </c>
    </row>
    <row r="33" ht="15" customHeight="1">
      <c r="A33" t="inlineStr">
        <is>
          <t>A 50343-2024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46313</v>
      </c>
      <c r="F33" t="inlineStr">
        <is>
          <t>SÖDERMANLANDS LÄN</t>
        </is>
      </c>
      <c r="G33" t="inlineStr">
        <is>
          <t>FLEN</t>
        </is>
      </c>
      <c r="H33" t="inlineStr">
        <is>
          <t>Övriga statliga verk och myndigheter</t>
        </is>
      </c>
      <c r="I33" t="n">
        <v>3.6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Svartöra
Tallticka
Blåsippa
Liljekonvalj
Vildkaprifol</t>
        </is>
      </c>
      <c r="W33">
        <f>HYPERLINK("https://klasma.github.io/Logging_0482/artfynd/A 50343-2024 artfynd.xlsx", "A 50343-2024")</f>
        <v/>
      </c>
      <c r="X33">
        <f>HYPERLINK("https://klasma.github.io/Logging_0482/kartor/A 50343-2024 karta.png", "A 50343-2024")</f>
        <v/>
      </c>
      <c r="Y33">
        <f>HYPERLINK("https://klasma.github.io/Logging_0482/kartor_geotiff/A 50343-2024 georefererad karta.tif", "A 50343-2024")</f>
        <v/>
      </c>
      <c r="AA33">
        <f>HYPERLINK("https://klasma.github.io/Logging_0482/klagomål/A 50343-2024 FSC-klagomål.docx", "A 50343-2024")</f>
        <v/>
      </c>
      <c r="AB33">
        <f>HYPERLINK("https://klasma.github.io/Logging_0482/klagomålsmail/A 50343-2024 FSC-klagomål mail.docx", "A 50343-2024")</f>
        <v/>
      </c>
      <c r="AC33">
        <f>HYPERLINK("https://klasma.github.io/Logging_0482/tillsyn/A 50343-2024 tillsynsbegäran.docx", "A 50343-2024")</f>
        <v/>
      </c>
      <c r="AD33">
        <f>HYPERLINK("https://klasma.github.io/Logging_0482/tillsynsmail/A 50343-2024 tillsynsbegäran mail.docx", "A 50343-2024")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46313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49808-2023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45212</v>
      </c>
      <c r="E36" s="1" t="n">
        <v>46313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12.3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1</v>
      </c>
      <c r="V36" s="2" t="inlineStr">
        <is>
          <t>Svedjenäva
Svinrot
Mattlummer
Fläcknycklar</t>
        </is>
      </c>
      <c r="W36">
        <f>HYPERLINK("https://klasma.github.io/Logging_0482/artfynd/A 49808-2023 artfynd.xlsx", "A 49808-2023")</f>
        <v/>
      </c>
      <c r="X36">
        <f>HYPERLINK("https://klasma.github.io/Logging_0482/kartor/A 49808-2023 karta.png", "A 49808-2023")</f>
        <v/>
      </c>
      <c r="Y36">
        <f>HYPERLINK("https://klasma.github.io/Logging_0482/kartor_geotiff/A 49808-2023 georefererad karta.tif", "A 49808-2023")</f>
        <v/>
      </c>
      <c r="AA36">
        <f>HYPERLINK("https://klasma.github.io/Logging_0482/klagomål/A 49808-2023 FSC-klagomål.docx", "A 49808-2023")</f>
        <v/>
      </c>
      <c r="AB36">
        <f>HYPERLINK("https://klasma.github.io/Logging_0482/klagomålsmail/A 49808-2023 FSC-klagomål mail.docx", "A 49808-2023")</f>
        <v/>
      </c>
      <c r="AC36">
        <f>HYPERLINK("https://klasma.github.io/Logging_0482/tillsyn/A 49808-2023 tillsynsbegäran.docx", "A 49808-2023")</f>
        <v/>
      </c>
      <c r="AD36">
        <f>HYPERLINK("https://klasma.github.io/Logging_0482/tillsynsmail/A 49808-2023 tillsynsbegäran mail.docx", "A 49808-2023")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46313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46313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Skogsklocka
Svinrot
Vippärt
Grönvit nattviol</t>
        </is>
      </c>
      <c r="W38">
        <f>HYPERLINK("https://klasma.github.io/Logging_0482/artfynd/A 33225-2024 artfynd.xlsx", "A 33225-2024")</f>
        <v/>
      </c>
      <c r="X38">
        <f>HYPERLINK("https://klasma.github.io/Logging_0482/kartor/A 33225-2024 karta.png", "A 33225-2024")</f>
        <v/>
      </c>
      <c r="Y38">
        <f>HYPERLINK("https://klasma.github.io/Logging_0482/kartor_geotiff/A 33225-2024 georefererad karta.tif", "A 33225-2024")</f>
        <v/>
      </c>
      <c r="AA38">
        <f>HYPERLINK("https://klasma.github.io/Logging_0482/klagomål/A 33225-2024 FSC-klagomål.docx", "A 33225-2024")</f>
        <v/>
      </c>
      <c r="AB38">
        <f>HYPERLINK("https://klasma.github.io/Logging_0482/klagomålsmail/A 33225-2024 FSC-klagomål mail.docx", "A 33225-2024")</f>
        <v/>
      </c>
      <c r="AC38">
        <f>HYPERLINK("https://klasma.github.io/Logging_0482/tillsyn/A 33225-2024 tillsynsbegäran.docx", "A 33225-2024")</f>
        <v/>
      </c>
      <c r="AD38">
        <f>HYPERLINK("https://klasma.github.io/Logging_0482/tillsynsmail/A 33225-2024 tillsynsbegäran mail.docx", "A 33225-2024")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46313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46313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46313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21004-2025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46313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Ask
Parknål
Tallticka
Brun nållav</t>
        </is>
      </c>
      <c r="W42">
        <f>HYPERLINK("https://klasma.github.io/Logging_0482/artfynd/A 21004-2025 artfynd.xlsx", "A 21004-2025")</f>
        <v/>
      </c>
      <c r="X42">
        <f>HYPERLINK("https://klasma.github.io/Logging_0482/kartor/A 21004-2025 karta.png", "A 21004-2025")</f>
        <v/>
      </c>
      <c r="Y42">
        <f>HYPERLINK("https://klasma.github.io/Logging_0482/kartor_geotiff/A 21004-2025 georefererad karta.tif", "A 21004-2025")</f>
        <v/>
      </c>
      <c r="AA42">
        <f>HYPERLINK("https://klasma.github.io/Logging_0482/klagomål/A 21004-2025 FSC-klagomål.docx", "A 21004-2025")</f>
        <v/>
      </c>
      <c r="AB42">
        <f>HYPERLINK("https://klasma.github.io/Logging_0482/klagomålsmail/A 21004-2025 FSC-klagomål mail.docx", "A 21004-2025")</f>
        <v/>
      </c>
      <c r="AC42">
        <f>HYPERLINK("https://klasma.github.io/Logging_0482/tillsyn/A 21004-2025 tillsynsbegäran.docx", "A 21004-2025")</f>
        <v/>
      </c>
      <c r="AD42">
        <f>HYPERLINK("https://klasma.github.io/Logging_0482/tillsynsmail/A 21004-2025 tillsynsbegäran mail.docx", "A 21004-2025")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46313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46313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22839-2025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45789</v>
      </c>
      <c r="E45" s="1" t="n">
        <v>46313</v>
      </c>
      <c r="F45" t="inlineStr">
        <is>
          <t>SÖDERMANLANDS LÄN</t>
        </is>
      </c>
      <c r="G45" t="inlineStr">
        <is>
          <t>FLEN</t>
        </is>
      </c>
      <c r="I45" t="n">
        <v>4.5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Blåsippa
Ekbräken
Missne</t>
        </is>
      </c>
      <c r="W45">
        <f>HYPERLINK("https://klasma.github.io/Logging_0482/artfynd/A 22839-2025 artfynd.xlsx", "A 22839-2025")</f>
        <v/>
      </c>
      <c r="X45">
        <f>HYPERLINK("https://klasma.github.io/Logging_0482/kartor/A 22839-2025 karta.png", "A 22839-2025")</f>
        <v/>
      </c>
      <c r="Y45">
        <f>HYPERLINK("https://klasma.github.io/Logging_0482/kartor_geotiff/A 22839-2025 georefererad karta.tif", "A 22839-2025")</f>
        <v/>
      </c>
      <c r="AA45">
        <f>HYPERLINK("https://klasma.github.io/Logging_0482/klagomål/A 22839-2025 FSC-klagomål.docx", "A 22839-2025")</f>
        <v/>
      </c>
      <c r="AB45">
        <f>HYPERLINK("https://klasma.github.io/Logging_0482/klagomålsmail/A 22839-2025 FSC-klagomål mail.docx", "A 22839-2025")</f>
        <v/>
      </c>
      <c r="AC45">
        <f>HYPERLINK("https://klasma.github.io/Logging_0482/tillsyn/A 22839-2025 tillsynsbegäran.docx", "A 22839-2025")</f>
        <v/>
      </c>
      <c r="AD45">
        <f>HYPERLINK("https://klasma.github.io/Logging_0482/tillsynsmail/A 22839-2025 tillsynsbegäran mail.docx", "A 22839-2025")</f>
        <v/>
      </c>
    </row>
    <row r="46" ht="15" customHeight="1">
      <c r="A46" t="inlineStr">
        <is>
          <t>A 54302-2025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46313</v>
      </c>
      <c r="F46" t="inlineStr">
        <is>
          <t>SÖDERMANLANDS LÄN</t>
        </is>
      </c>
      <c r="G46" t="inlineStr">
        <is>
          <t>FLEN</t>
        </is>
      </c>
      <c r="I46" t="n">
        <v>12.6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Dofttaggsvamp
Svinrot
Mattlummer</t>
        </is>
      </c>
      <c r="W46">
        <f>HYPERLINK("https://klasma.github.io/Logging_0482/artfynd/A 54302-2025 artfynd.xlsx", "A 54302-2025")</f>
        <v/>
      </c>
      <c r="X46">
        <f>HYPERLINK("https://klasma.github.io/Logging_0482/kartor/A 54302-2025 karta.png", "A 54302-2025")</f>
        <v/>
      </c>
      <c r="Y46">
        <f>HYPERLINK("https://klasma.github.io/Logging_0482/kartor_geotiff/A 54302-2025 georefererad karta.tif", "A 54302-2025")</f>
        <v/>
      </c>
      <c r="AA46">
        <f>HYPERLINK("https://klasma.github.io/Logging_0482/klagomål/A 54302-2025 FSC-klagomål.docx", "A 54302-2025")</f>
        <v/>
      </c>
      <c r="AB46">
        <f>HYPERLINK("https://klasma.github.io/Logging_0482/klagomålsmail/A 54302-2025 FSC-klagomål mail.docx", "A 54302-2025")</f>
        <v/>
      </c>
      <c r="AC46">
        <f>HYPERLINK("https://klasma.github.io/Logging_0482/tillsyn/A 54302-2025 tillsynsbegäran.docx", "A 54302-2025")</f>
        <v/>
      </c>
      <c r="AD46">
        <f>HYPERLINK("https://klasma.github.io/Logging_0482/tillsynsmail/A 54302-2025 tillsynsbegäran mail.docx", "A 54302-2025")</f>
        <v/>
      </c>
    </row>
    <row r="47" ht="15" customHeight="1">
      <c r="A47" t="inlineStr">
        <is>
          <t>A 9539-2026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46313</v>
      </c>
      <c r="F47" t="inlineStr">
        <is>
          <t>SÖDERMANLANDS LÄN</t>
        </is>
      </c>
      <c r="G47" t="inlineStr">
        <is>
          <t>FLEN</t>
        </is>
      </c>
      <c r="I47" t="n">
        <v>7.6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Slåtterfibbla
Blåsippa</t>
        </is>
      </c>
      <c r="W47">
        <f>HYPERLINK("https://klasma.github.io/Logging_0482/artfynd/A 9539-2026 artfynd.xlsx", "A 9539-2026")</f>
        <v/>
      </c>
      <c r="X47">
        <f>HYPERLINK("https://klasma.github.io/Logging_0482/kartor/A 9539-2026 karta.png", "A 9539-2026")</f>
        <v/>
      </c>
      <c r="Y47">
        <f>HYPERLINK("https://klasma.github.io/Logging_0482/kartor_geotiff/A 9539-2026 georefererad karta.tif", "A 9539-2026")</f>
        <v/>
      </c>
      <c r="AA47">
        <f>HYPERLINK("https://klasma.github.io/Logging_0482/klagomål/A 9539-2026 FSC-klagomål.docx", "A 9539-2026")</f>
        <v/>
      </c>
      <c r="AB47">
        <f>HYPERLINK("https://klasma.github.io/Logging_0482/klagomålsmail/A 9539-2026 FSC-klagomål mail.docx", "A 9539-2026")</f>
        <v/>
      </c>
      <c r="AC47">
        <f>HYPERLINK("https://klasma.github.io/Logging_0482/tillsyn/A 9539-2026 tillsynsbegäran.docx", "A 9539-2026")</f>
        <v/>
      </c>
      <c r="AD47">
        <f>HYPERLINK("https://klasma.github.io/Logging_0482/tillsynsmail/A 9539-2026 tillsynsbegäran mail.docx", "A 9539-2026")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46313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46313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2203-2022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46313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2.9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Knärot
Grönpyrola
Revlummer</t>
        </is>
      </c>
      <c r="W50">
        <f>HYPERLINK("https://klasma.github.io/Logging_0482/artfynd/A 2203-2022 artfynd.xlsx", "A 2203-2022")</f>
        <v/>
      </c>
      <c r="X50">
        <f>HYPERLINK("https://klasma.github.io/Logging_0482/kartor/A 2203-2022 karta.png", "A 2203-2022")</f>
        <v/>
      </c>
      <c r="Y50">
        <f>HYPERLINK("https://klasma.github.io/Logging_0482/kartor_geotiff/A 2203-2022 georefererad karta.tif", "A 2203-2022")</f>
        <v/>
      </c>
      <c r="Z50">
        <f>HYPERLINK("https://klasma.github.io/Logging_0482/knärot/A 2203-2022 karta knärot.png", "A 2203-2022")</f>
        <v/>
      </c>
      <c r="AA50">
        <f>HYPERLINK("https://klasma.github.io/Logging_0482/klagomål/A 2203-2022 FSC-klagomål.docx", "A 2203-2022")</f>
        <v/>
      </c>
      <c r="AB50">
        <f>HYPERLINK("https://klasma.github.io/Logging_0482/klagomålsmail/A 2203-2022 FSC-klagomål mail.docx", "A 2203-2022")</f>
        <v/>
      </c>
      <c r="AC50">
        <f>HYPERLINK("https://klasma.github.io/Logging_0482/tillsyn/A 2203-2022 tillsynsbegäran.docx", "A 2203-2022")</f>
        <v/>
      </c>
      <c r="AD50">
        <f>HYPERLINK("https://klasma.github.io/Logging_0482/tillsynsmail/A 2203-2022 tillsynsbegäran mail.docx", "A 2203-2022")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46313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29895-2026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46313</v>
      </c>
      <c r="F52" t="inlineStr">
        <is>
          <t>SÖDERMANLANDS LÄN</t>
        </is>
      </c>
      <c r="G52" t="inlineStr">
        <is>
          <t>FLEN</t>
        </is>
      </c>
      <c r="I52" t="n">
        <v>0.7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Gullklöver
Svinrot
Revlummer</t>
        </is>
      </c>
      <c r="W52">
        <f>HYPERLINK("https://klasma.github.io/Logging_0482/artfynd/A 29895-2026 artfynd.xlsx", "A 29895-2026")</f>
        <v/>
      </c>
      <c r="X52">
        <f>HYPERLINK("https://klasma.github.io/Logging_0482/kartor/A 29895-2026 karta.png", "A 29895-2026")</f>
        <v/>
      </c>
      <c r="Y52">
        <f>HYPERLINK("https://klasma.github.io/Logging_0482/kartor_geotiff/A 29895-2026 georefererad karta.tif", "A 29895-2026")</f>
        <v/>
      </c>
      <c r="AA52">
        <f>HYPERLINK("https://klasma.github.io/Logging_0482/klagomål/A 29895-2026 FSC-klagomål.docx", "A 29895-2026")</f>
        <v/>
      </c>
      <c r="AB52">
        <f>HYPERLINK("https://klasma.github.io/Logging_0482/klagomålsmail/A 29895-2026 FSC-klagomål mail.docx", "A 29895-2026")</f>
        <v/>
      </c>
      <c r="AC52">
        <f>HYPERLINK("https://klasma.github.io/Logging_0482/tillsyn/A 29895-2026 tillsynsbegäran.docx", "A 29895-2026")</f>
        <v/>
      </c>
      <c r="AD52">
        <f>HYPERLINK("https://klasma.github.io/Logging_0482/tillsynsmail/A 29895-2026 tillsynsbegäran mail.docx", "A 29895-2026")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46313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33853-2022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46313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1.9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Gullklöver
Sädesärla
Svart trolldruva</t>
        </is>
      </c>
      <c r="W54">
        <f>HYPERLINK("https://klasma.github.io/Logging_0482/artfynd/A 33853-2022 artfynd.xlsx", "A 33853-2022")</f>
        <v/>
      </c>
      <c r="X54">
        <f>HYPERLINK("https://klasma.github.io/Logging_0482/kartor/A 33853-2022 karta.png", "A 33853-2022")</f>
        <v/>
      </c>
      <c r="Y54">
        <f>HYPERLINK("https://klasma.github.io/Logging_0482/kartor_geotiff/A 33853-2022 georefererad karta.tif", "A 33853-2022")</f>
        <v/>
      </c>
      <c r="AA54">
        <f>HYPERLINK("https://klasma.github.io/Logging_0482/klagomål/A 33853-2022 FSC-klagomål.docx", "A 33853-2022")</f>
        <v/>
      </c>
      <c r="AB54">
        <f>HYPERLINK("https://klasma.github.io/Logging_0482/klagomålsmail/A 33853-2022 FSC-klagomål mail.docx", "A 33853-2022")</f>
        <v/>
      </c>
      <c r="AC54">
        <f>HYPERLINK("https://klasma.github.io/Logging_0482/tillsyn/A 33853-2022 tillsynsbegäran.docx", "A 33853-2022")</f>
        <v/>
      </c>
      <c r="AD54">
        <f>HYPERLINK("https://klasma.github.io/Logging_0482/tillsynsmail/A 33853-2022 tillsynsbegäran mail.docx", "A 33853-2022")</f>
        <v/>
      </c>
      <c r="AE54">
        <f>HYPERLINK("https://klasma.github.io/Logging_0482/fåglar/A 33853-2022 prioriterade fågelarter.docx", "A 33853-2022")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46313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46313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46313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46313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46313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46313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46313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41435-2022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44826</v>
      </c>
      <c r="E62" s="1" t="n">
        <v>46313</v>
      </c>
      <c r="F62" t="inlineStr">
        <is>
          <t>SÖDERMANLANDS LÄN</t>
        </is>
      </c>
      <c r="G62" t="inlineStr">
        <is>
          <t>FLEN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Vitsippa
Gullviva</t>
        </is>
      </c>
      <c r="W62">
        <f>HYPERLINK("https://klasma.github.io/Logging_0482/artfynd/A 41435-2022 artfynd.xlsx", "A 41435-2022")</f>
        <v/>
      </c>
      <c r="X62">
        <f>HYPERLINK("https://klasma.github.io/Logging_0482/kartor/A 41435-2022 karta.png", "A 41435-2022")</f>
        <v/>
      </c>
      <c r="Y62">
        <f>HYPERLINK("https://klasma.github.io/Logging_0482/kartor_geotiff/A 41435-2022 georefererad karta.tif", "A 41435-2022")</f>
        <v/>
      </c>
      <c r="AA62">
        <f>HYPERLINK("https://klasma.github.io/Logging_0482/klagomål/A 41435-2022 FSC-klagomål.docx", "A 41435-2022")</f>
        <v/>
      </c>
      <c r="AB62">
        <f>HYPERLINK("https://klasma.github.io/Logging_0482/klagomålsmail/A 41435-2022 FSC-klagomål mail.docx", "A 41435-2022")</f>
        <v/>
      </c>
      <c r="AC62">
        <f>HYPERLINK("https://klasma.github.io/Logging_0482/tillsyn/A 41435-2022 tillsynsbegäran.docx", "A 41435-2022")</f>
        <v/>
      </c>
      <c r="AD62">
        <f>HYPERLINK("https://klasma.github.io/Logging_0482/tillsynsmail/A 41435-2022 tillsynsbegäran mail.docx", "A 41435-2022")</f>
        <v/>
      </c>
    </row>
    <row r="63" ht="15" customHeight="1">
      <c r="A63" t="inlineStr">
        <is>
          <t>A 52858-2023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46313</v>
      </c>
      <c r="F63" t="inlineStr">
        <is>
          <t>SÖDERMANLANDS LÄN</t>
        </is>
      </c>
      <c r="G63" t="inlineStr">
        <is>
          <t>FLEN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t="n">
        <v>1</v>
      </c>
      <c r="V63" s="2" t="inlineStr">
        <is>
          <t>Mindre hackspett
Tallticka</t>
        </is>
      </c>
      <c r="W63">
        <f>HYPERLINK("https://klasma.github.io/Logging_0482/artfynd/A 52858-2023 artfynd.xlsx", "A 52858-2023")</f>
        <v/>
      </c>
      <c r="X63">
        <f>HYPERLINK("https://klasma.github.io/Logging_0482/kartor/A 52858-2023 karta.png", "A 52858-2023")</f>
        <v/>
      </c>
      <c r="Y63">
        <f>HYPERLINK("https://klasma.github.io/Logging_0482/kartor_geotiff/A 52858-2023 georefererad karta.tif", "A 52858-2023")</f>
        <v/>
      </c>
      <c r="AA63">
        <f>HYPERLINK("https://klasma.github.io/Logging_0482/klagomål/A 52858-2023 FSC-klagomål.docx", "A 52858-2023")</f>
        <v/>
      </c>
      <c r="AB63">
        <f>HYPERLINK("https://klasma.github.io/Logging_0482/klagomålsmail/A 52858-2023 FSC-klagomål mail.docx", "A 52858-2023")</f>
        <v/>
      </c>
      <c r="AC63">
        <f>HYPERLINK("https://klasma.github.io/Logging_0482/tillsyn/A 52858-2023 tillsynsbegäran.docx", "A 52858-2023")</f>
        <v/>
      </c>
      <c r="AD63">
        <f>HYPERLINK("https://klasma.github.io/Logging_0482/tillsynsmail/A 52858-2023 tillsynsbegäran mail.docx", "A 52858-2023")</f>
        <v/>
      </c>
      <c r="AE63">
        <f>HYPERLINK("https://klasma.github.io/Logging_0482/fåglar/A 52858-2023 prioriterade fågelarter.docx", "A 52858-2023")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46313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46313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35278-2022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46313</v>
      </c>
      <c r="F66" t="inlineStr">
        <is>
          <t>SÖDERMANLANDS LÄN</t>
        </is>
      </c>
      <c r="G66" t="inlineStr">
        <is>
          <t>FLEN</t>
        </is>
      </c>
      <c r="I66" t="n">
        <v>2.3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3</v>
      </c>
      <c r="U66" t="n">
        <v>2</v>
      </c>
      <c r="V66" s="2" t="inlineStr">
        <is>
          <t>Igelkott
Grönvit nattviol</t>
        </is>
      </c>
      <c r="W66">
        <f>HYPERLINK("https://klasma.github.io/Logging_0482/artfynd/A 35278-2022 artfynd.xlsx", "A 35278-2022")</f>
        <v/>
      </c>
      <c r="X66">
        <f>HYPERLINK("https://klasma.github.io/Logging_0482/kartor/A 35278-2022 karta.png", "A 35278-2022")</f>
        <v/>
      </c>
      <c r="Y66">
        <f>HYPERLINK("https://klasma.github.io/Logging_0482/kartor_geotiff/A 35278-2022 georefererad karta.tif", "A 35278-2022")</f>
        <v/>
      </c>
      <c r="AA66">
        <f>HYPERLINK("https://klasma.github.io/Logging_0482/klagomål/A 35278-2022 FSC-klagomål.docx", "A 35278-2022")</f>
        <v/>
      </c>
      <c r="AB66">
        <f>HYPERLINK("https://klasma.github.io/Logging_0482/klagomålsmail/A 35278-2022 FSC-klagomål mail.docx", "A 35278-2022")</f>
        <v/>
      </c>
      <c r="AC66">
        <f>HYPERLINK("https://klasma.github.io/Logging_0482/tillsyn/A 35278-2022 tillsynsbegäran.docx", "A 35278-2022")</f>
        <v/>
      </c>
      <c r="AD66">
        <f>HYPERLINK("https://klasma.github.io/Logging_0482/tillsynsmail/A 35278-2022 tillsynsbegäran mail.docx", "A 35278-2022")</f>
        <v/>
      </c>
    </row>
    <row r="67" ht="15" customHeight="1">
      <c r="A67" t="inlineStr">
        <is>
          <t>A 7506-2023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44971</v>
      </c>
      <c r="E67" s="1" t="n">
        <v>46313</v>
      </c>
      <c r="F67" t="inlineStr">
        <is>
          <t>SÖDERMANLANDS LÄN</t>
        </is>
      </c>
      <c r="G67" t="inlineStr">
        <is>
          <t>FLEN</t>
        </is>
      </c>
      <c r="I67" t="n">
        <v>3.3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Svinrot</t>
        </is>
      </c>
      <c r="W67">
        <f>HYPERLINK("https://klasma.github.io/Logging_0482/artfynd/A 7506-2023 artfynd.xlsx", "A 7506-2023")</f>
        <v/>
      </c>
      <c r="X67">
        <f>HYPERLINK("https://klasma.github.io/Logging_0482/kartor/A 7506-2023 karta.png", "A 7506-2023")</f>
        <v/>
      </c>
      <c r="Y67">
        <f>HYPERLINK("https://klasma.github.io/Logging_0482/kartor_geotiff/A 7506-2023 georefererad karta.tif", "A 7506-2023")</f>
        <v/>
      </c>
      <c r="AA67">
        <f>HYPERLINK("https://klasma.github.io/Logging_0482/klagomål/A 7506-2023 FSC-klagomål.docx", "A 7506-2023")</f>
        <v/>
      </c>
      <c r="AB67">
        <f>HYPERLINK("https://klasma.github.io/Logging_0482/klagomålsmail/A 7506-2023 FSC-klagomål mail.docx", "A 7506-2023")</f>
        <v/>
      </c>
      <c r="AC67">
        <f>HYPERLINK("https://klasma.github.io/Logging_0482/tillsyn/A 7506-2023 tillsynsbegäran.docx", "A 7506-2023")</f>
        <v/>
      </c>
      <c r="AD67">
        <f>HYPERLINK("https://klasma.github.io/Logging_0482/tillsynsmail/A 7506-2023 tillsynsbegäran mail.docx", "A 7506-2023")</f>
        <v/>
      </c>
    </row>
    <row r="68" ht="15" customHeight="1">
      <c r="A68" t="inlineStr">
        <is>
          <t>A 32744-2025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45838</v>
      </c>
      <c r="E68" s="1" t="n">
        <v>46313</v>
      </c>
      <c r="F68" t="inlineStr">
        <is>
          <t>SÖDERMANLANDS LÄN</t>
        </is>
      </c>
      <c r="G68" t="inlineStr">
        <is>
          <t>FLEN</t>
        </is>
      </c>
      <c r="I68" t="n">
        <v>1.8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Ekticka
Klasefibbla</t>
        </is>
      </c>
      <c r="W68">
        <f>HYPERLINK("https://klasma.github.io/Logging_0482/artfynd/A 32744-2025 artfynd.xlsx", "A 32744-2025")</f>
        <v/>
      </c>
      <c r="X68">
        <f>HYPERLINK("https://klasma.github.io/Logging_0482/kartor/A 32744-2025 karta.png", "A 32744-2025")</f>
        <v/>
      </c>
      <c r="Y68">
        <f>HYPERLINK("https://klasma.github.io/Logging_0482/kartor_geotiff/A 32744-2025 georefererad karta.tif", "A 32744-2025")</f>
        <v/>
      </c>
      <c r="AA68">
        <f>HYPERLINK("https://klasma.github.io/Logging_0482/klagomål/A 32744-2025 FSC-klagomål.docx", "A 32744-2025")</f>
        <v/>
      </c>
      <c r="AB68">
        <f>HYPERLINK("https://klasma.github.io/Logging_0482/klagomålsmail/A 32744-2025 FSC-klagomål mail.docx", "A 32744-2025")</f>
        <v/>
      </c>
      <c r="AC68">
        <f>HYPERLINK("https://klasma.github.io/Logging_0482/tillsyn/A 32744-2025 tillsynsbegäran.docx", "A 32744-2025")</f>
        <v/>
      </c>
      <c r="AD68">
        <f>HYPERLINK("https://klasma.github.io/Logging_0482/tillsynsmail/A 32744-2025 tillsynsbegäran mail.docx", "A 32744-2025")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46313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8887-2026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46068</v>
      </c>
      <c r="E70" s="1" t="n">
        <v>46313</v>
      </c>
      <c r="F70" t="inlineStr">
        <is>
          <t>SÖDERMANLANDS LÄN</t>
        </is>
      </c>
      <c r="G70" t="inlineStr">
        <is>
          <t>FLEN</t>
        </is>
      </c>
      <c r="I70" t="n">
        <v>2.1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HYPERLINK("https://klasma.github.io/Logging_0482/artfynd/A 8887-2026 artfynd.xlsx", "A 8887-2026")</f>
        <v/>
      </c>
      <c r="X70">
        <f>HYPERLINK("https://klasma.github.io/Logging_0482/kartor/A 8887-2026 karta.png", "A 8887-2026")</f>
        <v/>
      </c>
      <c r="Y70">
        <f>HYPERLINK("https://klasma.github.io/Logging_0482/kartor_geotiff/A 8887-2026 georefererad karta.tif", "A 8887-2026")</f>
        <v/>
      </c>
      <c r="AA70">
        <f>HYPERLINK("https://klasma.github.io/Logging_0482/klagomål/A 8887-2026 FSC-klagomål.docx", "A 8887-2026")</f>
        <v/>
      </c>
      <c r="AB70">
        <f>HYPERLINK("https://klasma.github.io/Logging_0482/klagomålsmail/A 8887-2026 FSC-klagomål mail.docx", "A 8887-2026")</f>
        <v/>
      </c>
      <c r="AC70">
        <f>HYPERLINK("https://klasma.github.io/Logging_0482/tillsyn/A 8887-2026 tillsynsbegäran.docx", "A 8887-2026")</f>
        <v/>
      </c>
      <c r="AD70">
        <f>HYPERLINK("https://klasma.github.io/Logging_0482/tillsynsmail/A 8887-2026 tillsynsbegäran mail.docx", "A 8887-2026")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46313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22101-2023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46313</v>
      </c>
      <c r="F72" t="inlineStr">
        <is>
          <t>SÖDERMANLANDS LÄN</t>
        </is>
      </c>
      <c r="G72" t="inlineStr">
        <is>
          <t>FLEN</t>
        </is>
      </c>
      <c r="I72" t="n">
        <v>2.7</v>
      </c>
      <c r="J72" t="n">
        <v>2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Bombmurkla
Blåsippa</t>
        </is>
      </c>
      <c r="W72">
        <f>HYPERLINK("https://klasma.github.io/Logging_0482/artfynd/A 22101-2023 artfynd.xlsx", "A 22101-2023")</f>
        <v/>
      </c>
      <c r="X72">
        <f>HYPERLINK("https://klasma.github.io/Logging_0482/kartor/A 22101-2023 karta.png", "A 22101-2023")</f>
        <v/>
      </c>
      <c r="Y72">
        <f>HYPERLINK("https://klasma.github.io/Logging_0482/kartor_geotiff/A 22101-2023 georefererad karta.tif", "A 22101-2023")</f>
        <v/>
      </c>
      <c r="AA72">
        <f>HYPERLINK("https://klasma.github.io/Logging_0482/klagomål/A 22101-2023 FSC-klagomål.docx", "A 22101-2023")</f>
        <v/>
      </c>
      <c r="AB72">
        <f>HYPERLINK("https://klasma.github.io/Logging_0482/klagomålsmail/A 22101-2023 FSC-klagomål mail.docx", "A 22101-2023")</f>
        <v/>
      </c>
      <c r="AC72">
        <f>HYPERLINK("https://klasma.github.io/Logging_0482/tillsyn/A 22101-2023 tillsynsbegäran.docx", "A 22101-2023")</f>
        <v/>
      </c>
      <c r="AD72">
        <f>HYPERLINK("https://klasma.github.io/Logging_0482/tillsynsmail/A 22101-2023 tillsynsbegäran mail.docx", "A 22101-2023")</f>
        <v/>
      </c>
    </row>
    <row r="73" ht="15" customHeight="1">
      <c r="A73" t="inlineStr">
        <is>
          <t>A 59607-2022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44907</v>
      </c>
      <c r="E73" s="1" t="n">
        <v>46313</v>
      </c>
      <c r="F73" t="inlineStr">
        <is>
          <t>SÖDERMANLANDS LÄN</t>
        </is>
      </c>
      <c r="G73" t="inlineStr">
        <is>
          <t>FLEN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Jungfrulin
Svinrot</t>
        </is>
      </c>
      <c r="W73">
        <f>HYPERLINK("https://klasma.github.io/Logging_0482/artfynd/A 59607-2022 artfynd.xlsx", "A 59607-2022")</f>
        <v/>
      </c>
      <c r="X73">
        <f>HYPERLINK("https://klasma.github.io/Logging_0482/kartor/A 59607-2022 karta.png", "A 59607-2022")</f>
        <v/>
      </c>
      <c r="Y73">
        <f>HYPERLINK("https://klasma.github.io/Logging_0482/kartor_geotiff/A 59607-2022 georefererad karta.tif", "A 59607-2022")</f>
        <v/>
      </c>
      <c r="AA73">
        <f>HYPERLINK("https://klasma.github.io/Logging_0482/klagomål/A 59607-2022 FSC-klagomål.docx", "A 59607-2022")</f>
        <v/>
      </c>
      <c r="AB73">
        <f>HYPERLINK("https://klasma.github.io/Logging_0482/klagomålsmail/A 59607-2022 FSC-klagomål mail.docx", "A 59607-2022")</f>
        <v/>
      </c>
      <c r="AC73">
        <f>HYPERLINK("https://klasma.github.io/Logging_0482/tillsyn/A 59607-2022 tillsynsbegäran.docx", "A 59607-2022")</f>
        <v/>
      </c>
      <c r="AD73">
        <f>HYPERLINK("https://klasma.github.io/Logging_0482/tillsynsmail/A 59607-2022 tillsynsbegäran mail.docx", "A 59607-2022")</f>
        <v/>
      </c>
    </row>
    <row r="74" ht="15" customHeight="1">
      <c r="A74" t="inlineStr">
        <is>
          <t>A 5852-2022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46313</v>
      </c>
      <c r="F74" t="inlineStr">
        <is>
          <t>SÖDERMANLANDS LÄN</t>
        </is>
      </c>
      <c r="G74" t="inlineStr">
        <is>
          <t>FLEN</t>
        </is>
      </c>
      <c r="I74" t="n">
        <v>2.6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Kamjordstjärna
Gullviva</t>
        </is>
      </c>
      <c r="W74">
        <f>HYPERLINK("https://klasma.github.io/Logging_0482/artfynd/A 5852-2022 artfynd.xlsx", "A 5852-2022")</f>
        <v/>
      </c>
      <c r="X74">
        <f>HYPERLINK("https://klasma.github.io/Logging_0482/kartor/A 5852-2022 karta.png", "A 5852-2022")</f>
        <v/>
      </c>
      <c r="Y74">
        <f>HYPERLINK("https://klasma.github.io/Logging_0482/kartor_geotiff/A 5852-2022 georefererad karta.tif", "A 5852-2022")</f>
        <v/>
      </c>
      <c r="AA74">
        <f>HYPERLINK("https://klasma.github.io/Logging_0482/klagomål/A 5852-2022 FSC-klagomål.docx", "A 5852-2022")</f>
        <v/>
      </c>
      <c r="AB74">
        <f>HYPERLINK("https://klasma.github.io/Logging_0482/klagomålsmail/A 5852-2022 FSC-klagomål mail.docx", "A 5852-2022")</f>
        <v/>
      </c>
      <c r="AC74">
        <f>HYPERLINK("https://klasma.github.io/Logging_0482/tillsyn/A 5852-2022 tillsynsbegäran.docx", "A 5852-2022")</f>
        <v/>
      </c>
      <c r="AD74">
        <f>HYPERLINK("https://klasma.github.io/Logging_0482/tillsynsmail/A 5852-2022 tillsynsbegäran mail.docx", "A 5852-2022")</f>
        <v/>
      </c>
    </row>
    <row r="75" ht="15" customHeight="1">
      <c r="A75" t="inlineStr">
        <is>
          <t>A 39240-2023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46313</v>
      </c>
      <c r="F75" t="inlineStr">
        <is>
          <t>SÖDERMANLANDS LÄN</t>
        </is>
      </c>
      <c r="G75" t="inlineStr">
        <is>
          <t>FLEN</t>
        </is>
      </c>
      <c r="H75" t="inlineStr">
        <is>
          <t>Holmen skog AB</t>
        </is>
      </c>
      <c r="I75" t="n">
        <v>4.6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Motaggsvamp
Blodticka</t>
        </is>
      </c>
      <c r="W75">
        <f>HYPERLINK("https://klasma.github.io/Logging_0482/artfynd/A 39240-2023 artfynd.xlsx", "A 39240-2023")</f>
        <v/>
      </c>
      <c r="X75">
        <f>HYPERLINK("https://klasma.github.io/Logging_0482/kartor/A 39240-2023 karta.png", "A 39240-2023")</f>
        <v/>
      </c>
      <c r="Y75">
        <f>HYPERLINK("https://klasma.github.io/Logging_0482/kartor_geotiff/A 39240-2023 georefererad karta.tif", "A 39240-2023")</f>
        <v/>
      </c>
      <c r="AA75">
        <f>HYPERLINK("https://klasma.github.io/Logging_0482/klagomål/A 39240-2023 FSC-klagomål.docx", "A 39240-2023")</f>
        <v/>
      </c>
      <c r="AB75">
        <f>HYPERLINK("https://klasma.github.io/Logging_0482/klagomålsmail/A 39240-2023 FSC-klagomål mail.docx", "A 39240-2023")</f>
        <v/>
      </c>
      <c r="AC75">
        <f>HYPERLINK("https://klasma.github.io/Logging_0482/tillsyn/A 39240-2023 tillsynsbegäran.docx", "A 39240-2023")</f>
        <v/>
      </c>
      <c r="AD75">
        <f>HYPERLINK("https://klasma.github.io/Logging_0482/tillsynsmail/A 39240-2023 tillsynsbegäran mail.docx", "A 39240-2023")</f>
        <v/>
      </c>
    </row>
    <row r="76" ht="15" customHeight="1">
      <c r="A76" t="inlineStr">
        <is>
          <t>A 47194-2022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46313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2.3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Gullklöver
Svinrot</t>
        </is>
      </c>
      <c r="W76">
        <f>HYPERLINK("https://klasma.github.io/Logging_0482/artfynd/A 47194-2022 artfynd.xlsx", "A 47194-2022")</f>
        <v/>
      </c>
      <c r="X76">
        <f>HYPERLINK("https://klasma.github.io/Logging_0482/kartor/A 47194-2022 karta.png", "A 47194-2022")</f>
        <v/>
      </c>
      <c r="Y76">
        <f>HYPERLINK("https://klasma.github.io/Logging_0482/kartor_geotiff/A 47194-2022 georefererad karta.tif", "A 47194-2022")</f>
        <v/>
      </c>
      <c r="AA76">
        <f>HYPERLINK("https://klasma.github.io/Logging_0482/klagomål/A 47194-2022 FSC-klagomål.docx", "A 47194-2022")</f>
        <v/>
      </c>
      <c r="AB76">
        <f>HYPERLINK("https://klasma.github.io/Logging_0482/klagomålsmail/A 47194-2022 FSC-klagomål mail.docx", "A 47194-2022")</f>
        <v/>
      </c>
      <c r="AC76">
        <f>HYPERLINK("https://klasma.github.io/Logging_0482/tillsyn/A 47194-2022 tillsynsbegäran.docx", "A 47194-2022")</f>
        <v/>
      </c>
      <c r="AD76">
        <f>HYPERLINK("https://klasma.github.io/Logging_0482/tillsynsmail/A 47194-2022 tillsynsbegäran mail.docx", "A 47194-2022")</f>
        <v/>
      </c>
    </row>
    <row r="77" ht="15" customHeight="1">
      <c r="A77" t="inlineStr">
        <is>
          <t>A 33107-2022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44785</v>
      </c>
      <c r="E77" s="1" t="n">
        <v>46313</v>
      </c>
      <c r="F77" t="inlineStr">
        <is>
          <t>SÖDERMANLANDS LÄN</t>
        </is>
      </c>
      <c r="G77" t="inlineStr">
        <is>
          <t>FLEN</t>
        </is>
      </c>
      <c r="I77" t="n">
        <v>5.9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Fjällig taggsvamp s.str.
Gullklöver</t>
        </is>
      </c>
      <c r="W77">
        <f>HYPERLINK("https://klasma.github.io/Logging_0482/artfynd/A 33107-2022 artfynd.xlsx", "A 33107-2022")</f>
        <v/>
      </c>
      <c r="X77">
        <f>HYPERLINK("https://klasma.github.io/Logging_0482/kartor/A 33107-2022 karta.png", "A 33107-2022")</f>
        <v/>
      </c>
      <c r="Y77">
        <f>HYPERLINK("https://klasma.github.io/Logging_0482/kartor_geotiff/A 33107-2022 georefererad karta.tif", "A 33107-2022")</f>
        <v/>
      </c>
      <c r="AA77">
        <f>HYPERLINK("https://klasma.github.io/Logging_0482/klagomål/A 33107-2022 FSC-klagomål.docx", "A 33107-2022")</f>
        <v/>
      </c>
      <c r="AB77">
        <f>HYPERLINK("https://klasma.github.io/Logging_0482/klagomålsmail/A 33107-2022 FSC-klagomål mail.docx", "A 33107-2022")</f>
        <v/>
      </c>
      <c r="AC77">
        <f>HYPERLINK("https://klasma.github.io/Logging_0482/tillsyn/A 33107-2022 tillsynsbegäran.docx", "A 33107-2022")</f>
        <v/>
      </c>
      <c r="AD77">
        <f>HYPERLINK("https://klasma.github.io/Logging_0482/tillsynsmail/A 33107-2022 tillsynsbegäran mail.docx", "A 33107-2022")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46313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10825-2022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44624</v>
      </c>
      <c r="E79" s="1" t="n">
        <v>46313</v>
      </c>
      <c r="F79" t="inlineStr">
        <is>
          <t>SÖDERMANLANDS LÄN</t>
        </is>
      </c>
      <c r="G79" t="inlineStr">
        <is>
          <t>FLEN</t>
        </is>
      </c>
      <c r="I79" t="n">
        <v>4.7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Vanlig backsmörblomma</t>
        </is>
      </c>
      <c r="W79">
        <f>HYPERLINK("https://klasma.github.io/Logging_0482/artfynd/A 10825-2022 artfynd.xlsx", "A 10825-2022")</f>
        <v/>
      </c>
      <c r="X79">
        <f>HYPERLINK("https://klasma.github.io/Logging_0482/kartor/A 10825-2022 karta.png", "A 10825-2022")</f>
        <v/>
      </c>
      <c r="Y79">
        <f>HYPERLINK("https://klasma.github.io/Logging_0482/kartor_geotiff/A 10825-2022 georefererad karta.tif", "A 10825-2022")</f>
        <v/>
      </c>
      <c r="AA79">
        <f>HYPERLINK("https://klasma.github.io/Logging_0482/klagomål/A 10825-2022 FSC-klagomål.docx", "A 10825-2022")</f>
        <v/>
      </c>
      <c r="AB79">
        <f>HYPERLINK("https://klasma.github.io/Logging_0482/klagomålsmail/A 10825-2022 FSC-klagomål mail.docx", "A 10825-2022")</f>
        <v/>
      </c>
      <c r="AC79">
        <f>HYPERLINK("https://klasma.github.io/Logging_0482/tillsyn/A 10825-2022 tillsynsbegäran.docx", "A 10825-2022")</f>
        <v/>
      </c>
      <c r="AD79">
        <f>HYPERLINK("https://klasma.github.io/Logging_0482/tillsynsmail/A 10825-2022 tillsynsbegäran mail.docx", "A 10825-2022")</f>
        <v/>
      </c>
    </row>
    <row r="80" ht="15" customHeight="1">
      <c r="A80" t="inlineStr">
        <is>
          <t>A 11103-2023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46313</v>
      </c>
      <c r="F80" t="inlineStr">
        <is>
          <t>SÖDERMANLANDS LÄN</t>
        </is>
      </c>
      <c r="G80" t="inlineStr">
        <is>
          <t>FLEN</t>
        </is>
      </c>
      <c r="I80" t="n">
        <v>8.9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Ask
Blåmossa</t>
        </is>
      </c>
      <c r="W80">
        <f>HYPERLINK("https://klasma.github.io/Logging_0482/artfynd/A 11103-2023 artfynd.xlsx", "A 11103-2023")</f>
        <v/>
      </c>
      <c r="X80">
        <f>HYPERLINK("https://klasma.github.io/Logging_0482/kartor/A 11103-2023 karta.png", "A 11103-2023")</f>
        <v/>
      </c>
      <c r="Y80">
        <f>HYPERLINK("https://klasma.github.io/Logging_0482/kartor_geotiff/A 11103-2023 georefererad karta.tif", "A 11103-2023")</f>
        <v/>
      </c>
      <c r="AA80">
        <f>HYPERLINK("https://klasma.github.io/Logging_0482/klagomål/A 11103-2023 FSC-klagomål.docx", "A 11103-2023")</f>
        <v/>
      </c>
      <c r="AB80">
        <f>HYPERLINK("https://klasma.github.io/Logging_0482/klagomålsmail/A 11103-2023 FSC-klagomål mail.docx", "A 11103-2023")</f>
        <v/>
      </c>
      <c r="AC80">
        <f>HYPERLINK("https://klasma.github.io/Logging_0482/tillsyn/A 11103-2023 tillsynsbegäran.docx", "A 11103-2023")</f>
        <v/>
      </c>
      <c r="AD80">
        <f>HYPERLINK("https://klasma.github.io/Logging_0482/tillsynsmail/A 11103-2023 tillsynsbegäran mail.docx", "A 11103-2023")</f>
        <v/>
      </c>
    </row>
    <row r="81" ht="15" customHeight="1">
      <c r="A81" t="inlineStr">
        <is>
          <t>A 34849-2026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46313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5</v>
      </c>
      <c r="U81" t="n">
        <v>0</v>
      </c>
      <c r="V81" s="2" t="inlineStr">
        <is>
          <t>Motaggsvamp
Vedskivlav</t>
        </is>
      </c>
      <c r="W81">
        <f>HYPERLINK("https://klasma.github.io/Logging_0482/artfynd/A 34849-2026 artfynd.xlsx", "A 34849-2026")</f>
        <v/>
      </c>
      <c r="X81">
        <f>HYPERLINK("https://klasma.github.io/Logging_0482/kartor/A 34849-2026 karta.png", "A 34849-2026")</f>
        <v/>
      </c>
      <c r="Y81">
        <f>HYPERLINK("https://klasma.github.io/Logging_0482/kartor_geotiff/A 34849-2026 georefererad karta.tif", "A 34849-2026")</f>
        <v/>
      </c>
      <c r="AA81">
        <f>HYPERLINK("https://klasma.github.io/Logging_0482/klagomål/A 34849-2026 FSC-klagomål.docx", "A 34849-2026")</f>
        <v/>
      </c>
      <c r="AB81">
        <f>HYPERLINK("https://klasma.github.io/Logging_0482/klagomålsmail/A 34849-2026 FSC-klagomål mail.docx", "A 34849-2026")</f>
        <v/>
      </c>
      <c r="AC81">
        <f>HYPERLINK("https://klasma.github.io/Logging_0482/tillsyn/A 34849-2026 tillsynsbegäran.docx", "A 34849-2026")</f>
        <v/>
      </c>
      <c r="AD81">
        <f>HYPERLINK("https://klasma.github.io/Logging_0482/tillsynsmail/A 34849-2026 tillsynsbegäran mail.docx", "A 34849-2026")</f>
        <v/>
      </c>
    </row>
    <row r="82" ht="15" customHeight="1">
      <c r="A82" t="inlineStr">
        <is>
          <t>A 24464-2025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46313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Motaggsvamp
Vedskivlav</t>
        </is>
      </c>
      <c r="W82">
        <f>HYPERLINK("https://klasma.github.io/Logging_0482/artfynd/A 24464-2025 artfynd.xlsx", "A 24464-2025")</f>
        <v/>
      </c>
      <c r="X82">
        <f>HYPERLINK("https://klasma.github.io/Logging_0482/kartor/A 24464-2025 karta.png", "A 24464-2025")</f>
        <v/>
      </c>
      <c r="Y82">
        <f>HYPERLINK("https://klasma.github.io/Logging_0482/kartor_geotiff/A 24464-2025 georefererad karta.tif", "A 24464-2025")</f>
        <v/>
      </c>
      <c r="AA82">
        <f>HYPERLINK("https://klasma.github.io/Logging_0482/klagomål/A 24464-2025 FSC-klagomål.docx", "A 24464-2025")</f>
        <v/>
      </c>
      <c r="AB82">
        <f>HYPERLINK("https://klasma.github.io/Logging_0482/klagomålsmail/A 24464-2025 FSC-klagomål mail.docx", "A 24464-2025")</f>
        <v/>
      </c>
      <c r="AC82">
        <f>HYPERLINK("https://klasma.github.io/Logging_0482/tillsyn/A 24464-2025 tillsynsbegäran.docx", "A 24464-2025")</f>
        <v/>
      </c>
      <c r="AD82">
        <f>HYPERLINK("https://klasma.github.io/Logging_0482/tillsynsmail/A 24464-2025 tillsynsbegäran mail.docx", "A 24464-2025")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46313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46313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46313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46313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46313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46313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34823-2023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46313</v>
      </c>
      <c r="F89" t="inlineStr">
        <is>
          <t>SÖDERMANLANDS LÄN</t>
        </is>
      </c>
      <c r="G89" t="inlineStr">
        <is>
          <t>FLEN</t>
        </is>
      </c>
      <c r="I89" t="n">
        <v>1.3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Mörk dunört</t>
        </is>
      </c>
      <c r="W89">
        <f>HYPERLINK("https://klasma.github.io/Logging_0482/artfynd/A 34823-2023 artfynd.xlsx", "A 34823-2023")</f>
        <v/>
      </c>
      <c r="X89">
        <f>HYPERLINK("https://klasma.github.io/Logging_0482/kartor/A 34823-2023 karta.png", "A 34823-2023")</f>
        <v/>
      </c>
      <c r="Y89">
        <f>HYPERLINK("https://klasma.github.io/Logging_0482/kartor_geotiff/A 34823-2023 georefererad karta.tif", "A 34823-2023")</f>
        <v/>
      </c>
      <c r="AA89">
        <f>HYPERLINK("https://klasma.github.io/Logging_0482/klagomål/A 34823-2023 FSC-klagomål.docx", "A 34823-2023")</f>
        <v/>
      </c>
      <c r="AB89">
        <f>HYPERLINK("https://klasma.github.io/Logging_0482/klagomålsmail/A 34823-2023 FSC-klagomål mail.docx", "A 34823-2023")</f>
        <v/>
      </c>
      <c r="AC89">
        <f>HYPERLINK("https://klasma.github.io/Logging_0482/tillsyn/A 34823-2023 tillsynsbegäran.docx", "A 34823-2023")</f>
        <v/>
      </c>
      <c r="AD89">
        <f>HYPERLINK("https://klasma.github.io/Logging_0482/tillsynsmail/A 34823-2023 tillsynsbegäran mail.docx", "A 34823-2023")</f>
        <v/>
      </c>
    </row>
    <row r="90" ht="15" customHeight="1">
      <c r="A90" t="inlineStr">
        <is>
          <t>A 31972-2024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46313</v>
      </c>
      <c r="F90" t="inlineStr">
        <is>
          <t>SÖDERMANLANDS LÄN</t>
        </is>
      </c>
      <c r="G90" t="inlineStr">
        <is>
          <t>FLEN</t>
        </is>
      </c>
      <c r="I90" t="n">
        <v>3.4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Åkerrödtoppa</t>
        </is>
      </c>
      <c r="W90">
        <f>HYPERLINK("https://klasma.github.io/Logging_0482/artfynd/A 31972-2024 artfynd.xlsx", "A 31972-2024")</f>
        <v/>
      </c>
      <c r="X90">
        <f>HYPERLINK("https://klasma.github.io/Logging_0482/kartor/A 31972-2024 karta.png", "A 31972-2024")</f>
        <v/>
      </c>
      <c r="Y90">
        <f>HYPERLINK("https://klasma.github.io/Logging_0482/kartor_geotiff/A 31972-2024 georefererad karta.tif", "A 31972-2024")</f>
        <v/>
      </c>
      <c r="AA90">
        <f>HYPERLINK("https://klasma.github.io/Logging_0482/klagomål/A 31972-2024 FSC-klagomål.docx", "A 31972-2024")</f>
        <v/>
      </c>
      <c r="AB90">
        <f>HYPERLINK("https://klasma.github.io/Logging_0482/klagomålsmail/A 31972-2024 FSC-klagomål mail.docx", "A 31972-2024")</f>
        <v/>
      </c>
      <c r="AC90">
        <f>HYPERLINK("https://klasma.github.io/Logging_0482/tillsyn/A 31972-2024 tillsynsbegäran.docx", "A 31972-2024")</f>
        <v/>
      </c>
      <c r="AD90">
        <f>HYPERLINK("https://klasma.github.io/Logging_0482/tillsynsmail/A 31972-2024 tillsynsbegäran mail.docx", "A 31972-2024")</f>
        <v/>
      </c>
    </row>
    <row r="91" ht="15" customHeight="1">
      <c r="A91" t="inlineStr">
        <is>
          <t>A 33024-2022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44785</v>
      </c>
      <c r="E91" s="1" t="n">
        <v>46313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HYPERLINK("https://klasma.github.io/Logging_0482/artfynd/A 33024-2022 artfynd.xlsx", "A 33024-2022")</f>
        <v/>
      </c>
      <c r="X91">
        <f>HYPERLINK("https://klasma.github.io/Logging_0482/kartor/A 33024-2022 karta.png", "A 33024-2022")</f>
        <v/>
      </c>
      <c r="Y91">
        <f>HYPERLINK("https://klasma.github.io/Logging_0482/kartor_geotiff/A 33024-2022 georefererad karta.tif", "A 33024-2022")</f>
        <v/>
      </c>
      <c r="AA91">
        <f>HYPERLINK("https://klasma.github.io/Logging_0482/klagomål/A 33024-2022 FSC-klagomål.docx", "A 33024-2022")</f>
        <v/>
      </c>
      <c r="AB91">
        <f>HYPERLINK("https://klasma.github.io/Logging_0482/klagomålsmail/A 33024-2022 FSC-klagomål mail.docx", "A 33024-2022")</f>
        <v/>
      </c>
      <c r="AC91">
        <f>HYPERLINK("https://klasma.github.io/Logging_0482/tillsyn/A 33024-2022 tillsynsbegäran.docx", "A 33024-2022")</f>
        <v/>
      </c>
      <c r="AD91">
        <f>HYPERLINK("https://klasma.github.io/Logging_0482/tillsynsmail/A 33024-2022 tillsynsbegäran mail.docx", "A 33024-2022")</f>
        <v/>
      </c>
    </row>
    <row r="92" ht="15" customHeight="1">
      <c r="A92" t="inlineStr">
        <is>
          <t>A 54737-2022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46313</v>
      </c>
      <c r="F92" t="inlineStr">
        <is>
          <t>SÖDERMANLANDS LÄN</t>
        </is>
      </c>
      <c r="G92" t="inlineStr">
        <is>
          <t>FLEN</t>
        </is>
      </c>
      <c r="I92" t="n">
        <v>5.7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Gullklöver</t>
        </is>
      </c>
      <c r="W92">
        <f>HYPERLINK("https://klasma.github.io/Logging_0482/artfynd/A 54737-2022 artfynd.xlsx", "A 54737-2022")</f>
        <v/>
      </c>
      <c r="X92">
        <f>HYPERLINK("https://klasma.github.io/Logging_0482/kartor/A 54737-2022 karta.png", "A 54737-2022")</f>
        <v/>
      </c>
      <c r="Y92">
        <f>HYPERLINK("https://klasma.github.io/Logging_0482/kartor_geotiff/A 54737-2022 georefererad karta.tif", "A 54737-2022")</f>
        <v/>
      </c>
      <c r="AA92">
        <f>HYPERLINK("https://klasma.github.io/Logging_0482/klagomål/A 54737-2022 FSC-klagomål.docx", "A 54737-2022")</f>
        <v/>
      </c>
      <c r="AB92">
        <f>HYPERLINK("https://klasma.github.io/Logging_0482/klagomålsmail/A 54737-2022 FSC-klagomål mail.docx", "A 54737-2022")</f>
        <v/>
      </c>
      <c r="AC92">
        <f>HYPERLINK("https://klasma.github.io/Logging_0482/tillsyn/A 54737-2022 tillsynsbegäran.docx", "A 54737-2022")</f>
        <v/>
      </c>
      <c r="AD92">
        <f>HYPERLINK("https://klasma.github.io/Logging_0482/tillsynsmail/A 54737-2022 tillsynsbegäran mail.docx", "A 54737-2022")</f>
        <v/>
      </c>
    </row>
    <row r="93" ht="15" customHeight="1">
      <c r="A93" t="inlineStr">
        <is>
          <t>A 13858-2023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46313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0.8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Svedjenäva</t>
        </is>
      </c>
      <c r="W93">
        <f>HYPERLINK("https://klasma.github.io/Logging_0482/artfynd/A 13858-2023 artfynd.xlsx", "A 13858-2023")</f>
        <v/>
      </c>
      <c r="X93">
        <f>HYPERLINK("https://klasma.github.io/Logging_0482/kartor/A 13858-2023 karta.png", "A 13858-2023")</f>
        <v/>
      </c>
      <c r="Y93">
        <f>HYPERLINK("https://klasma.github.io/Logging_0482/kartor_geotiff/A 13858-2023 georefererad karta.tif", "A 13858-2023")</f>
        <v/>
      </c>
      <c r="AA93">
        <f>HYPERLINK("https://klasma.github.io/Logging_0482/klagomål/A 13858-2023 FSC-klagomål.docx", "A 13858-2023")</f>
        <v/>
      </c>
      <c r="AB93">
        <f>HYPERLINK("https://klasma.github.io/Logging_0482/klagomålsmail/A 13858-2023 FSC-klagomål mail.docx", "A 13858-2023")</f>
        <v/>
      </c>
      <c r="AC93">
        <f>HYPERLINK("https://klasma.github.io/Logging_0482/tillsyn/A 13858-2023 tillsynsbegäran.docx", "A 13858-2023")</f>
        <v/>
      </c>
      <c r="AD93">
        <f>HYPERLINK("https://klasma.github.io/Logging_0482/tillsynsmail/A 13858-2023 tillsynsbegäran mail.docx", "A 13858-2023")</f>
        <v/>
      </c>
    </row>
    <row r="94" ht="15" customHeight="1">
      <c r="A94" t="inlineStr">
        <is>
          <t>A 37283-2024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45540</v>
      </c>
      <c r="E94" s="1" t="n">
        <v>46313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Gullklöver</t>
        </is>
      </c>
      <c r="W94">
        <f>HYPERLINK("https://klasma.github.io/Logging_0482/artfynd/A 37283-2024 artfynd.xlsx", "A 37283-2024")</f>
        <v/>
      </c>
      <c r="X94">
        <f>HYPERLINK("https://klasma.github.io/Logging_0482/kartor/A 37283-2024 karta.png", "A 37283-2024")</f>
        <v/>
      </c>
      <c r="Y94">
        <f>HYPERLINK("https://klasma.github.io/Logging_0482/kartor_geotiff/A 37283-2024 georefererad karta.tif", "A 37283-2024")</f>
        <v/>
      </c>
      <c r="AA94">
        <f>HYPERLINK("https://klasma.github.io/Logging_0482/klagomål/A 37283-2024 FSC-klagomål.docx", "A 37283-2024")</f>
        <v/>
      </c>
      <c r="AB94">
        <f>HYPERLINK("https://klasma.github.io/Logging_0482/klagomålsmail/A 37283-2024 FSC-klagomål mail.docx", "A 37283-2024")</f>
        <v/>
      </c>
      <c r="AC94">
        <f>HYPERLINK("https://klasma.github.io/Logging_0482/tillsyn/A 37283-2024 tillsynsbegäran.docx", "A 37283-2024")</f>
        <v/>
      </c>
      <c r="AD94">
        <f>HYPERLINK("https://klasma.github.io/Logging_0482/tillsynsmail/A 37283-2024 tillsynsbegäran mail.docx", "A 37283-2024")</f>
        <v/>
      </c>
    </row>
    <row r="95" ht="15" customHeight="1">
      <c r="A95" t="inlineStr">
        <is>
          <t>A 31427-2022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44774</v>
      </c>
      <c r="E95" s="1" t="n">
        <v>46313</v>
      </c>
      <c r="F95" t="inlineStr">
        <is>
          <t>SÖDERMANLANDS LÄN</t>
        </is>
      </c>
      <c r="G95" t="inlineStr">
        <is>
          <t>FLEN</t>
        </is>
      </c>
      <c r="I95" t="n">
        <v>3.7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HYPERLINK("https://klasma.github.io/Logging_0482/artfynd/A 31427-2022 artfynd.xlsx", "A 31427-2022")</f>
        <v/>
      </c>
      <c r="X95">
        <f>HYPERLINK("https://klasma.github.io/Logging_0482/kartor/A 31427-2022 karta.png", "A 31427-2022")</f>
        <v/>
      </c>
      <c r="Y95">
        <f>HYPERLINK("https://klasma.github.io/Logging_0482/kartor_geotiff/A 31427-2022 georefererad karta.tif", "A 31427-2022")</f>
        <v/>
      </c>
      <c r="AA95">
        <f>HYPERLINK("https://klasma.github.io/Logging_0482/klagomål/A 31427-2022 FSC-klagomål.docx", "A 31427-2022")</f>
        <v/>
      </c>
      <c r="AB95">
        <f>HYPERLINK("https://klasma.github.io/Logging_0482/klagomålsmail/A 31427-2022 FSC-klagomål mail.docx", "A 31427-2022")</f>
        <v/>
      </c>
      <c r="AC95">
        <f>HYPERLINK("https://klasma.github.io/Logging_0482/tillsyn/A 31427-2022 tillsynsbegäran.docx", "A 31427-2022")</f>
        <v/>
      </c>
      <c r="AD95">
        <f>HYPERLINK("https://klasma.github.io/Logging_0482/tillsynsmail/A 31427-2022 tillsynsbegäran mail.docx", "A 31427-2022")</f>
        <v/>
      </c>
    </row>
    <row r="96" ht="15" customHeight="1">
      <c r="A96" t="inlineStr">
        <is>
          <t>A 14113-2025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46313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3.6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HYPERLINK("https://klasma.github.io/Logging_0482/artfynd/A 14113-2025 artfynd.xlsx", "A 14113-2025")</f>
        <v/>
      </c>
      <c r="X96">
        <f>HYPERLINK("https://klasma.github.io/Logging_0482/kartor/A 14113-2025 karta.png", "A 14113-2025")</f>
        <v/>
      </c>
      <c r="Y96">
        <f>HYPERLINK("https://klasma.github.io/Logging_0482/kartor_geotiff/A 14113-2025 georefererad karta.tif", "A 14113-2025")</f>
        <v/>
      </c>
      <c r="AA96">
        <f>HYPERLINK("https://klasma.github.io/Logging_0482/klagomål/A 14113-2025 FSC-klagomål.docx", "A 14113-2025")</f>
        <v/>
      </c>
      <c r="AB96">
        <f>HYPERLINK("https://klasma.github.io/Logging_0482/klagomålsmail/A 14113-2025 FSC-klagomål mail.docx", "A 14113-2025")</f>
        <v/>
      </c>
      <c r="AC96">
        <f>HYPERLINK("https://klasma.github.io/Logging_0482/tillsyn/A 14113-2025 tillsynsbegäran.docx", "A 14113-2025")</f>
        <v/>
      </c>
      <c r="AD96">
        <f>HYPERLINK("https://klasma.github.io/Logging_0482/tillsynsmail/A 14113-2025 tillsynsbegäran mail.docx", "A 14113-2025")</f>
        <v/>
      </c>
    </row>
    <row r="97" ht="15" customHeight="1">
      <c r="A97" t="inlineStr">
        <is>
          <t>A 7525-2024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45348</v>
      </c>
      <c r="E97" s="1" t="n">
        <v>46313</v>
      </c>
      <c r="F97" t="inlineStr">
        <is>
          <t>SÖDERMANLANDS LÄN</t>
        </is>
      </c>
      <c r="G97" t="inlineStr">
        <is>
          <t>FLEN</t>
        </is>
      </c>
      <c r="I97" t="n">
        <v>2.3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Vanlig backsmörblomma</t>
        </is>
      </c>
      <c r="W97">
        <f>HYPERLINK("https://klasma.github.io/Logging_0482/artfynd/A 7525-2024 artfynd.xlsx", "A 7525-2024")</f>
        <v/>
      </c>
      <c r="X97">
        <f>HYPERLINK("https://klasma.github.io/Logging_0482/kartor/A 7525-2024 karta.png", "A 7525-2024")</f>
        <v/>
      </c>
      <c r="Y97">
        <f>HYPERLINK("https://klasma.github.io/Logging_0482/kartor_geotiff/A 7525-2024 georefererad karta.tif", "A 7525-2024")</f>
        <v/>
      </c>
      <c r="AA97">
        <f>HYPERLINK("https://klasma.github.io/Logging_0482/klagomål/A 7525-2024 FSC-klagomål.docx", "A 7525-2024")</f>
        <v/>
      </c>
      <c r="AB97">
        <f>HYPERLINK("https://klasma.github.io/Logging_0482/klagomålsmail/A 7525-2024 FSC-klagomål mail.docx", "A 7525-2024")</f>
        <v/>
      </c>
      <c r="AC97">
        <f>HYPERLINK("https://klasma.github.io/Logging_0482/tillsyn/A 7525-2024 tillsynsbegäran.docx", "A 7525-2024")</f>
        <v/>
      </c>
      <c r="AD97">
        <f>HYPERLINK("https://klasma.github.io/Logging_0482/tillsynsmail/A 7525-2024 tillsynsbegäran mail.docx", "A 7525-2024")</f>
        <v/>
      </c>
    </row>
    <row r="98" ht="15" customHeight="1">
      <c r="A98" t="inlineStr">
        <is>
          <t>A 6982-2024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46313</v>
      </c>
      <c r="F98" t="inlineStr">
        <is>
          <t>SÖDERMANLANDS LÄN</t>
        </is>
      </c>
      <c r="G98" t="inlineStr">
        <is>
          <t>FLEN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HYPERLINK("https://klasma.github.io/Logging_0482/artfynd/A 6982-2024 artfynd.xlsx", "A 6982-2024")</f>
        <v/>
      </c>
      <c r="X98">
        <f>HYPERLINK("https://klasma.github.io/Logging_0482/kartor/A 6982-2024 karta.png", "A 6982-2024")</f>
        <v/>
      </c>
      <c r="Y98">
        <f>HYPERLINK("https://klasma.github.io/Logging_0482/kartor_geotiff/A 6982-2024 georefererad karta.tif", "A 6982-2024")</f>
        <v/>
      </c>
      <c r="AA98">
        <f>HYPERLINK("https://klasma.github.io/Logging_0482/klagomål/A 6982-2024 FSC-klagomål.docx", "A 6982-2024")</f>
        <v/>
      </c>
      <c r="AB98">
        <f>HYPERLINK("https://klasma.github.io/Logging_0482/klagomålsmail/A 6982-2024 FSC-klagomål mail.docx", "A 6982-2024")</f>
        <v/>
      </c>
      <c r="AC98">
        <f>HYPERLINK("https://klasma.github.io/Logging_0482/tillsyn/A 6982-2024 tillsynsbegäran.docx", "A 6982-2024")</f>
        <v/>
      </c>
      <c r="AD98">
        <f>HYPERLINK("https://klasma.github.io/Logging_0482/tillsynsmail/A 6982-2024 tillsynsbegäran mail.docx", "A 6982-2024")</f>
        <v/>
      </c>
    </row>
    <row r="99" ht="15" customHeight="1">
      <c r="A99" t="inlineStr">
        <is>
          <t>A 47581-2025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46313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Svinrot</t>
        </is>
      </c>
      <c r="W99">
        <f>HYPERLINK("https://klasma.github.io/Logging_0482/artfynd/A 47581-2025 artfynd.xlsx", "A 47581-2025")</f>
        <v/>
      </c>
      <c r="X99">
        <f>HYPERLINK("https://klasma.github.io/Logging_0482/kartor/A 47581-2025 karta.png", "A 47581-2025")</f>
        <v/>
      </c>
      <c r="Y99">
        <f>HYPERLINK("https://klasma.github.io/Logging_0482/kartor_geotiff/A 47581-2025 georefererad karta.tif", "A 47581-2025")</f>
        <v/>
      </c>
      <c r="AA99">
        <f>HYPERLINK("https://klasma.github.io/Logging_0482/klagomål/A 47581-2025 FSC-klagomål.docx", "A 47581-2025")</f>
        <v/>
      </c>
      <c r="AB99">
        <f>HYPERLINK("https://klasma.github.io/Logging_0482/klagomålsmail/A 47581-2025 FSC-klagomål mail.docx", "A 47581-2025")</f>
        <v/>
      </c>
      <c r="AC99">
        <f>HYPERLINK("https://klasma.github.io/Logging_0482/tillsyn/A 47581-2025 tillsynsbegäran.docx", "A 47581-2025")</f>
        <v/>
      </c>
      <c r="AD99">
        <f>HYPERLINK("https://klasma.github.io/Logging_0482/tillsynsmail/A 47581-2025 tillsynsbegäran mail.docx", "A 47581-2025")</f>
        <v/>
      </c>
    </row>
    <row r="100" ht="15" customHeight="1">
      <c r="A100" t="inlineStr">
        <is>
          <t>A 43008-2023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45182</v>
      </c>
      <c r="E100" s="1" t="n">
        <v>46313</v>
      </c>
      <c r="F100" t="inlineStr">
        <is>
          <t>SÖDERMANLANDS LÄN</t>
        </is>
      </c>
      <c r="G100" t="inlineStr">
        <is>
          <t>FLEN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Gullklöver</t>
        </is>
      </c>
      <c r="W100">
        <f>HYPERLINK("https://klasma.github.io/Logging_0482/artfynd/A 43008-2023 artfynd.xlsx", "A 43008-2023")</f>
        <v/>
      </c>
      <c r="X100">
        <f>HYPERLINK("https://klasma.github.io/Logging_0482/kartor/A 43008-2023 karta.png", "A 43008-2023")</f>
        <v/>
      </c>
      <c r="Y100">
        <f>HYPERLINK("https://klasma.github.io/Logging_0482/kartor_geotiff/A 43008-2023 georefererad karta.tif", "A 43008-2023")</f>
        <v/>
      </c>
      <c r="AA100">
        <f>HYPERLINK("https://klasma.github.io/Logging_0482/klagomål/A 43008-2023 FSC-klagomål.docx", "A 43008-2023")</f>
        <v/>
      </c>
      <c r="AB100">
        <f>HYPERLINK("https://klasma.github.io/Logging_0482/klagomålsmail/A 43008-2023 FSC-klagomål mail.docx", "A 43008-2023")</f>
        <v/>
      </c>
      <c r="AC100">
        <f>HYPERLINK("https://klasma.github.io/Logging_0482/tillsyn/A 43008-2023 tillsynsbegäran.docx", "A 43008-2023")</f>
        <v/>
      </c>
      <c r="AD100">
        <f>HYPERLINK("https://klasma.github.io/Logging_0482/tillsynsmail/A 43008-2023 tillsynsbegäran mail.docx", "A 43008-2023")</f>
        <v/>
      </c>
    </row>
    <row r="101" ht="15" customHeight="1">
      <c r="A101" t="inlineStr">
        <is>
          <t>A 34721-2023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46313</v>
      </c>
      <c r="F101" t="inlineStr">
        <is>
          <t>SÖDERMANLANDS LÄN</t>
        </is>
      </c>
      <c r="G101" t="inlineStr">
        <is>
          <t>FLEN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34721-2023 artfynd.xlsx", "A 34721-2023")</f>
        <v/>
      </c>
      <c r="X101">
        <f>HYPERLINK("https://klasma.github.io/Logging_0482/kartor/A 34721-2023 karta.png", "A 34721-2023")</f>
        <v/>
      </c>
      <c r="Y101">
        <f>HYPERLINK("https://klasma.github.io/Logging_0482/kartor_geotiff/A 34721-2023 georefererad karta.tif", "A 34721-2023")</f>
        <v/>
      </c>
      <c r="AA101">
        <f>HYPERLINK("https://klasma.github.io/Logging_0482/klagomål/A 34721-2023 FSC-klagomål.docx", "A 34721-2023")</f>
        <v/>
      </c>
      <c r="AB101">
        <f>HYPERLINK("https://klasma.github.io/Logging_0482/klagomålsmail/A 34721-2023 FSC-klagomål mail.docx", "A 34721-2023")</f>
        <v/>
      </c>
      <c r="AC101">
        <f>HYPERLINK("https://klasma.github.io/Logging_0482/tillsyn/A 34721-2023 tillsynsbegäran.docx", "A 34721-2023")</f>
        <v/>
      </c>
      <c r="AD101">
        <f>HYPERLINK("https://klasma.github.io/Logging_0482/tillsynsmail/A 34721-2023 tillsynsbegäran mail.docx", "A 34721-2023")</f>
        <v/>
      </c>
    </row>
    <row r="102" ht="15" customHeight="1">
      <c r="A102" t="inlineStr">
        <is>
          <t>A 66230-2021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46313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66230-2021 artfynd.xlsx", "A 66230-2021")</f>
        <v/>
      </c>
      <c r="X102">
        <f>HYPERLINK("https://klasma.github.io/Logging_0482/kartor/A 66230-2021 karta.png", "A 66230-2021")</f>
        <v/>
      </c>
      <c r="Y102">
        <f>HYPERLINK("https://klasma.github.io/Logging_0482/kartor_geotiff/A 66230-2021 georefererad karta.tif", "A 66230-2021")</f>
        <v/>
      </c>
      <c r="AA102">
        <f>HYPERLINK("https://klasma.github.io/Logging_0482/klagomål/A 66230-2021 FSC-klagomål.docx", "A 66230-2021")</f>
        <v/>
      </c>
      <c r="AB102">
        <f>HYPERLINK("https://klasma.github.io/Logging_0482/klagomålsmail/A 66230-2021 FSC-klagomål mail.docx", "A 66230-2021")</f>
        <v/>
      </c>
      <c r="AC102">
        <f>HYPERLINK("https://klasma.github.io/Logging_0482/tillsyn/A 66230-2021 tillsynsbegäran.docx", "A 66230-2021")</f>
        <v/>
      </c>
      <c r="AD102">
        <f>HYPERLINK("https://klasma.github.io/Logging_0482/tillsynsmail/A 66230-2021 tillsynsbegäran mail.docx", "A 66230-2021")</f>
        <v/>
      </c>
    </row>
    <row r="103" ht="15" customHeight="1">
      <c r="A103" t="inlineStr">
        <is>
          <t>A 52579-2025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46313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HYPERLINK("https://klasma.github.io/Logging_0482/artfynd/A 52579-2025 artfynd.xlsx", "A 52579-2025")</f>
        <v/>
      </c>
      <c r="X103">
        <f>HYPERLINK("https://klasma.github.io/Logging_0482/kartor/A 52579-2025 karta.png", "A 52579-2025")</f>
        <v/>
      </c>
      <c r="Y103">
        <f>HYPERLINK("https://klasma.github.io/Logging_0482/kartor_geotiff/A 52579-2025 georefererad karta.tif", "A 52579-2025")</f>
        <v/>
      </c>
      <c r="AA103">
        <f>HYPERLINK("https://klasma.github.io/Logging_0482/klagomål/A 52579-2025 FSC-klagomål.docx", "A 52579-2025")</f>
        <v/>
      </c>
      <c r="AB103">
        <f>HYPERLINK("https://klasma.github.io/Logging_0482/klagomålsmail/A 52579-2025 FSC-klagomål mail.docx", "A 52579-2025")</f>
        <v/>
      </c>
      <c r="AC103">
        <f>HYPERLINK("https://klasma.github.io/Logging_0482/tillsyn/A 52579-2025 tillsynsbegäran.docx", "A 52579-2025")</f>
        <v/>
      </c>
      <c r="AD103">
        <f>HYPERLINK("https://klasma.github.io/Logging_0482/tillsynsmail/A 52579-2025 tillsynsbegäran mail.docx", "A 52579-2025")</f>
        <v/>
      </c>
    </row>
    <row r="104" ht="15" customHeight="1">
      <c r="A104" t="inlineStr">
        <is>
          <t>A 1242-2022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46313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9.300000000000001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Slåtterfibbla</t>
        </is>
      </c>
      <c r="W104">
        <f>HYPERLINK("https://klasma.github.io/Logging_0482/artfynd/A 1242-2022 artfynd.xlsx", "A 1242-2022")</f>
        <v/>
      </c>
      <c r="X104">
        <f>HYPERLINK("https://klasma.github.io/Logging_0482/kartor/A 1242-2022 karta.png", "A 1242-2022")</f>
        <v/>
      </c>
      <c r="Y104">
        <f>HYPERLINK("https://klasma.github.io/Logging_0482/kartor_geotiff/A 1242-2022 georefererad karta.tif", "A 1242-2022")</f>
        <v/>
      </c>
      <c r="AA104">
        <f>HYPERLINK("https://klasma.github.io/Logging_0482/klagomål/A 1242-2022 FSC-klagomål.docx", "A 1242-2022")</f>
        <v/>
      </c>
      <c r="AB104">
        <f>HYPERLINK("https://klasma.github.io/Logging_0482/klagomålsmail/A 1242-2022 FSC-klagomål mail.docx", "A 1242-2022")</f>
        <v/>
      </c>
      <c r="AC104">
        <f>HYPERLINK("https://klasma.github.io/Logging_0482/tillsyn/A 1242-2022 tillsynsbegäran.docx", "A 1242-2022")</f>
        <v/>
      </c>
      <c r="AD104">
        <f>HYPERLINK("https://klasma.github.io/Logging_0482/tillsynsmail/A 1242-2022 tillsynsbegäran mail.docx", "A 1242-2022")</f>
        <v/>
      </c>
    </row>
    <row r="105" ht="15" customHeight="1">
      <c r="A105" t="inlineStr">
        <is>
          <t>A 14101-2025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46313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1.3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HYPERLINK("https://klasma.github.io/Logging_0482/artfynd/A 14101-2025 artfynd.xlsx", "A 14101-2025")</f>
        <v/>
      </c>
      <c r="X105">
        <f>HYPERLINK("https://klasma.github.io/Logging_0482/kartor/A 14101-2025 karta.png", "A 14101-2025")</f>
        <v/>
      </c>
      <c r="Y105">
        <f>HYPERLINK("https://klasma.github.io/Logging_0482/kartor_geotiff/A 14101-2025 georefererad karta.tif", "A 14101-2025")</f>
        <v/>
      </c>
      <c r="AA105">
        <f>HYPERLINK("https://klasma.github.io/Logging_0482/klagomål/A 14101-2025 FSC-klagomål.docx", "A 14101-2025")</f>
        <v/>
      </c>
      <c r="AB105">
        <f>HYPERLINK("https://klasma.github.io/Logging_0482/klagomålsmail/A 14101-2025 FSC-klagomål mail.docx", "A 14101-2025")</f>
        <v/>
      </c>
      <c r="AC105">
        <f>HYPERLINK("https://klasma.github.io/Logging_0482/tillsyn/A 14101-2025 tillsynsbegäran.docx", "A 14101-2025")</f>
        <v/>
      </c>
      <c r="AD105">
        <f>HYPERLINK("https://klasma.github.io/Logging_0482/tillsynsmail/A 14101-2025 tillsynsbegäran mail.docx", "A 14101-2025")</f>
        <v/>
      </c>
    </row>
    <row r="106" ht="15" customHeight="1">
      <c r="A106" t="inlineStr">
        <is>
          <t>A 37317-2023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45156</v>
      </c>
      <c r="E106" s="1" t="n">
        <v>46313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5.1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Svavelriska</t>
        </is>
      </c>
      <c r="W106">
        <f>HYPERLINK("https://klasma.github.io/Logging_0482/artfynd/A 37317-2023 artfynd.xlsx", "A 37317-2023")</f>
        <v/>
      </c>
      <c r="X106">
        <f>HYPERLINK("https://klasma.github.io/Logging_0482/kartor/A 37317-2023 karta.png", "A 37317-2023")</f>
        <v/>
      </c>
      <c r="Y106">
        <f>HYPERLINK("https://klasma.github.io/Logging_0482/kartor_geotiff/A 37317-2023 georefererad karta.tif", "A 37317-2023")</f>
        <v/>
      </c>
      <c r="AA106">
        <f>HYPERLINK("https://klasma.github.io/Logging_0482/klagomål/A 37317-2023 FSC-klagomål.docx", "A 37317-2023")</f>
        <v/>
      </c>
      <c r="AB106">
        <f>HYPERLINK("https://klasma.github.io/Logging_0482/klagomålsmail/A 37317-2023 FSC-klagomål mail.docx", "A 37317-2023")</f>
        <v/>
      </c>
      <c r="AC106">
        <f>HYPERLINK("https://klasma.github.io/Logging_0482/tillsyn/A 37317-2023 tillsynsbegäran.docx", "A 37317-2023")</f>
        <v/>
      </c>
      <c r="AD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60529-2024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46313</v>
      </c>
      <c r="F107" t="inlineStr">
        <is>
          <t>SÖDERMANLANDS LÄN</t>
        </is>
      </c>
      <c r="G107" t="inlineStr">
        <is>
          <t>FLEN</t>
        </is>
      </c>
      <c r="I107" t="n">
        <v>2.5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Skarp dropptaggsvamp</t>
        </is>
      </c>
      <c r="W107">
        <f>HYPERLINK("https://klasma.github.io/Logging_0482/artfynd/A 60529-2024 artfynd.xlsx", "A 60529-2024")</f>
        <v/>
      </c>
      <c r="X107">
        <f>HYPERLINK("https://klasma.github.io/Logging_0482/kartor/A 60529-2024 karta.png", "A 60529-2024")</f>
        <v/>
      </c>
      <c r="Y107">
        <f>HYPERLINK("https://klasma.github.io/Logging_0482/kartor_geotiff/A 60529-2024 georefererad karta.tif", "A 60529-2024")</f>
        <v/>
      </c>
      <c r="AA107">
        <f>HYPERLINK("https://klasma.github.io/Logging_0482/klagomål/A 60529-2024 FSC-klagomål.docx", "A 60529-2024")</f>
        <v/>
      </c>
      <c r="AB107">
        <f>HYPERLINK("https://klasma.github.io/Logging_0482/klagomålsmail/A 60529-2024 FSC-klagomål mail.docx", "A 60529-2024")</f>
        <v/>
      </c>
      <c r="AC107">
        <f>HYPERLINK("https://klasma.github.io/Logging_0482/tillsyn/A 60529-2024 tillsynsbegäran.docx", "A 60529-2024")</f>
        <v/>
      </c>
      <c r="AD107">
        <f>HYPERLINK("https://klasma.github.io/Logging_0482/tillsynsmail/A 60529-2024 tillsynsbegäran mail.docx", "A 60529-2024")</f>
        <v/>
      </c>
    </row>
    <row r="108" ht="15" customHeight="1">
      <c r="A108" t="inlineStr">
        <is>
          <t>A 53339-2023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46313</v>
      </c>
      <c r="F108" t="inlineStr">
        <is>
          <t>SÖDERMANLANDS LÄN</t>
        </is>
      </c>
      <c r="G108" t="inlineStr">
        <is>
          <t>FLEN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Blåsippa</t>
        </is>
      </c>
      <c r="W108">
        <f>HYPERLINK("https://klasma.github.io/Logging_0482/artfynd/A 53339-2023 artfynd.xlsx", "A 53339-2023")</f>
        <v/>
      </c>
      <c r="X108">
        <f>HYPERLINK("https://klasma.github.io/Logging_0482/kartor/A 53339-2023 karta.png", "A 53339-2023")</f>
        <v/>
      </c>
      <c r="Y108">
        <f>HYPERLINK("https://klasma.github.io/Logging_0482/kartor_geotiff/A 53339-2023 georefererad karta.tif", "A 53339-2023")</f>
        <v/>
      </c>
      <c r="AA108">
        <f>HYPERLINK("https://klasma.github.io/Logging_0482/klagomål/A 53339-2023 FSC-klagomål.docx", "A 53339-2023")</f>
        <v/>
      </c>
      <c r="AB108">
        <f>HYPERLINK("https://klasma.github.io/Logging_0482/klagomålsmail/A 53339-2023 FSC-klagomål mail.docx", "A 53339-2023")</f>
        <v/>
      </c>
      <c r="AC108">
        <f>HYPERLINK("https://klasma.github.io/Logging_0482/tillsyn/A 53339-2023 tillsynsbegäran.docx", "A 53339-2023")</f>
        <v/>
      </c>
      <c r="AD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24179-2026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46168</v>
      </c>
      <c r="E109" s="1" t="n">
        <v>46313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1.8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24179-2026 artfynd.xlsx", "A 24179-2026")</f>
        <v/>
      </c>
      <c r="X109">
        <f>HYPERLINK("https://klasma.github.io/Logging_0482/kartor/A 24179-2026 karta.png", "A 24179-2026")</f>
        <v/>
      </c>
      <c r="Y109">
        <f>HYPERLINK("https://klasma.github.io/Logging_0482/kartor_geotiff/A 24179-2026 georefererad karta.tif", "A 24179-2026")</f>
        <v/>
      </c>
      <c r="AA109">
        <f>HYPERLINK("https://klasma.github.io/Logging_0482/klagomål/A 24179-2026 FSC-klagomål.docx", "A 24179-2026")</f>
        <v/>
      </c>
      <c r="AB109">
        <f>HYPERLINK("https://klasma.github.io/Logging_0482/klagomålsmail/A 24179-2026 FSC-klagomål mail.docx", "A 24179-2026")</f>
        <v/>
      </c>
      <c r="AC109">
        <f>HYPERLINK("https://klasma.github.io/Logging_0482/tillsyn/A 24179-2026 tillsynsbegäran.docx", "A 24179-2026")</f>
        <v/>
      </c>
      <c r="AD109">
        <f>HYPERLINK("https://klasma.github.io/Logging_0482/tillsynsmail/A 24179-2026 tillsynsbegäran mail.docx", "A 24179-2026")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46313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46313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26310-2026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46313</v>
      </c>
      <c r="F112" t="inlineStr">
        <is>
          <t>SÖDERMANLANDS LÄN</t>
        </is>
      </c>
      <c r="G112" t="inlineStr">
        <is>
          <t>FLEN</t>
        </is>
      </c>
      <c r="I112" t="n">
        <v>1.2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HYPERLINK("https://klasma.github.io/Logging_0482/artfynd/A 26310-2026 artfynd.xlsx", "A 26310-2026")</f>
        <v/>
      </c>
      <c r="X112">
        <f>HYPERLINK("https://klasma.github.io/Logging_0482/kartor/A 26310-2026 karta.png", "A 26310-2026")</f>
        <v/>
      </c>
      <c r="Y112">
        <f>HYPERLINK("https://klasma.github.io/Logging_0482/kartor_geotiff/A 26310-2026 georefererad karta.tif", "A 26310-2026")</f>
        <v/>
      </c>
      <c r="AA112">
        <f>HYPERLINK("https://klasma.github.io/Logging_0482/klagomål/A 26310-2026 FSC-klagomål.docx", "A 26310-2026")</f>
        <v/>
      </c>
      <c r="AB112">
        <f>HYPERLINK("https://klasma.github.io/Logging_0482/klagomålsmail/A 26310-2026 FSC-klagomål mail.docx", "A 26310-2026")</f>
        <v/>
      </c>
      <c r="AC112">
        <f>HYPERLINK("https://klasma.github.io/Logging_0482/tillsyn/A 26310-2026 tillsynsbegäran.docx", "A 26310-2026")</f>
        <v/>
      </c>
      <c r="AD112">
        <f>HYPERLINK("https://klasma.github.io/Logging_0482/tillsynsmail/A 26310-2026 tillsynsbegäran mail.docx", "A 26310-2026")</f>
        <v/>
      </c>
      <c r="AE112">
        <f>HYPERLINK("https://klasma.github.io/Logging_0482/fåglar/A 26310-2026 prioriterade fågelarter.docx", "A 26310-2026")</f>
        <v/>
      </c>
    </row>
    <row r="113" ht="15" customHeight="1">
      <c r="A113" t="inlineStr">
        <is>
          <t>A 46987-2024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46313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HYPERLINK("https://klasma.github.io/Logging_0482/artfynd/A 46987-2024 artfynd.xlsx", "A 46987-2024")</f>
        <v/>
      </c>
      <c r="X113">
        <f>HYPERLINK("https://klasma.github.io/Logging_0482/kartor/A 46987-2024 karta.png", "A 46987-2024")</f>
        <v/>
      </c>
      <c r="Y113">
        <f>HYPERLINK("https://klasma.github.io/Logging_0482/kartor_geotiff/A 46987-2024 georefererad karta.tif", "A 46987-2024")</f>
        <v/>
      </c>
      <c r="AA113">
        <f>HYPERLINK("https://klasma.github.io/Logging_0482/klagomål/A 46987-2024 FSC-klagomål.docx", "A 46987-2024")</f>
        <v/>
      </c>
      <c r="AB113">
        <f>HYPERLINK("https://klasma.github.io/Logging_0482/klagomålsmail/A 46987-2024 FSC-klagomål mail.docx", "A 46987-2024")</f>
        <v/>
      </c>
      <c r="AC113">
        <f>HYPERLINK("https://klasma.github.io/Logging_0482/tillsyn/A 46987-2024 tillsynsbegäran.docx", "A 46987-2024")</f>
        <v/>
      </c>
      <c r="AD113">
        <f>HYPERLINK("https://klasma.github.io/Logging_0482/tillsynsmail/A 46987-2024 tillsynsbegäran mail.docx", "A 46987-2024")</f>
        <v/>
      </c>
    </row>
    <row r="114" ht="15" customHeight="1">
      <c r="A114" t="inlineStr">
        <is>
          <t>A 26052-2026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46313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HYPERLINK("https://klasma.github.io/Logging_0482/artfynd/A 26052-2026 artfynd.xlsx", "A 26052-2026")</f>
        <v/>
      </c>
      <c r="X114">
        <f>HYPERLINK("https://klasma.github.io/Logging_0482/kartor/A 26052-2026 karta.png", "A 26052-2026")</f>
        <v/>
      </c>
      <c r="Y114">
        <f>HYPERLINK("https://klasma.github.io/Logging_0482/kartor_geotiff/A 26052-2026 georefererad karta.tif", "A 26052-2026")</f>
        <v/>
      </c>
      <c r="AA114">
        <f>HYPERLINK("https://klasma.github.io/Logging_0482/klagomål/A 26052-2026 FSC-klagomål.docx", "A 26052-2026")</f>
        <v/>
      </c>
      <c r="AB114">
        <f>HYPERLINK("https://klasma.github.io/Logging_0482/klagomålsmail/A 26052-2026 FSC-klagomål mail.docx", "A 26052-2026")</f>
        <v/>
      </c>
      <c r="AC114">
        <f>HYPERLINK("https://klasma.github.io/Logging_0482/tillsyn/A 26052-2026 tillsynsbegäran.docx", "A 26052-2026")</f>
        <v/>
      </c>
      <c r="AD114">
        <f>HYPERLINK("https://klasma.github.io/Logging_0482/tillsynsmail/A 26052-2026 tillsynsbegäran mail.docx", "A 26052-2026")</f>
        <v/>
      </c>
    </row>
    <row r="115" ht="15" customHeight="1">
      <c r="A115" t="inlineStr">
        <is>
          <t>A 10770-2022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46313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Svinrot</t>
        </is>
      </c>
      <c r="W115">
        <f>HYPERLINK("https://klasma.github.io/Logging_0482/artfynd/A 10770-2022 artfynd.xlsx", "A 10770-2022")</f>
        <v/>
      </c>
      <c r="X115">
        <f>HYPERLINK("https://klasma.github.io/Logging_0482/kartor/A 10770-2022 karta.png", "A 10770-2022")</f>
        <v/>
      </c>
      <c r="Y115">
        <f>HYPERLINK("https://klasma.github.io/Logging_0482/kartor_geotiff/A 10770-2022 georefererad karta.tif", "A 10770-2022")</f>
        <v/>
      </c>
      <c r="AA115">
        <f>HYPERLINK("https://klasma.github.io/Logging_0482/klagomål/A 10770-2022 FSC-klagomål.docx", "A 10770-2022")</f>
        <v/>
      </c>
      <c r="AB115">
        <f>HYPERLINK("https://klasma.github.io/Logging_0482/klagomålsmail/A 10770-2022 FSC-klagomål mail.docx", "A 10770-2022")</f>
        <v/>
      </c>
      <c r="AC115">
        <f>HYPERLINK("https://klasma.github.io/Logging_0482/tillsyn/A 10770-2022 tillsynsbegäran.docx", "A 10770-2022")</f>
        <v/>
      </c>
      <c r="AD115">
        <f>HYPERLINK("https://klasma.github.io/Logging_0482/tillsynsmail/A 10770-2022 tillsynsbegäran mail.docx", "A 10770-2022")</f>
        <v/>
      </c>
    </row>
    <row r="116" ht="15" customHeight="1">
      <c r="A116" t="inlineStr">
        <is>
          <t>A 6714-2026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46313</v>
      </c>
      <c r="F116" t="inlineStr">
        <is>
          <t>SÖDERMANLANDS LÄN</t>
        </is>
      </c>
      <c r="G116" t="inlineStr">
        <is>
          <t>FLEN</t>
        </is>
      </c>
      <c r="I116" t="n">
        <v>4.6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6714-2026 artfynd.xlsx", "A 6714-2026")</f>
        <v/>
      </c>
      <c r="X116">
        <f>HYPERLINK("https://klasma.github.io/Logging_0482/kartor/A 6714-2026 karta.png", "A 6714-2026")</f>
        <v/>
      </c>
      <c r="Y116">
        <f>HYPERLINK("https://klasma.github.io/Logging_0482/kartor_geotiff/A 6714-2026 georefererad karta.tif", "A 6714-2026")</f>
        <v/>
      </c>
      <c r="AA116">
        <f>HYPERLINK("https://klasma.github.io/Logging_0482/klagomål/A 6714-2026 FSC-klagomål.docx", "A 6714-2026")</f>
        <v/>
      </c>
      <c r="AB116">
        <f>HYPERLINK("https://klasma.github.io/Logging_0482/klagomålsmail/A 6714-2026 FSC-klagomål mail.docx", "A 6714-2026")</f>
        <v/>
      </c>
      <c r="AC116">
        <f>HYPERLINK("https://klasma.github.io/Logging_0482/tillsyn/A 6714-2026 tillsynsbegäran.docx", "A 6714-2026")</f>
        <v/>
      </c>
      <c r="AD116">
        <f>HYPERLINK("https://klasma.github.io/Logging_0482/tillsynsmail/A 6714-2026 tillsynsbegäran mail.docx", "A 6714-2026")</f>
        <v/>
      </c>
    </row>
    <row r="117" ht="15" customHeight="1">
      <c r="A117" t="inlineStr">
        <is>
          <t>A 9446-2026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46071</v>
      </c>
      <c r="E117" s="1" t="n">
        <v>46313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HYPERLINK("https://klasma.github.io/Logging_0482/artfynd/A 9446-2026 artfynd.xlsx", "A 9446-2026")</f>
        <v/>
      </c>
      <c r="X117">
        <f>HYPERLINK("https://klasma.github.io/Logging_0482/kartor/A 9446-2026 karta.png", "A 9446-2026")</f>
        <v/>
      </c>
      <c r="Y117">
        <f>HYPERLINK("https://klasma.github.io/Logging_0482/kartor_geotiff/A 9446-2026 georefererad karta.tif", "A 9446-2026")</f>
        <v/>
      </c>
      <c r="AA117">
        <f>HYPERLINK("https://klasma.github.io/Logging_0482/klagomål/A 9446-2026 FSC-klagomål.docx", "A 9446-2026")</f>
        <v/>
      </c>
      <c r="AB117">
        <f>HYPERLINK("https://klasma.github.io/Logging_0482/klagomålsmail/A 9446-2026 FSC-klagomål mail.docx", "A 9446-2026")</f>
        <v/>
      </c>
      <c r="AC117">
        <f>HYPERLINK("https://klasma.github.io/Logging_0482/tillsyn/A 9446-2026 tillsynsbegäran.docx", "A 9446-2026")</f>
        <v/>
      </c>
      <c r="AD117">
        <f>HYPERLINK("https://klasma.github.io/Logging_0482/tillsynsmail/A 9446-2026 tillsynsbegäran mail.docx", "A 9446-2026")</f>
        <v/>
      </c>
    </row>
    <row r="118" ht="15" customHeight="1">
      <c r="A118" t="inlineStr">
        <is>
          <t>A 39036-2023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46313</v>
      </c>
      <c r="F118" t="inlineStr">
        <is>
          <t>SÖDERMANLANDS LÄN</t>
        </is>
      </c>
      <c r="G118" t="inlineStr">
        <is>
          <t>FLEN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HYPERLINK("https://klasma.github.io/Logging_0482/artfynd/A 39036-2023 artfynd.xlsx", "A 39036-2023")</f>
        <v/>
      </c>
      <c r="X118">
        <f>HYPERLINK("https://klasma.github.io/Logging_0482/kartor/A 39036-2023 karta.png", "A 39036-2023")</f>
        <v/>
      </c>
      <c r="Y118">
        <f>HYPERLINK("https://klasma.github.io/Logging_0482/kartor_geotiff/A 39036-2023 georefererad karta.tif", "A 39036-2023")</f>
        <v/>
      </c>
      <c r="AA118">
        <f>HYPERLINK("https://klasma.github.io/Logging_0482/klagomål/A 39036-2023 FSC-klagomål.docx", "A 39036-2023")</f>
        <v/>
      </c>
      <c r="AB118">
        <f>HYPERLINK("https://klasma.github.io/Logging_0482/klagomålsmail/A 39036-2023 FSC-klagomål mail.docx", "A 39036-2023")</f>
        <v/>
      </c>
      <c r="AC118">
        <f>HYPERLINK("https://klasma.github.io/Logging_0482/tillsyn/A 39036-2023 tillsynsbegäran.docx", "A 39036-2023")</f>
        <v/>
      </c>
      <c r="AD118">
        <f>HYPERLINK("https://klasma.github.io/Logging_0482/tillsynsmail/A 39036-2023 tillsynsbegäran mail.docx", "A 39036-2023")</f>
        <v/>
      </c>
    </row>
    <row r="119" ht="15" customHeight="1">
      <c r="A119" t="inlineStr">
        <is>
          <t>A 10999-2026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46313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3.6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10999-2026 artfynd.xlsx", "A 10999-2026")</f>
        <v/>
      </c>
      <c r="X119">
        <f>HYPERLINK("https://klasma.github.io/Logging_0482/kartor/A 10999-2026 karta.png", "A 10999-2026")</f>
        <v/>
      </c>
      <c r="Y119">
        <f>HYPERLINK("https://klasma.github.io/Logging_0482/kartor_geotiff/A 10999-2026 georefererad karta.tif", "A 10999-2026")</f>
        <v/>
      </c>
      <c r="AA119">
        <f>HYPERLINK("https://klasma.github.io/Logging_0482/klagomål/A 10999-2026 FSC-klagomål.docx", "A 10999-2026")</f>
        <v/>
      </c>
      <c r="AB119">
        <f>HYPERLINK("https://klasma.github.io/Logging_0482/klagomålsmail/A 10999-2026 FSC-klagomål mail.docx", "A 10999-2026")</f>
        <v/>
      </c>
      <c r="AC119">
        <f>HYPERLINK("https://klasma.github.io/Logging_0482/tillsyn/A 10999-2026 tillsynsbegäran.docx", "A 10999-2026")</f>
        <v/>
      </c>
      <c r="AD119">
        <f>HYPERLINK("https://klasma.github.io/Logging_0482/tillsynsmail/A 10999-2026 tillsynsbegäran mail.docx", "A 10999-2026")</f>
        <v/>
      </c>
    </row>
    <row r="120" ht="15" customHeight="1">
      <c r="A120" t="inlineStr">
        <is>
          <t>A 12371-2022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44637</v>
      </c>
      <c r="E120" s="1" t="n">
        <v>46313</v>
      </c>
      <c r="F120" t="inlineStr">
        <is>
          <t>SÖDERMANLANDS LÄN</t>
        </is>
      </c>
      <c r="G120" t="inlineStr">
        <is>
          <t>FLEN</t>
        </is>
      </c>
      <c r="H120" t="inlineStr">
        <is>
          <t>Kommuner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12371-2022 artfynd.xlsx", "A 12371-2022")</f>
        <v/>
      </c>
      <c r="X120">
        <f>HYPERLINK("https://klasma.github.io/Logging_0482/kartor/A 12371-2022 karta.png", "A 12371-2022")</f>
        <v/>
      </c>
      <c r="Y120">
        <f>HYPERLINK("https://klasma.github.io/Logging_0482/kartor_geotiff/A 12371-2022 georefererad karta.tif", "A 12371-2022")</f>
        <v/>
      </c>
      <c r="AA120">
        <f>HYPERLINK("https://klasma.github.io/Logging_0482/klagomål/A 12371-2022 FSC-klagomål.docx", "A 12371-2022")</f>
        <v/>
      </c>
      <c r="AB120">
        <f>HYPERLINK("https://klasma.github.io/Logging_0482/klagomålsmail/A 12371-2022 FSC-klagomål mail.docx", "A 12371-2022")</f>
        <v/>
      </c>
      <c r="AC120">
        <f>HYPERLINK("https://klasma.github.io/Logging_0482/tillsyn/A 12371-2022 tillsynsbegäran.docx", "A 12371-2022")</f>
        <v/>
      </c>
      <c r="AD120">
        <f>HYPERLINK("https://klasma.github.io/Logging_0482/tillsynsmail/A 12371-2022 tillsynsbegäran mail.docx", "A 12371-2022")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46313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46313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46313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29195-2023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45105</v>
      </c>
      <c r="E124" s="1" t="n">
        <v>46313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3.9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Plattlummer</t>
        </is>
      </c>
      <c r="W124">
        <f>HYPERLINK("https://klasma.github.io/Logging_0482/artfynd/A 29195-2023 artfynd.xlsx", "A 29195-2023")</f>
        <v/>
      </c>
      <c r="X124">
        <f>HYPERLINK("https://klasma.github.io/Logging_0482/kartor/A 29195-2023 karta.png", "A 29195-2023")</f>
        <v/>
      </c>
      <c r="Y124">
        <f>HYPERLINK("https://klasma.github.io/Logging_0482/kartor_geotiff/A 29195-2023 georefererad karta.tif", "A 29195-2023")</f>
        <v/>
      </c>
      <c r="AA124">
        <f>HYPERLINK("https://klasma.github.io/Logging_0482/klagomål/A 29195-2023 FSC-klagomål.docx", "A 29195-2023")</f>
        <v/>
      </c>
      <c r="AB124">
        <f>HYPERLINK("https://klasma.github.io/Logging_0482/klagomålsmail/A 29195-2023 FSC-klagomål mail.docx", "A 29195-2023")</f>
        <v/>
      </c>
      <c r="AC124">
        <f>HYPERLINK("https://klasma.github.io/Logging_0482/tillsyn/A 29195-2023 tillsynsbegäran.docx", "A 29195-2023")</f>
        <v/>
      </c>
      <c r="AD124">
        <f>HYPERLINK("https://klasma.github.io/Logging_0482/tillsynsmail/A 29195-2023 tillsynsbegäran mail.docx", "A 29195-2023")</f>
        <v/>
      </c>
    </row>
    <row r="125" ht="15" customHeight="1">
      <c r="A125" t="inlineStr">
        <is>
          <t>A 30406-2026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46313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HYPERLINK("https://klasma.github.io/Logging_0482/artfynd/A 30406-2026 artfynd.xlsx", "A 30406-2026")</f>
        <v/>
      </c>
      <c r="X125">
        <f>HYPERLINK("https://klasma.github.io/Logging_0482/kartor/A 30406-2026 karta.png", "A 30406-2026")</f>
        <v/>
      </c>
      <c r="Y125">
        <f>HYPERLINK("https://klasma.github.io/Logging_0482/kartor_geotiff/A 30406-2026 georefererad karta.tif", "A 30406-2026")</f>
        <v/>
      </c>
      <c r="AA125">
        <f>HYPERLINK("https://klasma.github.io/Logging_0482/klagomål/A 30406-2026 FSC-klagomål.docx", "A 30406-2026")</f>
        <v/>
      </c>
      <c r="AB125">
        <f>HYPERLINK("https://klasma.github.io/Logging_0482/klagomålsmail/A 30406-2026 FSC-klagomål mail.docx", "A 30406-2026")</f>
        <v/>
      </c>
      <c r="AC125">
        <f>HYPERLINK("https://klasma.github.io/Logging_0482/tillsyn/A 30406-2026 tillsynsbegäran.docx", "A 30406-2026")</f>
        <v/>
      </c>
      <c r="AD125">
        <f>HYPERLINK("https://klasma.github.io/Logging_0482/tillsynsmail/A 30406-2026 tillsynsbegäran mail.docx", "A 30406-2026")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46313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50202-2022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46313</v>
      </c>
      <c r="F127" t="inlineStr">
        <is>
          <t>SÖDERMANLANDS LÄN</t>
        </is>
      </c>
      <c r="G127" t="inlineStr">
        <is>
          <t>FLEN</t>
        </is>
      </c>
      <c r="H127" t="inlineStr">
        <is>
          <t>Kyrkan</t>
        </is>
      </c>
      <c r="I127" t="n">
        <v>5.8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50202-2022 artfynd.xlsx", "A 50202-2022")</f>
        <v/>
      </c>
      <c r="X127">
        <f>HYPERLINK("https://klasma.github.io/Logging_0482/kartor/A 50202-2022 karta.png", "A 50202-2022")</f>
        <v/>
      </c>
      <c r="Y127">
        <f>HYPERLINK("https://klasma.github.io/Logging_0482/kartor_geotiff/A 50202-2022 georefererad karta.tif", "A 50202-2022")</f>
        <v/>
      </c>
      <c r="AA127">
        <f>HYPERLINK("https://klasma.github.io/Logging_0482/klagomål/A 50202-2022 FSC-klagomål.docx", "A 50202-2022")</f>
        <v/>
      </c>
      <c r="AB127">
        <f>HYPERLINK("https://klasma.github.io/Logging_0482/klagomålsmail/A 50202-2022 FSC-klagomål mail.docx", "A 50202-2022")</f>
        <v/>
      </c>
      <c r="AC127">
        <f>HYPERLINK("https://klasma.github.io/Logging_0482/tillsyn/A 50202-2022 tillsynsbegäran.docx", "A 50202-2022")</f>
        <v/>
      </c>
      <c r="AD127">
        <f>HYPERLINK("https://klasma.github.io/Logging_0482/tillsynsmail/A 50202-2022 tillsynsbegäran mail.docx", "A 50202-2022")</f>
        <v/>
      </c>
    </row>
    <row r="128" ht="15" customHeight="1">
      <c r="A128" t="inlineStr">
        <is>
          <t>A 7973-2024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46313</v>
      </c>
      <c r="F128" t="inlineStr">
        <is>
          <t>SÖDERMANLANDS LÄN</t>
        </is>
      </c>
      <c r="G128" t="inlineStr">
        <is>
          <t>FLEN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Vippärt</t>
        </is>
      </c>
      <c r="W128">
        <f>HYPERLINK("https://klasma.github.io/Logging_0482/artfynd/A 7973-2024 artfynd.xlsx", "A 7973-2024")</f>
        <v/>
      </c>
      <c r="X128">
        <f>HYPERLINK("https://klasma.github.io/Logging_0482/kartor/A 7973-2024 karta.png", "A 7973-2024")</f>
        <v/>
      </c>
      <c r="Y128">
        <f>HYPERLINK("https://klasma.github.io/Logging_0482/kartor_geotiff/A 7973-2024 georefererad karta.tif", "A 7973-2024")</f>
        <v/>
      </c>
      <c r="AA128">
        <f>HYPERLINK("https://klasma.github.io/Logging_0482/klagomål/A 7973-2024 FSC-klagomål.docx", "A 7973-2024")</f>
        <v/>
      </c>
      <c r="AB128">
        <f>HYPERLINK("https://klasma.github.io/Logging_0482/klagomålsmail/A 7973-2024 FSC-klagomål mail.docx", "A 7973-2024")</f>
        <v/>
      </c>
      <c r="AC128">
        <f>HYPERLINK("https://klasma.github.io/Logging_0482/tillsyn/A 7973-2024 tillsynsbegäran.docx", "A 7973-2024")</f>
        <v/>
      </c>
      <c r="AD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46313</v>
      </c>
      <c r="F129" t="inlineStr">
        <is>
          <t>SÖDERMANLANDS LÄN</t>
        </is>
      </c>
      <c r="G129" t="inlineStr">
        <is>
          <t>FLEN</t>
        </is>
      </c>
      <c r="I129" t="n">
        <v>8.4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Fjällig taggsvamp s.str.</t>
        </is>
      </c>
      <c r="W129">
        <f>HYPERLINK("https://klasma.github.io/Logging_0482/artfynd/A 12056-2024 artfynd.xlsx", "A 12056-2024")</f>
        <v/>
      </c>
      <c r="X129">
        <f>HYPERLINK("https://klasma.github.io/Logging_0482/kartor/A 12056-2024 karta.png", "A 12056-2024")</f>
        <v/>
      </c>
      <c r="Y129">
        <f>HYPERLINK("https://klasma.github.io/Logging_0482/kartor_geotiff/A 12056-2024 georefererad karta.tif", "A 12056-2024")</f>
        <v/>
      </c>
      <c r="AA129">
        <f>HYPERLINK("https://klasma.github.io/Logging_0482/klagomål/A 12056-2024 FSC-klagomål.docx", "A 12056-2024")</f>
        <v/>
      </c>
      <c r="AB129">
        <f>HYPERLINK("https://klasma.github.io/Logging_0482/klagomålsmail/A 12056-2024 FSC-klagomål mail.docx", "A 12056-2024")</f>
        <v/>
      </c>
      <c r="AC129">
        <f>HYPERLINK("https://klasma.github.io/Logging_0482/tillsyn/A 12056-2024 tillsynsbegäran.docx", "A 12056-2024")</f>
        <v/>
      </c>
      <c r="AD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47756-2022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46313</v>
      </c>
      <c r="F130" t="inlineStr">
        <is>
          <t>SÖDERMANLANDS LÄN</t>
        </is>
      </c>
      <c r="G130" t="inlineStr">
        <is>
          <t>FLEN</t>
        </is>
      </c>
      <c r="I130" t="n">
        <v>2.4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47756-2022 artfynd.xlsx", "A 47756-2022")</f>
        <v/>
      </c>
      <c r="X130">
        <f>HYPERLINK("https://klasma.github.io/Logging_0482/kartor/A 47756-2022 karta.png", "A 47756-2022")</f>
        <v/>
      </c>
      <c r="Y130">
        <f>HYPERLINK("https://klasma.github.io/Logging_0482/kartor_geotiff/A 47756-2022 georefererad karta.tif", "A 47756-2022")</f>
        <v/>
      </c>
      <c r="AA130">
        <f>HYPERLINK("https://klasma.github.io/Logging_0482/klagomål/A 47756-2022 FSC-klagomål.docx", "A 47756-2022")</f>
        <v/>
      </c>
      <c r="AB130">
        <f>HYPERLINK("https://klasma.github.io/Logging_0482/klagomålsmail/A 47756-2022 FSC-klagomål mail.docx", "A 47756-2022")</f>
        <v/>
      </c>
      <c r="AC130">
        <f>HYPERLINK("https://klasma.github.io/Logging_0482/tillsyn/A 47756-2022 tillsynsbegäran.docx", "A 47756-2022")</f>
        <v/>
      </c>
      <c r="AD130">
        <f>HYPERLINK("https://klasma.github.io/Logging_0482/tillsynsmail/A 47756-2022 tillsynsbegäran mail.docx", "A 47756-2022")</f>
        <v/>
      </c>
    </row>
    <row r="131" ht="15" customHeight="1">
      <c r="A131" t="inlineStr">
        <is>
          <t>A 62535-2021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46313</v>
      </c>
      <c r="F131" t="inlineStr">
        <is>
          <t>SÖDERMANLANDS LÄN</t>
        </is>
      </c>
      <c r="G131" t="inlineStr">
        <is>
          <t>FLEN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62535-2021 artfynd.xlsx", "A 62535-2021")</f>
        <v/>
      </c>
      <c r="X131">
        <f>HYPERLINK("https://klasma.github.io/Logging_0482/kartor/A 62535-2021 karta.png", "A 62535-2021")</f>
        <v/>
      </c>
      <c r="Y131">
        <f>HYPERLINK("https://klasma.github.io/Logging_0482/kartor_geotiff/A 62535-2021 georefererad karta.tif", "A 62535-2021")</f>
        <v/>
      </c>
      <c r="AA131">
        <f>HYPERLINK("https://klasma.github.io/Logging_0482/klagomål/A 62535-2021 FSC-klagomål.docx", "A 62535-2021")</f>
        <v/>
      </c>
      <c r="AB131">
        <f>HYPERLINK("https://klasma.github.io/Logging_0482/klagomålsmail/A 62535-2021 FSC-klagomål mail.docx", "A 62535-2021")</f>
        <v/>
      </c>
      <c r="AC131">
        <f>HYPERLINK("https://klasma.github.io/Logging_0482/tillsyn/A 62535-2021 tillsynsbegäran.docx", "A 62535-2021")</f>
        <v/>
      </c>
      <c r="AD131">
        <f>HYPERLINK("https://klasma.github.io/Logging_0482/tillsynsmail/A 62535-2021 tillsynsbegäran mail.docx", "A 62535-2021")</f>
        <v/>
      </c>
    </row>
    <row r="132" ht="15" customHeight="1">
      <c r="A132" t="inlineStr">
        <is>
          <t>A 14273-2025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46313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Vedskivlav</t>
        </is>
      </c>
      <c r="W132">
        <f>HYPERLINK("https://klasma.github.io/Logging_0482/artfynd/A 14273-2025 artfynd.xlsx", "A 14273-2025")</f>
        <v/>
      </c>
      <c r="X132">
        <f>HYPERLINK("https://klasma.github.io/Logging_0482/kartor/A 14273-2025 karta.png", "A 14273-2025")</f>
        <v/>
      </c>
      <c r="Y132">
        <f>HYPERLINK("https://klasma.github.io/Logging_0482/kartor_geotiff/A 14273-2025 georefererad karta.tif", "A 14273-2025")</f>
        <v/>
      </c>
      <c r="AA132">
        <f>HYPERLINK("https://klasma.github.io/Logging_0482/klagomål/A 14273-2025 FSC-klagomål.docx", "A 14273-2025")</f>
        <v/>
      </c>
      <c r="AB132">
        <f>HYPERLINK("https://klasma.github.io/Logging_0482/klagomålsmail/A 14273-2025 FSC-klagomål mail.docx", "A 14273-2025")</f>
        <v/>
      </c>
      <c r="AC132">
        <f>HYPERLINK("https://klasma.github.io/Logging_0482/tillsyn/A 14273-2025 tillsynsbegäran.docx", "A 14273-2025")</f>
        <v/>
      </c>
      <c r="AD132">
        <f>HYPERLINK("https://klasma.github.io/Logging_0482/tillsynsmail/A 14273-2025 tillsynsbegäran mail.docx", "A 14273-2025")</f>
        <v/>
      </c>
    </row>
    <row r="133" ht="15" customHeight="1">
      <c r="A133" t="inlineStr">
        <is>
          <t>A 49820-2023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46313</v>
      </c>
      <c r="F133" t="inlineStr">
        <is>
          <t>SÖDERMANLANDS LÄN</t>
        </is>
      </c>
      <c r="G133" t="inlineStr">
        <is>
          <t>FLEN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Gullviva</t>
        </is>
      </c>
      <c r="W133">
        <f>HYPERLINK("https://klasma.github.io/Logging_0482/artfynd/A 49820-2023 artfynd.xlsx", "A 49820-2023")</f>
        <v/>
      </c>
      <c r="X133">
        <f>HYPERLINK("https://klasma.github.io/Logging_0482/kartor/A 49820-2023 karta.png", "A 49820-2023")</f>
        <v/>
      </c>
      <c r="Y133">
        <f>HYPERLINK("https://klasma.github.io/Logging_0482/kartor_geotiff/A 49820-2023 georefererad karta.tif", "A 49820-2023")</f>
        <v/>
      </c>
      <c r="AA133">
        <f>HYPERLINK("https://klasma.github.io/Logging_0482/klagomål/A 49820-2023 FSC-klagomål.docx", "A 49820-2023")</f>
        <v/>
      </c>
      <c r="AB133">
        <f>HYPERLINK("https://klasma.github.io/Logging_0482/klagomålsmail/A 49820-2023 FSC-klagomål mail.docx", "A 49820-2023")</f>
        <v/>
      </c>
      <c r="AC133">
        <f>HYPERLINK("https://klasma.github.io/Logging_0482/tillsyn/A 49820-2023 tillsynsbegäran.docx", "A 49820-2023")</f>
        <v/>
      </c>
      <c r="AD133">
        <f>HYPERLINK("https://klasma.github.io/Logging_0482/tillsynsmail/A 49820-2023 tillsynsbegäran mail.docx", "A 49820-2023")</f>
        <v/>
      </c>
    </row>
    <row r="134" ht="15" customHeight="1">
      <c r="A134" t="inlineStr">
        <is>
          <t>A 45107-2023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46313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Brudborste</t>
        </is>
      </c>
      <c r="W134">
        <f>HYPERLINK("https://klasma.github.io/Logging_0482/artfynd/A 45107-2023 artfynd.xlsx", "A 45107-2023")</f>
        <v/>
      </c>
      <c r="X134">
        <f>HYPERLINK("https://klasma.github.io/Logging_0482/kartor/A 45107-2023 karta.png", "A 45107-2023")</f>
        <v/>
      </c>
      <c r="Y134">
        <f>HYPERLINK("https://klasma.github.io/Logging_0482/kartor_geotiff/A 45107-2023 georefererad karta.tif", "A 45107-2023")</f>
        <v/>
      </c>
      <c r="AA134">
        <f>HYPERLINK("https://klasma.github.io/Logging_0482/klagomål/A 45107-2023 FSC-klagomål.docx", "A 45107-2023")</f>
        <v/>
      </c>
      <c r="AB134">
        <f>HYPERLINK("https://klasma.github.io/Logging_0482/klagomålsmail/A 45107-2023 FSC-klagomål mail.docx", "A 45107-2023")</f>
        <v/>
      </c>
      <c r="AC134">
        <f>HYPERLINK("https://klasma.github.io/Logging_0482/tillsyn/A 45107-2023 tillsynsbegäran.docx", "A 45107-2023")</f>
        <v/>
      </c>
      <c r="AD134">
        <f>HYPERLINK("https://klasma.github.io/Logging_0482/tillsynsmail/A 45107-2023 tillsynsbegäran mail.docx", "A 45107-2023")</f>
        <v/>
      </c>
    </row>
    <row r="135" ht="15" customHeight="1">
      <c r="A135" t="inlineStr">
        <is>
          <t>A 40333-2026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46294</v>
      </c>
      <c r="E135" s="1" t="n">
        <v>46313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Gullviva</t>
        </is>
      </c>
      <c r="W135">
        <f>HYPERLINK("https://klasma.github.io/Logging_0482/artfynd/A 40333-2026 artfynd.xlsx", "A 40333-2026")</f>
        <v/>
      </c>
      <c r="X135">
        <f>HYPERLINK("https://klasma.github.io/Logging_0482/kartor/A 40333-2026 karta.png", "A 40333-2026")</f>
        <v/>
      </c>
      <c r="Y135">
        <f>HYPERLINK("https://klasma.github.io/Logging_0482/kartor_geotiff/A 40333-2026 georefererad karta.tif", "A 40333-2026")</f>
        <v/>
      </c>
      <c r="AA135">
        <f>HYPERLINK("https://klasma.github.io/Logging_0482/klagomål/A 40333-2026 FSC-klagomål.docx", "A 40333-2026")</f>
        <v/>
      </c>
      <c r="AB135">
        <f>HYPERLINK("https://klasma.github.io/Logging_0482/klagomålsmail/A 40333-2026 FSC-klagomål mail.docx", "A 40333-2026")</f>
        <v/>
      </c>
      <c r="AC135">
        <f>HYPERLINK("https://klasma.github.io/Logging_0482/tillsyn/A 40333-2026 tillsynsbegäran.docx", "A 40333-2026")</f>
        <v/>
      </c>
      <c r="AD135">
        <f>HYPERLINK("https://klasma.github.io/Logging_0482/tillsynsmail/A 40333-2026 tillsynsbegäran mail.docx", "A 40333-2026")</f>
        <v/>
      </c>
    </row>
    <row r="136" ht="15" customHeight="1">
      <c r="A136" t="inlineStr">
        <is>
          <t>A 46115-2023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46313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3.3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HYPERLINK("https://klasma.github.io/Logging_0482/artfynd/A 46115-2023 artfynd.xlsx", "A 46115-2023")</f>
        <v/>
      </c>
      <c r="X136">
        <f>HYPERLINK("https://klasma.github.io/Logging_0482/kartor/A 46115-2023 karta.png", "A 46115-2023")</f>
        <v/>
      </c>
      <c r="Y136">
        <f>HYPERLINK("https://klasma.github.io/Logging_0482/kartor_geotiff/A 46115-2023 georefererad karta.tif", "A 46115-2023")</f>
        <v/>
      </c>
      <c r="AA136">
        <f>HYPERLINK("https://klasma.github.io/Logging_0482/klagomål/A 46115-2023 FSC-klagomål.docx", "A 46115-2023")</f>
        <v/>
      </c>
      <c r="AB136">
        <f>HYPERLINK("https://klasma.github.io/Logging_0482/klagomålsmail/A 46115-2023 FSC-klagomål mail.docx", "A 46115-2023")</f>
        <v/>
      </c>
      <c r="AC136">
        <f>HYPERLINK("https://klasma.github.io/Logging_0482/tillsyn/A 46115-2023 tillsynsbegäran.docx", "A 46115-2023")</f>
        <v/>
      </c>
      <c r="AD136">
        <f>HYPERLINK("https://klasma.github.io/Logging_0482/tillsynsmail/A 46115-2023 tillsynsbegäran mail.docx", "A 46115-2023")</f>
        <v/>
      </c>
    </row>
    <row r="137" ht="15" customHeight="1">
      <c r="A137" t="inlineStr">
        <is>
          <t>A 56308-2024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46313</v>
      </c>
      <c r="F137" t="inlineStr">
        <is>
          <t>SÖDERMANLANDS LÄN</t>
        </is>
      </c>
      <c r="G137" t="inlineStr">
        <is>
          <t>FLEN</t>
        </is>
      </c>
      <c r="I137" t="n">
        <v>2.1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56308-2024 artfynd.xlsx", "A 56308-2024")</f>
        <v/>
      </c>
      <c r="X137">
        <f>HYPERLINK("https://klasma.github.io/Logging_0482/kartor/A 56308-2024 karta.png", "A 56308-2024")</f>
        <v/>
      </c>
      <c r="Y137">
        <f>HYPERLINK("https://klasma.github.io/Logging_0482/kartor_geotiff/A 56308-2024 georefererad karta.tif", "A 56308-2024")</f>
        <v/>
      </c>
      <c r="AA137">
        <f>HYPERLINK("https://klasma.github.io/Logging_0482/klagomål/A 56308-2024 FSC-klagomål.docx", "A 56308-2024")</f>
        <v/>
      </c>
      <c r="AB137">
        <f>HYPERLINK("https://klasma.github.io/Logging_0482/klagomålsmail/A 56308-2024 FSC-klagomål mail.docx", "A 56308-2024")</f>
        <v/>
      </c>
      <c r="AC137">
        <f>HYPERLINK("https://klasma.github.io/Logging_0482/tillsyn/A 56308-2024 tillsynsbegäran.docx", "A 56308-2024")</f>
        <v/>
      </c>
      <c r="AD137">
        <f>HYPERLINK("https://klasma.github.io/Logging_0482/tillsynsmail/A 56308-2024 tillsynsbegäran mail.docx", "A 56308-2024")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46313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46313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46313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46313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46313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46313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46313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46313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46313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46313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46313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44745</v>
      </c>
      <c r="E149" s="1" t="n">
        <v>46313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46313</v>
      </c>
      <c r="F150" t="inlineStr">
        <is>
          <t>SÖDERMANLANDS LÄN</t>
        </is>
      </c>
      <c r="G150" t="inlineStr">
        <is>
          <t>FLEN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46313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46313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46313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46313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46313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46313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46313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46313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46313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46313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46313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46313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46313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46313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46313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46313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46313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46313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46313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46313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46313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46313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46313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44752</v>
      </c>
      <c r="E174" s="1" t="n">
        <v>46313</v>
      </c>
      <c r="F174" t="inlineStr">
        <is>
          <t>SÖDERMANLANDS LÄN</t>
        </is>
      </c>
      <c r="G174" t="inlineStr">
        <is>
          <t>FLEN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46313</v>
      </c>
      <c r="F175" t="inlineStr">
        <is>
          <t>SÖDERMANLANDS LÄN</t>
        </is>
      </c>
      <c r="G175" t="inlineStr">
        <is>
          <t>FLEN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44566</v>
      </c>
      <c r="E176" s="1" t="n">
        <v>46313</v>
      </c>
      <c r="F176" t="inlineStr">
        <is>
          <t>SÖDERMANLANDS LÄN</t>
        </is>
      </c>
      <c r="G176" t="inlineStr">
        <is>
          <t>FLEN</t>
        </is>
      </c>
      <c r="H176" t="inlineStr">
        <is>
          <t>Kyrkan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46313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44610</v>
      </c>
      <c r="E178" s="1" t="n">
        <v>46313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44643</v>
      </c>
      <c r="E179" s="1" t="n">
        <v>46313</v>
      </c>
      <c r="F179" t="inlineStr">
        <is>
          <t>SÖDERMANLANDS LÄN</t>
        </is>
      </c>
      <c r="G179" t="inlineStr">
        <is>
          <t>FLEN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44636</v>
      </c>
      <c r="E180" s="1" t="n">
        <v>46313</v>
      </c>
      <c r="F180" t="inlineStr">
        <is>
          <t>SÖDERMANLANDS LÄN</t>
        </is>
      </c>
      <c r="G180" t="inlineStr">
        <is>
          <t>FLEN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44818</v>
      </c>
      <c r="E181" s="1" t="n">
        <v>46313</v>
      </c>
      <c r="F181" t="inlineStr">
        <is>
          <t>SÖDERMANLANDS LÄN</t>
        </is>
      </c>
      <c r="G181" t="inlineStr">
        <is>
          <t>FLEN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46313</v>
      </c>
      <c r="F182" t="inlineStr">
        <is>
          <t>SÖDERMANLANDS LÄN</t>
        </is>
      </c>
      <c r="G182" t="inlineStr">
        <is>
          <t>FLEN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46313</v>
      </c>
      <c r="F183" t="inlineStr">
        <is>
          <t>SÖDERMANLANDS LÄN</t>
        </is>
      </c>
      <c r="G183" t="inlineStr">
        <is>
          <t>FLEN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44868</v>
      </c>
      <c r="E184" s="1" t="n">
        <v>46313</v>
      </c>
      <c r="F184" t="inlineStr">
        <is>
          <t>SÖDERMANLANDS LÄN</t>
        </is>
      </c>
      <c r="G184" t="inlineStr">
        <is>
          <t>FLEN</t>
        </is>
      </c>
      <c r="H184" t="inlineStr">
        <is>
          <t>Övriga statliga verk och myndigheter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46313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46313</v>
      </c>
      <c r="F186" t="inlineStr">
        <is>
          <t>SÖDERMANLANDS LÄN</t>
        </is>
      </c>
      <c r="G186" t="inlineStr">
        <is>
          <t>FLEN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46313</v>
      </c>
      <c r="F187" t="inlineStr">
        <is>
          <t>SÖDERMANLANDS LÄN</t>
        </is>
      </c>
      <c r="G187" t="inlineStr">
        <is>
          <t>FLEN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46313</v>
      </c>
      <c r="F188" t="inlineStr">
        <is>
          <t>SÖDERMANLANDS LÄN</t>
        </is>
      </c>
      <c r="G188" t="inlineStr">
        <is>
          <t>FLEN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65869-2021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46313</v>
      </c>
      <c r="F189" t="inlineStr">
        <is>
          <t>SÖDERMANLANDS LÄN</t>
        </is>
      </c>
      <c r="G189" t="inlineStr">
        <is>
          <t>FLEN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44986</v>
      </c>
      <c r="E190" s="1" t="n">
        <v>46313</v>
      </c>
      <c r="F190" t="inlineStr">
        <is>
          <t>SÖDERMANLANDS LÄN</t>
        </is>
      </c>
      <c r="G190" t="inlineStr">
        <is>
          <t>FLEN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46313</v>
      </c>
      <c r="F191" t="inlineStr">
        <is>
          <t>SÖDERMANLANDS LÄN</t>
        </is>
      </c>
      <c r="G191" t="inlineStr">
        <is>
          <t>FLEN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60255-2021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44495</v>
      </c>
      <c r="E192" s="1" t="n">
        <v>46313</v>
      </c>
      <c r="F192" t="inlineStr">
        <is>
          <t>SÖDERMANLANDS LÄN</t>
        </is>
      </c>
      <c r="G192" t="inlineStr">
        <is>
          <t>FLEN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46313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46313</v>
      </c>
      <c r="F194" t="inlineStr">
        <is>
          <t>SÖDERMANLANDS LÄN</t>
        </is>
      </c>
      <c r="G194" t="inlineStr">
        <is>
          <t>FLEN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72314-2021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44544</v>
      </c>
      <c r="E195" s="1" t="n">
        <v>46313</v>
      </c>
      <c r="F195" t="inlineStr">
        <is>
          <t>SÖDERMANLANDS LÄN</t>
        </is>
      </c>
      <c r="G195" t="inlineStr">
        <is>
          <t>FLEN</t>
        </is>
      </c>
      <c r="I195" t="n">
        <v>13.8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46313</v>
      </c>
      <c r="F196" t="inlineStr">
        <is>
          <t>SÖDERMANLANDS LÄN</t>
        </is>
      </c>
      <c r="G196" t="inlineStr">
        <is>
          <t>FLEN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46313</v>
      </c>
      <c r="F197" t="inlineStr">
        <is>
          <t>SÖDERMANLANDS LÄN</t>
        </is>
      </c>
      <c r="G197" t="inlineStr">
        <is>
          <t>FLEN</t>
        </is>
      </c>
      <c r="H197" t="inlineStr">
        <is>
          <t>Övriga statliga verk och myndigheter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44796</v>
      </c>
      <c r="E198" s="1" t="n">
        <v>46313</v>
      </c>
      <c r="F198" t="inlineStr">
        <is>
          <t>SÖDERMANLANDS LÄN</t>
        </is>
      </c>
      <c r="G198" t="inlineStr">
        <is>
          <t>FLEN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45482</v>
      </c>
      <c r="E199" s="1" t="n">
        <v>46313</v>
      </c>
      <c r="F199" t="inlineStr">
        <is>
          <t>SÖDERMANLANDS LÄN</t>
        </is>
      </c>
      <c r="G199" t="inlineStr">
        <is>
          <t>FLEN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46313</v>
      </c>
      <c r="F200" t="inlineStr">
        <is>
          <t>SÖDERMANLANDS LÄN</t>
        </is>
      </c>
      <c r="G200" t="inlineStr">
        <is>
          <t>FLEN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46313</v>
      </c>
      <c r="F201" t="inlineStr">
        <is>
          <t>SÖDERMANLANDS LÄN</t>
        </is>
      </c>
      <c r="G201" t="inlineStr">
        <is>
          <t>FLEN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46313</v>
      </c>
      <c r="F202" t="inlineStr">
        <is>
          <t>SÖDERMANLANDS LÄN</t>
        </is>
      </c>
      <c r="G202" t="inlineStr">
        <is>
          <t>FLEN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46313</v>
      </c>
      <c r="F203" t="inlineStr">
        <is>
          <t>SÖDERMANLANDS LÄN</t>
        </is>
      </c>
      <c r="G203" t="inlineStr">
        <is>
          <t>FLEN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45270</v>
      </c>
      <c r="E204" s="1" t="n">
        <v>46313</v>
      </c>
      <c r="F204" t="inlineStr">
        <is>
          <t>SÖDERMANLANDS LÄN</t>
        </is>
      </c>
      <c r="G204" t="inlineStr">
        <is>
          <t>FLEN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44970</v>
      </c>
      <c r="E205" s="1" t="n">
        <v>46313</v>
      </c>
      <c r="F205" t="inlineStr">
        <is>
          <t>SÖDERMANLANDS LÄN</t>
        </is>
      </c>
      <c r="G205" t="inlineStr">
        <is>
          <t>FLEN</t>
        </is>
      </c>
      <c r="H205" t="inlineStr">
        <is>
          <t>Kommuner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46313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46313</v>
      </c>
      <c r="F207" t="inlineStr">
        <is>
          <t>SÖDERMANLANDS LÄN</t>
        </is>
      </c>
      <c r="G207" t="inlineStr">
        <is>
          <t>FLEN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44733</v>
      </c>
      <c r="E208" s="1" t="n">
        <v>46313</v>
      </c>
      <c r="F208" t="inlineStr">
        <is>
          <t>SÖDERMANLANDS LÄN</t>
        </is>
      </c>
      <c r="G208" t="inlineStr">
        <is>
          <t>FLEN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46313</v>
      </c>
      <c r="F209" t="inlineStr">
        <is>
          <t>SÖDERMANLANDS LÄN</t>
        </is>
      </c>
      <c r="G209" t="inlineStr">
        <is>
          <t>FLEN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66867-2021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46313</v>
      </c>
      <c r="F210" t="inlineStr">
        <is>
          <t>SÖDERMANLANDS LÄN</t>
        </is>
      </c>
      <c r="G210" t="inlineStr">
        <is>
          <t>FLEN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44931</v>
      </c>
      <c r="E211" s="1" t="n">
        <v>46313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46313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46313</v>
      </c>
      <c r="F213" t="inlineStr">
        <is>
          <t>SÖDERMANLANDS LÄN</t>
        </is>
      </c>
      <c r="G213" t="inlineStr">
        <is>
          <t>FLEN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46313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45311</v>
      </c>
      <c r="E215" s="1" t="n">
        <v>46313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44588</v>
      </c>
      <c r="E216" s="1" t="n">
        <v>46313</v>
      </c>
      <c r="F216" t="inlineStr">
        <is>
          <t>SÖDERMANLANDS LÄN</t>
        </is>
      </c>
      <c r="G216" t="inlineStr">
        <is>
          <t>FLEN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44872</v>
      </c>
      <c r="E217" s="1" t="n">
        <v>46313</v>
      </c>
      <c r="F217" t="inlineStr">
        <is>
          <t>SÖDERMANLANDS LÄN</t>
        </is>
      </c>
      <c r="G217" t="inlineStr">
        <is>
          <t>FLEN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46313</v>
      </c>
      <c r="F218" t="inlineStr">
        <is>
          <t>SÖDERMANLANDS LÄN</t>
        </is>
      </c>
      <c r="G218" t="inlineStr">
        <is>
          <t>FLEN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46313</v>
      </c>
      <c r="F219" t="inlineStr">
        <is>
          <t>SÖDERMANLANDS LÄN</t>
        </is>
      </c>
      <c r="G219" t="inlineStr">
        <is>
          <t>FLEN</t>
        </is>
      </c>
      <c r="H219" t="inlineStr">
        <is>
          <t>Övriga statliga verk och myndigheter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44859</v>
      </c>
      <c r="E220" s="1" t="n">
        <v>46313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46313</v>
      </c>
      <c r="F221" t="inlineStr">
        <is>
          <t>SÖDERMANLANDS LÄN</t>
        </is>
      </c>
      <c r="G221" t="inlineStr">
        <is>
          <t>FLEN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45057</v>
      </c>
      <c r="E222" s="1" t="n">
        <v>46313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45034</v>
      </c>
      <c r="E223" s="1" t="n">
        <v>46313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46313</v>
      </c>
      <c r="F224" t="inlineStr">
        <is>
          <t>SÖDERMANLANDS LÄN</t>
        </is>
      </c>
      <c r="G224" t="inlineStr">
        <is>
          <t>FLEN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46313</v>
      </c>
      <c r="F225" t="inlineStr">
        <is>
          <t>SÖDERMANLANDS LÄN</t>
        </is>
      </c>
      <c r="G225" t="inlineStr">
        <is>
          <t>FLEN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46313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46313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45089</v>
      </c>
      <c r="E228" s="1" t="n">
        <v>46313</v>
      </c>
      <c r="F228" t="inlineStr">
        <is>
          <t>SÖDERMANLANDS LÄN</t>
        </is>
      </c>
      <c r="G228" t="inlineStr">
        <is>
          <t>FLEN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44624</v>
      </c>
      <c r="E229" s="1" t="n">
        <v>46313</v>
      </c>
      <c r="F229" t="inlineStr">
        <is>
          <t>SÖDERMANLANDS LÄN</t>
        </is>
      </c>
      <c r="G229" t="inlineStr">
        <is>
          <t>FLEN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42731-2024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45566</v>
      </c>
      <c r="E230" s="1" t="n">
        <v>46313</v>
      </c>
      <c r="F230" t="inlineStr">
        <is>
          <t>SÖDERMANLANDS LÄN</t>
        </is>
      </c>
      <c r="G230" t="inlineStr">
        <is>
          <t>FLEN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46313</v>
      </c>
      <c r="F231" t="inlineStr">
        <is>
          <t>SÖDERMANLANDS LÄN</t>
        </is>
      </c>
      <c r="G231" t="inlineStr">
        <is>
          <t>FLEN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44838</v>
      </c>
      <c r="E232" s="1" t="n">
        <v>46313</v>
      </c>
      <c r="F232" t="inlineStr">
        <is>
          <t>SÖDERMANLANDS LÄN</t>
        </is>
      </c>
      <c r="G232" t="inlineStr">
        <is>
          <t>FLEN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44761</v>
      </c>
      <c r="E233" s="1" t="n">
        <v>46313</v>
      </c>
      <c r="F233" t="inlineStr">
        <is>
          <t>SÖDERMANLANDS LÄN</t>
        </is>
      </c>
      <c r="G233" t="inlineStr">
        <is>
          <t>FLEN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46313</v>
      </c>
      <c r="F234" t="inlineStr">
        <is>
          <t>SÖDERMANLANDS LÄN</t>
        </is>
      </c>
      <c r="G234" t="inlineStr">
        <is>
          <t>FLEN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46313</v>
      </c>
      <c r="F235" t="inlineStr">
        <is>
          <t>SÖDERMANLANDS LÄN</t>
        </is>
      </c>
      <c r="G235" t="inlineStr">
        <is>
          <t>FLEN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14106-2025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45740</v>
      </c>
      <c r="E236" s="1" t="n">
        <v>46313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46313</v>
      </c>
      <c r="F237" t="inlineStr">
        <is>
          <t>SÖDERMANLANDS LÄN</t>
        </is>
      </c>
      <c r="G237" t="inlineStr">
        <is>
          <t>FLEN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46313</v>
      </c>
      <c r="F238" t="inlineStr">
        <is>
          <t>SÖDERMANLANDS LÄN</t>
        </is>
      </c>
      <c r="G238" t="inlineStr">
        <is>
          <t>FLEN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46313</v>
      </c>
      <c r="F239" t="inlineStr">
        <is>
          <t>SÖDERMANLANDS LÄN</t>
        </is>
      </c>
      <c r="G239" t="inlineStr">
        <is>
          <t>FLEN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23859-2022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46313</v>
      </c>
      <c r="F240" t="inlineStr">
        <is>
          <t>SÖDERMANLANDS LÄN</t>
        </is>
      </c>
      <c r="G240" t="inlineStr">
        <is>
          <t>FLEN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44785</v>
      </c>
      <c r="E241" s="1" t="n">
        <v>46313</v>
      </c>
      <c r="F241" t="inlineStr">
        <is>
          <t>SÖDERMANLANDS LÄN</t>
        </is>
      </c>
      <c r="G241" t="inlineStr">
        <is>
          <t>FLEN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44616</v>
      </c>
      <c r="E242" s="1" t="n">
        <v>46313</v>
      </c>
      <c r="F242" t="inlineStr">
        <is>
          <t>SÖDERMANLANDS LÄN</t>
        </is>
      </c>
      <c r="G242" t="inlineStr">
        <is>
          <t>FLEN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46313</v>
      </c>
      <c r="F243" t="inlineStr">
        <is>
          <t>SÖDERMANLANDS LÄN</t>
        </is>
      </c>
      <c r="G243" t="inlineStr">
        <is>
          <t>FLEN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46313</v>
      </c>
      <c r="F244" t="inlineStr">
        <is>
          <t>SÖDERMANLANDS LÄN</t>
        </is>
      </c>
      <c r="G244" t="inlineStr">
        <is>
          <t>FLEN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46313</v>
      </c>
      <c r="F245" t="inlineStr">
        <is>
          <t>SÖDERMANLANDS LÄN</t>
        </is>
      </c>
      <c r="G245" t="inlineStr">
        <is>
          <t>FLEN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46313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44807</v>
      </c>
      <c r="E247" s="1" t="n">
        <v>46313</v>
      </c>
      <c r="F247" t="inlineStr">
        <is>
          <t>SÖDERMANLANDS LÄN</t>
        </is>
      </c>
      <c r="G247" t="inlineStr">
        <is>
          <t>FLEN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46313</v>
      </c>
      <c r="F248" t="inlineStr">
        <is>
          <t>SÖDERMANLANDS LÄN</t>
        </is>
      </c>
      <c r="G248" t="inlineStr">
        <is>
          <t>FLEN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46313</v>
      </c>
      <c r="F249" t="inlineStr">
        <is>
          <t>SÖDERMANLANDS LÄN</t>
        </is>
      </c>
      <c r="G249" t="inlineStr">
        <is>
          <t>FLEN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45213</v>
      </c>
      <c r="E250" s="1" t="n">
        <v>46313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46313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45322</v>
      </c>
      <c r="E252" s="1" t="n">
        <v>46313</v>
      </c>
      <c r="F252" t="inlineStr">
        <is>
          <t>SÖDERMANLANDS LÄN</t>
        </is>
      </c>
      <c r="G252" t="inlineStr">
        <is>
          <t>FLEN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46313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46313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67464-2021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44524</v>
      </c>
      <c r="E255" s="1" t="n">
        <v>46313</v>
      </c>
      <c r="F255" t="inlineStr">
        <is>
          <t>SÖDERMANLANDS LÄN</t>
        </is>
      </c>
      <c r="G255" t="inlineStr">
        <is>
          <t>FLEN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66979-2021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44522</v>
      </c>
      <c r="E256" s="1" t="n">
        <v>46313</v>
      </c>
      <c r="F256" t="inlineStr">
        <is>
          <t>SÖDERMANLANDS LÄN</t>
        </is>
      </c>
      <c r="G256" t="inlineStr">
        <is>
          <t>FLEN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16908-2024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45411</v>
      </c>
      <c r="E257" s="1" t="n">
        <v>46313</v>
      </c>
      <c r="F257" t="inlineStr">
        <is>
          <t>SÖDERMANLANDS LÄN</t>
        </is>
      </c>
      <c r="G257" t="inlineStr">
        <is>
          <t>FLEN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46313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46313</v>
      </c>
      <c r="F259" t="inlineStr">
        <is>
          <t>SÖDERMANLANDS LÄN</t>
        </is>
      </c>
      <c r="G259" t="inlineStr">
        <is>
          <t>FLEN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46313</v>
      </c>
      <c r="F260" t="inlineStr">
        <is>
          <t>SÖDERMANLANDS LÄN</t>
        </is>
      </c>
      <c r="G260" t="inlineStr">
        <is>
          <t>FLEN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46313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46313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45081</v>
      </c>
      <c r="E263" s="1" t="n">
        <v>46313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45081</v>
      </c>
      <c r="E264" s="1" t="n">
        <v>46313</v>
      </c>
      <c r="F264" t="inlineStr">
        <is>
          <t>SÖDERMANLANDS LÄN</t>
        </is>
      </c>
      <c r="G264" t="inlineStr">
        <is>
          <t>FLEN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46313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45228</v>
      </c>
      <c r="E266" s="1" t="n">
        <v>46313</v>
      </c>
      <c r="F266" t="inlineStr">
        <is>
          <t>SÖDERMANLANDS LÄN</t>
        </is>
      </c>
      <c r="G266" t="inlineStr">
        <is>
          <t>FLEN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46313</v>
      </c>
      <c r="F267" t="inlineStr">
        <is>
          <t>SÖDERMANLANDS LÄN</t>
        </is>
      </c>
      <c r="G267" t="inlineStr">
        <is>
          <t>FLEN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46313</v>
      </c>
      <c r="F268" t="inlineStr">
        <is>
          <t>SÖDERMANLANDS LÄN</t>
        </is>
      </c>
      <c r="G268" t="inlineStr">
        <is>
          <t>FLEN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45022</v>
      </c>
      <c r="E269" s="1" t="n">
        <v>46313</v>
      </c>
      <c r="F269" t="inlineStr">
        <is>
          <t>SÖDERMANLANDS LÄN</t>
        </is>
      </c>
      <c r="G269" t="inlineStr">
        <is>
          <t>FLEN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46313</v>
      </c>
      <c r="F270" t="inlineStr">
        <is>
          <t>SÖDERMANLANDS LÄN</t>
        </is>
      </c>
      <c r="G270" t="inlineStr">
        <is>
          <t>FLEN</t>
        </is>
      </c>
      <c r="H270" t="inlineStr">
        <is>
          <t>Övriga statliga verk och myndigheter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32023-2022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46313</v>
      </c>
      <c r="F271" t="inlineStr">
        <is>
          <t>SÖDERMANLANDS LÄN</t>
        </is>
      </c>
      <c r="G271" t="inlineStr">
        <is>
          <t>FLEN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46313</v>
      </c>
      <c r="F272" t="inlineStr">
        <is>
          <t>SÖDERMANLANDS LÄN</t>
        </is>
      </c>
      <c r="G272" t="inlineStr">
        <is>
          <t>FLEN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45331</v>
      </c>
      <c r="E273" s="1" t="n">
        <v>46313</v>
      </c>
      <c r="F273" t="inlineStr">
        <is>
          <t>SÖDERMANLANDS LÄN</t>
        </is>
      </c>
      <c r="G273" t="inlineStr">
        <is>
          <t>FLEN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45066</v>
      </c>
      <c r="E274" s="1" t="n">
        <v>46313</v>
      </c>
      <c r="F274" t="inlineStr">
        <is>
          <t>SÖDERMANLANDS LÄN</t>
        </is>
      </c>
      <c r="G274" t="inlineStr">
        <is>
          <t>FLEN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46313</v>
      </c>
      <c r="F275" t="inlineStr">
        <is>
          <t>SÖDERMANLANDS LÄN</t>
        </is>
      </c>
      <c r="G275" t="inlineStr">
        <is>
          <t>FLEN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45330</v>
      </c>
      <c r="E276" s="1" t="n">
        <v>46313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44864</v>
      </c>
      <c r="E277" s="1" t="n">
        <v>46313</v>
      </c>
      <c r="F277" t="inlineStr">
        <is>
          <t>SÖDERMANLANDS LÄN</t>
        </is>
      </c>
      <c r="G277" t="inlineStr">
        <is>
          <t>FLEN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44855</v>
      </c>
      <c r="E278" s="1" t="n">
        <v>46313</v>
      </c>
      <c r="F278" t="inlineStr">
        <is>
          <t>SÖDERMANLANDS LÄN</t>
        </is>
      </c>
      <c r="G278" t="inlineStr">
        <is>
          <t>FLEN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46313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45250</v>
      </c>
      <c r="E280" s="1" t="n">
        <v>46313</v>
      </c>
      <c r="F280" t="inlineStr">
        <is>
          <t>SÖDERMANLANDS LÄN</t>
        </is>
      </c>
      <c r="G280" t="inlineStr">
        <is>
          <t>FLEN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46313</v>
      </c>
      <c r="F281" t="inlineStr">
        <is>
          <t>SÖDERMANLANDS LÄN</t>
        </is>
      </c>
      <c r="G281" t="inlineStr">
        <is>
          <t>FLEN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45224</v>
      </c>
      <c r="E282" s="1" t="n">
        <v>46313</v>
      </c>
      <c r="F282" t="inlineStr">
        <is>
          <t>SÖDERMANLANDS LÄN</t>
        </is>
      </c>
      <c r="G282" t="inlineStr">
        <is>
          <t>FLEN</t>
        </is>
      </c>
      <c r="H282" t="inlineStr">
        <is>
          <t>Kyrkan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54283-2025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45964</v>
      </c>
      <c r="E283" s="1" t="n">
        <v>46313</v>
      </c>
      <c r="F283" t="inlineStr">
        <is>
          <t>SÖDERMANLANDS LÄN</t>
        </is>
      </c>
      <c r="G283" t="inlineStr">
        <is>
          <t>FLEN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54282-2025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45964</v>
      </c>
      <c r="E284" s="1" t="n">
        <v>46313</v>
      </c>
      <c r="F284" t="inlineStr">
        <is>
          <t>SÖDERMANLANDS LÄN</t>
        </is>
      </c>
      <c r="G284" t="inlineStr">
        <is>
          <t>FLEN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45528</v>
      </c>
      <c r="E285" s="1" t="n">
        <v>46313</v>
      </c>
      <c r="F285" t="inlineStr">
        <is>
          <t>SÖDERMANLANDS LÄN</t>
        </is>
      </c>
      <c r="G285" t="inlineStr">
        <is>
          <t>FLEN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57353-2022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46313</v>
      </c>
      <c r="F286" t="inlineStr">
        <is>
          <t>SÖDERMANLANDS LÄN</t>
        </is>
      </c>
      <c r="G286" t="inlineStr">
        <is>
          <t>FLEN</t>
        </is>
      </c>
      <c r="H286" t="inlineStr">
        <is>
          <t>Övriga statliga verk och myndigheter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56573-2025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45974</v>
      </c>
      <c r="E287" s="1" t="n">
        <v>46313</v>
      </c>
      <c r="F287" t="inlineStr">
        <is>
          <t>SÖDERMANLANDS LÄN</t>
        </is>
      </c>
      <c r="G287" t="inlineStr">
        <is>
          <t>FLEN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46313</v>
      </c>
      <c r="F288" t="inlineStr">
        <is>
          <t>SÖDERMANLANDS LÄN</t>
        </is>
      </c>
      <c r="G288" t="inlineStr">
        <is>
          <t>FLEN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46313</v>
      </c>
      <c r="F289" t="inlineStr">
        <is>
          <t>SÖDERMANLANDS LÄN</t>
        </is>
      </c>
      <c r="G289" t="inlineStr">
        <is>
          <t>FLEN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46313</v>
      </c>
      <c r="F290" t="inlineStr">
        <is>
          <t>SÖDERMANLANDS LÄN</t>
        </is>
      </c>
      <c r="G290" t="inlineStr">
        <is>
          <t>FLEN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46313</v>
      </c>
      <c r="F291" t="inlineStr">
        <is>
          <t>SÖDERMANLANDS LÄN</t>
        </is>
      </c>
      <c r="G291" t="inlineStr">
        <is>
          <t>FLEN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46313</v>
      </c>
      <c r="F292" t="inlineStr">
        <is>
          <t>SÖDERMANLANDS LÄN</t>
        </is>
      </c>
      <c r="G292" t="inlineStr">
        <is>
          <t>FLEN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46313</v>
      </c>
      <c r="F293" t="inlineStr">
        <is>
          <t>SÖDERMANLANDS LÄN</t>
        </is>
      </c>
      <c r="G293" t="inlineStr">
        <is>
          <t>FLEN</t>
        </is>
      </c>
      <c r="H293" t="inlineStr">
        <is>
          <t>Övriga statliga verk och myndigheter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46313</v>
      </c>
      <c r="F294" t="inlineStr">
        <is>
          <t>SÖDERMANLANDS LÄN</t>
        </is>
      </c>
      <c r="G294" t="inlineStr">
        <is>
          <t>FLEN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46313</v>
      </c>
      <c r="F295" t="inlineStr">
        <is>
          <t>SÖDERMANLANDS LÄN</t>
        </is>
      </c>
      <c r="G295" t="inlineStr">
        <is>
          <t>FLEN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44991</v>
      </c>
      <c r="E296" s="1" t="n">
        <v>46313</v>
      </c>
      <c r="F296" t="inlineStr">
        <is>
          <t>SÖDERMANLANDS LÄN</t>
        </is>
      </c>
      <c r="G296" t="inlineStr">
        <is>
          <t>FLEN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46313</v>
      </c>
      <c r="F297" t="inlineStr">
        <is>
          <t>SÖDERMANLANDS LÄN</t>
        </is>
      </c>
      <c r="G297" t="inlineStr">
        <is>
          <t>FLEN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46313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46313</v>
      </c>
      <c r="F299" t="inlineStr">
        <is>
          <t>SÖDERMANLANDS LÄN</t>
        </is>
      </c>
      <c r="G299" t="inlineStr">
        <is>
          <t>FLEN</t>
        </is>
      </c>
      <c r="H299" t="inlineStr">
        <is>
          <t>Kyrkan</t>
        </is>
      </c>
      <c r="I299" t="n">
        <v>9.699999999999999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46313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46313</v>
      </c>
      <c r="F301" t="inlineStr">
        <is>
          <t>SÖDERMANLANDS LÄN</t>
        </is>
      </c>
      <c r="G301" t="inlineStr">
        <is>
          <t>FLEN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46313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46313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46313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46313</v>
      </c>
      <c r="F305" t="inlineStr">
        <is>
          <t>SÖDERMANLANDS LÄN</t>
        </is>
      </c>
      <c r="G305" t="inlineStr">
        <is>
          <t>FLEN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46313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46313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46313</v>
      </c>
      <c r="F308" t="inlineStr">
        <is>
          <t>SÖDERMANLANDS LÄN</t>
        </is>
      </c>
      <c r="G308" t="inlineStr">
        <is>
          <t>FLEN</t>
        </is>
      </c>
      <c r="H308" t="inlineStr">
        <is>
          <t>Övriga statliga verk och myndigheter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46313</v>
      </c>
      <c r="F309" t="inlineStr">
        <is>
          <t>SÖDERMANLANDS LÄN</t>
        </is>
      </c>
      <c r="G309" t="inlineStr">
        <is>
          <t>FLEN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46168</v>
      </c>
      <c r="E310" s="1" t="n">
        <v>46313</v>
      </c>
      <c r="F310" t="inlineStr">
        <is>
          <t>SÖDERMANLANDS LÄN</t>
        </is>
      </c>
      <c r="G310" t="inlineStr">
        <is>
          <t>FLEN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46313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46313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46313</v>
      </c>
      <c r="F313" t="inlineStr">
        <is>
          <t>SÖDERMANLANDS LÄN</t>
        </is>
      </c>
      <c r="G313" t="inlineStr">
        <is>
          <t>FLEN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46313</v>
      </c>
      <c r="F314" t="inlineStr">
        <is>
          <t>SÖDERMANLANDS LÄN</t>
        </is>
      </c>
      <c r="G314" t="inlineStr">
        <is>
          <t>FLEN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46313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Z315">
        <f>HYPERLINK("https://klasma.github.io/Logging_0482/knärot/A 24450-2026 karta knärot.png", "A 24450-2026")</f>
        <v/>
      </c>
      <c r="AA315">
        <f>HYPERLINK("https://klasma.github.io/Logging_0482/klagomål/A 24450-2026 FSC-klagomål.docx", "A 24450-2026")</f>
        <v/>
      </c>
      <c r="AB315">
        <f>HYPERLINK("https://klasma.github.io/Logging_0482/klagomålsmail/A 24450-2026 FSC-klagomål mail.docx", "A 24450-2026")</f>
        <v/>
      </c>
      <c r="AC315">
        <f>HYPERLINK("https://klasma.github.io/Logging_0482/tillsyn/A 24450-2026 tillsynsbegäran.docx", "A 24450-2026")</f>
        <v/>
      </c>
      <c r="AD315">
        <f>HYPERLINK("https://klasma.github.io/Logging_0482/tillsynsmail/A 24450-2026 tillsynsbegäran mail.docx", "A 24450-2026")</f>
        <v/>
      </c>
    </row>
    <row r="316" ht="15" customHeight="1">
      <c r="A316" t="inlineStr">
        <is>
          <t>A 476-2022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44566</v>
      </c>
      <c r="E316" s="1" t="n">
        <v>46313</v>
      </c>
      <c r="F316" t="inlineStr">
        <is>
          <t>SÖDERMANLANDS LÄN</t>
        </is>
      </c>
      <c r="G316" t="inlineStr">
        <is>
          <t>FLEN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10828-2022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46313</v>
      </c>
      <c r="F317" t="inlineStr">
        <is>
          <t>SÖDERMANLANDS LÄN</t>
        </is>
      </c>
      <c r="G317" t="inlineStr">
        <is>
          <t>FLEN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54781-2024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45618</v>
      </c>
      <c r="E318" s="1" t="n">
        <v>46313</v>
      </c>
      <c r="F318" t="inlineStr">
        <is>
          <t>SÖDERMANLANDS LÄN</t>
        </is>
      </c>
      <c r="G318" t="inlineStr">
        <is>
          <t>FLEN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45041</v>
      </c>
      <c r="E319" s="1" t="n">
        <v>46313</v>
      </c>
      <c r="F319" t="inlineStr">
        <is>
          <t>SÖDERMANLANDS LÄN</t>
        </is>
      </c>
      <c r="G319" t="inlineStr">
        <is>
          <t>FLEN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46313</v>
      </c>
      <c r="F320" t="inlineStr">
        <is>
          <t>SÖDERMANLANDS LÄN</t>
        </is>
      </c>
      <c r="G320" t="inlineStr">
        <is>
          <t>FLEN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45166</v>
      </c>
      <c r="E321" s="1" t="n">
        <v>46313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47872-2025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45932</v>
      </c>
      <c r="E322" s="1" t="n">
        <v>46313</v>
      </c>
      <c r="F322" t="inlineStr">
        <is>
          <t>SÖDERMANLANDS LÄN</t>
        </is>
      </c>
      <c r="G322" t="inlineStr">
        <is>
          <t>FLEN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46313</v>
      </c>
      <c r="F323" t="inlineStr">
        <is>
          <t>SÖDERMANLANDS LÄN</t>
        </is>
      </c>
      <c r="G323" t="inlineStr">
        <is>
          <t>FLEN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46313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44909</v>
      </c>
      <c r="E325" s="1" t="n">
        <v>46313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45518</v>
      </c>
      <c r="E326" s="1" t="n">
        <v>46313</v>
      </c>
      <c r="F326" t="inlineStr">
        <is>
          <t>SÖDERMANLANDS LÄN</t>
        </is>
      </c>
      <c r="G326" t="inlineStr">
        <is>
          <t>FLEN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45271</v>
      </c>
      <c r="E327" s="1" t="n">
        <v>46313</v>
      </c>
      <c r="F327" t="inlineStr">
        <is>
          <t>SÖDERMANLANDS LÄN</t>
        </is>
      </c>
      <c r="G327" t="inlineStr">
        <is>
          <t>FLEN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46175</v>
      </c>
      <c r="E328" s="1" t="n">
        <v>46313</v>
      </c>
      <c r="F328" t="inlineStr">
        <is>
          <t>SÖDERMANLANDS LÄN</t>
        </is>
      </c>
      <c r="G328" t="inlineStr">
        <is>
          <t>FLEN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46313</v>
      </c>
      <c r="F329" t="inlineStr">
        <is>
          <t>SÖDERMANLANDS LÄN</t>
        </is>
      </c>
      <c r="G329" t="inlineStr">
        <is>
          <t>FLEN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45632</v>
      </c>
      <c r="E330" s="1" t="n">
        <v>46313</v>
      </c>
      <c r="F330" t="inlineStr">
        <is>
          <t>SÖDERMANLANDS LÄN</t>
        </is>
      </c>
      <c r="G330" t="inlineStr">
        <is>
          <t>FLEN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46313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46313</v>
      </c>
      <c r="F332" t="inlineStr">
        <is>
          <t>SÖDERMANLANDS LÄN</t>
        </is>
      </c>
      <c r="G332" t="inlineStr">
        <is>
          <t>FLEN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45321</v>
      </c>
      <c r="E333" s="1" t="n">
        <v>46313</v>
      </c>
      <c r="F333" t="inlineStr">
        <is>
          <t>SÖDERMANLANDS LÄN</t>
        </is>
      </c>
      <c r="G333" t="inlineStr">
        <is>
          <t>FLEN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46313</v>
      </c>
      <c r="F334" t="inlineStr">
        <is>
          <t>SÖDERMANLANDS LÄN</t>
        </is>
      </c>
      <c r="G334" t="inlineStr">
        <is>
          <t>FLEN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46313</v>
      </c>
      <c r="F335" t="inlineStr">
        <is>
          <t>SÖDERMANLANDS LÄN</t>
        </is>
      </c>
      <c r="G335" t="inlineStr">
        <is>
          <t>FLEN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46313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44676</v>
      </c>
      <c r="E337" s="1" t="n">
        <v>46313</v>
      </c>
      <c r="F337" t="inlineStr">
        <is>
          <t>SÖDERMANLANDS LÄN</t>
        </is>
      </c>
      <c r="G337" t="inlineStr">
        <is>
          <t>FLEN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46313</v>
      </c>
      <c r="F338" t="inlineStr">
        <is>
          <t>SÖDERMANLANDS LÄN</t>
        </is>
      </c>
      <c r="G338" t="inlineStr">
        <is>
          <t>FLEN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46313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14599-2023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45013</v>
      </c>
      <c r="E340" s="1" t="n">
        <v>46313</v>
      </c>
      <c r="F340" t="inlineStr">
        <is>
          <t>SÖDERMANLANDS LÄN</t>
        </is>
      </c>
      <c r="G340" t="inlineStr">
        <is>
          <t>FLEN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46313</v>
      </c>
      <c r="F341" t="inlineStr">
        <is>
          <t>SÖDERMANLANDS LÄN</t>
        </is>
      </c>
      <c r="G341" t="inlineStr">
        <is>
          <t>FLEN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45230</v>
      </c>
      <c r="E342" s="1" t="n">
        <v>46313</v>
      </c>
      <c r="F342" t="inlineStr">
        <is>
          <t>SÖDERMANLANDS LÄN</t>
        </is>
      </c>
      <c r="G342" t="inlineStr">
        <is>
          <t>FLEN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46313</v>
      </c>
      <c r="F343" t="inlineStr">
        <is>
          <t>SÖDERMANLANDS LÄN</t>
        </is>
      </c>
      <c r="G343" t="inlineStr">
        <is>
          <t>FLEN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46313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46313</v>
      </c>
      <c r="F345" t="inlineStr">
        <is>
          <t>SÖDERMANLANDS LÄN</t>
        </is>
      </c>
      <c r="G345" t="inlineStr">
        <is>
          <t>FLEN</t>
        </is>
      </c>
      <c r="H345" t="inlineStr">
        <is>
          <t>Övriga statliga verk och myndigheter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46313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46313</v>
      </c>
      <c r="F347" t="inlineStr">
        <is>
          <t>SÖDERMANLANDS LÄN</t>
        </is>
      </c>
      <c r="G347" t="inlineStr">
        <is>
          <t>FLEN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46313</v>
      </c>
      <c r="F348" t="inlineStr">
        <is>
          <t>SÖDERMANLANDS LÄN</t>
        </is>
      </c>
      <c r="G348" t="inlineStr">
        <is>
          <t>FLEN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46313</v>
      </c>
      <c r="F349" t="inlineStr">
        <is>
          <t>SÖDERMANLANDS LÄN</t>
        </is>
      </c>
      <c r="G349" t="inlineStr">
        <is>
          <t>FLEN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46313</v>
      </c>
      <c r="F350" t="inlineStr">
        <is>
          <t>SÖDERMANLANDS LÄN</t>
        </is>
      </c>
      <c r="G350" t="inlineStr">
        <is>
          <t>FLEN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46313</v>
      </c>
      <c r="F351" t="inlineStr">
        <is>
          <t>SÖDERMANLANDS LÄN</t>
        </is>
      </c>
      <c r="G351" t="inlineStr">
        <is>
          <t>FLEN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12172-2022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44636</v>
      </c>
      <c r="E352" s="1" t="n">
        <v>46313</v>
      </c>
      <c r="F352" t="inlineStr">
        <is>
          <t>SÖDERMANLANDS LÄN</t>
        </is>
      </c>
      <c r="G352" t="inlineStr">
        <is>
          <t>FLEN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10397-2026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46313</v>
      </c>
      <c r="F353" t="inlineStr">
        <is>
          <t>SÖDERMANLANDS LÄN</t>
        </is>
      </c>
      <c r="G353" t="inlineStr">
        <is>
          <t>FLEN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46313</v>
      </c>
      <c r="F354" t="inlineStr">
        <is>
          <t>SÖDERMANLANDS LÄN</t>
        </is>
      </c>
      <c r="G354" t="inlineStr">
        <is>
          <t>FLEN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46313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46313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46313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46313</v>
      </c>
      <c r="F358" t="inlineStr">
        <is>
          <t>SÖDERMANLANDS LÄN</t>
        </is>
      </c>
      <c r="G358" t="inlineStr">
        <is>
          <t>FLEN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46313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46313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46080</v>
      </c>
      <c r="E361" s="1" t="n">
        <v>46313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46313</v>
      </c>
      <c r="F362" t="inlineStr">
        <is>
          <t>SÖDERMANLANDS LÄN</t>
        </is>
      </c>
      <c r="G362" t="inlineStr">
        <is>
          <t>FLEN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46313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44887</v>
      </c>
      <c r="E364" s="1" t="n">
        <v>46313</v>
      </c>
      <c r="F364" t="inlineStr">
        <is>
          <t>SÖDERMANLANDS LÄN</t>
        </is>
      </c>
      <c r="G364" t="inlineStr">
        <is>
          <t>FLEN</t>
        </is>
      </c>
      <c r="I364" t="n">
        <v>11.3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46313</v>
      </c>
      <c r="F365" t="inlineStr">
        <is>
          <t>SÖDERMANLANDS LÄN</t>
        </is>
      </c>
      <c r="G365" t="inlineStr">
        <is>
          <t>FLEN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46313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46313</v>
      </c>
      <c r="F367" t="inlineStr">
        <is>
          <t>SÖDERMANLANDS LÄN</t>
        </is>
      </c>
      <c r="G367" t="inlineStr">
        <is>
          <t>FLEN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46313</v>
      </c>
      <c r="F368" t="inlineStr">
        <is>
          <t>SÖDERMANLANDS LÄN</t>
        </is>
      </c>
      <c r="G368" t="inlineStr">
        <is>
          <t>FLEN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45161</v>
      </c>
      <c r="E369" s="1" t="n">
        <v>46313</v>
      </c>
      <c r="F369" t="inlineStr">
        <is>
          <t>SÖDERMANLANDS LÄN</t>
        </is>
      </c>
      <c r="G369" t="inlineStr">
        <is>
          <t>FLEN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46313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46313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56497-2022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46313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46313</v>
      </c>
      <c r="F373" t="inlineStr">
        <is>
          <t>SÖDERMANLANDS LÄN</t>
        </is>
      </c>
      <c r="G373" t="inlineStr">
        <is>
          <t>FLEN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46313</v>
      </c>
      <c r="F374" t="inlineStr">
        <is>
          <t>SÖDERMANLANDS LÄN</t>
        </is>
      </c>
      <c r="G374" t="inlineStr">
        <is>
          <t>FLEN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46313</v>
      </c>
      <c r="F375" t="inlineStr">
        <is>
          <t>SÖDERMANLANDS LÄN</t>
        </is>
      </c>
      <c r="G375" t="inlineStr">
        <is>
          <t>FLEN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44907</v>
      </c>
      <c r="E376" s="1" t="n">
        <v>46313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46313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45072</v>
      </c>
      <c r="E378" s="1" t="n">
        <v>46313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46313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46313</v>
      </c>
      <c r="F380" t="inlineStr">
        <is>
          <t>SÖDERMANLANDS LÄN</t>
        </is>
      </c>
      <c r="G380" t="inlineStr">
        <is>
          <t>FLEN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46313</v>
      </c>
      <c r="F381" t="inlineStr">
        <is>
          <t>SÖDERMANLANDS LÄN</t>
        </is>
      </c>
      <c r="G381" t="inlineStr">
        <is>
          <t>FLEN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46313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45299</v>
      </c>
      <c r="E383" s="1" t="n">
        <v>46313</v>
      </c>
      <c r="F383" t="inlineStr">
        <is>
          <t>SÖDERMANLANDS LÄN</t>
        </is>
      </c>
      <c r="G383" t="inlineStr">
        <is>
          <t>FLEN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46126</v>
      </c>
      <c r="E384" s="1" t="n">
        <v>46313</v>
      </c>
      <c r="F384" t="inlineStr">
        <is>
          <t>SÖDERMANLANDS LÄN</t>
        </is>
      </c>
      <c r="G384" t="inlineStr">
        <is>
          <t>FLEN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46313</v>
      </c>
      <c r="F385" t="inlineStr">
        <is>
          <t>SÖDERMANLANDS LÄN</t>
        </is>
      </c>
      <c r="G385" t="inlineStr">
        <is>
          <t>FLEN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46313</v>
      </c>
      <c r="F386" t="inlineStr">
        <is>
          <t>SÖDERMANLANDS LÄN</t>
        </is>
      </c>
      <c r="G386" t="inlineStr">
        <is>
          <t>FLEN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46313</v>
      </c>
      <c r="F387" t="inlineStr">
        <is>
          <t>SÖDERMANLANDS LÄN</t>
        </is>
      </c>
      <c r="G387" t="inlineStr">
        <is>
          <t>FLEN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46313</v>
      </c>
      <c r="F388" t="inlineStr">
        <is>
          <t>SÖDERMANLANDS LÄN</t>
        </is>
      </c>
      <c r="G388" t="inlineStr">
        <is>
          <t>FLEN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45923-2023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46313</v>
      </c>
      <c r="F389" t="inlineStr">
        <is>
          <t>SÖDERMANLANDS LÄN</t>
        </is>
      </c>
      <c r="G389" t="inlineStr">
        <is>
          <t>FLEN</t>
        </is>
      </c>
      <c r="H389" t="inlineStr">
        <is>
          <t>Övriga statliga verk och myndigheter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45082</v>
      </c>
      <c r="E390" s="1" t="n">
        <v>46313</v>
      </c>
      <c r="F390" t="inlineStr">
        <is>
          <t>SÖDERMANLANDS LÄN</t>
        </is>
      </c>
      <c r="G390" t="inlineStr">
        <is>
          <t>FLEN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46313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45030</v>
      </c>
      <c r="E392" s="1" t="n">
        <v>46313</v>
      </c>
      <c r="F392" t="inlineStr">
        <is>
          <t>SÖDERMANLANDS LÄN</t>
        </is>
      </c>
      <c r="G392" t="inlineStr">
        <is>
          <t>FLEN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46313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55445-2022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44887</v>
      </c>
      <c r="E394" s="1" t="n">
        <v>46313</v>
      </c>
      <c r="F394" t="inlineStr">
        <is>
          <t>SÖDERMANLANDS LÄN</t>
        </is>
      </c>
      <c r="G394" t="inlineStr">
        <is>
          <t>FLEN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46313</v>
      </c>
      <c r="F395" t="inlineStr">
        <is>
          <t>SÖDERMANLANDS LÄN</t>
        </is>
      </c>
      <c r="G395" t="inlineStr">
        <is>
          <t>FLEN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45225</v>
      </c>
      <c r="E396" s="1" t="n">
        <v>46313</v>
      </c>
      <c r="F396" t="inlineStr">
        <is>
          <t>SÖDERMANLANDS LÄN</t>
        </is>
      </c>
      <c r="G396" t="inlineStr">
        <is>
          <t>FLEN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31028-2024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45501</v>
      </c>
      <c r="E397" s="1" t="n">
        <v>46313</v>
      </c>
      <c r="F397" t="inlineStr">
        <is>
          <t>SÖDERMANLANDS LÄN</t>
        </is>
      </c>
      <c r="G397" t="inlineStr">
        <is>
          <t>FLEN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45888</v>
      </c>
      <c r="E398" s="1" t="n">
        <v>46313</v>
      </c>
      <c r="F398" t="inlineStr">
        <is>
          <t>SÖDERMANLANDS LÄN</t>
        </is>
      </c>
      <c r="G398" t="inlineStr">
        <is>
          <t>FLEN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45555</v>
      </c>
      <c r="E399" s="1" t="n">
        <v>46313</v>
      </c>
      <c r="F399" t="inlineStr">
        <is>
          <t>SÖDERMANLANDS LÄN</t>
        </is>
      </c>
      <c r="G399" t="inlineStr">
        <is>
          <t>FLEN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46313</v>
      </c>
      <c r="F400" t="inlineStr">
        <is>
          <t>SÖDERMANLANDS LÄN</t>
        </is>
      </c>
      <c r="G400" t="inlineStr">
        <is>
          <t>FLEN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9979-2025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45718</v>
      </c>
      <c r="E401" s="1" t="n">
        <v>46313</v>
      </c>
      <c r="F401" t="inlineStr">
        <is>
          <t>SÖDERMANLANDS LÄN</t>
        </is>
      </c>
      <c r="G401" t="inlineStr">
        <is>
          <t>FLEN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44846</v>
      </c>
      <c r="E402" s="1" t="n">
        <v>46313</v>
      </c>
      <c r="F402" t="inlineStr">
        <is>
          <t>SÖDERMANLANDS LÄN</t>
        </is>
      </c>
      <c r="G402" t="inlineStr">
        <is>
          <t>FLEN</t>
        </is>
      </c>
      <c r="H402" t="inlineStr">
        <is>
          <t>Kyrkan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46313</v>
      </c>
      <c r="F403" t="inlineStr">
        <is>
          <t>SÖDERMANLANDS LÄN</t>
        </is>
      </c>
      <c r="G403" t="inlineStr">
        <is>
          <t>FLEN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46313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49811-2023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46313</v>
      </c>
      <c r="F405" t="inlineStr">
        <is>
          <t>SÖDERMANLANDS LÄN</t>
        </is>
      </c>
      <c r="G405" t="inlineStr">
        <is>
          <t>FLEN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46313</v>
      </c>
      <c r="F406" t="inlineStr">
        <is>
          <t>SÖDERMANLANDS LÄN</t>
        </is>
      </c>
      <c r="G406" t="inlineStr">
        <is>
          <t>FLEN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44848</v>
      </c>
      <c r="E407" s="1" t="n">
        <v>46313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45441</v>
      </c>
      <c r="E408" s="1" t="n">
        <v>46313</v>
      </c>
      <c r="F408" t="inlineStr">
        <is>
          <t>SÖDERMANLANDS LÄN</t>
        </is>
      </c>
      <c r="G408" t="inlineStr">
        <is>
          <t>FLEN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8903-2022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44614</v>
      </c>
      <c r="E409" s="1" t="n">
        <v>46313</v>
      </c>
      <c r="F409" t="inlineStr">
        <is>
          <t>SÖDERMANLANDS LÄN</t>
        </is>
      </c>
      <c r="G409" t="inlineStr">
        <is>
          <t>FLEN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46313</v>
      </c>
      <c r="F410" t="inlineStr">
        <is>
          <t>SÖDERMANLANDS LÄN</t>
        </is>
      </c>
      <c r="G410" t="inlineStr">
        <is>
          <t>FLEN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46313</v>
      </c>
      <c r="F411" t="inlineStr">
        <is>
          <t>SÖDERMANLANDS LÄN</t>
        </is>
      </c>
      <c r="G411" t="inlineStr">
        <is>
          <t>FLEN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46313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37286-2024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45540</v>
      </c>
      <c r="E413" s="1" t="n">
        <v>46313</v>
      </c>
      <c r="F413" t="inlineStr">
        <is>
          <t>SÖDERMANLANDS LÄN</t>
        </is>
      </c>
      <c r="G413" t="inlineStr">
        <is>
          <t>FLEN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44614</v>
      </c>
      <c r="E414" s="1" t="n">
        <v>46313</v>
      </c>
      <c r="F414" t="inlineStr">
        <is>
          <t>SÖDERMANLANDS LÄN</t>
        </is>
      </c>
      <c r="G414" t="inlineStr">
        <is>
          <t>FLEN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46273</v>
      </c>
      <c r="E415" s="1" t="n">
        <v>46313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31762-2026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46229</v>
      </c>
      <c r="E416" s="1" t="n">
        <v>46313</v>
      </c>
      <c r="F416" t="inlineStr">
        <is>
          <t>SÖDERMANLANDS LÄN</t>
        </is>
      </c>
      <c r="G416" t="inlineStr">
        <is>
          <t>FLEN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46273</v>
      </c>
      <c r="E417" s="1" t="n">
        <v>46313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60034-2022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44909</v>
      </c>
      <c r="E418" s="1" t="n">
        <v>46313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45327</v>
      </c>
      <c r="E419" s="1" t="n">
        <v>46313</v>
      </c>
      <c r="F419" t="inlineStr">
        <is>
          <t>SÖDERMANLANDS LÄN</t>
        </is>
      </c>
      <c r="G419" t="inlineStr">
        <is>
          <t>FLEN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45001</v>
      </c>
      <c r="E420" s="1" t="n">
        <v>46313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73923-2021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44553</v>
      </c>
      <c r="E421" s="1" t="n">
        <v>46313</v>
      </c>
      <c r="F421" t="inlineStr">
        <is>
          <t>SÖDERMANLANDS LÄN</t>
        </is>
      </c>
      <c r="G421" t="inlineStr">
        <is>
          <t>FLEN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45345</v>
      </c>
      <c r="E422" s="1" t="n">
        <v>46313</v>
      </c>
      <c r="F422" t="inlineStr">
        <is>
          <t>SÖDERMANLANDS LÄN</t>
        </is>
      </c>
      <c r="G422" t="inlineStr">
        <is>
          <t>FLEN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44648</v>
      </c>
      <c r="E423" s="1" t="n">
        <v>46313</v>
      </c>
      <c r="F423" t="inlineStr">
        <is>
          <t>SÖDERMANLANDS LÄN</t>
        </is>
      </c>
      <c r="G423" t="inlineStr">
        <is>
          <t>FLEN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32693-2026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46240</v>
      </c>
      <c r="E424" s="1" t="n">
        <v>46313</v>
      </c>
      <c r="F424" t="inlineStr">
        <is>
          <t>SÖDERMANLANDS LÄN</t>
        </is>
      </c>
      <c r="G424" t="inlineStr">
        <is>
          <t>FLEN</t>
        </is>
      </c>
      <c r="I424" t="n">
        <v>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26663-2022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44739</v>
      </c>
      <c r="E425" s="1" t="n">
        <v>46313</v>
      </c>
      <c r="F425" t="inlineStr">
        <is>
          <t>SÖDERMANLANDS LÄN</t>
        </is>
      </c>
      <c r="G425" t="inlineStr">
        <is>
          <t>FLEN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45454</v>
      </c>
      <c r="E426" s="1" t="n">
        <v>46313</v>
      </c>
      <c r="F426" t="inlineStr">
        <is>
          <t>SÖDERMANLANDS LÄN</t>
        </is>
      </c>
      <c r="G426" t="inlineStr">
        <is>
          <t>FLEN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45478</v>
      </c>
      <c r="E427" s="1" t="n">
        <v>46313</v>
      </c>
      <c r="F427" t="inlineStr">
        <is>
          <t>SÖDERMANLANDS LÄN</t>
        </is>
      </c>
      <c r="G427" t="inlineStr">
        <is>
          <t>FLEN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46313</v>
      </c>
      <c r="F428" t="inlineStr">
        <is>
          <t>SÖDERMANLANDS LÄN</t>
        </is>
      </c>
      <c r="G428" t="inlineStr">
        <is>
          <t>FLEN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45713</v>
      </c>
      <c r="E429" s="1" t="n">
        <v>46313</v>
      </c>
      <c r="F429" t="inlineStr">
        <is>
          <t>SÖDERMANLANDS LÄN</t>
        </is>
      </c>
      <c r="G429" t="inlineStr">
        <is>
          <t>FLEN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46313</v>
      </c>
      <c r="F430" t="inlineStr">
        <is>
          <t>SÖDERMANLANDS LÄN</t>
        </is>
      </c>
      <c r="G430" t="inlineStr">
        <is>
          <t>FLEN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12712-2026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46313</v>
      </c>
      <c r="F431" t="inlineStr">
        <is>
          <t>SÖDERMANLANDS LÄN</t>
        </is>
      </c>
      <c r="G431" t="inlineStr">
        <is>
          <t>FLEN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46313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46313</v>
      </c>
      <c r="F433" t="inlineStr">
        <is>
          <t>SÖDERMANLANDS LÄN</t>
        </is>
      </c>
      <c r="G433" t="inlineStr">
        <is>
          <t>FLEN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46286</v>
      </c>
      <c r="E434" s="1" t="n">
        <v>46313</v>
      </c>
      <c r="F434" t="inlineStr">
        <is>
          <t>SÖDERMANLANDS LÄN</t>
        </is>
      </c>
      <c r="G434" t="inlineStr">
        <is>
          <t>FLEN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44769</v>
      </c>
      <c r="E435" s="1" t="n">
        <v>46313</v>
      </c>
      <c r="F435" t="inlineStr">
        <is>
          <t>SÖDERMANLANDS LÄN</t>
        </is>
      </c>
      <c r="G435" t="inlineStr">
        <is>
          <t>FLEN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45110</v>
      </c>
      <c r="E436" s="1" t="n">
        <v>46313</v>
      </c>
      <c r="F436" t="inlineStr">
        <is>
          <t>SÖDERMANLANDS LÄN</t>
        </is>
      </c>
      <c r="G436" t="inlineStr">
        <is>
          <t>FLEN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46313</v>
      </c>
      <c r="F437" t="inlineStr">
        <is>
          <t>SÖDERMANLANDS LÄN</t>
        </is>
      </c>
      <c r="G437" t="inlineStr">
        <is>
          <t>FLEN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46244</v>
      </c>
      <c r="E438" s="1" t="n">
        <v>46313</v>
      </c>
      <c r="F438" t="inlineStr">
        <is>
          <t>SÖDERMANLANDS LÄN</t>
        </is>
      </c>
      <c r="G438" t="inlineStr">
        <is>
          <t>FLEN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46313</v>
      </c>
      <c r="F439" t="inlineStr">
        <is>
          <t>SÖDERMANLANDS LÄN</t>
        </is>
      </c>
      <c r="G439" t="inlineStr">
        <is>
          <t>FLEN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46313</v>
      </c>
      <c r="F440" t="inlineStr">
        <is>
          <t>SÖDERMANLANDS LÄN</t>
        </is>
      </c>
      <c r="G440" t="inlineStr">
        <is>
          <t>FLEN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46313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46313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41630-2023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46313</v>
      </c>
      <c r="F443" t="inlineStr">
        <is>
          <t>SÖDERMANLANDS LÄN</t>
        </is>
      </c>
      <c r="G443" t="inlineStr">
        <is>
          <t>FLEN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46313</v>
      </c>
      <c r="F444" t="inlineStr">
        <is>
          <t>SÖDERMANLANDS LÄN</t>
        </is>
      </c>
      <c r="G444" t="inlineStr">
        <is>
          <t>FLEN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44907</v>
      </c>
      <c r="E445" s="1" t="n">
        <v>46313</v>
      </c>
      <c r="F445" t="inlineStr">
        <is>
          <t>SÖDERMANLANDS LÄN</t>
        </is>
      </c>
      <c r="G445" t="inlineStr">
        <is>
          <t>FLEN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45365</v>
      </c>
      <c r="E446" s="1" t="n">
        <v>46313</v>
      </c>
      <c r="F446" t="inlineStr">
        <is>
          <t>SÖDERMANLANDS LÄN</t>
        </is>
      </c>
      <c r="G446" t="inlineStr">
        <is>
          <t>FLEN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46313</v>
      </c>
      <c r="F447" t="inlineStr">
        <is>
          <t>SÖDERMANLANDS LÄN</t>
        </is>
      </c>
      <c r="G447" t="inlineStr">
        <is>
          <t>FLEN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33936-2026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46250</v>
      </c>
      <c r="E448" s="1" t="n">
        <v>46313</v>
      </c>
      <c r="F448" t="inlineStr">
        <is>
          <t>SÖDERMANLANDS LÄN</t>
        </is>
      </c>
      <c r="G448" t="inlineStr">
        <is>
          <t>FLEN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46313</v>
      </c>
      <c r="F449" t="inlineStr">
        <is>
          <t>SÖDERMANLANDS LÄN</t>
        </is>
      </c>
      <c r="G449" t="inlineStr">
        <is>
          <t>FLEN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46313</v>
      </c>
      <c r="F450" t="inlineStr">
        <is>
          <t>SÖDERMANLANDS LÄN</t>
        </is>
      </c>
      <c r="G450" t="inlineStr">
        <is>
          <t>FLEN</t>
        </is>
      </c>
      <c r="H450" t="inlineStr">
        <is>
          <t>Kyrkan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11747-2022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44634</v>
      </c>
      <c r="E451" s="1" t="n">
        <v>46313</v>
      </c>
      <c r="F451" t="inlineStr">
        <is>
          <t>SÖDERMANLANDS LÄN</t>
        </is>
      </c>
      <c r="G451" t="inlineStr">
        <is>
          <t>FLEN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46313</v>
      </c>
      <c r="F452" t="inlineStr">
        <is>
          <t>SÖDERMANLANDS LÄN</t>
        </is>
      </c>
      <c r="G452" t="inlineStr">
        <is>
          <t>FLEN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45216</v>
      </c>
      <c r="E453" s="1" t="n">
        <v>46313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46313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46313</v>
      </c>
      <c r="F455" t="inlineStr">
        <is>
          <t>SÖDERMANLANDS LÄN</t>
        </is>
      </c>
      <c r="G455" t="inlineStr">
        <is>
          <t>FLEN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45180</v>
      </c>
      <c r="E456" s="1" t="n">
        <v>46313</v>
      </c>
      <c r="F456" t="inlineStr">
        <is>
          <t>SÖDERMANLANDS LÄN</t>
        </is>
      </c>
      <c r="G456" t="inlineStr">
        <is>
          <t>FLEN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46251</v>
      </c>
      <c r="E457" s="1" t="n">
        <v>46313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46251</v>
      </c>
      <c r="E458" s="1" t="n">
        <v>46313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45256</v>
      </c>
      <c r="E459" s="1" t="n">
        <v>46313</v>
      </c>
      <c r="F459" t="inlineStr">
        <is>
          <t>SÖDERMANLANDS LÄN</t>
        </is>
      </c>
      <c r="G459" t="inlineStr">
        <is>
          <t>FLEN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45007</v>
      </c>
      <c r="E460" s="1" t="n">
        <v>46313</v>
      </c>
      <c r="F460" t="inlineStr">
        <is>
          <t>SÖDERMANLANDS LÄN</t>
        </is>
      </c>
      <c r="G460" t="inlineStr">
        <is>
          <t>FLEN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45448</v>
      </c>
      <c r="E461" s="1" t="n">
        <v>46313</v>
      </c>
      <c r="F461" t="inlineStr">
        <is>
          <t>SÖDERMANLANDS LÄN</t>
        </is>
      </c>
      <c r="G461" t="inlineStr">
        <is>
          <t>FLEN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46313</v>
      </c>
      <c r="F462" t="inlineStr">
        <is>
          <t>SÖDERMANLANDS LÄN</t>
        </is>
      </c>
      <c r="G462" t="inlineStr">
        <is>
          <t>FLEN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45386</v>
      </c>
      <c r="E463" s="1" t="n">
        <v>46313</v>
      </c>
      <c r="F463" t="inlineStr">
        <is>
          <t>SÖDERMANLANDS LÄN</t>
        </is>
      </c>
      <c r="G463" t="inlineStr">
        <is>
          <t>FLEN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44610</v>
      </c>
      <c r="E464" s="1" t="n">
        <v>46313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45014</v>
      </c>
      <c r="E465" s="1" t="n">
        <v>46313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46295</v>
      </c>
      <c r="E466" s="1" t="n">
        <v>46313</v>
      </c>
      <c r="F466" t="inlineStr">
        <is>
          <t>SÖDERMANLANDS LÄN</t>
        </is>
      </c>
      <c r="G466" t="inlineStr">
        <is>
          <t>FLEN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45671</v>
      </c>
      <c r="E467" s="1" t="n">
        <v>46313</v>
      </c>
      <c r="F467" t="inlineStr">
        <is>
          <t>SÖDERMANLANDS LÄN</t>
        </is>
      </c>
      <c r="G467" t="inlineStr">
        <is>
          <t>FLEN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46313</v>
      </c>
      <c r="F468" t="inlineStr">
        <is>
          <t>SÖDERMANLANDS LÄN</t>
        </is>
      </c>
      <c r="G468" t="inlineStr">
        <is>
          <t>FLEN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4899-2023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44958</v>
      </c>
      <c r="E469" s="1" t="n">
        <v>46313</v>
      </c>
      <c r="F469" t="inlineStr">
        <is>
          <t>SÖDERMANLANDS LÄN</t>
        </is>
      </c>
      <c r="G469" t="inlineStr">
        <is>
          <t>FLEN</t>
        </is>
      </c>
      <c r="H469" t="inlineStr">
        <is>
          <t>Kyrkan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46313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20952-2025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45777</v>
      </c>
      <c r="E471" s="1" t="n">
        <v>46313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46258</v>
      </c>
      <c r="E472" s="1" t="n">
        <v>46313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46313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40663-2026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46296</v>
      </c>
      <c r="E474" s="1" t="n">
        <v>46313</v>
      </c>
      <c r="F474" t="inlineStr">
        <is>
          <t>SÖDERMANLANDS LÄN</t>
        </is>
      </c>
      <c r="G474" t="inlineStr">
        <is>
          <t>FLEN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46313</v>
      </c>
      <c r="F475" t="inlineStr">
        <is>
          <t>SÖDERMANLANDS LÄN</t>
        </is>
      </c>
      <c r="G475" t="inlineStr">
        <is>
          <t>FLEN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45252</v>
      </c>
      <c r="E476" s="1" t="n">
        <v>46313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7960-2024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45350</v>
      </c>
      <c r="E477" s="1" t="n">
        <v>46313</v>
      </c>
      <c r="F477" t="inlineStr">
        <is>
          <t>SÖDERMANLANDS LÄN</t>
        </is>
      </c>
      <c r="G477" t="inlineStr">
        <is>
          <t>FLEN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54736-2022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44883</v>
      </c>
      <c r="E478" s="1" t="n">
        <v>46313</v>
      </c>
      <c r="F478" t="inlineStr">
        <is>
          <t>SÖDERMANLANDS LÄN</t>
        </is>
      </c>
      <c r="G478" t="inlineStr">
        <is>
          <t>FLEN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47055-2022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44852</v>
      </c>
      <c r="E479" s="1" t="n">
        <v>46313</v>
      </c>
      <c r="F479" t="inlineStr">
        <is>
          <t>SÖDERMANLANDS LÄN</t>
        </is>
      </c>
      <c r="G479" t="inlineStr">
        <is>
          <t>FLEN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45008</v>
      </c>
      <c r="E480" s="1" t="n">
        <v>46313</v>
      </c>
      <c r="F480" t="inlineStr">
        <is>
          <t>SÖDERMANLANDS LÄN</t>
        </is>
      </c>
      <c r="G480" t="inlineStr">
        <is>
          <t>FLEN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46313</v>
      </c>
      <c r="F481" t="inlineStr">
        <is>
          <t>SÖDERMANLANDS LÄN</t>
        </is>
      </c>
      <c r="G481" t="inlineStr">
        <is>
          <t>FLEN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45790</v>
      </c>
      <c r="E482" s="1" t="n">
        <v>46313</v>
      </c>
      <c r="F482" t="inlineStr">
        <is>
          <t>SÖDERMANLANDS LÄN</t>
        </is>
      </c>
      <c r="G482" t="inlineStr">
        <is>
          <t>FLEN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45790</v>
      </c>
      <c r="E483" s="1" t="n">
        <v>46313</v>
      </c>
      <c r="F483" t="inlineStr">
        <is>
          <t>SÖDERMANLANDS LÄN</t>
        </is>
      </c>
      <c r="G483" t="inlineStr">
        <is>
          <t>FLEN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34055-2026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46252</v>
      </c>
      <c r="E484" s="1" t="n">
        <v>46313</v>
      </c>
      <c r="F484" t="inlineStr">
        <is>
          <t>SÖDERMANLANDS LÄN</t>
        </is>
      </c>
      <c r="G484" t="inlineStr">
        <is>
          <t>FLEN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52775-2024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46313</v>
      </c>
      <c r="F485" t="inlineStr">
        <is>
          <t>SÖDERMANLANDS LÄN</t>
        </is>
      </c>
      <c r="G485" t="inlineStr">
        <is>
          <t>FLEN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40412-2024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45555</v>
      </c>
      <c r="E486" s="1" t="n">
        <v>46313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45797</v>
      </c>
      <c r="E487" s="1" t="n">
        <v>46313</v>
      </c>
      <c r="F487" t="inlineStr">
        <is>
          <t>SÖDERMANLANDS LÄN</t>
        </is>
      </c>
      <c r="G487" t="inlineStr">
        <is>
          <t>FLEN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46313</v>
      </c>
      <c r="F488" t="inlineStr">
        <is>
          <t>SÖDERMANLANDS LÄN</t>
        </is>
      </c>
      <c r="G488" t="inlineStr">
        <is>
          <t>FLEN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46313</v>
      </c>
      <c r="F489" t="inlineStr">
        <is>
          <t>SÖDERMANLANDS LÄN</t>
        </is>
      </c>
      <c r="G489" t="inlineStr">
        <is>
          <t>FLEN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42324-2026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46307</v>
      </c>
      <c r="E490" s="1" t="n">
        <v>46313</v>
      </c>
      <c r="F490" t="inlineStr">
        <is>
          <t>SÖDERMANLANDS LÄN</t>
        </is>
      </c>
      <c r="G490" t="inlineStr">
        <is>
          <t>FLEN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45702</v>
      </c>
      <c r="E491" s="1" t="n">
        <v>46313</v>
      </c>
      <c r="F491" t="inlineStr">
        <is>
          <t>SÖDERMANLANDS LÄN</t>
        </is>
      </c>
      <c r="G491" t="inlineStr">
        <is>
          <t>FLEN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46252</v>
      </c>
      <c r="E492" s="1" t="n">
        <v>46313</v>
      </c>
      <c r="F492" t="inlineStr">
        <is>
          <t>SÖDERMANLANDS LÄN</t>
        </is>
      </c>
      <c r="G492" t="inlineStr">
        <is>
          <t>FLEN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45798</v>
      </c>
      <c r="E493" s="1" t="n">
        <v>46313</v>
      </c>
      <c r="F493" t="inlineStr">
        <is>
          <t>SÖDERMANLANDS LÄN</t>
        </is>
      </c>
      <c r="G493" t="inlineStr">
        <is>
          <t>FLEN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24480-2025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45798</v>
      </c>
      <c r="E494" s="1" t="n">
        <v>46313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46313</v>
      </c>
      <c r="F495" t="inlineStr">
        <is>
          <t>SÖDERMANLANDS LÄN</t>
        </is>
      </c>
      <c r="G495" t="inlineStr">
        <is>
          <t>FLEN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46249</v>
      </c>
      <c r="E496" s="1" t="n">
        <v>46313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46266</v>
      </c>
      <c r="E497" s="1" t="n">
        <v>46313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46313</v>
      </c>
      <c r="F498" t="inlineStr">
        <is>
          <t>SÖDERMANLANDS LÄN</t>
        </is>
      </c>
      <c r="G498" t="inlineStr">
        <is>
          <t>FLEN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45684</v>
      </c>
      <c r="E499" s="1" t="n">
        <v>46313</v>
      </c>
      <c r="F499" t="inlineStr">
        <is>
          <t>SÖDERMANLANDS LÄN</t>
        </is>
      </c>
      <c r="G499" t="inlineStr">
        <is>
          <t>FLEN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46313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46313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46313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46313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45830</v>
      </c>
      <c r="E504" s="1" t="n">
        <v>46313</v>
      </c>
      <c r="F504" t="inlineStr">
        <is>
          <t>SÖDERMANLANDS LÄN</t>
        </is>
      </c>
      <c r="G504" t="inlineStr">
        <is>
          <t>FLEN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45830</v>
      </c>
      <c r="E505" s="1" t="n">
        <v>46313</v>
      </c>
      <c r="F505" t="inlineStr">
        <is>
          <t>SÖDERMANLANDS LÄN</t>
        </is>
      </c>
      <c r="G505" t="inlineStr">
        <is>
          <t>FLEN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45702</v>
      </c>
      <c r="E506" s="1" t="n">
        <v>46313</v>
      </c>
      <c r="F506" t="inlineStr">
        <is>
          <t>SÖDERMANLANDS LÄN</t>
        </is>
      </c>
      <c r="G506" t="inlineStr">
        <is>
          <t>FLEN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45729</v>
      </c>
      <c r="E507" s="1" t="n">
        <v>46313</v>
      </c>
      <c r="F507" t="inlineStr">
        <is>
          <t>SÖDERMANLANDS LÄN</t>
        </is>
      </c>
      <c r="G507" t="inlineStr">
        <is>
          <t>FLEN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57863-2022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44899</v>
      </c>
      <c r="E508" s="1" t="n">
        <v>46313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46313</v>
      </c>
      <c r="F509" t="inlineStr">
        <is>
          <t>SÖDERMANLANDS LÄN</t>
        </is>
      </c>
      <c r="G509" t="inlineStr">
        <is>
          <t>FLEN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458-2023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44964</v>
      </c>
      <c r="E510" s="1" t="n">
        <v>46313</v>
      </c>
      <c r="F510" t="inlineStr">
        <is>
          <t>SÖDERMANLANDS LÄN</t>
        </is>
      </c>
      <c r="G510" t="inlineStr">
        <is>
          <t>FLEN</t>
        </is>
      </c>
      <c r="H510" t="inlineStr">
        <is>
          <t>Kyrkan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292-2025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45686</v>
      </c>
      <c r="E511" s="1" t="n">
        <v>46313</v>
      </c>
      <c r="F511" t="inlineStr">
        <is>
          <t>SÖDERMANLANDS LÄN</t>
        </is>
      </c>
      <c r="G511" t="inlineStr">
        <is>
          <t>FLEN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3723-2022</t>
        </is>
      </c>
      <c r="B512" t="inlineStr">
        <is>
          <t>samrådsanmälan</t>
        </is>
      </c>
      <c r="C512" t="inlineStr">
        <is>
          <t>Åtgärd i nyckelbiotop</t>
        </is>
      </c>
      <c r="D512" s="1" t="n">
        <v>44742</v>
      </c>
      <c r="E512" s="1" t="n">
        <v>46313</v>
      </c>
      <c r="F512" t="inlineStr">
        <is>
          <t>SÖDERMANLANDS LÄN</t>
        </is>
      </c>
      <c r="G512" t="inlineStr">
        <is>
          <t>FLEN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482-2022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44588</v>
      </c>
      <c r="E513" s="1" t="n">
        <v>46313</v>
      </c>
      <c r="F513" t="inlineStr">
        <is>
          <t>SÖDERMANLANDS LÄN</t>
        </is>
      </c>
      <c r="G513" t="inlineStr">
        <is>
          <t>FLEN</t>
        </is>
      </c>
      <c r="I513" t="n">
        <v>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2321-2022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44685</v>
      </c>
      <c r="E514" s="1" t="n">
        <v>46313</v>
      </c>
      <c r="F514" t="inlineStr">
        <is>
          <t>SÖDERMANLANDS LÄN</t>
        </is>
      </c>
      <c r="G514" t="inlineStr">
        <is>
          <t>FLEN</t>
        </is>
      </c>
      <c r="H514" t="inlineStr">
        <is>
          <t>Kyrkan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46313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46313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46313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2026-10-18T08:04:57Z</dcterms:created>
  <dcterms:modified xmlns:dcterms="http://purl.org/dc/terms/" xmlns:xsi="http://www.w3.org/2001/XMLSchema-instance" xsi:type="dcterms:W3CDTF">2026-10-18T08:04:57Z</dcterms:modified>
</cp:coreProperties>
</file>