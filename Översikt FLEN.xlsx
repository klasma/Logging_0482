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46305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46305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46305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46305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46305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46305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46305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46305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13230-2023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46305</v>
      </c>
      <c r="F22" t="inlineStr">
        <is>
          <t>SÖDERMANLANDS LÄN</t>
        </is>
      </c>
      <c r="G22" t="inlineStr">
        <is>
          <t>FLEN</t>
        </is>
      </c>
      <c r="H22" t="inlineStr">
        <is>
          <t>Kommuner</t>
        </is>
      </c>
      <c r="I22" t="n">
        <v>7.8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7</v>
      </c>
      <c r="U22" t="n">
        <v>4</v>
      </c>
      <c r="V22" s="2" t="inlineStr">
        <is>
          <t>Källpraktmossa
Stor aspticka
Thomsons trägnagare
Vågbandad barkbock
Blåsippa
Glansfläck</t>
        </is>
      </c>
      <c r="W22">
        <f>HYPERLINK("https://klasma.github.io/Logging_0482/artfynd/A 13230-2023 artfynd.xlsx", "A 13230-2023")</f>
        <v/>
      </c>
      <c r="X22">
        <f>HYPERLINK("https://klasma.github.io/Logging_0482/kartor/A 13230-2023 karta.png", "A 13230-2023")</f>
        <v/>
      </c>
      <c r="Y22">
        <f>HYPERLINK("https://klasma.github.io/Logging_0482/kartor_geotiff/A 13230-2023 georefererad karta.tif", "A 13230-2023")</f>
        <v/>
      </c>
      <c r="AA22">
        <f>HYPERLINK("https://klasma.github.io/Logging_0482/klagomål/A 13230-2023 FSC-klagomål.docx", "A 13230-2023")</f>
        <v/>
      </c>
      <c r="AB22">
        <f>HYPERLINK("https://klasma.github.io/Logging_0482/klagomålsmail/A 13230-2023 FSC-klagomål mail.docx", "A 13230-2023")</f>
        <v/>
      </c>
      <c r="AC22">
        <f>HYPERLINK("https://klasma.github.io/Logging_0482/tillsyn/A 13230-2023 tillsynsbegäran.docx", "A 13230-2023")</f>
        <v/>
      </c>
      <c r="AD22">
        <f>HYPERLINK("https://klasma.github.io/Logging_0482/tillsynsmail/A 13230-2023 tillsynsbegäran mail.docx", "A 13230-2023")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46305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11065-2026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46305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4.6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7</v>
      </c>
      <c r="U24" t="n">
        <v>1</v>
      </c>
      <c r="V24" s="2" t="inlineStr">
        <is>
          <t>Gullklöver
Jungfrulin
Svinrot
Asphättemossa
Blåsippa
Gullviva</t>
        </is>
      </c>
      <c r="W24">
        <f>HYPERLINK("https://klasma.github.io/Logging_0482/artfynd/A 11065-2026 artfynd.xlsx", "A 11065-2026")</f>
        <v/>
      </c>
      <c r="X24">
        <f>HYPERLINK("https://klasma.github.io/Logging_0482/kartor/A 11065-2026 karta.png", "A 11065-2026")</f>
        <v/>
      </c>
      <c r="Y24">
        <f>HYPERLINK("https://klasma.github.io/Logging_0482/kartor_geotiff/A 11065-2026 georefererad karta.tif", "A 11065-2026")</f>
        <v/>
      </c>
      <c r="AA24">
        <f>HYPERLINK("https://klasma.github.io/Logging_0482/klagomål/A 11065-2026 FSC-klagomål.docx", "A 11065-2026")</f>
        <v/>
      </c>
      <c r="AB24">
        <f>HYPERLINK("https://klasma.github.io/Logging_0482/klagomålsmail/A 11065-2026 FSC-klagomål mail.docx", "A 11065-2026")</f>
        <v/>
      </c>
      <c r="AC24">
        <f>HYPERLINK("https://klasma.github.io/Logging_0482/tillsyn/A 11065-2026 tillsynsbegäran.docx", "A 11065-2026")</f>
        <v/>
      </c>
      <c r="AD24">
        <f>HYPERLINK("https://klasma.github.io/Logging_0482/tillsynsmail/A 11065-2026 tillsynsbegäran mail.docx", "A 11065-2026")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46305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46305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46305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46305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46305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46305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46305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46305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46305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46305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46305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46305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46305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10107-2023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46305</v>
      </c>
      <c r="F38" t="inlineStr">
        <is>
          <t>SÖDERMANLANDS LÄN</t>
        </is>
      </c>
      <c r="G38" t="inlineStr">
        <is>
          <t>FLEN</t>
        </is>
      </c>
      <c r="I38" t="n">
        <v>21.1</v>
      </c>
      <c r="J38" t="n">
        <v>2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Bombmurkla
Svedjenäva
Blåmossa
Mattlummer</t>
        </is>
      </c>
      <c r="W38">
        <f>HYPERLINK("https://klasma.github.io/Logging_0482/artfynd/A 10107-2023 artfynd.xlsx", "A 10107-2023")</f>
        <v/>
      </c>
      <c r="X38">
        <f>HYPERLINK("https://klasma.github.io/Logging_0482/kartor/A 10107-2023 karta.png", "A 10107-2023")</f>
        <v/>
      </c>
      <c r="Y38">
        <f>HYPERLINK("https://klasma.github.io/Logging_0482/kartor_geotiff/A 10107-2023 georefererad karta.tif", "A 10107-2023")</f>
        <v/>
      </c>
      <c r="AA38">
        <f>HYPERLINK("https://klasma.github.io/Logging_0482/klagomål/A 10107-2023 FSC-klagomål.docx", "A 10107-2023")</f>
        <v/>
      </c>
      <c r="AB38">
        <f>HYPERLINK("https://klasma.github.io/Logging_0482/klagomålsmail/A 10107-2023 FSC-klagomål mail.docx", "A 10107-2023")</f>
        <v/>
      </c>
      <c r="AC38">
        <f>HYPERLINK("https://klasma.github.io/Logging_0482/tillsyn/A 10107-2023 tillsynsbegäran.docx", "A 10107-2023")</f>
        <v/>
      </c>
      <c r="AD38">
        <f>HYPERLINK("https://klasma.github.io/Logging_0482/tillsynsmail/A 10107-2023 tillsynsbegäran mail.docx", "A 10107-2023")</f>
        <v/>
      </c>
    </row>
    <row r="39" ht="15" customHeight="1">
      <c r="A39" t="inlineStr">
        <is>
          <t>A 21004-2025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46305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Ask
Parknål
Tallticka
Brun nållav</t>
        </is>
      </c>
      <c r="W39">
        <f>HYPERLINK("https://klasma.github.io/Logging_0482/artfynd/A 21004-2025 artfynd.xlsx", "A 21004-2025")</f>
        <v/>
      </c>
      <c r="X39">
        <f>HYPERLINK("https://klasma.github.io/Logging_0482/kartor/A 21004-2025 karta.png", "A 21004-2025")</f>
        <v/>
      </c>
      <c r="Y39">
        <f>HYPERLINK("https://klasma.github.io/Logging_0482/kartor_geotiff/A 21004-2025 georefererad karta.tif", "A 21004-2025")</f>
        <v/>
      </c>
      <c r="AA39">
        <f>HYPERLINK("https://klasma.github.io/Logging_0482/klagomål/A 21004-2025 FSC-klagomål.docx", "A 21004-2025")</f>
        <v/>
      </c>
      <c r="AB39">
        <f>HYPERLINK("https://klasma.github.io/Logging_0482/klagomålsmail/A 21004-2025 FSC-klagomål mail.docx", "A 21004-2025")</f>
        <v/>
      </c>
      <c r="AC39">
        <f>HYPERLINK("https://klasma.github.io/Logging_0482/tillsyn/A 21004-2025 tillsynsbegäran.docx", "A 21004-2025")</f>
        <v/>
      </c>
      <c r="AD39">
        <f>HYPERLINK("https://klasma.github.io/Logging_0482/tillsynsmail/A 21004-2025 tillsynsbegäran mail.docx", "A 21004-2025")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46305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46305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46305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46305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2203-2022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46305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2.9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Knärot
Grönpyrola
Revlummer</t>
        </is>
      </c>
      <c r="W44">
        <f>HYPERLINK("https://klasma.github.io/Logging_0482/artfynd/A 2203-2022 artfynd.xlsx", "A 2203-2022")</f>
        <v/>
      </c>
      <c r="X44">
        <f>HYPERLINK("https://klasma.github.io/Logging_0482/kartor/A 2203-2022 karta.png", "A 2203-2022")</f>
        <v/>
      </c>
      <c r="Y44">
        <f>HYPERLINK("https://klasma.github.io/Logging_0482/kartor_geotiff/A 2203-2022 georefererad karta.tif", "A 2203-2022")</f>
        <v/>
      </c>
      <c r="Z44">
        <f>HYPERLINK("https://klasma.github.io/Logging_0482/knärot/A 2203-2022 karta knärot.png", "A 2203-2022")</f>
        <v/>
      </c>
      <c r="AA44">
        <f>HYPERLINK("https://klasma.github.io/Logging_0482/klagomål/A 2203-2022 FSC-klagomål.docx", "A 2203-2022")</f>
        <v/>
      </c>
      <c r="AB44">
        <f>HYPERLINK("https://klasma.github.io/Logging_0482/klagomålsmail/A 2203-2022 FSC-klagomål mail.docx", "A 2203-2022")</f>
        <v/>
      </c>
      <c r="AC44">
        <f>HYPERLINK("https://klasma.github.io/Logging_0482/tillsyn/A 2203-2022 tillsynsbegäran.docx", "A 2203-2022")</f>
        <v/>
      </c>
      <c r="AD44">
        <f>HYPERLINK("https://klasma.github.io/Logging_0482/tillsynsmail/A 2203-2022 tillsynsbegäran mail.docx", "A 2203-2022")</f>
        <v/>
      </c>
    </row>
    <row r="45" ht="15" customHeight="1">
      <c r="A45" t="inlineStr">
        <is>
          <t>A 63185-2023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45272</v>
      </c>
      <c r="E45" s="1" t="n">
        <v>46305</v>
      </c>
      <c r="F45" t="inlineStr">
        <is>
          <t>SÖDERMANLANDS LÄN</t>
        </is>
      </c>
      <c r="G45" t="inlineStr">
        <is>
          <t>FLEN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3</v>
      </c>
      <c r="V45" s="2" t="inlineStr">
        <is>
          <t>Gullklöver
Majbräken
Sälg</t>
        </is>
      </c>
      <c r="W45">
        <f>HYPERLINK("https://klasma.github.io/Logging_0482/artfynd/A 63185-2023 artfynd.xlsx", "A 63185-2023")</f>
        <v/>
      </c>
      <c r="X45">
        <f>HYPERLINK("https://klasma.github.io/Logging_0482/kartor/A 63185-2023 karta.png", "A 63185-2023")</f>
        <v/>
      </c>
      <c r="Y45">
        <f>HYPERLINK("https://klasma.github.io/Logging_0482/kartor_geotiff/A 63185-2023 georefererad karta.tif", "A 63185-2023")</f>
        <v/>
      </c>
      <c r="AA45">
        <f>HYPERLINK("https://klasma.github.io/Logging_0482/klagomål/A 63185-2023 FSC-klagomål.docx", "A 63185-2023")</f>
        <v/>
      </c>
      <c r="AB45">
        <f>HYPERLINK("https://klasma.github.io/Logging_0482/klagomålsmail/A 63185-2023 FSC-klagomål mail.docx", "A 63185-2023")</f>
        <v/>
      </c>
      <c r="AC45">
        <f>HYPERLINK("https://klasma.github.io/Logging_0482/tillsyn/A 63185-2023 tillsynsbegäran.docx", "A 63185-2023")</f>
        <v/>
      </c>
      <c r="AD45">
        <f>HYPERLINK("https://klasma.github.io/Logging_0482/tillsynsmail/A 63185-2023 tillsynsbegäran mail.docx", "A 63185-2023")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46305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46305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46305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22839-2025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45789</v>
      </c>
      <c r="E49" s="1" t="n">
        <v>46305</v>
      </c>
      <c r="F49" t="inlineStr">
        <is>
          <t>SÖDERMANLANDS LÄN</t>
        </is>
      </c>
      <c r="G49" t="inlineStr">
        <is>
          <t>FLEN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Blåsippa
Ekbräken
Missne</t>
        </is>
      </c>
      <c r="W49">
        <f>HYPERLINK("https://klasma.github.io/Logging_0482/artfynd/A 22839-2025 artfynd.xlsx", "A 22839-2025")</f>
        <v/>
      </c>
      <c r="X49">
        <f>HYPERLINK("https://klasma.github.io/Logging_0482/kartor/A 22839-2025 karta.png", "A 22839-2025")</f>
        <v/>
      </c>
      <c r="Y49">
        <f>HYPERLINK("https://klasma.github.io/Logging_0482/kartor_geotiff/A 22839-2025 georefererad karta.tif", "A 22839-2025")</f>
        <v/>
      </c>
      <c r="AA49">
        <f>HYPERLINK("https://klasma.github.io/Logging_0482/klagomål/A 22839-2025 FSC-klagomål.docx", "A 22839-2025")</f>
        <v/>
      </c>
      <c r="AB49">
        <f>HYPERLINK("https://klasma.github.io/Logging_0482/klagomålsmail/A 22839-2025 FSC-klagomål mail.docx", "A 22839-2025")</f>
        <v/>
      </c>
      <c r="AC49">
        <f>HYPERLINK("https://klasma.github.io/Logging_0482/tillsyn/A 22839-2025 tillsynsbegäran.docx", "A 22839-2025")</f>
        <v/>
      </c>
      <c r="AD49">
        <f>HYPERLINK("https://klasma.github.io/Logging_0482/tillsynsmail/A 22839-2025 tillsynsbegäran mail.docx", "A 22839-2025")</f>
        <v/>
      </c>
    </row>
    <row r="50" ht="15" customHeight="1">
      <c r="A50" t="inlineStr">
        <is>
          <t>A 34985-2023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45142</v>
      </c>
      <c r="E50" s="1" t="n">
        <v>46305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2.8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Knärot
Grönpyrola
Revlummer</t>
        </is>
      </c>
      <c r="W50">
        <f>HYPERLINK("https://klasma.github.io/Logging_0482/artfynd/A 34985-2023 artfynd.xlsx", "A 34985-2023")</f>
        <v/>
      </c>
      <c r="X50">
        <f>HYPERLINK("https://klasma.github.io/Logging_0482/kartor/A 34985-2023 karta.png", "A 34985-2023")</f>
        <v/>
      </c>
      <c r="Y50">
        <f>HYPERLINK("https://klasma.github.io/Logging_0482/kartor_geotiff/A 34985-2023 georefererad karta.tif", "A 34985-2023")</f>
        <v/>
      </c>
      <c r="Z50">
        <f>HYPERLINK("https://klasma.github.io/Logging_0482/knärot/A 34985-2023 karta knärot.png", "A 34985-2023")</f>
        <v/>
      </c>
      <c r="AA50">
        <f>HYPERLINK("https://klasma.github.io/Logging_0482/klagomål/A 34985-2023 FSC-klagomål.docx", "A 34985-2023")</f>
        <v/>
      </c>
      <c r="AB50">
        <f>HYPERLINK("https://klasma.github.io/Logging_0482/klagomålsmail/A 34985-2023 FSC-klagomål mail.docx", "A 34985-2023")</f>
        <v/>
      </c>
      <c r="AC50">
        <f>HYPERLINK("https://klasma.github.io/Logging_0482/tillsyn/A 34985-2023 tillsynsbegäran.docx", "A 34985-2023")</f>
        <v/>
      </c>
      <c r="AD50">
        <f>HYPERLINK("https://klasma.github.io/Logging_0482/tillsynsmail/A 34985-2023 tillsynsbegäran mail.docx", "A 34985-2023")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46305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Gullpudra
Bäckbräsma
Hultbräken</t>
        </is>
      </c>
      <c r="W51">
        <f>HYPERLINK("https://klasma.github.io/Logging_0482/artfynd/A 9512-2026 artfynd.xlsx", "A 9512-2026")</f>
        <v/>
      </c>
      <c r="X51">
        <f>HYPERLINK("https://klasma.github.io/Logging_0482/kartor/A 9512-2026 karta.png", "A 9512-2026")</f>
        <v/>
      </c>
      <c r="Y51">
        <f>HYPERLINK("https://klasma.github.io/Logging_0482/kartor_geotiff/A 9512-2026 georefererad karta.tif", "A 9512-2026")</f>
        <v/>
      </c>
      <c r="AA51">
        <f>HYPERLINK("https://klasma.github.io/Logging_0482/klagomål/A 9512-2026 FSC-klagomål.docx", "A 9512-2026")</f>
        <v/>
      </c>
      <c r="AB51">
        <f>HYPERLINK("https://klasma.github.io/Logging_0482/klagomålsmail/A 9512-2026 FSC-klagomål mail.docx", "A 9512-2026")</f>
        <v/>
      </c>
      <c r="AC51">
        <f>HYPERLINK("https://klasma.github.io/Logging_0482/tillsyn/A 9512-2026 tillsynsbegäran.docx", "A 9512-2026")</f>
        <v/>
      </c>
      <c r="AD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46305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Blåmossa
Flagellkvastmossa
Tjäder</t>
        </is>
      </c>
      <c r="W52">
        <f>HYPERLINK("https://klasma.github.io/Logging_0482/artfynd/A 9530-2026 artfynd.xlsx", "A 9530-2026")</f>
        <v/>
      </c>
      <c r="X52">
        <f>HYPERLINK("https://klasma.github.io/Logging_0482/kartor/A 9530-2026 karta.png", "A 9530-2026")</f>
        <v/>
      </c>
      <c r="Y52">
        <f>HYPERLINK("https://klasma.github.io/Logging_0482/kartor_geotiff/A 9530-2026 georefererad karta.tif", "A 9530-2026")</f>
        <v/>
      </c>
      <c r="AA52">
        <f>HYPERLINK("https://klasma.github.io/Logging_0482/klagomål/A 9530-2026 FSC-klagomål.docx", "A 9530-2026")</f>
        <v/>
      </c>
      <c r="AB52">
        <f>HYPERLINK("https://klasma.github.io/Logging_0482/klagomålsmail/A 9530-2026 FSC-klagomål mail.docx", "A 9530-2026")</f>
        <v/>
      </c>
      <c r="AC52">
        <f>HYPERLINK("https://klasma.github.io/Logging_0482/tillsyn/A 9530-2026 tillsynsbegäran.docx", "A 9530-2026")</f>
        <v/>
      </c>
      <c r="AD52">
        <f>HYPERLINK("https://klasma.github.io/Logging_0482/tillsynsmail/A 9530-2026 tillsynsbegäran mail.docx", "A 9530-2026")</f>
        <v/>
      </c>
      <c r="AE52">
        <f>HYPERLINK("https://klasma.github.io/Logging_0482/fåglar/A 9530-2026 prioriterade fågelarter.docx", "A 9530-2026")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46305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46305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46305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46305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46305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46305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46305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46305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46305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7506-2023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44971</v>
      </c>
      <c r="E62" s="1" t="n">
        <v>46305</v>
      </c>
      <c r="F62" t="inlineStr">
        <is>
          <t>SÖDERMANLANDS LÄN</t>
        </is>
      </c>
      <c r="G62" t="inlineStr">
        <is>
          <t>FLEN</t>
        </is>
      </c>
      <c r="I62" t="n">
        <v>3.3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Svinrot</t>
        </is>
      </c>
      <c r="W62">
        <f>HYPERLINK("https://klasma.github.io/Logging_0482/artfynd/A 7506-2023 artfynd.xlsx", "A 7506-2023")</f>
        <v/>
      </c>
      <c r="X62">
        <f>HYPERLINK("https://klasma.github.io/Logging_0482/kartor/A 7506-2023 karta.png", "A 7506-2023")</f>
        <v/>
      </c>
      <c r="Y62">
        <f>HYPERLINK("https://klasma.github.io/Logging_0482/kartor_geotiff/A 7506-2023 georefererad karta.tif", "A 7506-2023")</f>
        <v/>
      </c>
      <c r="AA62">
        <f>HYPERLINK("https://klasma.github.io/Logging_0482/klagomål/A 7506-2023 FSC-klagomål.docx", "A 7506-2023")</f>
        <v/>
      </c>
      <c r="AB62">
        <f>HYPERLINK("https://klasma.github.io/Logging_0482/klagomålsmail/A 7506-2023 FSC-klagomål mail.docx", "A 7506-2023")</f>
        <v/>
      </c>
      <c r="AC62">
        <f>HYPERLINK("https://klasma.github.io/Logging_0482/tillsyn/A 7506-2023 tillsynsbegäran.docx", "A 7506-2023")</f>
        <v/>
      </c>
      <c r="AD62">
        <f>HYPERLINK("https://klasma.github.io/Logging_0482/tillsynsmail/A 7506-2023 tillsynsbegäran mail.docx", "A 7506-2023")</f>
        <v/>
      </c>
    </row>
    <row r="63" ht="15" customHeight="1">
      <c r="A63" t="inlineStr">
        <is>
          <t>A 11103-2023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46305</v>
      </c>
      <c r="F63" t="inlineStr">
        <is>
          <t>SÖDERMANLANDS LÄN</t>
        </is>
      </c>
      <c r="G63" t="inlineStr">
        <is>
          <t>FLEN</t>
        </is>
      </c>
      <c r="I63" t="n">
        <v>8.9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Blåmossa</t>
        </is>
      </c>
      <c r="W63">
        <f>HYPERLINK("https://klasma.github.io/Logging_0482/artfynd/A 11103-2023 artfynd.xlsx", "A 11103-2023")</f>
        <v/>
      </c>
      <c r="X63">
        <f>HYPERLINK("https://klasma.github.io/Logging_0482/kartor/A 11103-2023 karta.png", "A 11103-2023")</f>
        <v/>
      </c>
      <c r="Y63">
        <f>HYPERLINK("https://klasma.github.io/Logging_0482/kartor_geotiff/A 11103-2023 georefererad karta.tif", "A 11103-2023")</f>
        <v/>
      </c>
      <c r="AA63">
        <f>HYPERLINK("https://klasma.github.io/Logging_0482/klagomål/A 11103-2023 FSC-klagomål.docx", "A 11103-2023")</f>
        <v/>
      </c>
      <c r="AB63">
        <f>HYPERLINK("https://klasma.github.io/Logging_0482/klagomålsmail/A 11103-2023 FSC-klagomål mail.docx", "A 11103-2023")</f>
        <v/>
      </c>
      <c r="AC63">
        <f>HYPERLINK("https://klasma.github.io/Logging_0482/tillsyn/A 11103-2023 tillsynsbegäran.docx", "A 11103-2023")</f>
        <v/>
      </c>
      <c r="AD63">
        <f>HYPERLINK("https://klasma.github.io/Logging_0482/tillsynsmail/A 11103-2023 tillsynsbegäran mail.docx", "A 11103-2023")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46305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46305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22101-2023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46305</v>
      </c>
      <c r="F66" t="inlineStr">
        <is>
          <t>SÖDERMANLANDS LÄN</t>
        </is>
      </c>
      <c r="G66" t="inlineStr">
        <is>
          <t>FLEN</t>
        </is>
      </c>
      <c r="I66" t="n">
        <v>2.7</v>
      </c>
      <c r="J66" t="n">
        <v>2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Bombmurkla
Blåsippa</t>
        </is>
      </c>
      <c r="W66">
        <f>HYPERLINK("https://klasma.github.io/Logging_0482/artfynd/A 22101-2023 artfynd.xlsx", "A 22101-2023")</f>
        <v/>
      </c>
      <c r="X66">
        <f>HYPERLINK("https://klasma.github.io/Logging_0482/kartor/A 22101-2023 karta.png", "A 22101-2023")</f>
        <v/>
      </c>
      <c r="Y66">
        <f>HYPERLINK("https://klasma.github.io/Logging_0482/kartor_geotiff/A 22101-2023 georefererad karta.tif", "A 22101-2023")</f>
        <v/>
      </c>
      <c r="AA66">
        <f>HYPERLINK("https://klasma.github.io/Logging_0482/klagomål/A 22101-2023 FSC-klagomål.docx", "A 22101-2023")</f>
        <v/>
      </c>
      <c r="AB66">
        <f>HYPERLINK("https://klasma.github.io/Logging_0482/klagomålsmail/A 22101-2023 FSC-klagomål mail.docx", "A 22101-2023")</f>
        <v/>
      </c>
      <c r="AC66">
        <f>HYPERLINK("https://klasma.github.io/Logging_0482/tillsyn/A 22101-2023 tillsynsbegäran.docx", "A 22101-2023")</f>
        <v/>
      </c>
      <c r="AD66">
        <f>HYPERLINK("https://klasma.github.io/Logging_0482/tillsynsmail/A 22101-2023 tillsynsbegäran mail.docx", "A 22101-2023")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46305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46305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46305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46305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46305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59607-2022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44907</v>
      </c>
      <c r="E72" s="1" t="n">
        <v>46305</v>
      </c>
      <c r="F72" t="inlineStr">
        <is>
          <t>SÖDERMANLANDS LÄN</t>
        </is>
      </c>
      <c r="G72" t="inlineStr">
        <is>
          <t>FLEN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Jungfrulin
Svinrot</t>
        </is>
      </c>
      <c r="W72">
        <f>HYPERLINK("https://klasma.github.io/Logging_0482/artfynd/A 59607-2022 artfynd.xlsx", "A 59607-2022")</f>
        <v/>
      </c>
      <c r="X72">
        <f>HYPERLINK("https://klasma.github.io/Logging_0482/kartor/A 59607-2022 karta.png", "A 59607-2022")</f>
        <v/>
      </c>
      <c r="Y72">
        <f>HYPERLINK("https://klasma.github.io/Logging_0482/kartor_geotiff/A 59607-2022 georefererad karta.tif", "A 59607-2022")</f>
        <v/>
      </c>
      <c r="AA72">
        <f>HYPERLINK("https://klasma.github.io/Logging_0482/klagomål/A 59607-2022 FSC-klagomål.docx", "A 59607-2022")</f>
        <v/>
      </c>
      <c r="AB72">
        <f>HYPERLINK("https://klasma.github.io/Logging_0482/klagomålsmail/A 59607-2022 FSC-klagomål mail.docx", "A 59607-2022")</f>
        <v/>
      </c>
      <c r="AC72">
        <f>HYPERLINK("https://klasma.github.io/Logging_0482/tillsyn/A 59607-2022 tillsynsbegäran.docx", "A 59607-2022")</f>
        <v/>
      </c>
      <c r="AD72">
        <f>HYPERLINK("https://klasma.github.io/Logging_0482/tillsynsmail/A 59607-2022 tillsynsbegäran mail.docx", "A 59607-2022")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46305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47194-2022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46305</v>
      </c>
      <c r="F74" t="inlineStr">
        <is>
          <t>SÖDERMANLANDS LÄN</t>
        </is>
      </c>
      <c r="G74" t="inlineStr">
        <is>
          <t>FLEN</t>
        </is>
      </c>
      <c r="H74" t="inlineStr">
        <is>
          <t>Övriga statliga verk och myndigheter</t>
        </is>
      </c>
      <c r="I74" t="n">
        <v>2.3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Gullklöver
Svinrot</t>
        </is>
      </c>
      <c r="W74">
        <f>HYPERLINK("https://klasma.github.io/Logging_0482/artfynd/A 47194-2022 artfynd.xlsx", "A 47194-2022")</f>
        <v/>
      </c>
      <c r="X74">
        <f>HYPERLINK("https://klasma.github.io/Logging_0482/kartor/A 47194-2022 karta.png", "A 47194-2022")</f>
        <v/>
      </c>
      <c r="Y74">
        <f>HYPERLINK("https://klasma.github.io/Logging_0482/kartor_geotiff/A 47194-2022 georefererad karta.tif", "A 47194-2022")</f>
        <v/>
      </c>
      <c r="AA74">
        <f>HYPERLINK("https://klasma.github.io/Logging_0482/klagomål/A 47194-2022 FSC-klagomål.docx", "A 47194-2022")</f>
        <v/>
      </c>
      <c r="AB74">
        <f>HYPERLINK("https://klasma.github.io/Logging_0482/klagomålsmail/A 47194-2022 FSC-klagomål mail.docx", "A 47194-2022")</f>
        <v/>
      </c>
      <c r="AC74">
        <f>HYPERLINK("https://klasma.github.io/Logging_0482/tillsyn/A 47194-2022 tillsynsbegäran.docx", "A 47194-2022")</f>
        <v/>
      </c>
      <c r="AD74">
        <f>HYPERLINK("https://klasma.github.io/Logging_0482/tillsynsmail/A 47194-2022 tillsynsbegäran mail.docx", "A 47194-2022")</f>
        <v/>
      </c>
    </row>
    <row r="75" ht="15" customHeight="1">
      <c r="A75" t="inlineStr">
        <is>
          <t>A 10825-2022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46305</v>
      </c>
      <c r="F75" t="inlineStr">
        <is>
          <t>SÖDERMANLANDS LÄN</t>
        </is>
      </c>
      <c r="G75" t="inlineStr">
        <is>
          <t>FLEN</t>
        </is>
      </c>
      <c r="I75" t="n">
        <v>4.7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Svinrot
Vanlig backsmörblomma</t>
        </is>
      </c>
      <c r="W75">
        <f>HYPERLINK("https://klasma.github.io/Logging_0482/artfynd/A 10825-2022 artfynd.xlsx", "A 10825-2022")</f>
        <v/>
      </c>
      <c r="X75">
        <f>HYPERLINK("https://klasma.github.io/Logging_0482/kartor/A 10825-2022 karta.png", "A 10825-2022")</f>
        <v/>
      </c>
      <c r="Y75">
        <f>HYPERLINK("https://klasma.github.io/Logging_0482/kartor_geotiff/A 10825-2022 georefererad karta.tif", "A 10825-2022")</f>
        <v/>
      </c>
      <c r="AA75">
        <f>HYPERLINK("https://klasma.github.io/Logging_0482/klagomål/A 10825-2022 FSC-klagomål.docx", "A 10825-2022")</f>
        <v/>
      </c>
      <c r="AB75">
        <f>HYPERLINK("https://klasma.github.io/Logging_0482/klagomålsmail/A 10825-2022 FSC-klagomål mail.docx", "A 10825-2022")</f>
        <v/>
      </c>
      <c r="AC75">
        <f>HYPERLINK("https://klasma.github.io/Logging_0482/tillsyn/A 10825-2022 tillsynsbegäran.docx", "A 10825-2022")</f>
        <v/>
      </c>
      <c r="AD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46305</v>
      </c>
      <c r="F76" t="inlineStr">
        <is>
          <t>SÖDERMANLANDS LÄN</t>
        </is>
      </c>
      <c r="G76" t="inlineStr">
        <is>
          <t>FLEN</t>
        </is>
      </c>
      <c r="I76" t="n">
        <v>2.6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Kamjordstjärna
Gullviva</t>
        </is>
      </c>
      <c r="W76">
        <f>HYPERLINK("https://klasma.github.io/Logging_0482/artfynd/A 5852-2022 artfynd.xlsx", "A 5852-2022")</f>
        <v/>
      </c>
      <c r="X76">
        <f>HYPERLINK("https://klasma.github.io/Logging_0482/kartor/A 5852-2022 karta.png", "A 5852-2022")</f>
        <v/>
      </c>
      <c r="Y76">
        <f>HYPERLINK("https://klasma.github.io/Logging_0482/kartor_geotiff/A 5852-2022 georefererad karta.tif", "A 5852-2022")</f>
        <v/>
      </c>
      <c r="AA76">
        <f>HYPERLINK("https://klasma.github.io/Logging_0482/klagomål/A 5852-2022 FSC-klagomål.docx", "A 5852-2022")</f>
        <v/>
      </c>
      <c r="AB76">
        <f>HYPERLINK("https://klasma.github.io/Logging_0482/klagomålsmail/A 5852-2022 FSC-klagomål mail.docx", "A 5852-2022")</f>
        <v/>
      </c>
      <c r="AC76">
        <f>HYPERLINK("https://klasma.github.io/Logging_0482/tillsyn/A 5852-2022 tillsynsbegäran.docx", "A 5852-2022")</f>
        <v/>
      </c>
      <c r="AD76">
        <f>HYPERLINK("https://klasma.github.io/Logging_0482/tillsynsmail/A 5852-2022 tillsynsbegäran mail.docx", "A 5852-2022")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46305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46305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46305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8887-2026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46068</v>
      </c>
      <c r="E80" s="1" t="n">
        <v>46305</v>
      </c>
      <c r="F80" t="inlineStr">
        <is>
          <t>SÖDERMANLANDS LÄN</t>
        </is>
      </c>
      <c r="G80" t="inlineStr">
        <is>
          <t>FLEN</t>
        </is>
      </c>
      <c r="I80" t="n">
        <v>2.1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Större vattensalamander
Mindre vattensalamander</t>
        </is>
      </c>
      <c r="W80">
        <f>HYPERLINK("https://klasma.github.io/Logging_0482/artfynd/A 8887-2026 artfynd.xlsx", "A 8887-2026")</f>
        <v/>
      </c>
      <c r="X80">
        <f>HYPERLINK("https://klasma.github.io/Logging_0482/kartor/A 8887-2026 karta.png", "A 8887-2026")</f>
        <v/>
      </c>
      <c r="Y80">
        <f>HYPERLINK("https://klasma.github.io/Logging_0482/kartor_geotiff/A 8887-2026 georefererad karta.tif", "A 8887-2026")</f>
        <v/>
      </c>
      <c r="AA80">
        <f>HYPERLINK("https://klasma.github.io/Logging_0482/klagomål/A 8887-2026 FSC-klagomål.docx", "A 8887-2026")</f>
        <v/>
      </c>
      <c r="AB80">
        <f>HYPERLINK("https://klasma.github.io/Logging_0482/klagomålsmail/A 8887-2026 FSC-klagomål mail.docx", "A 8887-2026")</f>
        <v/>
      </c>
      <c r="AC80">
        <f>HYPERLINK("https://klasma.github.io/Logging_0482/tillsyn/A 8887-2026 tillsynsbegäran.docx", "A 8887-2026")</f>
        <v/>
      </c>
      <c r="AD80">
        <f>HYPERLINK("https://klasma.github.io/Logging_0482/tillsynsmail/A 8887-2026 tillsynsbegäran mail.docx", "A 8887-2026")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46305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46305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46305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46305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46305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26245-2022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46305</v>
      </c>
      <c r="F86" t="inlineStr">
        <is>
          <t>SÖDERMANLANDS LÄN</t>
        </is>
      </c>
      <c r="G86" t="inlineStr">
        <is>
          <t>FLEN</t>
        </is>
      </c>
      <c r="I86" t="n">
        <v>2.9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Blanksvart trämyra</t>
        </is>
      </c>
      <c r="W86">
        <f>HYPERLINK("https://klasma.github.io/Logging_0482/artfynd/A 26245-2022 artfynd.xlsx", "A 26245-2022")</f>
        <v/>
      </c>
      <c r="X86">
        <f>HYPERLINK("https://klasma.github.io/Logging_0482/kartor/A 26245-2022 karta.png", "A 26245-2022")</f>
        <v/>
      </c>
      <c r="Y86">
        <f>HYPERLINK("https://klasma.github.io/Logging_0482/kartor_geotiff/A 26245-2022 georefererad karta.tif", "A 26245-2022")</f>
        <v/>
      </c>
      <c r="AA86">
        <f>HYPERLINK("https://klasma.github.io/Logging_0482/klagomål/A 26245-2022 FSC-klagomål.docx", "A 26245-2022")</f>
        <v/>
      </c>
      <c r="AB86">
        <f>HYPERLINK("https://klasma.github.io/Logging_0482/klagomålsmail/A 26245-2022 FSC-klagomål mail.docx", "A 26245-2022")</f>
        <v/>
      </c>
      <c r="AC86">
        <f>HYPERLINK("https://klasma.github.io/Logging_0482/tillsyn/A 26245-2022 tillsynsbegäran.docx", "A 26245-2022")</f>
        <v/>
      </c>
      <c r="AD86">
        <f>HYPERLINK("https://klasma.github.io/Logging_0482/tillsynsmail/A 26245-2022 tillsynsbegäran mail.docx", "A 26245-2022")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46305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7883-2022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46305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Plattlummer</t>
        </is>
      </c>
      <c r="W88">
        <f>HYPERLINK("https://klasma.github.io/Logging_0482/artfynd/A 7883-2022 artfynd.xlsx", "A 7883-2022")</f>
        <v/>
      </c>
      <c r="X88">
        <f>HYPERLINK("https://klasma.github.io/Logging_0482/kartor/A 7883-2022 karta.png", "A 7883-2022")</f>
        <v/>
      </c>
      <c r="Y88">
        <f>HYPERLINK("https://klasma.github.io/Logging_0482/kartor_geotiff/A 7883-2022 georefererad karta.tif", "A 7883-2022")</f>
        <v/>
      </c>
      <c r="AA88">
        <f>HYPERLINK("https://klasma.github.io/Logging_0482/klagomål/A 7883-2022 FSC-klagomål.docx", "A 7883-2022")</f>
        <v/>
      </c>
      <c r="AB88">
        <f>HYPERLINK("https://klasma.github.io/Logging_0482/klagomålsmail/A 7883-2022 FSC-klagomål mail.docx", "A 7883-2022")</f>
        <v/>
      </c>
      <c r="AC88">
        <f>HYPERLINK("https://klasma.github.io/Logging_0482/tillsyn/A 7883-2022 tillsynsbegäran.docx", "A 7883-2022")</f>
        <v/>
      </c>
      <c r="AD88">
        <f>HYPERLINK("https://klasma.github.io/Logging_0482/tillsynsmail/A 7883-2022 tillsynsbegäran mail.docx", "A 7883-2022")</f>
        <v/>
      </c>
    </row>
    <row r="89" ht="15" customHeight="1">
      <c r="A89" t="inlineStr">
        <is>
          <t>A 60591-2022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44911</v>
      </c>
      <c r="E89" s="1" t="n">
        <v>46305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HYPERLINK("https://klasma.github.io/Logging_0482/artfynd/A 60591-2022 artfynd.xlsx", "A 60591-2022")</f>
        <v/>
      </c>
      <c r="X89">
        <f>HYPERLINK("https://klasma.github.io/Logging_0482/kartor/A 60591-2022 karta.png", "A 60591-2022")</f>
        <v/>
      </c>
      <c r="Y89">
        <f>HYPERLINK("https://klasma.github.io/Logging_0482/kartor_geotiff/A 60591-2022 georefererad karta.tif", "A 60591-2022")</f>
        <v/>
      </c>
      <c r="AA89">
        <f>HYPERLINK("https://klasma.github.io/Logging_0482/klagomål/A 60591-2022 FSC-klagomål.docx", "A 60591-2022")</f>
        <v/>
      </c>
      <c r="AB89">
        <f>HYPERLINK("https://klasma.github.io/Logging_0482/klagomålsmail/A 60591-2022 FSC-klagomål mail.docx", "A 60591-2022")</f>
        <v/>
      </c>
      <c r="AC89">
        <f>HYPERLINK("https://klasma.github.io/Logging_0482/tillsyn/A 60591-2022 tillsynsbegäran.docx", "A 60591-2022")</f>
        <v/>
      </c>
      <c r="AD89">
        <f>HYPERLINK("https://klasma.github.io/Logging_0482/tillsynsmail/A 60591-2022 tillsynsbegäran mail.docx", "A 60591-2022")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46305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14101-2025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46305</v>
      </c>
      <c r="F91" t="inlineStr">
        <is>
          <t>SÖDERMANLANDS LÄN</t>
        </is>
      </c>
      <c r="G91" t="inlineStr">
        <is>
          <t>FLEN</t>
        </is>
      </c>
      <c r="H91" t="inlineStr">
        <is>
          <t>Övriga statliga verk och myndigheter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HYPERLINK("https://klasma.github.io/Logging_0482/artfynd/A 14101-2025 artfynd.xlsx", "A 14101-2025")</f>
        <v/>
      </c>
      <c r="X91">
        <f>HYPERLINK("https://klasma.github.io/Logging_0482/kartor/A 14101-2025 karta.png", "A 14101-2025")</f>
        <v/>
      </c>
      <c r="Y91">
        <f>HYPERLINK("https://klasma.github.io/Logging_0482/kartor_geotiff/A 14101-2025 georefererad karta.tif", "A 14101-2025")</f>
        <v/>
      </c>
      <c r="AA91">
        <f>HYPERLINK("https://klasma.github.io/Logging_0482/klagomål/A 14101-2025 FSC-klagomål.docx", "A 14101-2025")</f>
        <v/>
      </c>
      <c r="AB91">
        <f>HYPERLINK("https://klasma.github.io/Logging_0482/klagomålsmail/A 14101-2025 FSC-klagomål mail.docx", "A 14101-2025")</f>
        <v/>
      </c>
      <c r="AC91">
        <f>HYPERLINK("https://klasma.github.io/Logging_0482/tillsyn/A 14101-2025 tillsynsbegäran.docx", "A 14101-2025")</f>
        <v/>
      </c>
      <c r="AD91">
        <f>HYPERLINK("https://klasma.github.io/Logging_0482/tillsynsmail/A 14101-2025 tillsynsbegäran mail.docx", "A 14101-2025")</f>
        <v/>
      </c>
    </row>
    <row r="92" ht="15" customHeight="1">
      <c r="A92" t="inlineStr">
        <is>
          <t>A 60529-2024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46305</v>
      </c>
      <c r="F92" t="inlineStr">
        <is>
          <t>SÖDERMANLANDS LÄN</t>
        </is>
      </c>
      <c r="G92" t="inlineStr">
        <is>
          <t>FLEN</t>
        </is>
      </c>
      <c r="I92" t="n">
        <v>2.5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Skarp dropptaggsvamp</t>
        </is>
      </c>
      <c r="W92">
        <f>HYPERLINK("https://klasma.github.io/Logging_0482/artfynd/A 60529-2024 artfynd.xlsx", "A 60529-2024")</f>
        <v/>
      </c>
      <c r="X92">
        <f>HYPERLINK("https://klasma.github.io/Logging_0482/kartor/A 60529-2024 karta.png", "A 60529-2024")</f>
        <v/>
      </c>
      <c r="Y92">
        <f>HYPERLINK("https://klasma.github.io/Logging_0482/kartor_geotiff/A 60529-2024 georefererad karta.tif", "A 60529-2024")</f>
        <v/>
      </c>
      <c r="AA92">
        <f>HYPERLINK("https://klasma.github.io/Logging_0482/klagomål/A 60529-2024 FSC-klagomål.docx", "A 60529-2024")</f>
        <v/>
      </c>
      <c r="AB92">
        <f>HYPERLINK("https://klasma.github.io/Logging_0482/klagomålsmail/A 60529-2024 FSC-klagomål mail.docx", "A 60529-2024")</f>
        <v/>
      </c>
      <c r="AC92">
        <f>HYPERLINK("https://klasma.github.io/Logging_0482/tillsyn/A 60529-2024 tillsynsbegäran.docx", "A 60529-2024")</f>
        <v/>
      </c>
      <c r="AD92">
        <f>HYPERLINK("https://klasma.github.io/Logging_0482/tillsynsmail/A 60529-2024 tillsynsbegäran mail.docx", "A 60529-2024")</f>
        <v/>
      </c>
    </row>
    <row r="93" ht="15" customHeight="1">
      <c r="A93" t="inlineStr">
        <is>
          <t>A 49820-2023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46305</v>
      </c>
      <c r="F93" t="inlineStr">
        <is>
          <t>SÖDERMANLANDS LÄN</t>
        </is>
      </c>
      <c r="G93" t="inlineStr">
        <is>
          <t>FLEN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HYPERLINK("https://klasma.github.io/Logging_0482/artfynd/A 49820-2023 artfynd.xlsx", "A 49820-2023")</f>
        <v/>
      </c>
      <c r="X93">
        <f>HYPERLINK("https://klasma.github.io/Logging_0482/kartor/A 49820-2023 karta.png", "A 49820-2023")</f>
        <v/>
      </c>
      <c r="Y93">
        <f>HYPERLINK("https://klasma.github.io/Logging_0482/kartor_geotiff/A 49820-2023 georefererad karta.tif", "A 49820-2023")</f>
        <v/>
      </c>
      <c r="AA93">
        <f>HYPERLINK("https://klasma.github.io/Logging_0482/klagomål/A 49820-2023 FSC-klagomål.docx", "A 49820-2023")</f>
        <v/>
      </c>
      <c r="AB93">
        <f>HYPERLINK("https://klasma.github.io/Logging_0482/klagomålsmail/A 49820-2023 FSC-klagomål mail.docx", "A 49820-2023")</f>
        <v/>
      </c>
      <c r="AC93">
        <f>HYPERLINK("https://klasma.github.io/Logging_0482/tillsyn/A 49820-2023 tillsynsbegäran.docx", "A 49820-2023")</f>
        <v/>
      </c>
      <c r="AD93">
        <f>HYPERLINK("https://klasma.github.io/Logging_0482/tillsynsmail/A 49820-2023 tillsynsbegäran mail.docx", "A 49820-2023")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46305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7973-2024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46305</v>
      </c>
      <c r="F95" t="inlineStr">
        <is>
          <t>SÖDERMANLANDS LÄN</t>
        </is>
      </c>
      <c r="G95" t="inlineStr">
        <is>
          <t>FLEN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Vippärt</t>
        </is>
      </c>
      <c r="W95">
        <f>HYPERLINK("https://klasma.github.io/Logging_0482/artfynd/A 7973-2024 artfynd.xlsx", "A 7973-2024")</f>
        <v/>
      </c>
      <c r="X95">
        <f>HYPERLINK("https://klasma.github.io/Logging_0482/kartor/A 7973-2024 karta.png", "A 7973-2024")</f>
        <v/>
      </c>
      <c r="Y95">
        <f>HYPERLINK("https://klasma.github.io/Logging_0482/kartor_geotiff/A 7973-2024 georefererad karta.tif", "A 7973-2024")</f>
        <v/>
      </c>
      <c r="AA95">
        <f>HYPERLINK("https://klasma.github.io/Logging_0482/klagomål/A 7973-2024 FSC-klagomål.docx", "A 7973-2024")</f>
        <v/>
      </c>
      <c r="AB95">
        <f>HYPERLINK("https://klasma.github.io/Logging_0482/klagomålsmail/A 7973-2024 FSC-klagomål mail.docx", "A 7973-2024")</f>
        <v/>
      </c>
      <c r="AC95">
        <f>HYPERLINK("https://klasma.github.io/Logging_0482/tillsyn/A 7973-2024 tillsynsbegäran.docx", "A 7973-2024")</f>
        <v/>
      </c>
      <c r="AD95">
        <f>HYPERLINK("https://klasma.github.io/Logging_0482/tillsynsmail/A 7973-2024 tillsynsbegäran mail.docx", "A 7973-2024")</f>
        <v/>
      </c>
    </row>
    <row r="96" ht="15" customHeight="1">
      <c r="A96" t="inlineStr">
        <is>
          <t>A 60562-2021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46305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Gullklöver</t>
        </is>
      </c>
      <c r="W96">
        <f>HYPERLINK("https://klasma.github.io/Logging_0482/artfynd/A 60562-2021 artfynd.xlsx", "A 60562-2021")</f>
        <v/>
      </c>
      <c r="X96">
        <f>HYPERLINK("https://klasma.github.io/Logging_0482/kartor/A 60562-2021 karta.png", "A 60562-2021")</f>
        <v/>
      </c>
      <c r="Y96">
        <f>HYPERLINK("https://klasma.github.io/Logging_0482/kartor_geotiff/A 60562-2021 georefererad karta.tif", "A 60562-2021")</f>
        <v/>
      </c>
      <c r="AA96">
        <f>HYPERLINK("https://klasma.github.io/Logging_0482/klagomål/A 60562-2021 FSC-klagomål.docx", "A 60562-2021")</f>
        <v/>
      </c>
      <c r="AB96">
        <f>HYPERLINK("https://klasma.github.io/Logging_0482/klagomålsmail/A 60562-2021 FSC-klagomål mail.docx", "A 60562-2021")</f>
        <v/>
      </c>
      <c r="AC96">
        <f>HYPERLINK("https://klasma.github.io/Logging_0482/tillsyn/A 60562-2021 tillsynsbegäran.docx", "A 60562-2021")</f>
        <v/>
      </c>
      <c r="AD96">
        <f>HYPERLINK("https://klasma.github.io/Logging_0482/tillsynsmail/A 60562-2021 tillsynsbegäran mail.docx", "A 60562-2021")</f>
        <v/>
      </c>
    </row>
    <row r="97" ht="15" customHeight="1">
      <c r="A97" t="inlineStr">
        <is>
          <t>A 43008-2023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46305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Gullklöver</t>
        </is>
      </c>
      <c r="W97">
        <f>HYPERLINK("https://klasma.github.io/Logging_0482/artfynd/A 43008-2023 artfynd.xlsx", "A 43008-2023")</f>
        <v/>
      </c>
      <c r="X97">
        <f>HYPERLINK("https://klasma.github.io/Logging_0482/kartor/A 43008-2023 karta.png", "A 43008-2023")</f>
        <v/>
      </c>
      <c r="Y97">
        <f>HYPERLINK("https://klasma.github.io/Logging_0482/kartor_geotiff/A 43008-2023 georefererad karta.tif", "A 43008-2023")</f>
        <v/>
      </c>
      <c r="AA97">
        <f>HYPERLINK("https://klasma.github.io/Logging_0482/klagomål/A 43008-2023 FSC-klagomål.docx", "A 43008-2023")</f>
        <v/>
      </c>
      <c r="AB97">
        <f>HYPERLINK("https://klasma.github.io/Logging_0482/klagomålsmail/A 43008-2023 FSC-klagomål mail.docx", "A 43008-2023")</f>
        <v/>
      </c>
      <c r="AC97">
        <f>HYPERLINK("https://klasma.github.io/Logging_0482/tillsyn/A 43008-2023 tillsynsbegäran.docx", "A 43008-2023")</f>
        <v/>
      </c>
      <c r="AD97">
        <f>HYPERLINK("https://klasma.github.io/Logging_0482/tillsynsmail/A 43008-2023 tillsynsbegäran mail.docx", "A 43008-2023")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46305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7525-2024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45348</v>
      </c>
      <c r="E99" s="1" t="n">
        <v>46305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Vanlig backsmörblomma</t>
        </is>
      </c>
      <c r="W99">
        <f>HYPERLINK("https://klasma.github.io/Logging_0482/artfynd/A 7525-2024 artfynd.xlsx", "A 7525-2024")</f>
        <v/>
      </c>
      <c r="X99">
        <f>HYPERLINK("https://klasma.github.io/Logging_0482/kartor/A 7525-2024 karta.png", "A 7525-2024")</f>
        <v/>
      </c>
      <c r="Y99">
        <f>HYPERLINK("https://klasma.github.io/Logging_0482/kartor_geotiff/A 7525-2024 georefererad karta.tif", "A 7525-2024")</f>
        <v/>
      </c>
      <c r="AA99">
        <f>HYPERLINK("https://klasma.github.io/Logging_0482/klagomål/A 7525-2024 FSC-klagomål.docx", "A 7525-2024")</f>
        <v/>
      </c>
      <c r="AB99">
        <f>HYPERLINK("https://klasma.github.io/Logging_0482/klagomålsmail/A 7525-2024 FSC-klagomål mail.docx", "A 7525-2024")</f>
        <v/>
      </c>
      <c r="AC99">
        <f>HYPERLINK("https://klasma.github.io/Logging_0482/tillsyn/A 7525-2024 tillsynsbegäran.docx", "A 7525-2024")</f>
        <v/>
      </c>
      <c r="AD99">
        <f>HYPERLINK("https://klasma.github.io/Logging_0482/tillsynsmail/A 7525-2024 tillsynsbegäran mail.docx", "A 7525-2024")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46305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37317-2023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46305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Svavelriska</t>
        </is>
      </c>
      <c r="W101">
        <f>HYPERLINK("https://klasma.github.io/Logging_0482/artfynd/A 37317-2023 artfynd.xlsx", "A 37317-2023")</f>
        <v/>
      </c>
      <c r="X101">
        <f>HYPERLINK("https://klasma.github.io/Logging_0482/kartor/A 37317-2023 karta.png", "A 37317-2023")</f>
        <v/>
      </c>
      <c r="Y101">
        <f>HYPERLINK("https://klasma.github.io/Logging_0482/kartor_geotiff/A 37317-2023 georefererad karta.tif", "A 37317-2023")</f>
        <v/>
      </c>
      <c r="AA101">
        <f>HYPERLINK("https://klasma.github.io/Logging_0482/klagomål/A 37317-2023 FSC-klagomål.docx", "A 37317-2023")</f>
        <v/>
      </c>
      <c r="AB101">
        <f>HYPERLINK("https://klasma.github.io/Logging_0482/klagomålsmail/A 37317-2023 FSC-klagomål mail.docx", "A 37317-2023")</f>
        <v/>
      </c>
      <c r="AC101">
        <f>HYPERLINK("https://klasma.github.io/Logging_0482/tillsyn/A 37317-2023 tillsynsbegäran.docx", "A 37317-2023")</f>
        <v/>
      </c>
      <c r="AD101">
        <f>HYPERLINK("https://klasma.github.io/Logging_0482/tillsynsmail/A 37317-2023 tillsynsbegäran mail.docx", "A 37317-2023")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46305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46305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46115-2023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46305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Ullticka</t>
        </is>
      </c>
      <c r="W104">
        <f>HYPERLINK("https://klasma.github.io/Logging_0482/artfynd/A 46115-2023 artfynd.xlsx", "A 46115-2023")</f>
        <v/>
      </c>
      <c r="X104">
        <f>HYPERLINK("https://klasma.github.io/Logging_0482/kartor/A 46115-2023 karta.png", "A 46115-2023")</f>
        <v/>
      </c>
      <c r="Y104">
        <f>HYPERLINK("https://klasma.github.io/Logging_0482/kartor_geotiff/A 46115-2023 georefererad karta.tif", "A 46115-2023")</f>
        <v/>
      </c>
      <c r="AA104">
        <f>HYPERLINK("https://klasma.github.io/Logging_0482/klagomål/A 46115-2023 FSC-klagomål.docx", "A 46115-2023")</f>
        <v/>
      </c>
      <c r="AB104">
        <f>HYPERLINK("https://klasma.github.io/Logging_0482/klagomålsmail/A 46115-2023 FSC-klagomål mail.docx", "A 46115-2023")</f>
        <v/>
      </c>
      <c r="AC104">
        <f>HYPERLINK("https://klasma.github.io/Logging_0482/tillsyn/A 46115-2023 tillsynsbegäran.docx", "A 46115-2023")</f>
        <v/>
      </c>
      <c r="AD104">
        <f>HYPERLINK("https://klasma.github.io/Logging_0482/tillsynsmail/A 46115-2023 tillsynsbegäran mail.docx", "A 46115-2023")</f>
        <v/>
      </c>
    </row>
    <row r="105" ht="15" customHeight="1">
      <c r="A105" t="inlineStr">
        <is>
          <t>A 56308-2024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46305</v>
      </c>
      <c r="F105" t="inlineStr">
        <is>
          <t>SÖDERMANLANDS LÄN</t>
        </is>
      </c>
      <c r="G105" t="inlineStr">
        <is>
          <t>FLEN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56308-2024 artfynd.xlsx", "A 56308-2024")</f>
        <v/>
      </c>
      <c r="X105">
        <f>HYPERLINK("https://klasma.github.io/Logging_0482/kartor/A 56308-2024 karta.png", "A 56308-2024")</f>
        <v/>
      </c>
      <c r="Y105">
        <f>HYPERLINK("https://klasma.github.io/Logging_0482/kartor_geotiff/A 56308-2024 georefererad karta.tif", "A 56308-2024")</f>
        <v/>
      </c>
      <c r="AA105">
        <f>HYPERLINK("https://klasma.github.io/Logging_0482/klagomål/A 56308-2024 FSC-klagomål.docx", "A 56308-2024")</f>
        <v/>
      </c>
      <c r="AB105">
        <f>HYPERLINK("https://klasma.github.io/Logging_0482/klagomålsmail/A 56308-2024 FSC-klagomål mail.docx", "A 56308-2024")</f>
        <v/>
      </c>
      <c r="AC105">
        <f>HYPERLINK("https://klasma.github.io/Logging_0482/tillsyn/A 56308-2024 tillsynsbegäran.docx", "A 56308-2024")</f>
        <v/>
      </c>
      <c r="AD105">
        <f>HYPERLINK("https://klasma.github.io/Logging_0482/tillsynsmail/A 56308-2024 tillsynsbegäran mail.docx", "A 56308-2024")</f>
        <v/>
      </c>
    </row>
    <row r="106" ht="15" customHeight="1">
      <c r="A106" t="inlineStr">
        <is>
          <t>A 14273-2025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46305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Vedskivlav</t>
        </is>
      </c>
      <c r="W106">
        <f>HYPERLINK("https://klasma.github.io/Logging_0482/artfynd/A 14273-2025 artfynd.xlsx", "A 14273-2025")</f>
        <v/>
      </c>
      <c r="X106">
        <f>HYPERLINK("https://klasma.github.io/Logging_0482/kartor/A 14273-2025 karta.png", "A 14273-2025")</f>
        <v/>
      </c>
      <c r="Y106">
        <f>HYPERLINK("https://klasma.github.io/Logging_0482/kartor_geotiff/A 14273-2025 georefererad karta.tif", "A 14273-2025")</f>
        <v/>
      </c>
      <c r="AA106">
        <f>HYPERLINK("https://klasma.github.io/Logging_0482/klagomål/A 14273-2025 FSC-klagomål.docx", "A 14273-2025")</f>
        <v/>
      </c>
      <c r="AB106">
        <f>HYPERLINK("https://klasma.github.io/Logging_0482/klagomålsmail/A 14273-2025 FSC-klagomål mail.docx", "A 14273-2025")</f>
        <v/>
      </c>
      <c r="AC106">
        <f>HYPERLINK("https://klasma.github.io/Logging_0482/tillsyn/A 14273-2025 tillsynsbegäran.docx", "A 14273-2025")</f>
        <v/>
      </c>
      <c r="AD106">
        <f>HYPERLINK("https://klasma.github.io/Logging_0482/tillsynsmail/A 14273-2025 tillsynsbegäran mail.docx", "A 14273-2025")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46305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46305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Brudborste</t>
        </is>
      </c>
      <c r="W108">
        <f>HYPERLINK("https://klasma.github.io/Logging_0482/artfynd/A 45107-2023 artfynd.xlsx", "A 45107-2023")</f>
        <v/>
      </c>
      <c r="X108">
        <f>HYPERLINK("https://klasma.github.io/Logging_0482/kartor/A 45107-2023 karta.png", "A 45107-2023")</f>
        <v/>
      </c>
      <c r="Y108">
        <f>HYPERLINK("https://klasma.github.io/Logging_0482/kartor_geotiff/A 45107-2023 georefererad karta.tif", "A 45107-2023")</f>
        <v/>
      </c>
      <c r="AA108">
        <f>HYPERLINK("https://klasma.github.io/Logging_0482/klagomål/A 45107-2023 FSC-klagomål.docx", "A 45107-2023")</f>
        <v/>
      </c>
      <c r="AB108">
        <f>HYPERLINK("https://klasma.github.io/Logging_0482/klagomålsmail/A 45107-2023 FSC-klagomål mail.docx", "A 45107-2023")</f>
        <v/>
      </c>
      <c r="AC108">
        <f>HYPERLINK("https://klasma.github.io/Logging_0482/tillsyn/A 45107-2023 tillsynsbegäran.docx", "A 45107-2023")</f>
        <v/>
      </c>
      <c r="AD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1242-2022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46305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1242-2022 artfynd.xlsx", "A 1242-2022")</f>
        <v/>
      </c>
      <c r="X109">
        <f>HYPERLINK("https://klasma.github.io/Logging_0482/kartor/A 1242-2022 karta.png", "A 1242-2022")</f>
        <v/>
      </c>
      <c r="Y109">
        <f>HYPERLINK("https://klasma.github.io/Logging_0482/kartor_geotiff/A 1242-2022 georefererad karta.tif", "A 1242-2022")</f>
        <v/>
      </c>
      <c r="AA109">
        <f>HYPERLINK("https://klasma.github.io/Logging_0482/klagomål/A 1242-2022 FSC-klagomål.docx", "A 1242-2022")</f>
        <v/>
      </c>
      <c r="AB109">
        <f>HYPERLINK("https://klasma.github.io/Logging_0482/klagomålsmail/A 1242-2022 FSC-klagomål mail.docx", "A 1242-2022")</f>
        <v/>
      </c>
      <c r="AC109">
        <f>HYPERLINK("https://klasma.github.io/Logging_0482/tillsyn/A 1242-2022 tillsynsbegäran.docx", "A 1242-2022")</f>
        <v/>
      </c>
      <c r="AD109">
        <f>HYPERLINK("https://klasma.github.io/Logging_0482/tillsynsmail/A 1242-2022 tillsynsbegäran mail.docx", "A 1242-2022")</f>
        <v/>
      </c>
    </row>
    <row r="110" ht="15" customHeight="1">
      <c r="A110" t="inlineStr">
        <is>
          <t>A 12371-2022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46305</v>
      </c>
      <c r="F110" t="inlineStr">
        <is>
          <t>SÖDERMANLANDS LÄN</t>
        </is>
      </c>
      <c r="G110" t="inlineStr">
        <is>
          <t>FLEN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12371-2022 artfynd.xlsx", "A 12371-2022")</f>
        <v/>
      </c>
      <c r="X110">
        <f>HYPERLINK("https://klasma.github.io/Logging_0482/kartor/A 12371-2022 karta.png", "A 12371-2022")</f>
        <v/>
      </c>
      <c r="Y110">
        <f>HYPERLINK("https://klasma.github.io/Logging_0482/kartor_geotiff/A 12371-2022 georefererad karta.tif", "A 12371-2022")</f>
        <v/>
      </c>
      <c r="AA110">
        <f>HYPERLINK("https://klasma.github.io/Logging_0482/klagomål/A 12371-2022 FSC-klagomål.docx", "A 12371-2022")</f>
        <v/>
      </c>
      <c r="AB110">
        <f>HYPERLINK("https://klasma.github.io/Logging_0482/klagomålsmail/A 12371-2022 FSC-klagomål mail.docx", "A 12371-2022")</f>
        <v/>
      </c>
      <c r="AC110">
        <f>HYPERLINK("https://klasma.github.io/Logging_0482/tillsyn/A 12371-2022 tillsynsbegäran.docx", "A 12371-2022")</f>
        <v/>
      </c>
      <c r="AD110">
        <f>HYPERLINK("https://klasma.github.io/Logging_0482/tillsynsmail/A 12371-2022 tillsynsbegäran mail.docx", "A 12371-2022")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46305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46305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39036-2023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46305</v>
      </c>
      <c r="F113" t="inlineStr">
        <is>
          <t>SÖDERMANLANDS LÄN</t>
        </is>
      </c>
      <c r="G113" t="inlineStr">
        <is>
          <t>FLEN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HYPERLINK("https://klasma.github.io/Logging_0482/artfynd/A 39036-2023 artfynd.xlsx", "A 39036-2023")</f>
        <v/>
      </c>
      <c r="X113">
        <f>HYPERLINK("https://klasma.github.io/Logging_0482/kartor/A 39036-2023 karta.png", "A 39036-2023")</f>
        <v/>
      </c>
      <c r="Y113">
        <f>HYPERLINK("https://klasma.github.io/Logging_0482/kartor_geotiff/A 39036-2023 georefererad karta.tif", "A 39036-2023")</f>
        <v/>
      </c>
      <c r="AA113">
        <f>HYPERLINK("https://klasma.github.io/Logging_0482/klagomål/A 39036-2023 FSC-klagomål.docx", "A 39036-2023")</f>
        <v/>
      </c>
      <c r="AB113">
        <f>HYPERLINK("https://klasma.github.io/Logging_0482/klagomålsmail/A 39036-2023 FSC-klagomål mail.docx", "A 39036-2023")</f>
        <v/>
      </c>
      <c r="AC113">
        <f>HYPERLINK("https://klasma.github.io/Logging_0482/tillsyn/A 39036-2023 tillsynsbegäran.docx", "A 39036-2023")</f>
        <v/>
      </c>
      <c r="AD113">
        <f>HYPERLINK("https://klasma.github.io/Logging_0482/tillsynsmail/A 39036-2023 tillsynsbegäran mail.docx", "A 39036-2023")</f>
        <v/>
      </c>
    </row>
    <row r="114" ht="15" customHeight="1">
      <c r="A114" t="inlineStr">
        <is>
          <t>A 33024-2022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46305</v>
      </c>
      <c r="F114" t="inlineStr">
        <is>
          <t>SÖDERMANLANDS LÄN</t>
        </is>
      </c>
      <c r="G114" t="inlineStr">
        <is>
          <t>FLEN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33024-2022 artfynd.xlsx", "A 33024-2022")</f>
        <v/>
      </c>
      <c r="X114">
        <f>HYPERLINK("https://klasma.github.io/Logging_0482/kartor/A 33024-2022 karta.png", "A 33024-2022")</f>
        <v/>
      </c>
      <c r="Y114">
        <f>HYPERLINK("https://klasma.github.io/Logging_0482/kartor_geotiff/A 33024-2022 georefererad karta.tif", "A 33024-2022")</f>
        <v/>
      </c>
      <c r="AA114">
        <f>HYPERLINK("https://klasma.github.io/Logging_0482/klagomål/A 33024-2022 FSC-klagomål.docx", "A 33024-2022")</f>
        <v/>
      </c>
      <c r="AB114">
        <f>HYPERLINK("https://klasma.github.io/Logging_0482/klagomålsmail/A 33024-2022 FSC-klagomål mail.docx", "A 33024-2022")</f>
        <v/>
      </c>
      <c r="AC114">
        <f>HYPERLINK("https://klasma.github.io/Logging_0482/tillsyn/A 33024-2022 tillsynsbegäran.docx", "A 33024-2022")</f>
        <v/>
      </c>
      <c r="AD114">
        <f>HYPERLINK("https://klasma.github.io/Logging_0482/tillsynsmail/A 33024-2022 tillsynsbegäran mail.docx", "A 33024-2022")</f>
        <v/>
      </c>
    </row>
    <row r="115" ht="15" customHeight="1">
      <c r="A115" t="inlineStr">
        <is>
          <t>A 31427-2022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46305</v>
      </c>
      <c r="F115" t="inlineStr">
        <is>
          <t>SÖDERMANLANDS LÄN</t>
        </is>
      </c>
      <c r="G115" t="inlineStr">
        <is>
          <t>FLEN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HYPERLINK("https://klasma.github.io/Logging_0482/artfynd/A 31427-2022 artfynd.xlsx", "A 31427-2022")</f>
        <v/>
      </c>
      <c r="X115">
        <f>HYPERLINK("https://klasma.github.io/Logging_0482/kartor/A 31427-2022 karta.png", "A 31427-2022")</f>
        <v/>
      </c>
      <c r="Y115">
        <f>HYPERLINK("https://klasma.github.io/Logging_0482/kartor_geotiff/A 31427-2022 georefererad karta.tif", "A 31427-2022")</f>
        <v/>
      </c>
      <c r="AA115">
        <f>HYPERLINK("https://klasma.github.io/Logging_0482/klagomål/A 31427-2022 FSC-klagomål.docx", "A 31427-2022")</f>
        <v/>
      </c>
      <c r="AB115">
        <f>HYPERLINK("https://klasma.github.io/Logging_0482/klagomålsmail/A 31427-2022 FSC-klagomål mail.docx", "A 31427-2022")</f>
        <v/>
      </c>
      <c r="AC115">
        <f>HYPERLINK("https://klasma.github.io/Logging_0482/tillsyn/A 31427-2022 tillsynsbegäran.docx", "A 31427-2022")</f>
        <v/>
      </c>
      <c r="AD115">
        <f>HYPERLINK("https://klasma.github.io/Logging_0482/tillsynsmail/A 31427-2022 tillsynsbegäran mail.docx", "A 31427-2022")</f>
        <v/>
      </c>
    </row>
    <row r="116" ht="15" customHeight="1">
      <c r="A116" t="inlineStr">
        <is>
          <t>A 47756-2022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44854</v>
      </c>
      <c r="E116" s="1" t="n">
        <v>46305</v>
      </c>
      <c r="F116" t="inlineStr">
        <is>
          <t>SÖDERMANLANDS LÄN</t>
        </is>
      </c>
      <c r="G116" t="inlineStr">
        <is>
          <t>FLEN</t>
        </is>
      </c>
      <c r="I116" t="n">
        <v>2.4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47756-2022 artfynd.xlsx", "A 47756-2022")</f>
        <v/>
      </c>
      <c r="X116">
        <f>HYPERLINK("https://klasma.github.io/Logging_0482/kartor/A 47756-2022 karta.png", "A 47756-2022")</f>
        <v/>
      </c>
      <c r="Y116">
        <f>HYPERLINK("https://klasma.github.io/Logging_0482/kartor_geotiff/A 47756-2022 georefererad karta.tif", "A 47756-2022")</f>
        <v/>
      </c>
      <c r="AA116">
        <f>HYPERLINK("https://klasma.github.io/Logging_0482/klagomål/A 47756-2022 FSC-klagomål.docx", "A 47756-2022")</f>
        <v/>
      </c>
      <c r="AB116">
        <f>HYPERLINK("https://klasma.github.io/Logging_0482/klagomålsmail/A 47756-2022 FSC-klagomål mail.docx", "A 47756-2022")</f>
        <v/>
      </c>
      <c r="AC116">
        <f>HYPERLINK("https://klasma.github.io/Logging_0482/tillsyn/A 47756-2022 tillsynsbegäran.docx", "A 47756-2022")</f>
        <v/>
      </c>
      <c r="AD116">
        <f>HYPERLINK("https://klasma.github.io/Logging_0482/tillsynsmail/A 47756-2022 tillsynsbegäran mail.docx", "A 47756-2022")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46305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6982-2024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46305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Fläcknycklar</t>
        </is>
      </c>
      <c r="W118">
        <f>HYPERLINK("https://klasma.github.io/Logging_0482/artfynd/A 6982-2024 artfynd.xlsx", "A 6982-2024")</f>
        <v/>
      </c>
      <c r="X118">
        <f>HYPERLINK("https://klasma.github.io/Logging_0482/kartor/A 6982-2024 karta.png", "A 6982-2024")</f>
        <v/>
      </c>
      <c r="Y118">
        <f>HYPERLINK("https://klasma.github.io/Logging_0482/kartor_geotiff/A 6982-2024 georefererad karta.tif", "A 6982-2024")</f>
        <v/>
      </c>
      <c r="AA118">
        <f>HYPERLINK("https://klasma.github.io/Logging_0482/klagomål/A 6982-2024 FSC-klagomål.docx", "A 6982-2024")</f>
        <v/>
      </c>
      <c r="AB118">
        <f>HYPERLINK("https://klasma.github.io/Logging_0482/klagomålsmail/A 6982-2024 FSC-klagomål mail.docx", "A 6982-2024")</f>
        <v/>
      </c>
      <c r="AC118">
        <f>HYPERLINK("https://klasma.github.io/Logging_0482/tillsyn/A 6982-2024 tillsynsbegäran.docx", "A 6982-2024")</f>
        <v/>
      </c>
      <c r="AD118">
        <f>HYPERLINK("https://klasma.github.io/Logging_0482/tillsynsmail/A 6982-2024 tillsynsbegäran mail.docx", "A 6982-2024")</f>
        <v/>
      </c>
    </row>
    <row r="119" ht="15" customHeight="1">
      <c r="A119" t="inlineStr">
        <is>
          <t>A 62535-2021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46305</v>
      </c>
      <c r="F119" t="inlineStr">
        <is>
          <t>SÖDERMANLANDS LÄN</t>
        </is>
      </c>
      <c r="G119" t="inlineStr">
        <is>
          <t>FLEN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62535-2021 artfynd.xlsx", "A 62535-2021")</f>
        <v/>
      </c>
      <c r="X119">
        <f>HYPERLINK("https://klasma.github.io/Logging_0482/kartor/A 62535-2021 karta.png", "A 62535-2021")</f>
        <v/>
      </c>
      <c r="Y119">
        <f>HYPERLINK("https://klasma.github.io/Logging_0482/kartor_geotiff/A 62535-2021 georefererad karta.tif", "A 62535-2021")</f>
        <v/>
      </c>
      <c r="AA119">
        <f>HYPERLINK("https://klasma.github.io/Logging_0482/klagomål/A 62535-2021 FSC-klagomål.docx", "A 62535-2021")</f>
        <v/>
      </c>
      <c r="AB119">
        <f>HYPERLINK("https://klasma.github.io/Logging_0482/klagomålsmail/A 62535-2021 FSC-klagomål mail.docx", "A 62535-2021")</f>
        <v/>
      </c>
      <c r="AC119">
        <f>HYPERLINK("https://klasma.github.io/Logging_0482/tillsyn/A 62535-2021 tillsynsbegäran.docx", "A 62535-2021")</f>
        <v/>
      </c>
      <c r="AD119">
        <f>HYPERLINK("https://klasma.github.io/Logging_0482/tillsynsmail/A 62535-2021 tillsynsbegäran mail.docx", "A 62535-2021")</f>
        <v/>
      </c>
    </row>
    <row r="120" ht="15" customHeight="1">
      <c r="A120" t="inlineStr">
        <is>
          <t>A 50202-2022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46305</v>
      </c>
      <c r="F120" t="inlineStr">
        <is>
          <t>SÖDERMANLANDS LÄN</t>
        </is>
      </c>
      <c r="G120" t="inlineStr">
        <is>
          <t>FLEN</t>
        </is>
      </c>
      <c r="H120" t="inlineStr">
        <is>
          <t>Kyrkan</t>
        </is>
      </c>
      <c r="I120" t="n">
        <v>5.8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50202-2022 artfynd.xlsx", "A 50202-2022")</f>
        <v/>
      </c>
      <c r="X120">
        <f>HYPERLINK("https://klasma.github.io/Logging_0482/kartor/A 50202-2022 karta.png", "A 50202-2022")</f>
        <v/>
      </c>
      <c r="Y120">
        <f>HYPERLINK("https://klasma.github.io/Logging_0482/kartor_geotiff/A 50202-2022 georefererad karta.tif", "A 50202-2022")</f>
        <v/>
      </c>
      <c r="AA120">
        <f>HYPERLINK("https://klasma.github.io/Logging_0482/klagomål/A 50202-2022 FSC-klagomål.docx", "A 50202-2022")</f>
        <v/>
      </c>
      <c r="AB120">
        <f>HYPERLINK("https://klasma.github.io/Logging_0482/klagomålsmail/A 50202-2022 FSC-klagomål mail.docx", "A 50202-2022")</f>
        <v/>
      </c>
      <c r="AC120">
        <f>HYPERLINK("https://klasma.github.io/Logging_0482/tillsyn/A 50202-2022 tillsynsbegäran.docx", "A 50202-2022")</f>
        <v/>
      </c>
      <c r="AD120">
        <f>HYPERLINK("https://klasma.github.io/Logging_0482/tillsynsmail/A 50202-2022 tillsynsbegäran mail.docx", "A 50202-2022")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46305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46305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46305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46305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46305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46305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66230-2021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44518</v>
      </c>
      <c r="E127" s="1" t="n">
        <v>46305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HYPERLINK("https://klasma.github.io/Logging_0482/artfynd/A 66230-2021 artfynd.xlsx", "A 66230-2021")</f>
        <v/>
      </c>
      <c r="X127">
        <f>HYPERLINK("https://klasma.github.io/Logging_0482/kartor/A 66230-2021 karta.png", "A 66230-2021")</f>
        <v/>
      </c>
      <c r="Y127">
        <f>HYPERLINK("https://klasma.github.io/Logging_0482/kartor_geotiff/A 66230-2021 georefererad karta.tif", "A 66230-2021")</f>
        <v/>
      </c>
      <c r="AA127">
        <f>HYPERLINK("https://klasma.github.io/Logging_0482/klagomål/A 66230-2021 FSC-klagomål.docx", "A 66230-2021")</f>
        <v/>
      </c>
      <c r="AB127">
        <f>HYPERLINK("https://klasma.github.io/Logging_0482/klagomålsmail/A 66230-2021 FSC-klagomål mail.docx", "A 66230-2021")</f>
        <v/>
      </c>
      <c r="AC127">
        <f>HYPERLINK("https://klasma.github.io/Logging_0482/tillsyn/A 66230-2021 tillsynsbegäran.docx", "A 66230-2021")</f>
        <v/>
      </c>
      <c r="AD127">
        <f>HYPERLINK("https://klasma.github.io/Logging_0482/tillsynsmail/A 66230-2021 tillsynsbegäran mail.docx", "A 66230-2021")</f>
        <v/>
      </c>
    </row>
    <row r="128" ht="15" customHeight="1">
      <c r="A128" t="inlineStr">
        <is>
          <t>A 29195-2023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46305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3.9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Plattlummer</t>
        </is>
      </c>
      <c r="W128">
        <f>HYPERLINK("https://klasma.github.io/Logging_0482/artfynd/A 29195-2023 artfynd.xlsx", "A 29195-2023")</f>
        <v/>
      </c>
      <c r="X128">
        <f>HYPERLINK("https://klasma.github.io/Logging_0482/kartor/A 29195-2023 karta.png", "A 29195-2023")</f>
        <v/>
      </c>
      <c r="Y128">
        <f>HYPERLINK("https://klasma.github.io/Logging_0482/kartor_geotiff/A 29195-2023 georefererad karta.tif", "A 29195-2023")</f>
        <v/>
      </c>
      <c r="AA128">
        <f>HYPERLINK("https://klasma.github.io/Logging_0482/klagomål/A 29195-2023 FSC-klagomål.docx", "A 29195-2023")</f>
        <v/>
      </c>
      <c r="AB128">
        <f>HYPERLINK("https://klasma.github.io/Logging_0482/klagomålsmail/A 29195-2023 FSC-klagomål mail.docx", "A 29195-2023")</f>
        <v/>
      </c>
      <c r="AC128">
        <f>HYPERLINK("https://klasma.github.io/Logging_0482/tillsyn/A 29195-2023 tillsynsbegäran.docx", "A 29195-2023")</f>
        <v/>
      </c>
      <c r="AD128">
        <f>HYPERLINK("https://klasma.github.io/Logging_0482/tillsynsmail/A 29195-2023 tillsynsbegäran mail.docx", "A 29195-2023")</f>
        <v/>
      </c>
    </row>
    <row r="129" ht="15" customHeight="1">
      <c r="A129" t="inlineStr">
        <is>
          <t>A 34721-2023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46305</v>
      </c>
      <c r="F129" t="inlineStr">
        <is>
          <t>SÖDERMANLANDS LÄN</t>
        </is>
      </c>
      <c r="G129" t="inlineStr">
        <is>
          <t>FLEN</t>
        </is>
      </c>
      <c r="I129" t="n">
        <v>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34721-2023 artfynd.xlsx", "A 34721-2023")</f>
        <v/>
      </c>
      <c r="X129">
        <f>HYPERLINK("https://klasma.github.io/Logging_0482/kartor/A 34721-2023 karta.png", "A 34721-2023")</f>
        <v/>
      </c>
      <c r="Y129">
        <f>HYPERLINK("https://klasma.github.io/Logging_0482/kartor_geotiff/A 34721-2023 georefererad karta.tif", "A 34721-2023")</f>
        <v/>
      </c>
      <c r="AA129">
        <f>HYPERLINK("https://klasma.github.io/Logging_0482/klagomål/A 34721-2023 FSC-klagomål.docx", "A 34721-2023")</f>
        <v/>
      </c>
      <c r="AB129">
        <f>HYPERLINK("https://klasma.github.io/Logging_0482/klagomålsmail/A 34721-2023 FSC-klagomål mail.docx", "A 34721-2023")</f>
        <v/>
      </c>
      <c r="AC129">
        <f>HYPERLINK("https://klasma.github.io/Logging_0482/tillsyn/A 34721-2023 tillsynsbegäran.docx", "A 34721-2023")</f>
        <v/>
      </c>
      <c r="AD129">
        <f>HYPERLINK("https://klasma.github.io/Logging_0482/tillsynsmail/A 34721-2023 tillsynsbegäran mail.docx", "A 34721-2023")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46305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9446-2026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46071</v>
      </c>
      <c r="E131" s="1" t="n">
        <v>46305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9446-2026 artfynd.xlsx", "A 9446-2026")</f>
        <v/>
      </c>
      <c r="X131">
        <f>HYPERLINK("https://klasma.github.io/Logging_0482/kartor/A 9446-2026 karta.png", "A 9446-2026")</f>
        <v/>
      </c>
      <c r="Y131">
        <f>HYPERLINK("https://klasma.github.io/Logging_0482/kartor_geotiff/A 9446-2026 georefererad karta.tif", "A 9446-2026")</f>
        <v/>
      </c>
      <c r="AA131">
        <f>HYPERLINK("https://klasma.github.io/Logging_0482/klagomål/A 9446-2026 FSC-klagomål.docx", "A 9446-2026")</f>
        <v/>
      </c>
      <c r="AB131">
        <f>HYPERLINK("https://klasma.github.io/Logging_0482/klagomålsmail/A 9446-2026 FSC-klagomål mail.docx", "A 9446-2026")</f>
        <v/>
      </c>
      <c r="AC131">
        <f>HYPERLINK("https://klasma.github.io/Logging_0482/tillsyn/A 9446-2026 tillsynsbegäran.docx", "A 9446-2026")</f>
        <v/>
      </c>
      <c r="AD131">
        <f>HYPERLINK("https://klasma.github.io/Logging_0482/tillsynsmail/A 9446-2026 tillsynsbegäran mail.docx", "A 9446-2026")</f>
        <v/>
      </c>
    </row>
    <row r="132" ht="15" customHeight="1">
      <c r="A132" t="inlineStr">
        <is>
          <t>A 10999-2026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46305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10999-2026 artfynd.xlsx", "A 10999-2026")</f>
        <v/>
      </c>
      <c r="X132">
        <f>HYPERLINK("https://klasma.github.io/Logging_0482/kartor/A 10999-2026 karta.png", "A 10999-2026")</f>
        <v/>
      </c>
      <c r="Y132">
        <f>HYPERLINK("https://klasma.github.io/Logging_0482/kartor_geotiff/A 10999-2026 georefererad karta.tif", "A 10999-2026")</f>
        <v/>
      </c>
      <c r="AA132">
        <f>HYPERLINK("https://klasma.github.io/Logging_0482/klagomål/A 10999-2026 FSC-klagomål.docx", "A 10999-2026")</f>
        <v/>
      </c>
      <c r="AB132">
        <f>HYPERLINK("https://klasma.github.io/Logging_0482/klagomålsmail/A 10999-2026 FSC-klagomål mail.docx", "A 10999-2026")</f>
        <v/>
      </c>
      <c r="AC132">
        <f>HYPERLINK("https://klasma.github.io/Logging_0482/tillsyn/A 10999-2026 tillsynsbegäran.docx", "A 10999-2026")</f>
        <v/>
      </c>
      <c r="AD132">
        <f>HYPERLINK("https://klasma.github.io/Logging_0482/tillsynsmail/A 10999-2026 tillsynsbegäran mail.docx", "A 10999-2026")</f>
        <v/>
      </c>
    </row>
    <row r="133" ht="15" customHeight="1">
      <c r="A133" t="inlineStr">
        <is>
          <t>A 24179-2026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46305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24179-2026 artfynd.xlsx", "A 24179-2026")</f>
        <v/>
      </c>
      <c r="X133">
        <f>HYPERLINK("https://klasma.github.io/Logging_0482/kartor/A 24179-2026 karta.png", "A 24179-2026")</f>
        <v/>
      </c>
      <c r="Y133">
        <f>HYPERLINK("https://klasma.github.io/Logging_0482/kartor_geotiff/A 24179-2026 georefererad karta.tif", "A 24179-2026")</f>
        <v/>
      </c>
      <c r="AA133">
        <f>HYPERLINK("https://klasma.github.io/Logging_0482/klagomål/A 24179-2026 FSC-klagomål.docx", "A 24179-2026")</f>
        <v/>
      </c>
      <c r="AB133">
        <f>HYPERLINK("https://klasma.github.io/Logging_0482/klagomålsmail/A 24179-2026 FSC-klagomål mail.docx", "A 24179-2026")</f>
        <v/>
      </c>
      <c r="AC133">
        <f>HYPERLINK("https://klasma.github.io/Logging_0482/tillsyn/A 24179-2026 tillsynsbegäran.docx", "A 24179-2026")</f>
        <v/>
      </c>
      <c r="AD133">
        <f>HYPERLINK("https://klasma.github.io/Logging_0482/tillsynsmail/A 24179-2026 tillsynsbegäran mail.docx", "A 24179-2026")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46305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46305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46305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46305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46305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46305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46305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46305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46305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44535</v>
      </c>
      <c r="E143" s="1" t="n">
        <v>46305</v>
      </c>
      <c r="F143" t="inlineStr">
        <is>
          <t>SÖDERMANLANDS LÄN</t>
        </is>
      </c>
      <c r="G143" t="inlineStr">
        <is>
          <t>FLEN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46305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46305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46305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46305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46305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46305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46305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46305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46305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46305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46305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46305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46305</v>
      </c>
      <c r="F156" t="inlineStr">
        <is>
          <t>SÖDERMANLANDS LÄN</t>
        </is>
      </c>
      <c r="G156" t="inlineStr">
        <is>
          <t>FLEN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46305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46305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46305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44778</v>
      </c>
      <c r="E160" s="1" t="n">
        <v>46305</v>
      </c>
      <c r="F160" t="inlineStr">
        <is>
          <t>SÖDERMANLANDS LÄN</t>
        </is>
      </c>
      <c r="G160" t="inlineStr">
        <is>
          <t>FLEN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46305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46305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46305</v>
      </c>
      <c r="F163" t="inlineStr">
        <is>
          <t>SÖDERMANLANDS LÄN</t>
        </is>
      </c>
      <c r="G163" t="inlineStr">
        <is>
          <t>FLEN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46305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46305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46305</v>
      </c>
      <c r="F166" t="inlineStr">
        <is>
          <t>SÖDERMANLANDS LÄN</t>
        </is>
      </c>
      <c r="G166" t="inlineStr">
        <is>
          <t>FLEN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46305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46305</v>
      </c>
      <c r="F168" t="inlineStr">
        <is>
          <t>SÖDERMANLANDS LÄN</t>
        </is>
      </c>
      <c r="G168" t="inlineStr">
        <is>
          <t>FLEN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44566</v>
      </c>
      <c r="E169" s="1" t="n">
        <v>46305</v>
      </c>
      <c r="F169" t="inlineStr">
        <is>
          <t>SÖDERMANLANDS LÄN</t>
        </is>
      </c>
      <c r="G169" t="inlineStr">
        <is>
          <t>FLEN</t>
        </is>
      </c>
      <c r="H169" t="inlineStr">
        <is>
          <t>Kyrkan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44640</v>
      </c>
      <c r="E170" s="1" t="n">
        <v>46305</v>
      </c>
      <c r="F170" t="inlineStr">
        <is>
          <t>SÖDERMANLANDS LÄN</t>
        </is>
      </c>
      <c r="G170" t="inlineStr">
        <is>
          <t>FLEN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46305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46305</v>
      </c>
      <c r="F172" t="inlineStr">
        <is>
          <t>SÖDERMANLANDS LÄN</t>
        </is>
      </c>
      <c r="G172" t="inlineStr">
        <is>
          <t>FLEN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46305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46305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46305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46305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44610</v>
      </c>
      <c r="E177" s="1" t="n">
        <v>46305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44643</v>
      </c>
      <c r="E178" s="1" t="n">
        <v>46305</v>
      </c>
      <c r="F178" t="inlineStr">
        <is>
          <t>SÖDERMANLANDS LÄN</t>
        </is>
      </c>
      <c r="G178" t="inlineStr">
        <is>
          <t>FLEN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46305</v>
      </c>
      <c r="F179" t="inlineStr">
        <is>
          <t>SÖDERMANLANDS LÄN</t>
        </is>
      </c>
      <c r="G179" t="inlineStr">
        <is>
          <t>FLEN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46305</v>
      </c>
      <c r="F180" t="inlineStr">
        <is>
          <t>SÖDERMANLANDS LÄN</t>
        </is>
      </c>
      <c r="G180" t="inlineStr">
        <is>
          <t>FLEN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46305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46305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46305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46305</v>
      </c>
      <c r="F184" t="inlineStr">
        <is>
          <t>SÖDERMANLANDS LÄN</t>
        </is>
      </c>
      <c r="G184" t="inlineStr">
        <is>
          <t>FLEN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44872</v>
      </c>
      <c r="E185" s="1" t="n">
        <v>46305</v>
      </c>
      <c r="F185" t="inlineStr">
        <is>
          <t>SÖDERMANLANDS LÄN</t>
        </is>
      </c>
      <c r="G185" t="inlineStr">
        <is>
          <t>FLEN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46305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46305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44864</v>
      </c>
      <c r="E188" s="1" t="n">
        <v>46305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46305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46305</v>
      </c>
      <c r="F190" t="inlineStr">
        <is>
          <t>SÖDERMANLANDS LÄN</t>
        </is>
      </c>
      <c r="G190" t="inlineStr">
        <is>
          <t>FLEN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46305</v>
      </c>
      <c r="F191" t="inlineStr">
        <is>
          <t>SÖDERMANLANDS LÄN</t>
        </is>
      </c>
      <c r="G191" t="inlineStr">
        <is>
          <t>FLEN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45250</v>
      </c>
      <c r="E192" s="1" t="n">
        <v>46305</v>
      </c>
      <c r="F192" t="inlineStr">
        <is>
          <t>SÖDERMANLANDS LÄN</t>
        </is>
      </c>
      <c r="G192" t="inlineStr">
        <is>
          <t>FLEN</t>
        </is>
      </c>
      <c r="H192" t="inlineStr">
        <is>
          <t>Holmen skog AB</t>
        </is>
      </c>
      <c r="I192" t="n">
        <v>14.7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46305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46305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46305</v>
      </c>
      <c r="F195" t="inlineStr">
        <is>
          <t>SÖDERMANLANDS LÄN</t>
        </is>
      </c>
      <c r="G195" t="inlineStr">
        <is>
          <t>FLEN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46305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46305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46305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46305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45398</v>
      </c>
      <c r="E200" s="1" t="n">
        <v>46305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46305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46305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46305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46305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46305</v>
      </c>
      <c r="F205" t="inlineStr">
        <is>
          <t>SÖDERMANLANDS LÄN</t>
        </is>
      </c>
      <c r="G205" t="inlineStr">
        <is>
          <t>FLEN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46305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20791-2022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44701</v>
      </c>
      <c r="E207" s="1" t="n">
        <v>46305</v>
      </c>
      <c r="F207" t="inlineStr">
        <is>
          <t>SÖDERMANLANDS LÄN</t>
        </is>
      </c>
      <c r="G207" t="inlineStr">
        <is>
          <t>FLEN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46305</v>
      </c>
      <c r="F208" t="inlineStr">
        <is>
          <t>SÖDERMANLANDS LÄN</t>
        </is>
      </c>
      <c r="G208" t="inlineStr">
        <is>
          <t>FLEN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46305</v>
      </c>
      <c r="F209" t="inlineStr">
        <is>
          <t>SÖDERMANLANDS LÄN</t>
        </is>
      </c>
      <c r="G209" t="inlineStr">
        <is>
          <t>FLEN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45270</v>
      </c>
      <c r="E210" s="1" t="n">
        <v>46305</v>
      </c>
      <c r="F210" t="inlineStr">
        <is>
          <t>SÖDERMANLANDS LÄN</t>
        </is>
      </c>
      <c r="G210" t="inlineStr">
        <is>
          <t>FLEN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46305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46305</v>
      </c>
      <c r="F212" t="inlineStr">
        <is>
          <t>SÖDERMANLANDS LÄN</t>
        </is>
      </c>
      <c r="G212" t="inlineStr">
        <is>
          <t>FLEN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46305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46305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46305</v>
      </c>
      <c r="F215" t="inlineStr">
        <is>
          <t>SÖDERMANLANDS LÄN</t>
        </is>
      </c>
      <c r="G215" t="inlineStr">
        <is>
          <t>FLEN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46305</v>
      </c>
      <c r="F216" t="inlineStr">
        <is>
          <t>SÖDERMANLANDS LÄN</t>
        </is>
      </c>
      <c r="G216" t="inlineStr">
        <is>
          <t>FLEN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46305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46305</v>
      </c>
      <c r="F218" t="inlineStr">
        <is>
          <t>SÖDERMANLANDS LÄN</t>
        </is>
      </c>
      <c r="G218" t="inlineStr">
        <is>
          <t>FLEN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45081</v>
      </c>
      <c r="E219" s="1" t="n">
        <v>46305</v>
      </c>
      <c r="F219" t="inlineStr">
        <is>
          <t>SÖDERMANLANDS LÄN</t>
        </is>
      </c>
      <c r="G219" t="inlineStr">
        <is>
          <t>FLEN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46305</v>
      </c>
      <c r="F220" t="inlineStr">
        <is>
          <t>SÖDERMANLANDS LÄN</t>
        </is>
      </c>
      <c r="G220" t="inlineStr">
        <is>
          <t>FLEN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46305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46305</v>
      </c>
      <c r="F222" t="inlineStr">
        <is>
          <t>SÖDERMANLANDS LÄN</t>
        </is>
      </c>
      <c r="G222" t="inlineStr">
        <is>
          <t>FLEN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46305</v>
      </c>
      <c r="F223" t="inlineStr">
        <is>
          <t>SÖDERMANLANDS LÄN</t>
        </is>
      </c>
      <c r="G223" t="inlineStr">
        <is>
          <t>FLEN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46305</v>
      </c>
      <c r="F224" t="inlineStr">
        <is>
          <t>SÖDERMANLANDS LÄN</t>
        </is>
      </c>
      <c r="G224" t="inlineStr">
        <is>
          <t>FLEN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46305</v>
      </c>
      <c r="F225" t="inlineStr">
        <is>
          <t>SÖDERMANLANDS LÄN</t>
        </is>
      </c>
      <c r="G225" t="inlineStr">
        <is>
          <t>FLEN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46305</v>
      </c>
      <c r="F226" t="inlineStr">
        <is>
          <t>SÖDERMANLANDS LÄN</t>
        </is>
      </c>
      <c r="G226" t="inlineStr">
        <is>
          <t>FLEN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46305</v>
      </c>
      <c r="F227" t="inlineStr">
        <is>
          <t>SÖDERMANLANDS LÄN</t>
        </is>
      </c>
      <c r="G227" t="inlineStr">
        <is>
          <t>FLEN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65869-2021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46305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46305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46305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45322</v>
      </c>
      <c r="E231" s="1" t="n">
        <v>46305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46305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44553</v>
      </c>
      <c r="E233" s="1" t="n">
        <v>46305</v>
      </c>
      <c r="F233" t="inlineStr">
        <is>
          <t>SÖDERMANLANDS LÄN</t>
        </is>
      </c>
      <c r="G233" t="inlineStr">
        <is>
          <t>FLEN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46305</v>
      </c>
      <c r="F234" t="inlineStr">
        <is>
          <t>SÖDERMANLANDS LÄN</t>
        </is>
      </c>
      <c r="G234" t="inlineStr">
        <is>
          <t>FLEN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45256</v>
      </c>
      <c r="E235" s="1" t="n">
        <v>46305</v>
      </c>
      <c r="F235" t="inlineStr">
        <is>
          <t>SÖDERMANLANDS LÄN</t>
        </is>
      </c>
      <c r="G235" t="inlineStr">
        <is>
          <t>FLEN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45140</v>
      </c>
      <c r="E236" s="1" t="n">
        <v>46305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44931</v>
      </c>
      <c r="E237" s="1" t="n">
        <v>46305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46305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44580</v>
      </c>
      <c r="E239" s="1" t="n">
        <v>46305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46305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46305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46305</v>
      </c>
      <c r="F242" t="inlineStr">
        <is>
          <t>SÖDERMANLANDS LÄN</t>
        </is>
      </c>
      <c r="G242" t="inlineStr">
        <is>
          <t>FLEN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45066</v>
      </c>
      <c r="E243" s="1" t="n">
        <v>46305</v>
      </c>
      <c r="F243" t="inlineStr">
        <is>
          <t>SÖDERMANLANDS LÄN</t>
        </is>
      </c>
      <c r="G243" t="inlineStr">
        <is>
          <t>FLEN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46305</v>
      </c>
      <c r="F244" t="inlineStr">
        <is>
          <t>SÖDERMANLANDS LÄN</t>
        </is>
      </c>
      <c r="G244" t="inlineStr">
        <is>
          <t>FLEN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46305</v>
      </c>
      <c r="F245" t="inlineStr">
        <is>
          <t>SÖDERMANLANDS LÄN</t>
        </is>
      </c>
      <c r="G245" t="inlineStr">
        <is>
          <t>FLEN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46305</v>
      </c>
      <c r="F246" t="inlineStr">
        <is>
          <t>SÖDERMANLANDS LÄN</t>
        </is>
      </c>
      <c r="G246" t="inlineStr">
        <is>
          <t>FLEN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46305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46305</v>
      </c>
      <c r="F248" t="inlineStr">
        <is>
          <t>SÖDERMANLANDS LÄN</t>
        </is>
      </c>
      <c r="G248" t="inlineStr">
        <is>
          <t>FLEN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46305</v>
      </c>
      <c r="F249" t="inlineStr">
        <is>
          <t>SÖDERMANLANDS LÄN</t>
        </is>
      </c>
      <c r="G249" t="inlineStr">
        <is>
          <t>FLEN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46305</v>
      </c>
      <c r="F250" t="inlineStr">
        <is>
          <t>SÖDERMANLANDS LÄN</t>
        </is>
      </c>
      <c r="G250" t="inlineStr">
        <is>
          <t>FLEN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45230</v>
      </c>
      <c r="E251" s="1" t="n">
        <v>46305</v>
      </c>
      <c r="F251" t="inlineStr">
        <is>
          <t>SÖDERMANLANDS LÄN</t>
        </is>
      </c>
      <c r="G251" t="inlineStr">
        <is>
          <t>FLEN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45013</v>
      </c>
      <c r="E252" s="1" t="n">
        <v>46305</v>
      </c>
      <c r="F252" t="inlineStr">
        <is>
          <t>SÖDERMANLANDS LÄN</t>
        </is>
      </c>
      <c r="G252" t="inlineStr">
        <is>
          <t>FLEN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46305</v>
      </c>
      <c r="F253" t="inlineStr">
        <is>
          <t>SÖDERMANLANDS LÄN</t>
        </is>
      </c>
      <c r="G253" t="inlineStr">
        <is>
          <t>FLEN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46305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46305</v>
      </c>
      <c r="F255" t="inlineStr">
        <is>
          <t>SÖDERMANLANDS LÄN</t>
        </is>
      </c>
      <c r="G255" t="inlineStr">
        <is>
          <t>FLEN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46305</v>
      </c>
      <c r="F256" t="inlineStr">
        <is>
          <t>SÖDERMANLANDS LÄN</t>
        </is>
      </c>
      <c r="G256" t="inlineStr">
        <is>
          <t>FLEN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42731-2024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45566</v>
      </c>
      <c r="E257" s="1" t="n">
        <v>46305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46305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46305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13233-2024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45386</v>
      </c>
      <c r="E260" s="1" t="n">
        <v>46305</v>
      </c>
      <c r="F260" t="inlineStr">
        <is>
          <t>SÖDERMANLANDS LÄN</t>
        </is>
      </c>
      <c r="G260" t="inlineStr">
        <is>
          <t>FLEN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46305</v>
      </c>
      <c r="F261" t="inlineStr">
        <is>
          <t>SÖDERMANLANDS LÄN</t>
        </is>
      </c>
      <c r="G261" t="inlineStr">
        <is>
          <t>FLEN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44957</v>
      </c>
      <c r="E262" s="1" t="n">
        <v>46305</v>
      </c>
      <c r="F262" t="inlineStr">
        <is>
          <t>SÖDERMANLANDS LÄN</t>
        </is>
      </c>
      <c r="G262" t="inlineStr">
        <is>
          <t>FLEN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46305</v>
      </c>
      <c r="F263" t="inlineStr">
        <is>
          <t>SÖDERMANLANDS LÄN</t>
        </is>
      </c>
      <c r="G263" t="inlineStr">
        <is>
          <t>FLEN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46305</v>
      </c>
      <c r="F264" t="inlineStr">
        <is>
          <t>SÖDERMANLANDS LÄN</t>
        </is>
      </c>
      <c r="G264" t="inlineStr">
        <is>
          <t>FLEN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46305</v>
      </c>
      <c r="F265" t="inlineStr">
        <is>
          <t>SÖDERMANLANDS LÄN</t>
        </is>
      </c>
      <c r="G265" t="inlineStr">
        <is>
          <t>FLEN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46305</v>
      </c>
      <c r="F266" t="inlineStr">
        <is>
          <t>SÖDERMANLANDS LÄN</t>
        </is>
      </c>
      <c r="G266" t="inlineStr">
        <is>
          <t>FLEN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46305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46305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64480-2023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46305</v>
      </c>
      <c r="F269" t="inlineStr">
        <is>
          <t>SÖDERMANLANDS LÄN</t>
        </is>
      </c>
      <c r="G269" t="inlineStr">
        <is>
          <t>FLEN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72314-2021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44544</v>
      </c>
      <c r="E270" s="1" t="n">
        <v>46305</v>
      </c>
      <c r="F270" t="inlineStr">
        <is>
          <t>SÖDERMANLANDS LÄN</t>
        </is>
      </c>
      <c r="G270" t="inlineStr">
        <is>
          <t>FLEN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46305</v>
      </c>
      <c r="F271" t="inlineStr">
        <is>
          <t>SÖDERMANLANDS LÄN</t>
        </is>
      </c>
      <c r="G271" t="inlineStr">
        <is>
          <t>FLEN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46305</v>
      </c>
      <c r="F272" t="inlineStr">
        <is>
          <t>SÖDERMANLANDS LÄN</t>
        </is>
      </c>
      <c r="G272" t="inlineStr">
        <is>
          <t>FLEN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46305</v>
      </c>
      <c r="F273" t="inlineStr">
        <is>
          <t>SÖDERMANLANDS LÄN</t>
        </is>
      </c>
      <c r="G273" t="inlineStr">
        <is>
          <t>FLEN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46305</v>
      </c>
      <c r="F274" t="inlineStr">
        <is>
          <t>SÖDERMANLANDS LÄN</t>
        </is>
      </c>
      <c r="G274" t="inlineStr">
        <is>
          <t>FLEN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60255-2021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44495</v>
      </c>
      <c r="E275" s="1" t="n">
        <v>46305</v>
      </c>
      <c r="F275" t="inlineStr">
        <is>
          <t>SÖDERMANLANDS LÄN</t>
        </is>
      </c>
      <c r="G275" t="inlineStr">
        <is>
          <t>FLEN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46305</v>
      </c>
      <c r="F276" t="inlineStr">
        <is>
          <t>SÖDERMANLANDS LÄN</t>
        </is>
      </c>
      <c r="G276" t="inlineStr">
        <is>
          <t>FLEN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46305</v>
      </c>
      <c r="F277" t="inlineStr">
        <is>
          <t>SÖDERMANLANDS LÄN</t>
        </is>
      </c>
      <c r="G277" t="inlineStr">
        <is>
          <t>FLEN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44883</v>
      </c>
      <c r="E278" s="1" t="n">
        <v>46305</v>
      </c>
      <c r="F278" t="inlineStr">
        <is>
          <t>SÖDERMANLANDS LÄN</t>
        </is>
      </c>
      <c r="G278" t="inlineStr">
        <is>
          <t>FLEN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46305</v>
      </c>
      <c r="F279" t="inlineStr">
        <is>
          <t>SÖDERMANLANDS LÄN</t>
        </is>
      </c>
      <c r="G279" t="inlineStr">
        <is>
          <t>FLEN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46305</v>
      </c>
      <c r="F280" t="inlineStr">
        <is>
          <t>SÖDERMANLANDS LÄN</t>
        </is>
      </c>
      <c r="G280" t="inlineStr">
        <is>
          <t>FLEN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46305</v>
      </c>
      <c r="F281" t="inlineStr">
        <is>
          <t>SÖDERMANLANDS LÄN</t>
        </is>
      </c>
      <c r="G281" t="inlineStr">
        <is>
          <t>FLEN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46305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46305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46305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45790</v>
      </c>
      <c r="E285" s="1" t="n">
        <v>46305</v>
      </c>
      <c r="F285" t="inlineStr">
        <is>
          <t>SÖDERMANLANDS LÄN</t>
        </is>
      </c>
      <c r="G285" t="inlineStr">
        <is>
          <t>FLEN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46305</v>
      </c>
      <c r="F286" t="inlineStr">
        <is>
          <t>SÖDERMANLANDS LÄN</t>
        </is>
      </c>
      <c r="G286" t="inlineStr">
        <is>
          <t>FLEN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46305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46305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45014</v>
      </c>
      <c r="E289" s="1" t="n">
        <v>46305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46305</v>
      </c>
      <c r="F290" t="inlineStr">
        <is>
          <t>SÖDERMANLANDS LÄN</t>
        </is>
      </c>
      <c r="G290" t="inlineStr">
        <is>
          <t>FLEN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44838</v>
      </c>
      <c r="E291" s="1" t="n">
        <v>46305</v>
      </c>
      <c r="F291" t="inlineStr">
        <is>
          <t>SÖDERMANLANDS LÄN</t>
        </is>
      </c>
      <c r="G291" t="inlineStr">
        <is>
          <t>FLEN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4899-2023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44958</v>
      </c>
      <c r="E292" s="1" t="n">
        <v>46305</v>
      </c>
      <c r="F292" t="inlineStr">
        <is>
          <t>SÖDERMANLANDS LÄN</t>
        </is>
      </c>
      <c r="G292" t="inlineStr">
        <is>
          <t>FLEN</t>
        </is>
      </c>
      <c r="H292" t="inlineStr">
        <is>
          <t>Kyrkan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46305</v>
      </c>
      <c r="F293" t="inlineStr">
        <is>
          <t>SÖDERMANLANDS LÄN</t>
        </is>
      </c>
      <c r="G293" t="inlineStr">
        <is>
          <t>FLEN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46305</v>
      </c>
      <c r="F294" t="inlineStr">
        <is>
          <t>SÖDERMANLANDS LÄN</t>
        </is>
      </c>
      <c r="G294" t="inlineStr">
        <is>
          <t>FLEN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46305</v>
      </c>
      <c r="F295" t="inlineStr">
        <is>
          <t>SÖDERMANLANDS LÄN</t>
        </is>
      </c>
      <c r="G295" t="inlineStr">
        <is>
          <t>FLEN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46305</v>
      </c>
      <c r="F296" t="inlineStr">
        <is>
          <t>SÖDERMANLANDS LÄN</t>
        </is>
      </c>
      <c r="G296" t="inlineStr">
        <is>
          <t>FLEN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46305</v>
      </c>
      <c r="F297" t="inlineStr">
        <is>
          <t>SÖDERMANLANDS LÄN</t>
        </is>
      </c>
      <c r="G297" t="inlineStr">
        <is>
          <t>FLEN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46305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8293-2022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46305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46305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46305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46305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46305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44602</v>
      </c>
      <c r="E304" s="1" t="n">
        <v>46305</v>
      </c>
      <c r="F304" t="inlineStr">
        <is>
          <t>SÖDERMANLANDS LÄN</t>
        </is>
      </c>
      <c r="G304" t="inlineStr">
        <is>
          <t>FLEN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46305</v>
      </c>
      <c r="F305" t="inlineStr">
        <is>
          <t>SÖDERMANLANDS LÄN</t>
        </is>
      </c>
      <c r="G305" t="inlineStr">
        <is>
          <t>FLEN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46305</v>
      </c>
      <c r="F306" t="inlineStr">
        <is>
          <t>SÖDERMANLANDS LÄN</t>
        </is>
      </c>
      <c r="G306" t="inlineStr">
        <is>
          <t>FLEN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67464-2021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46305</v>
      </c>
      <c r="F307" t="inlineStr">
        <is>
          <t>SÖDERMANLANDS LÄN</t>
        </is>
      </c>
      <c r="G307" t="inlineStr">
        <is>
          <t>FLEN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46305</v>
      </c>
      <c r="F308" t="inlineStr">
        <is>
          <t>SÖDERMANLANDS LÄN</t>
        </is>
      </c>
      <c r="G308" t="inlineStr">
        <is>
          <t>FLEN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46305</v>
      </c>
      <c r="F309" t="inlineStr">
        <is>
          <t>SÖDERMANLANDS LÄN</t>
        </is>
      </c>
      <c r="G309" t="inlineStr">
        <is>
          <t>FLEN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45328</v>
      </c>
      <c r="E310" s="1" t="n">
        <v>46305</v>
      </c>
      <c r="F310" t="inlineStr">
        <is>
          <t>SÖDERMANLANDS LÄN</t>
        </is>
      </c>
      <c r="G310" t="inlineStr">
        <is>
          <t>FLEN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46305</v>
      </c>
      <c r="F311" t="inlineStr">
        <is>
          <t>SÖDERMANLANDS LÄN</t>
        </is>
      </c>
      <c r="G311" t="inlineStr">
        <is>
          <t>FLEN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46305</v>
      </c>
      <c r="F312" t="inlineStr">
        <is>
          <t>SÖDERMANLANDS LÄN</t>
        </is>
      </c>
      <c r="G312" t="inlineStr">
        <is>
          <t>FLEN</t>
        </is>
      </c>
      <c r="H312" t="inlineStr">
        <is>
          <t>Övriga statliga verk och myndigheter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46305</v>
      </c>
      <c r="F313" t="inlineStr">
        <is>
          <t>SÖDERMANLANDS LÄN</t>
        </is>
      </c>
      <c r="G313" t="inlineStr">
        <is>
          <t>FLEN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46305</v>
      </c>
      <c r="F314" t="inlineStr">
        <is>
          <t>SÖDERMANLANDS LÄN</t>
        </is>
      </c>
      <c r="G314" t="inlineStr">
        <is>
          <t>FLEN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46305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46305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46305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46305</v>
      </c>
      <c r="F318" t="inlineStr">
        <is>
          <t>SÖDERMANLANDS LÄN</t>
        </is>
      </c>
      <c r="G318" t="inlineStr">
        <is>
          <t>FLEN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46305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69588-2021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46305</v>
      </c>
      <c r="F320" t="inlineStr">
        <is>
          <t>SÖDERMANLANDS LÄN</t>
        </is>
      </c>
      <c r="G320" t="inlineStr">
        <is>
          <t>FLEN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46305</v>
      </c>
      <c r="F321" t="inlineStr">
        <is>
          <t>SÖDERMANLANDS LÄN</t>
        </is>
      </c>
      <c r="G321" t="inlineStr">
        <is>
          <t>FLEN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46305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45946</v>
      </c>
      <c r="E323" s="1" t="n">
        <v>46305</v>
      </c>
      <c r="F323" t="inlineStr">
        <is>
          <t>SÖDERMANLANDS LÄN</t>
        </is>
      </c>
      <c r="G323" t="inlineStr">
        <is>
          <t>FLEN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46305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11747-2022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44634</v>
      </c>
      <c r="E325" s="1" t="n">
        <v>46305</v>
      </c>
      <c r="F325" t="inlineStr">
        <is>
          <t>SÖDERMANLANDS LÄN</t>
        </is>
      </c>
      <c r="G325" t="inlineStr">
        <is>
          <t>FLEN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46305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46305</v>
      </c>
      <c r="F327" t="inlineStr">
        <is>
          <t>SÖDERMANLANDS LÄN</t>
        </is>
      </c>
      <c r="G327" t="inlineStr">
        <is>
          <t>FLEN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44761</v>
      </c>
      <c r="E328" s="1" t="n">
        <v>46305</v>
      </c>
      <c r="F328" t="inlineStr">
        <is>
          <t>SÖDERMANLANDS LÄN</t>
        </is>
      </c>
      <c r="G328" t="inlineStr">
        <is>
          <t>FLEN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46305</v>
      </c>
      <c r="F329" t="inlineStr">
        <is>
          <t>SÖDERMANLANDS LÄN</t>
        </is>
      </c>
      <c r="G329" t="inlineStr">
        <is>
          <t>FLEN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46305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46305</v>
      </c>
      <c r="F331" t="inlineStr">
        <is>
          <t>SÖDERMANLANDS LÄN</t>
        </is>
      </c>
      <c r="G331" t="inlineStr">
        <is>
          <t>FLEN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46305</v>
      </c>
      <c r="F332" t="inlineStr">
        <is>
          <t>SÖDERMANLANDS LÄN</t>
        </is>
      </c>
      <c r="G332" t="inlineStr">
        <is>
          <t>FLEN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44676</v>
      </c>
      <c r="E333" s="1" t="n">
        <v>46305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45454</v>
      </c>
      <c r="E334" s="1" t="n">
        <v>46305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46305</v>
      </c>
      <c r="F335" t="inlineStr">
        <is>
          <t>SÖDERMANLANDS LÄN</t>
        </is>
      </c>
      <c r="G335" t="inlineStr">
        <is>
          <t>FLEN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45830</v>
      </c>
      <c r="E336" s="1" t="n">
        <v>46305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46305</v>
      </c>
      <c r="F337" t="inlineStr">
        <is>
          <t>SÖDERMANLANDS LÄN</t>
        </is>
      </c>
      <c r="G337" t="inlineStr">
        <is>
          <t>FLEN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46305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46305</v>
      </c>
      <c r="F339" t="inlineStr">
        <is>
          <t>SÖDERMANLANDS LÄN</t>
        </is>
      </c>
      <c r="G339" t="inlineStr">
        <is>
          <t>FLEN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46305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46305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46305</v>
      </c>
      <c r="F342" t="inlineStr">
        <is>
          <t>SÖDERMANLANDS LÄN</t>
        </is>
      </c>
      <c r="G342" t="inlineStr">
        <is>
          <t>FLEN</t>
        </is>
      </c>
      <c r="H342" t="inlineStr">
        <is>
          <t>Kyrkan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46305</v>
      </c>
      <c r="F343" t="inlineStr">
        <is>
          <t>SÖDERMANLANDS LÄN</t>
        </is>
      </c>
      <c r="G343" t="inlineStr">
        <is>
          <t>FLEN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46305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46305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45964</v>
      </c>
      <c r="E346" s="1" t="n">
        <v>46305</v>
      </c>
      <c r="F346" t="inlineStr">
        <is>
          <t>SÖDERMANLANDS LÄN</t>
        </is>
      </c>
      <c r="G346" t="inlineStr">
        <is>
          <t>FLEN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45057</v>
      </c>
      <c r="E347" s="1" t="n">
        <v>46305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46305</v>
      </c>
      <c r="F348" t="inlineStr">
        <is>
          <t>SÖDERMANLANDS LÄN</t>
        </is>
      </c>
      <c r="G348" t="inlineStr">
        <is>
          <t>FLEN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46305</v>
      </c>
      <c r="F349" t="inlineStr">
        <is>
          <t>SÖDERMANLANDS LÄN</t>
        </is>
      </c>
      <c r="G349" t="inlineStr">
        <is>
          <t>FLEN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25823-2022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46305</v>
      </c>
      <c r="F350" t="inlineStr">
        <is>
          <t>SÖDERMANLANDS LÄN</t>
        </is>
      </c>
      <c r="G350" t="inlineStr">
        <is>
          <t>FLEN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59599-2022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46305</v>
      </c>
      <c r="F351" t="inlineStr">
        <is>
          <t>SÖDERMANLANDS LÄN</t>
        </is>
      </c>
      <c r="G351" t="inlineStr">
        <is>
          <t>FLEN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46305</v>
      </c>
      <c r="F352" t="inlineStr">
        <is>
          <t>SÖDERMANLANDS LÄN</t>
        </is>
      </c>
      <c r="G352" t="inlineStr">
        <is>
          <t>FLEN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46305</v>
      </c>
      <c r="F353" t="inlineStr">
        <is>
          <t>SÖDERMANLANDS LÄN</t>
        </is>
      </c>
      <c r="G353" t="inlineStr">
        <is>
          <t>FLEN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45702</v>
      </c>
      <c r="E354" s="1" t="n">
        <v>46305</v>
      </c>
      <c r="F354" t="inlineStr">
        <is>
          <t>SÖDERMANLANDS LÄN</t>
        </is>
      </c>
      <c r="G354" t="inlineStr">
        <is>
          <t>FLEN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46305</v>
      </c>
      <c r="F355" t="inlineStr">
        <is>
          <t>SÖDERMANLANDS LÄN</t>
        </is>
      </c>
      <c r="G355" t="inlineStr">
        <is>
          <t>FLEN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56573-2025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45974</v>
      </c>
      <c r="E356" s="1" t="n">
        <v>46305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46305</v>
      </c>
      <c r="F357" t="inlineStr">
        <is>
          <t>SÖDERMANLANDS LÄN</t>
        </is>
      </c>
      <c r="G357" t="inlineStr">
        <is>
          <t>FLEN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46305</v>
      </c>
      <c r="F358" t="inlineStr">
        <is>
          <t>SÖDERMANLANDS LÄN</t>
        </is>
      </c>
      <c r="G358" t="inlineStr">
        <is>
          <t>FLEN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45378</v>
      </c>
      <c r="E359" s="1" t="n">
        <v>46305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39053-2023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46305</v>
      </c>
      <c r="F360" t="inlineStr">
        <is>
          <t>SÖDERMANLANDS LÄN</t>
        </is>
      </c>
      <c r="G360" t="inlineStr">
        <is>
          <t>FLEN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46305</v>
      </c>
      <c r="F361" t="inlineStr">
        <is>
          <t>SÖDERMANLANDS LÄN</t>
        </is>
      </c>
      <c r="G361" t="inlineStr">
        <is>
          <t>FLEN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46305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57863-2022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44899</v>
      </c>
      <c r="E363" s="1" t="n">
        <v>46305</v>
      </c>
      <c r="F363" t="inlineStr">
        <is>
          <t>SÖDERMANLANDS LÄN</t>
        </is>
      </c>
      <c r="G363" t="inlineStr">
        <is>
          <t>FLEN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46305</v>
      </c>
      <c r="F364" t="inlineStr">
        <is>
          <t>SÖDERMANLANDS LÄN</t>
        </is>
      </c>
      <c r="G364" t="inlineStr">
        <is>
          <t>FLEN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16580-2023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46305</v>
      </c>
      <c r="F365" t="inlineStr">
        <is>
          <t>SÖDERMANLANDS LÄN</t>
        </is>
      </c>
      <c r="G365" t="inlineStr">
        <is>
          <t>FLEN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46305</v>
      </c>
      <c r="F366" t="inlineStr">
        <is>
          <t>SÖDERMANLANDS LÄN</t>
        </is>
      </c>
      <c r="G366" t="inlineStr">
        <is>
          <t>FLEN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46305</v>
      </c>
      <c r="F367" t="inlineStr">
        <is>
          <t>SÖDERMANLANDS LÄN</t>
        </is>
      </c>
      <c r="G367" t="inlineStr">
        <is>
          <t>FLEN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46305</v>
      </c>
      <c r="F368" t="inlineStr">
        <is>
          <t>SÖDERMANLANDS LÄN</t>
        </is>
      </c>
      <c r="G368" t="inlineStr">
        <is>
          <t>FLEN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45228</v>
      </c>
      <c r="E369" s="1" t="n">
        <v>46305</v>
      </c>
      <c r="F369" t="inlineStr">
        <is>
          <t>SÖDERMANLANDS LÄN</t>
        </is>
      </c>
      <c r="G369" t="inlineStr">
        <is>
          <t>FLEN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46305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66867-2021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46305</v>
      </c>
      <c r="F371" t="inlineStr">
        <is>
          <t>SÖDERMANLANDS LÄN</t>
        </is>
      </c>
      <c r="G371" t="inlineStr">
        <is>
          <t>FLEN</t>
        </is>
      </c>
      <c r="H371" t="inlineStr">
        <is>
          <t>Kyrkan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46305</v>
      </c>
      <c r="F372" t="inlineStr">
        <is>
          <t>SÖDERMANLANDS LÄN</t>
        </is>
      </c>
      <c r="G372" t="inlineStr">
        <is>
          <t>FLEN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44868</v>
      </c>
      <c r="E373" s="1" t="n">
        <v>46305</v>
      </c>
      <c r="F373" t="inlineStr">
        <is>
          <t>SÖDERMANLANDS LÄN</t>
        </is>
      </c>
      <c r="G373" t="inlineStr">
        <is>
          <t>FLEN</t>
        </is>
      </c>
      <c r="H373" t="inlineStr">
        <is>
          <t>Övriga statliga verk och myndigheter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46305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46305</v>
      </c>
      <c r="F375" t="inlineStr">
        <is>
          <t>SÖDERMANLANDS LÄN</t>
        </is>
      </c>
      <c r="G375" t="inlineStr">
        <is>
          <t>FLEN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46305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45671</v>
      </c>
      <c r="E377" s="1" t="n">
        <v>46305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46305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45345</v>
      </c>
      <c r="E379" s="1" t="n">
        <v>46305</v>
      </c>
      <c r="F379" t="inlineStr">
        <is>
          <t>SÖDERMANLANDS LÄN</t>
        </is>
      </c>
      <c r="G379" t="inlineStr">
        <is>
          <t>FLEN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46305</v>
      </c>
      <c r="F380" t="inlineStr">
        <is>
          <t>SÖDERMANLANDS LÄN</t>
        </is>
      </c>
      <c r="G380" t="inlineStr">
        <is>
          <t>FLEN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60150-2022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44909</v>
      </c>
      <c r="E381" s="1" t="n">
        <v>46305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44624</v>
      </c>
      <c r="E382" s="1" t="n">
        <v>46305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44624</v>
      </c>
      <c r="E383" s="1" t="n">
        <v>46305</v>
      </c>
      <c r="F383" t="inlineStr">
        <is>
          <t>SÖDERMANLANDS LÄN</t>
        </is>
      </c>
      <c r="G383" t="inlineStr">
        <is>
          <t>FLEN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16908-2024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45411</v>
      </c>
      <c r="E384" s="1" t="n">
        <v>46305</v>
      </c>
      <c r="F384" t="inlineStr">
        <is>
          <t>SÖDERMANLANDS LÄN</t>
        </is>
      </c>
      <c r="G384" t="inlineStr">
        <is>
          <t>FLEN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46305</v>
      </c>
      <c r="F385" t="inlineStr">
        <is>
          <t>SÖDERMANLANDS LÄN</t>
        </is>
      </c>
      <c r="G385" t="inlineStr">
        <is>
          <t>FLEN</t>
        </is>
      </c>
      <c r="H385" t="inlineStr">
        <is>
          <t>Kommuner</t>
        </is>
      </c>
      <c r="I385" t="n">
        <v>11.2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44896</v>
      </c>
      <c r="E386" s="1" t="n">
        <v>46305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46305</v>
      </c>
      <c r="F387" t="inlineStr">
        <is>
          <t>SÖDERMANLANDS LÄN</t>
        </is>
      </c>
      <c r="G387" t="inlineStr">
        <is>
          <t>FLEN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46305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46305</v>
      </c>
      <c r="F389" t="inlineStr">
        <is>
          <t>SÖDERMANLANDS LÄN</t>
        </is>
      </c>
      <c r="G389" t="inlineStr">
        <is>
          <t>FLEN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44979</v>
      </c>
      <c r="E390" s="1" t="n">
        <v>46305</v>
      </c>
      <c r="F390" t="inlineStr">
        <is>
          <t>SÖDERMANLANDS LÄN</t>
        </is>
      </c>
      <c r="G390" t="inlineStr">
        <is>
          <t>FLEN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46305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46305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45501</v>
      </c>
      <c r="E393" s="1" t="n">
        <v>46305</v>
      </c>
      <c r="F393" t="inlineStr">
        <is>
          <t>SÖDERMANLANDS LÄN</t>
        </is>
      </c>
      <c r="G393" t="inlineStr">
        <is>
          <t>FLEN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46305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46305</v>
      </c>
      <c r="F395" t="inlineStr">
        <is>
          <t>SÖDERMANLANDS LÄN</t>
        </is>
      </c>
      <c r="G395" t="inlineStr">
        <is>
          <t>FLEN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46305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44848</v>
      </c>
      <c r="E397" s="1" t="n">
        <v>46305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46305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46305</v>
      </c>
      <c r="F399" t="inlineStr">
        <is>
          <t>SÖDERMANLANDS LÄN</t>
        </is>
      </c>
      <c r="G399" t="inlineStr">
        <is>
          <t>FLEN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46305</v>
      </c>
      <c r="F400" t="inlineStr">
        <is>
          <t>SÖDERMANLANDS LÄN</t>
        </is>
      </c>
      <c r="G400" t="inlineStr">
        <is>
          <t>FLEN</t>
        </is>
      </c>
      <c r="H400" t="inlineStr">
        <is>
          <t>Kyrkan</t>
        </is>
      </c>
      <c r="I400" t="n">
        <v>9.699999999999999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46305</v>
      </c>
      <c r="F401" t="inlineStr">
        <is>
          <t>SÖDERMANLANDS LÄN</t>
        </is>
      </c>
      <c r="G401" t="inlineStr">
        <is>
          <t>FLEN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46305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44566</v>
      </c>
      <c r="E403" s="1" t="n">
        <v>46305</v>
      </c>
      <c r="F403" t="inlineStr">
        <is>
          <t>SÖDERMANLANDS LÄN</t>
        </is>
      </c>
      <c r="G403" t="inlineStr">
        <is>
          <t>FLEN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46305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46305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46305</v>
      </c>
      <c r="F406" t="inlineStr">
        <is>
          <t>SÖDERMANLANDS LÄN</t>
        </is>
      </c>
      <c r="G406" t="inlineStr">
        <is>
          <t>FLEN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46305</v>
      </c>
      <c r="F407" t="inlineStr">
        <is>
          <t>SÖDERMANLANDS LÄN</t>
        </is>
      </c>
      <c r="G407" t="inlineStr">
        <is>
          <t>FLEN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46305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46305</v>
      </c>
      <c r="F409" t="inlineStr">
        <is>
          <t>SÖDERMANLANDS LÄN</t>
        </is>
      </c>
      <c r="G409" t="inlineStr">
        <is>
          <t>FLEN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46129</v>
      </c>
      <c r="E410" s="1" t="n">
        <v>46305</v>
      </c>
      <c r="F410" t="inlineStr">
        <is>
          <t>SÖDERMANLANDS LÄN</t>
        </is>
      </c>
      <c r="G410" t="inlineStr">
        <is>
          <t>FLEN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46305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46305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46305</v>
      </c>
      <c r="F413" t="inlineStr">
        <is>
          <t>SÖDERMANLANDS LÄN</t>
        </is>
      </c>
      <c r="G413" t="inlineStr">
        <is>
          <t>FLEN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46305</v>
      </c>
      <c r="F414" t="inlineStr">
        <is>
          <t>SÖDERMANLANDS LÄN</t>
        </is>
      </c>
      <c r="G414" t="inlineStr">
        <is>
          <t>FLEN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46305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46305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46305</v>
      </c>
      <c r="F417" t="inlineStr">
        <is>
          <t>SÖDERMANLANDS LÄN</t>
        </is>
      </c>
      <c r="G417" t="inlineStr">
        <is>
          <t>FLEN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46305</v>
      </c>
      <c r="F418" t="inlineStr">
        <is>
          <t>SÖDERMANLANDS LÄN</t>
        </is>
      </c>
      <c r="G418" t="inlineStr">
        <is>
          <t>FLEN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46305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46305</v>
      </c>
      <c r="F420" t="inlineStr">
        <is>
          <t>SÖDERMANLANDS LÄN</t>
        </is>
      </c>
      <c r="G420" t="inlineStr">
        <is>
          <t>FLEN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46305</v>
      </c>
      <c r="F421" t="inlineStr">
        <is>
          <t>SÖDERMANLANDS LÄN</t>
        </is>
      </c>
      <c r="G421" t="inlineStr">
        <is>
          <t>FLEN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46305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44807</v>
      </c>
      <c r="E423" s="1" t="n">
        <v>46305</v>
      </c>
      <c r="F423" t="inlineStr">
        <is>
          <t>SÖDERMANLANDS LÄN</t>
        </is>
      </c>
      <c r="G423" t="inlineStr">
        <is>
          <t>FLEN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45482</v>
      </c>
      <c r="E424" s="1" t="n">
        <v>46305</v>
      </c>
      <c r="F424" t="inlineStr">
        <is>
          <t>SÖDERMANLANDS LÄN</t>
        </is>
      </c>
      <c r="G424" t="inlineStr">
        <is>
          <t>FLEN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45213</v>
      </c>
      <c r="E425" s="1" t="n">
        <v>46305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46305</v>
      </c>
      <c r="F426" t="inlineStr">
        <is>
          <t>SÖDERMANLANDS LÄN</t>
        </is>
      </c>
      <c r="G426" t="inlineStr">
        <is>
          <t>FLEN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44914</v>
      </c>
      <c r="E427" s="1" t="n">
        <v>46305</v>
      </c>
      <c r="F427" t="inlineStr">
        <is>
          <t>SÖDERMANLANDS LÄN</t>
        </is>
      </c>
      <c r="G427" t="inlineStr">
        <is>
          <t>FLEN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45869</v>
      </c>
      <c r="E428" s="1" t="n">
        <v>46305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45888</v>
      </c>
      <c r="E429" s="1" t="n">
        <v>46305</v>
      </c>
      <c r="F429" t="inlineStr">
        <is>
          <t>SÖDERMANLANDS LÄN</t>
        </is>
      </c>
      <c r="G429" t="inlineStr">
        <is>
          <t>FLEN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46305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46305</v>
      </c>
      <c r="F431" t="inlineStr">
        <is>
          <t>SÖDERMANLANDS LÄN</t>
        </is>
      </c>
      <c r="G431" t="inlineStr">
        <is>
          <t>FLEN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45718</v>
      </c>
      <c r="E432" s="1" t="n">
        <v>46305</v>
      </c>
      <c r="F432" t="inlineStr">
        <is>
          <t>SÖDERMANLANDS LÄN</t>
        </is>
      </c>
      <c r="G432" t="inlineStr">
        <is>
          <t>FLEN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33103-2022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44785</v>
      </c>
      <c r="E433" s="1" t="n">
        <v>46305</v>
      </c>
      <c r="F433" t="inlineStr">
        <is>
          <t>SÖDERMANLANDS LÄN</t>
        </is>
      </c>
      <c r="G433" t="inlineStr">
        <is>
          <t>FLEN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44648</v>
      </c>
      <c r="E434" s="1" t="n">
        <v>46305</v>
      </c>
      <c r="F434" t="inlineStr">
        <is>
          <t>SÖDERMANLANDS LÄN</t>
        </is>
      </c>
      <c r="G434" t="inlineStr">
        <is>
          <t>FLEN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46305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46305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46305</v>
      </c>
      <c r="F437" t="inlineStr">
        <is>
          <t>SÖDERMANLANDS LÄN</t>
        </is>
      </c>
      <c r="G437" t="inlineStr">
        <is>
          <t>FLEN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44739</v>
      </c>
      <c r="E438" s="1" t="n">
        <v>46305</v>
      </c>
      <c r="F438" t="inlineStr">
        <is>
          <t>SÖDERMANLANDS LÄN</t>
        </is>
      </c>
      <c r="G438" t="inlineStr">
        <is>
          <t>FLEN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44769</v>
      </c>
      <c r="E439" s="1" t="n">
        <v>46305</v>
      </c>
      <c r="F439" t="inlineStr">
        <is>
          <t>SÖDERMANLANDS LÄN</t>
        </is>
      </c>
      <c r="G439" t="inlineStr">
        <is>
          <t>FLEN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46305</v>
      </c>
      <c r="F440" t="inlineStr">
        <is>
          <t>SÖDERMANLANDS LÄN</t>
        </is>
      </c>
      <c r="G440" t="inlineStr">
        <is>
          <t>FLEN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45036</v>
      </c>
      <c r="E441" s="1" t="n">
        <v>46305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46305</v>
      </c>
      <c r="F442" t="inlineStr">
        <is>
          <t>SÖDERMANLANDS LÄN</t>
        </is>
      </c>
      <c r="G442" t="inlineStr">
        <is>
          <t>FLEN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46305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46305</v>
      </c>
      <c r="F444" t="inlineStr">
        <is>
          <t>SÖDERMANLANDS LÄN</t>
        </is>
      </c>
      <c r="G444" t="inlineStr">
        <is>
          <t>FLEN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46305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46305</v>
      </c>
      <c r="F446" t="inlineStr">
        <is>
          <t>SÖDERMANLANDS LÄN</t>
        </is>
      </c>
      <c r="G446" t="inlineStr">
        <is>
          <t>FLEN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46305</v>
      </c>
      <c r="F447" t="inlineStr">
        <is>
          <t>SÖDERMANLANDS LÄN</t>
        </is>
      </c>
      <c r="G447" t="inlineStr">
        <is>
          <t>FLEN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46305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46305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46305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46082</v>
      </c>
      <c r="E451" s="1" t="n">
        <v>46305</v>
      </c>
      <c r="F451" t="inlineStr">
        <is>
          <t>SÖDERMANLANDS LÄN</t>
        </is>
      </c>
      <c r="G451" t="inlineStr">
        <is>
          <t>FLEN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46305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46305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46305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46305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46305</v>
      </c>
      <c r="F456" t="inlineStr">
        <is>
          <t>SÖDERMANLANDS LÄN</t>
        </is>
      </c>
      <c r="G456" t="inlineStr">
        <is>
          <t>FLEN</t>
        </is>
      </c>
      <c r="H456" t="inlineStr">
        <is>
          <t>Kyrkan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46305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46305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46305</v>
      </c>
      <c r="F459" t="inlineStr">
        <is>
          <t>SÖDERMANLANDS LÄN</t>
        </is>
      </c>
      <c r="G459" t="inlineStr">
        <is>
          <t>FLEN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46305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46305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46305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46305</v>
      </c>
      <c r="F463" t="inlineStr">
        <is>
          <t>SÖDERMANLANDS LÄN</t>
        </is>
      </c>
      <c r="G463" t="inlineStr">
        <is>
          <t>FLEN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54781-2024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45618</v>
      </c>
      <c r="E464" s="1" t="n">
        <v>46305</v>
      </c>
      <c r="F464" t="inlineStr">
        <is>
          <t>SÖDERMANLANDS LÄN</t>
        </is>
      </c>
      <c r="G464" t="inlineStr">
        <is>
          <t>FLEN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46305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  <c r="Z465">
        <f>HYPERLINK("https://klasma.github.io/Logging_0482/knärot/A 24450-2026 karta knärot.png", "A 24450-2026")</f>
        <v/>
      </c>
      <c r="AA465">
        <f>HYPERLINK("https://klasma.github.io/Logging_0482/klagomål/A 24450-2026 FSC-klagomål.docx", "A 24450-2026")</f>
        <v/>
      </c>
      <c r="AB465">
        <f>HYPERLINK("https://klasma.github.io/Logging_0482/klagomålsmail/A 24450-2026 FSC-klagomål mail.docx", "A 24450-2026")</f>
        <v/>
      </c>
      <c r="AC465">
        <f>HYPERLINK("https://klasma.github.io/Logging_0482/tillsyn/A 24450-2026 tillsynsbegäran.docx", "A 24450-2026")</f>
        <v/>
      </c>
      <c r="AD465">
        <f>HYPERLINK("https://klasma.github.io/Logging_0482/tillsynsmail/A 24450-2026 tillsynsbegäran mail.docx", "A 24450-2026")</f>
        <v/>
      </c>
    </row>
    <row r="466" ht="15" customHeight="1">
      <c r="A466" t="inlineStr">
        <is>
          <t>A 47872-2025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45932</v>
      </c>
      <c r="E466" s="1" t="n">
        <v>46305</v>
      </c>
      <c r="F466" t="inlineStr">
        <is>
          <t>SÖDERMANLANDS LÄN</t>
        </is>
      </c>
      <c r="G466" t="inlineStr">
        <is>
          <t>FLEN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25147-2026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46305</v>
      </c>
      <c r="F467" t="inlineStr">
        <is>
          <t>SÖDERMANLANDS LÄN</t>
        </is>
      </c>
      <c r="G467" t="inlineStr">
        <is>
          <t>FLEN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46305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46305</v>
      </c>
      <c r="F469" t="inlineStr">
        <is>
          <t>SÖDERMANLANDS LÄN</t>
        </is>
      </c>
      <c r="G469" t="inlineStr">
        <is>
          <t>FLEN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46305</v>
      </c>
      <c r="F470" t="inlineStr">
        <is>
          <t>SÖDERMANLANDS LÄN</t>
        </is>
      </c>
      <c r="G470" t="inlineStr">
        <is>
          <t>FLEN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46305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46305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46305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46305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46305</v>
      </c>
      <c r="F475" t="inlineStr">
        <is>
          <t>SÖDERMANLANDS LÄN</t>
        </is>
      </c>
      <c r="G475" t="inlineStr">
        <is>
          <t>FLEN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46305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46305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46305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46305</v>
      </c>
      <c r="F479" t="inlineStr">
        <is>
          <t>SÖDERMANLANDS LÄN</t>
        </is>
      </c>
      <c r="G479" t="inlineStr">
        <is>
          <t>FLEN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46305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46305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46305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46229</v>
      </c>
      <c r="E483" s="1" t="n">
        <v>46305</v>
      </c>
      <c r="F483" t="inlineStr">
        <is>
          <t>SÖDERMANLANDS LÄN</t>
        </is>
      </c>
      <c r="G483" t="inlineStr">
        <is>
          <t>FLEN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46305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46273</v>
      </c>
      <c r="E485" s="1" t="n">
        <v>46305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46305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46305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46305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46305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46305</v>
      </c>
      <c r="F490" t="inlineStr">
        <is>
          <t>SÖDERMANLANDS LÄN</t>
        </is>
      </c>
      <c r="G490" t="inlineStr">
        <is>
          <t>FLEN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39133-2026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46286</v>
      </c>
      <c r="E491" s="1" t="n">
        <v>46305</v>
      </c>
      <c r="F491" t="inlineStr">
        <is>
          <t>SÖDERMANLANDS LÄN</t>
        </is>
      </c>
      <c r="G491" t="inlineStr">
        <is>
          <t>FLEN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46249</v>
      </c>
      <c r="E492" s="1" t="n">
        <v>46305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46305</v>
      </c>
      <c r="F493" t="inlineStr">
        <is>
          <t>SÖDERMANLANDS LÄN</t>
        </is>
      </c>
      <c r="G493" t="inlineStr">
        <is>
          <t>FLEN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33936-2026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46250</v>
      </c>
      <c r="E494" s="1" t="n">
        <v>46305</v>
      </c>
      <c r="F494" t="inlineStr">
        <is>
          <t>SÖDERMANLANDS LÄN</t>
        </is>
      </c>
      <c r="G494" t="inlineStr">
        <is>
          <t>FLEN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46305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46305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46305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46305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46253</v>
      </c>
      <c r="E499" s="1" t="n">
        <v>46305</v>
      </c>
      <c r="F499" t="inlineStr">
        <is>
          <t>SÖDERMANLANDS LÄN</t>
        </is>
      </c>
      <c r="G499" t="inlineStr">
        <is>
          <t>FLEN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46295</v>
      </c>
      <c r="E500" s="1" t="n">
        <v>46305</v>
      </c>
      <c r="F500" t="inlineStr">
        <is>
          <t>SÖDERMANLANDS LÄN</t>
        </is>
      </c>
      <c r="G500" t="inlineStr">
        <is>
          <t>FLEN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46305</v>
      </c>
      <c r="F501" t="inlineStr">
        <is>
          <t>SÖDERMANLANDS LÄN</t>
        </is>
      </c>
      <c r="G501" t="inlineStr">
        <is>
          <t>FLEN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46296</v>
      </c>
      <c r="E502" s="1" t="n">
        <v>46305</v>
      </c>
      <c r="F502" t="inlineStr">
        <is>
          <t>SÖDERMANLANDS LÄN</t>
        </is>
      </c>
      <c r="G502" t="inlineStr">
        <is>
          <t>FLEN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46305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46305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46305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46305</v>
      </c>
      <c r="F506" t="inlineStr">
        <is>
          <t>SÖDERMANLANDS LÄN</t>
        </is>
      </c>
      <c r="G506" t="inlineStr">
        <is>
          <t>FLEN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46305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46305</v>
      </c>
      <c r="F508" t="inlineStr">
        <is>
          <t>SÖDERMANLANDS LÄN</t>
        </is>
      </c>
      <c r="G508" t="inlineStr">
        <is>
          <t>FLEN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46305</v>
      </c>
      <c r="F509" t="inlineStr">
        <is>
          <t>SÖDERMANLANDS LÄN</t>
        </is>
      </c>
      <c r="G509" t="inlineStr">
        <is>
          <t>FLEN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482-2022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44588</v>
      </c>
      <c r="E510" s="1" t="n">
        <v>46305</v>
      </c>
      <c r="F510" t="inlineStr">
        <is>
          <t>SÖDERMANLANDS LÄN</t>
        </is>
      </c>
      <c r="G510" t="inlineStr">
        <is>
          <t>FLEN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2321-2022</t>
        </is>
      </c>
      <c r="B511" t="inlineStr">
        <is>
          <t>samrådsanmälan</t>
        </is>
      </c>
      <c r="C511" t="inlineStr">
        <is>
          <t>Åtgärd i nyckelbiotop</t>
        </is>
      </c>
      <c r="D511" s="1" t="n">
        <v>44685</v>
      </c>
      <c r="E511" s="1" t="n">
        <v>46305</v>
      </c>
      <c r="F511" t="inlineStr">
        <is>
          <t>SÖDERMANLANDS LÄN</t>
        </is>
      </c>
      <c r="G511" t="inlineStr">
        <is>
          <t>FLEN</t>
        </is>
      </c>
      <c r="H511" t="inlineStr">
        <is>
          <t>Kyrkan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458-2023</t>
        </is>
      </c>
      <c r="B512" t="inlineStr">
        <is>
          <t>samrådsanmälan</t>
        </is>
      </c>
      <c r="C512" t="inlineStr">
        <is>
          <t>Annan skogsbruksåtgärd</t>
        </is>
      </c>
      <c r="D512" s="1" t="n">
        <v>44964</v>
      </c>
      <c r="E512" s="1" t="n">
        <v>46305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292-2025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45686</v>
      </c>
      <c r="E513" s="1" t="n">
        <v>46305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3723-2022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44742</v>
      </c>
      <c r="E514" s="1" t="n">
        <v>46305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46305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46305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46305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2026-10-10T02:03:20Z</dcterms:created>
  <dcterms:modified xmlns:dcterms="http://purl.org/dc/terms/" xmlns:xsi="http://www.w3.org/2001/XMLSchema-instance" xsi:type="dcterms:W3CDTF">2026-10-10T02:03:20Z</dcterms:modified>
</cp:coreProperties>
</file>