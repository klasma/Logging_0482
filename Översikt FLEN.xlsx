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45665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45665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45665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45665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45665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45665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45665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45665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45665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45665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45665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45665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45665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45665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45665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45665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45665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45665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45665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45665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45665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45665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45665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45665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45665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45665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45665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45665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45665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45665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45665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45665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45665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45665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45665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45665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45665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45665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45665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45665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45665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45665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45665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45665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45665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45665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45665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45665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45665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45665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45665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45665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45665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45665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45665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45665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45665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45665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45665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45665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45665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18548-2019</t>
        </is>
      </c>
      <c r="B63" s="1" t="n">
        <v>43558</v>
      </c>
      <c r="C63" s="1" t="n">
        <v>45665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18548-2019 artfynd.xlsx", "A 18548-2019")</f>
        <v/>
      </c>
      <c r="T63">
        <f>HYPERLINK("https://klasma.github.io/Logging_0482/kartor/A 18548-2019 karta.png", "A 18548-2019")</f>
        <v/>
      </c>
      <c r="V63">
        <f>HYPERLINK("https://klasma.github.io/Logging_0482/klagomål/A 18548-2019 FSC-klagomål.docx", "A 18548-2019")</f>
        <v/>
      </c>
      <c r="W63">
        <f>HYPERLINK("https://klasma.github.io/Logging_0482/klagomålsmail/A 18548-2019 FSC-klagomål mail.docx", "A 18548-2019")</f>
        <v/>
      </c>
      <c r="X63">
        <f>HYPERLINK("https://klasma.github.io/Logging_0482/tillsyn/A 18548-2019 tillsynsbegäran.docx", "A 18548-2019")</f>
        <v/>
      </c>
      <c r="Y63">
        <f>HYPERLINK("https://klasma.github.io/Logging_0482/tillsynsmail/A 18548-2019 tillsynsbegäran mail.docx", "A 18548-2019")</f>
        <v/>
      </c>
    </row>
    <row r="64" ht="15" customHeight="1">
      <c r="A64" t="inlineStr">
        <is>
          <t>A 35023-2019</t>
        </is>
      </c>
      <c r="B64" s="1" t="n">
        <v>43661</v>
      </c>
      <c r="C64" s="1" t="n">
        <v>45665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12.1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HYPERLINK("https://klasma.github.io/Logging_0482/artfynd/A 35023-2019 artfynd.xlsx", "A 35023-2019")</f>
        <v/>
      </c>
      <c r="T64">
        <f>HYPERLINK("https://klasma.github.io/Logging_0482/kartor/A 35023-2019 karta.png", "A 35023-2019")</f>
        <v/>
      </c>
      <c r="V64">
        <f>HYPERLINK("https://klasma.github.io/Logging_0482/klagomål/A 35023-2019 FSC-klagomål.docx", "A 35023-2019")</f>
        <v/>
      </c>
      <c r="W64">
        <f>HYPERLINK("https://klasma.github.io/Logging_0482/klagomålsmail/A 35023-2019 FSC-klagomål mail.docx", "A 35023-2019")</f>
        <v/>
      </c>
      <c r="X64">
        <f>HYPERLINK("https://klasma.github.io/Logging_0482/tillsyn/A 35023-2019 tillsynsbegäran.docx", "A 35023-2019")</f>
        <v/>
      </c>
      <c r="Y64">
        <f>HYPERLINK("https://klasma.github.io/Logging_0482/tillsynsmail/A 35023-2019 tillsynsbegäran mail.docx", "A 35023-2019")</f>
        <v/>
      </c>
    </row>
    <row r="65" ht="15" customHeight="1">
      <c r="A65" t="inlineStr">
        <is>
          <t>A 39446-2019</t>
        </is>
      </c>
      <c r="B65" s="1" t="n">
        <v>43691</v>
      </c>
      <c r="C65" s="1" t="n">
        <v>45665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dunört</t>
        </is>
      </c>
      <c r="S65">
        <f>HYPERLINK("https://klasma.github.io/Logging_0482/artfynd/A 39446-2019 artfynd.xlsx", "A 39446-2019")</f>
        <v/>
      </c>
      <c r="T65">
        <f>HYPERLINK("https://klasma.github.io/Logging_0482/kartor/A 39446-2019 karta.png", "A 39446-2019")</f>
        <v/>
      </c>
      <c r="V65">
        <f>HYPERLINK("https://klasma.github.io/Logging_0482/klagomål/A 39446-2019 FSC-klagomål.docx", "A 39446-2019")</f>
        <v/>
      </c>
      <c r="W65">
        <f>HYPERLINK("https://klasma.github.io/Logging_0482/klagomålsmail/A 39446-2019 FSC-klagomål mail.docx", "A 39446-2019")</f>
        <v/>
      </c>
      <c r="X65">
        <f>HYPERLINK("https://klasma.github.io/Logging_0482/tillsyn/A 39446-2019 tillsynsbegäran.docx", "A 39446-2019")</f>
        <v/>
      </c>
      <c r="Y65">
        <f>HYPERLINK("https://klasma.github.io/Logging_0482/tillsynsmail/A 39446-2019 tillsynsbegäran mail.docx", "A 39446-2019")</f>
        <v/>
      </c>
    </row>
    <row r="66" ht="15" customHeight="1">
      <c r="A66" t="inlineStr">
        <is>
          <t>A 43329-2019</t>
        </is>
      </c>
      <c r="B66" s="1" t="n">
        <v>43703</v>
      </c>
      <c r="C66" s="1" t="n">
        <v>45665</v>
      </c>
      <c r="D66" t="inlineStr">
        <is>
          <t>SÖDERMANLANDS LÄN</t>
        </is>
      </c>
      <c r="E66" t="inlineStr">
        <is>
          <t>FLEN</t>
        </is>
      </c>
      <c r="G66" t="n">
        <v>8.5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43329-2019 artfynd.xlsx", "A 43329-2019")</f>
        <v/>
      </c>
      <c r="T66">
        <f>HYPERLINK("https://klasma.github.io/Logging_0482/kartor/A 43329-2019 karta.png", "A 43329-2019")</f>
        <v/>
      </c>
      <c r="U66">
        <f>HYPERLINK("https://klasma.github.io/Logging_0482/knärot/A 43329-2019 karta knärot.png", "A 43329-2019")</f>
        <v/>
      </c>
      <c r="V66">
        <f>HYPERLINK("https://klasma.github.io/Logging_0482/klagomål/A 43329-2019 FSC-klagomål.docx", "A 43329-2019")</f>
        <v/>
      </c>
      <c r="W66">
        <f>HYPERLINK("https://klasma.github.io/Logging_0482/klagomålsmail/A 43329-2019 FSC-klagomål mail.docx", "A 43329-2019")</f>
        <v/>
      </c>
      <c r="X66">
        <f>HYPERLINK("https://klasma.github.io/Logging_0482/tillsyn/A 43329-2019 tillsynsbegäran.docx", "A 43329-2019")</f>
        <v/>
      </c>
      <c r="Y66">
        <f>HYPERLINK("https://klasma.github.io/Logging_0482/tillsynsmail/A 43329-2019 tillsynsbegäran mail.docx", "A 43329-2019")</f>
        <v/>
      </c>
    </row>
    <row r="67" ht="15" customHeight="1">
      <c r="A67" t="inlineStr">
        <is>
          <t>A 43369-2019</t>
        </is>
      </c>
      <c r="B67" s="1" t="n">
        <v>43703</v>
      </c>
      <c r="C67" s="1" t="n">
        <v>45665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HYPERLINK("https://klasma.github.io/Logging_0482/artfynd/A 43369-2019 artfynd.xlsx", "A 43369-2019")</f>
        <v/>
      </c>
      <c r="T67">
        <f>HYPERLINK("https://klasma.github.io/Logging_0482/kartor/A 43369-2019 karta.png", "A 43369-2019")</f>
        <v/>
      </c>
      <c r="V67">
        <f>HYPERLINK("https://klasma.github.io/Logging_0482/klagomål/A 43369-2019 FSC-klagomål.docx", "A 43369-2019")</f>
        <v/>
      </c>
      <c r="W67">
        <f>HYPERLINK("https://klasma.github.io/Logging_0482/klagomålsmail/A 43369-2019 FSC-klagomål mail.docx", "A 43369-2019")</f>
        <v/>
      </c>
      <c r="X67">
        <f>HYPERLINK("https://klasma.github.io/Logging_0482/tillsyn/A 43369-2019 tillsynsbegäran.docx", "A 43369-2019")</f>
        <v/>
      </c>
      <c r="Y67">
        <f>HYPERLINK("https://klasma.github.io/Logging_0482/tillsynsmail/A 43369-2019 tillsynsbegäran mail.docx", "A 43369-2019")</f>
        <v/>
      </c>
    </row>
    <row r="68" ht="15" customHeight="1">
      <c r="A68" t="inlineStr">
        <is>
          <t>A 54418-2019</t>
        </is>
      </c>
      <c r="B68" s="1" t="n">
        <v>43747</v>
      </c>
      <c r="C68" s="1" t="n">
        <v>45665</v>
      </c>
      <c r="D68" t="inlineStr">
        <is>
          <t>SÖDERMANLANDS LÄN</t>
        </is>
      </c>
      <c r="E68" t="inlineStr">
        <is>
          <t>FLEN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54418-2019 artfynd.xlsx", "A 54418-2019")</f>
        <v/>
      </c>
      <c r="T68">
        <f>HYPERLINK("https://klasma.github.io/Logging_0482/kartor/A 54418-2019 karta.png", "A 54418-2019")</f>
        <v/>
      </c>
      <c r="V68">
        <f>HYPERLINK("https://klasma.github.io/Logging_0482/klagomål/A 54418-2019 FSC-klagomål.docx", "A 54418-2019")</f>
        <v/>
      </c>
      <c r="W68">
        <f>HYPERLINK("https://klasma.github.io/Logging_0482/klagomålsmail/A 54418-2019 FSC-klagomål mail.docx", "A 54418-2019")</f>
        <v/>
      </c>
      <c r="X68">
        <f>HYPERLINK("https://klasma.github.io/Logging_0482/tillsyn/A 54418-2019 tillsynsbegäran.docx", "A 54418-2019")</f>
        <v/>
      </c>
      <c r="Y68">
        <f>HYPERLINK("https://klasma.github.io/Logging_0482/tillsynsmail/A 54418-2019 tillsynsbegäran mail.docx", "A 54418-2019")</f>
        <v/>
      </c>
    </row>
    <row r="69" ht="15" customHeight="1">
      <c r="A69" t="inlineStr">
        <is>
          <t>A 55376-2019</t>
        </is>
      </c>
      <c r="B69" s="1" t="n">
        <v>43754</v>
      </c>
      <c r="C69" s="1" t="n">
        <v>45665</v>
      </c>
      <c r="D69" t="inlineStr">
        <is>
          <t>SÖDERMANLANDS LÄN</t>
        </is>
      </c>
      <c r="E69" t="inlineStr">
        <is>
          <t>FLEN</t>
        </is>
      </c>
      <c r="G69" t="n">
        <v>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HYPERLINK("https://klasma.github.io/Logging_0482/artfynd/A 55376-2019 artfynd.xlsx", "A 55376-2019")</f>
        <v/>
      </c>
      <c r="T69">
        <f>HYPERLINK("https://klasma.github.io/Logging_0482/kartor/A 55376-2019 karta.png", "A 55376-2019")</f>
        <v/>
      </c>
      <c r="V69">
        <f>HYPERLINK("https://klasma.github.io/Logging_0482/klagomål/A 55376-2019 FSC-klagomål.docx", "A 55376-2019")</f>
        <v/>
      </c>
      <c r="W69">
        <f>HYPERLINK("https://klasma.github.io/Logging_0482/klagomålsmail/A 55376-2019 FSC-klagomål mail.docx", "A 55376-2019")</f>
        <v/>
      </c>
      <c r="X69">
        <f>HYPERLINK("https://klasma.github.io/Logging_0482/tillsyn/A 55376-2019 tillsynsbegäran.docx", "A 55376-2019")</f>
        <v/>
      </c>
      <c r="Y69">
        <f>HYPERLINK("https://klasma.github.io/Logging_0482/tillsynsmail/A 55376-2019 tillsynsbegäran mail.docx", "A 55376-2019")</f>
        <v/>
      </c>
    </row>
    <row r="70" ht="15" customHeight="1">
      <c r="A70" t="inlineStr">
        <is>
          <t>A 4372-2020</t>
        </is>
      </c>
      <c r="B70" s="1" t="n">
        <v>43858</v>
      </c>
      <c r="C70" s="1" t="n">
        <v>45665</v>
      </c>
      <c r="D70" t="inlineStr">
        <is>
          <t>SÖDERMANLANDS LÄN</t>
        </is>
      </c>
      <c r="E70" t="inlineStr">
        <is>
          <t>FLEN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4372-2020 artfynd.xlsx", "A 4372-2020")</f>
        <v/>
      </c>
      <c r="T70">
        <f>HYPERLINK("https://klasma.github.io/Logging_0482/kartor/A 4372-2020 karta.png", "A 4372-2020")</f>
        <v/>
      </c>
      <c r="V70">
        <f>HYPERLINK("https://klasma.github.io/Logging_0482/klagomål/A 4372-2020 FSC-klagomål.docx", "A 4372-2020")</f>
        <v/>
      </c>
      <c r="W70">
        <f>HYPERLINK("https://klasma.github.io/Logging_0482/klagomålsmail/A 4372-2020 FSC-klagomål mail.docx", "A 4372-2020")</f>
        <v/>
      </c>
      <c r="X70">
        <f>HYPERLINK("https://klasma.github.io/Logging_0482/tillsyn/A 4372-2020 tillsynsbegäran.docx", "A 4372-2020")</f>
        <v/>
      </c>
      <c r="Y70">
        <f>HYPERLINK("https://klasma.github.io/Logging_0482/tillsynsmail/A 4372-2020 tillsynsbegäran mail.docx", "A 4372-2020")</f>
        <v/>
      </c>
    </row>
    <row r="71" ht="15" customHeight="1">
      <c r="A71" t="inlineStr">
        <is>
          <t>A 5210-2020</t>
        </is>
      </c>
      <c r="B71" s="1" t="n">
        <v>43860</v>
      </c>
      <c r="C71" s="1" t="n">
        <v>45665</v>
      </c>
      <c r="D71" t="inlineStr">
        <is>
          <t>SÖDERMANLANDS LÄN</t>
        </is>
      </c>
      <c r="E71" t="inlineStr">
        <is>
          <t>FLEN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5210-2020 artfynd.xlsx", "A 5210-2020")</f>
        <v/>
      </c>
      <c r="T71">
        <f>HYPERLINK("https://klasma.github.io/Logging_0482/kartor/A 5210-2020 karta.png", "A 5210-2020")</f>
        <v/>
      </c>
      <c r="V71">
        <f>HYPERLINK("https://klasma.github.io/Logging_0482/klagomål/A 5210-2020 FSC-klagomål.docx", "A 5210-2020")</f>
        <v/>
      </c>
      <c r="W71">
        <f>HYPERLINK("https://klasma.github.io/Logging_0482/klagomålsmail/A 5210-2020 FSC-klagomål mail.docx", "A 5210-2020")</f>
        <v/>
      </c>
      <c r="X71">
        <f>HYPERLINK("https://klasma.github.io/Logging_0482/tillsyn/A 5210-2020 tillsynsbegäran.docx", "A 5210-2020")</f>
        <v/>
      </c>
      <c r="Y71">
        <f>HYPERLINK("https://klasma.github.io/Logging_0482/tillsynsmail/A 5210-2020 tillsynsbegäran mail.docx", "A 5210-2020")</f>
        <v/>
      </c>
    </row>
    <row r="72" ht="15" customHeight="1">
      <c r="A72" t="inlineStr">
        <is>
          <t>A 14229-2020</t>
        </is>
      </c>
      <c r="B72" s="1" t="n">
        <v>43907</v>
      </c>
      <c r="C72" s="1" t="n">
        <v>45665</v>
      </c>
      <c r="D72" t="inlineStr">
        <is>
          <t>SÖDERMANLANDS LÄN</t>
        </is>
      </c>
      <c r="E72" t="inlineStr">
        <is>
          <t>FLEN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14229-2020 artfynd.xlsx", "A 14229-2020")</f>
        <v/>
      </c>
      <c r="T72">
        <f>HYPERLINK("https://klasma.github.io/Logging_0482/kartor/A 14229-2020 karta.png", "A 14229-2020")</f>
        <v/>
      </c>
      <c r="V72">
        <f>HYPERLINK("https://klasma.github.io/Logging_0482/klagomål/A 14229-2020 FSC-klagomål.docx", "A 14229-2020")</f>
        <v/>
      </c>
      <c r="W72">
        <f>HYPERLINK("https://klasma.github.io/Logging_0482/klagomålsmail/A 14229-2020 FSC-klagomål mail.docx", "A 14229-2020")</f>
        <v/>
      </c>
      <c r="X72">
        <f>HYPERLINK("https://klasma.github.io/Logging_0482/tillsyn/A 14229-2020 tillsynsbegäran.docx", "A 14229-2020")</f>
        <v/>
      </c>
      <c r="Y72">
        <f>HYPERLINK("https://klasma.github.io/Logging_0482/tillsynsmail/A 14229-2020 tillsynsbegäran mail.docx", "A 14229-2020")</f>
        <v/>
      </c>
    </row>
    <row r="73" ht="15" customHeight="1">
      <c r="A73" t="inlineStr">
        <is>
          <t>A 20001-2020</t>
        </is>
      </c>
      <c r="B73" s="1" t="n">
        <v>43943</v>
      </c>
      <c r="C73" s="1" t="n">
        <v>45665</v>
      </c>
      <c r="D73" t="inlineStr">
        <is>
          <t>SÖDERMANLANDS LÄN</t>
        </is>
      </c>
      <c r="E73" t="inlineStr">
        <is>
          <t>FLEN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20001-2020 artfynd.xlsx", "A 20001-2020")</f>
        <v/>
      </c>
      <c r="T73">
        <f>HYPERLINK("https://klasma.github.io/Logging_0482/kartor/A 20001-2020 karta.png", "A 20001-2020")</f>
        <v/>
      </c>
      <c r="V73">
        <f>HYPERLINK("https://klasma.github.io/Logging_0482/klagomål/A 20001-2020 FSC-klagomål.docx", "A 20001-2020")</f>
        <v/>
      </c>
      <c r="W73">
        <f>HYPERLINK("https://klasma.github.io/Logging_0482/klagomålsmail/A 20001-2020 FSC-klagomål mail.docx", "A 20001-2020")</f>
        <v/>
      </c>
      <c r="X73">
        <f>HYPERLINK("https://klasma.github.io/Logging_0482/tillsyn/A 20001-2020 tillsynsbegäran.docx", "A 20001-2020")</f>
        <v/>
      </c>
      <c r="Y73">
        <f>HYPERLINK("https://klasma.github.io/Logging_0482/tillsynsmail/A 20001-2020 tillsynsbegäran mail.docx", "A 20001-2020")</f>
        <v/>
      </c>
    </row>
    <row r="74" ht="15" customHeight="1">
      <c r="A74" t="inlineStr">
        <is>
          <t>A 21704-2020</t>
        </is>
      </c>
      <c r="B74" s="1" t="n">
        <v>43957</v>
      </c>
      <c r="C74" s="1" t="n">
        <v>45665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HYPERLINK("https://klasma.github.io/Logging_0482/artfynd/A 21704-2020 artfynd.xlsx", "A 21704-2020")</f>
        <v/>
      </c>
      <c r="T74">
        <f>HYPERLINK("https://klasma.github.io/Logging_0482/kartor/A 21704-2020 karta.png", "A 21704-2020")</f>
        <v/>
      </c>
      <c r="V74">
        <f>HYPERLINK("https://klasma.github.io/Logging_0482/klagomål/A 21704-2020 FSC-klagomål.docx", "A 21704-2020")</f>
        <v/>
      </c>
      <c r="W74">
        <f>HYPERLINK("https://klasma.github.io/Logging_0482/klagomålsmail/A 21704-2020 FSC-klagomål mail.docx", "A 21704-2020")</f>
        <v/>
      </c>
      <c r="X74">
        <f>HYPERLINK("https://klasma.github.io/Logging_0482/tillsyn/A 21704-2020 tillsynsbegäran.docx", "A 21704-2020")</f>
        <v/>
      </c>
      <c r="Y74">
        <f>HYPERLINK("https://klasma.github.io/Logging_0482/tillsynsmail/A 21704-2020 tillsynsbegäran mail.docx", "A 21704-2020")</f>
        <v/>
      </c>
      <c r="Z74">
        <f>HYPERLINK("https://klasma.github.io/Logging_0482/fåglar/A 21704-2020 prioriterade fågelarter.docx", "A 21704-2020")</f>
        <v/>
      </c>
    </row>
    <row r="75" ht="15" customHeight="1">
      <c r="A75" t="inlineStr">
        <is>
          <t>A 31870-2020</t>
        </is>
      </c>
      <c r="B75" s="1" t="n">
        <v>44014</v>
      </c>
      <c r="C75" s="1" t="n">
        <v>45665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Mellanlummer</t>
        </is>
      </c>
      <c r="S75">
        <f>HYPERLINK("https://klasma.github.io/Logging_0482/artfynd/A 31870-2020 artfynd.xlsx", "A 31870-2020")</f>
        <v/>
      </c>
      <c r="T75">
        <f>HYPERLINK("https://klasma.github.io/Logging_0482/kartor/A 31870-2020 karta.png", "A 31870-2020")</f>
        <v/>
      </c>
      <c r="V75">
        <f>HYPERLINK("https://klasma.github.io/Logging_0482/klagomål/A 31870-2020 FSC-klagomål.docx", "A 31870-2020")</f>
        <v/>
      </c>
      <c r="W75">
        <f>HYPERLINK("https://klasma.github.io/Logging_0482/klagomålsmail/A 31870-2020 FSC-klagomål mail.docx", "A 31870-2020")</f>
        <v/>
      </c>
      <c r="X75">
        <f>HYPERLINK("https://klasma.github.io/Logging_0482/tillsyn/A 31870-2020 tillsynsbegäran.docx", "A 31870-2020")</f>
        <v/>
      </c>
      <c r="Y75">
        <f>HYPERLINK("https://klasma.github.io/Logging_0482/tillsynsmail/A 31870-2020 tillsynsbegäran mail.docx", "A 31870-2020")</f>
        <v/>
      </c>
    </row>
    <row r="76" ht="15" customHeight="1">
      <c r="A76" t="inlineStr">
        <is>
          <t>A 55009-2020</t>
        </is>
      </c>
      <c r="B76" s="1" t="n">
        <v>44127</v>
      </c>
      <c r="C76" s="1" t="n">
        <v>45665</v>
      </c>
      <c r="D76" t="inlineStr">
        <is>
          <t>SÖDERMANLANDS LÄN</t>
        </is>
      </c>
      <c r="E76" t="inlineStr">
        <is>
          <t>FLEN</t>
        </is>
      </c>
      <c r="G76" t="n">
        <v>26.6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55009-2020 artfynd.xlsx", "A 55009-2020")</f>
        <v/>
      </c>
      <c r="T76">
        <f>HYPERLINK("https://klasma.github.io/Logging_0482/kartor/A 55009-2020 karta.png", "A 55009-2020")</f>
        <v/>
      </c>
      <c r="V76">
        <f>HYPERLINK("https://klasma.github.io/Logging_0482/klagomål/A 55009-2020 FSC-klagomål.docx", "A 55009-2020")</f>
        <v/>
      </c>
      <c r="W76">
        <f>HYPERLINK("https://klasma.github.io/Logging_0482/klagomålsmail/A 55009-2020 FSC-klagomål mail.docx", "A 55009-2020")</f>
        <v/>
      </c>
      <c r="X76">
        <f>HYPERLINK("https://klasma.github.io/Logging_0482/tillsyn/A 55009-2020 tillsynsbegäran.docx", "A 55009-2020")</f>
        <v/>
      </c>
      <c r="Y76">
        <f>HYPERLINK("https://klasma.github.io/Logging_0482/tillsynsmail/A 55009-2020 tillsynsbegäran mail.docx", "A 55009-2020")</f>
        <v/>
      </c>
    </row>
    <row r="77" ht="15" customHeight="1">
      <c r="A77" t="inlineStr">
        <is>
          <t>A 57173-2020</t>
        </is>
      </c>
      <c r="B77" s="1" t="n">
        <v>44138</v>
      </c>
      <c r="C77" s="1" t="n">
        <v>45665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Bombmurkla</t>
        </is>
      </c>
      <c r="S77">
        <f>HYPERLINK("https://klasma.github.io/Logging_0482/artfynd/A 57173-2020 artfynd.xlsx", "A 57173-2020")</f>
        <v/>
      </c>
      <c r="T77">
        <f>HYPERLINK("https://klasma.github.io/Logging_0482/kartor/A 57173-2020 karta.png", "A 57173-2020")</f>
        <v/>
      </c>
      <c r="U77">
        <f>HYPERLINK("https://klasma.github.io/Logging_0482/knärot/A 57173-2020 karta knärot.png", "A 57173-2020")</f>
        <v/>
      </c>
      <c r="V77">
        <f>HYPERLINK("https://klasma.github.io/Logging_0482/klagomål/A 57173-2020 FSC-klagomål.docx", "A 57173-2020")</f>
        <v/>
      </c>
      <c r="W77">
        <f>HYPERLINK("https://klasma.github.io/Logging_0482/klagomålsmail/A 57173-2020 FSC-klagomål mail.docx", "A 57173-2020")</f>
        <v/>
      </c>
      <c r="X77">
        <f>HYPERLINK("https://klasma.github.io/Logging_0482/tillsyn/A 57173-2020 tillsynsbegäran.docx", "A 57173-2020")</f>
        <v/>
      </c>
      <c r="Y77">
        <f>HYPERLINK("https://klasma.github.io/Logging_0482/tillsynsmail/A 57173-2020 tillsynsbegäran mail.docx", "A 57173-2020")</f>
        <v/>
      </c>
    </row>
    <row r="78" ht="15" customHeight="1">
      <c r="A78" t="inlineStr">
        <is>
          <t>A 8176-2021</t>
        </is>
      </c>
      <c r="B78" s="1" t="n">
        <v>44242</v>
      </c>
      <c r="C78" s="1" t="n">
        <v>45665</v>
      </c>
      <c r="D78" t="inlineStr">
        <is>
          <t>SÖDERMANLANDS LÄN</t>
        </is>
      </c>
      <c r="E78" t="inlineStr">
        <is>
          <t>FLEN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HYPERLINK("https://klasma.github.io/Logging_0482/artfynd/A 8176-2021 artfynd.xlsx", "A 8176-2021")</f>
        <v/>
      </c>
      <c r="T78">
        <f>HYPERLINK("https://klasma.github.io/Logging_0482/kartor/A 8176-2021 karta.png", "A 8176-2021")</f>
        <v/>
      </c>
      <c r="U78">
        <f>HYPERLINK("https://klasma.github.io/Logging_0482/knärot/A 8176-2021 karta knärot.png", "A 8176-2021")</f>
        <v/>
      </c>
      <c r="V78">
        <f>HYPERLINK("https://klasma.github.io/Logging_0482/klagomål/A 8176-2021 FSC-klagomål.docx", "A 8176-2021")</f>
        <v/>
      </c>
      <c r="W78">
        <f>HYPERLINK("https://klasma.github.io/Logging_0482/klagomålsmail/A 8176-2021 FSC-klagomål mail.docx", "A 8176-2021")</f>
        <v/>
      </c>
      <c r="X78">
        <f>HYPERLINK("https://klasma.github.io/Logging_0482/tillsyn/A 8176-2021 tillsynsbegäran.docx", "A 8176-2021")</f>
        <v/>
      </c>
      <c r="Y78">
        <f>HYPERLINK("https://klasma.github.io/Logging_0482/tillsynsmail/A 8176-2021 tillsynsbegäran mail.docx", "A 8176-2021")</f>
        <v/>
      </c>
    </row>
    <row r="79" ht="15" customHeight="1">
      <c r="A79" t="inlineStr">
        <is>
          <t>A 37347-2021</t>
        </is>
      </c>
      <c r="B79" s="1" t="n">
        <v>44397</v>
      </c>
      <c r="C79" s="1" t="n">
        <v>45665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snok</t>
        </is>
      </c>
      <c r="S79">
        <f>HYPERLINK("https://klasma.github.io/Logging_0482/artfynd/A 37347-2021 artfynd.xlsx", "A 37347-2021")</f>
        <v/>
      </c>
      <c r="T79">
        <f>HYPERLINK("https://klasma.github.io/Logging_0482/kartor/A 37347-2021 karta.png", "A 37347-2021")</f>
        <v/>
      </c>
      <c r="V79">
        <f>HYPERLINK("https://klasma.github.io/Logging_0482/klagomål/A 37347-2021 FSC-klagomål.docx", "A 37347-2021")</f>
        <v/>
      </c>
      <c r="W79">
        <f>HYPERLINK("https://klasma.github.io/Logging_0482/klagomålsmail/A 37347-2021 FSC-klagomål mail.docx", "A 37347-2021")</f>
        <v/>
      </c>
      <c r="X79">
        <f>HYPERLINK("https://klasma.github.io/Logging_0482/tillsyn/A 37347-2021 tillsynsbegäran.docx", "A 37347-2021")</f>
        <v/>
      </c>
      <c r="Y79">
        <f>HYPERLINK("https://klasma.github.io/Logging_0482/tillsynsmail/A 37347-2021 tillsynsbegäran mail.docx", "A 37347-2021")</f>
        <v/>
      </c>
    </row>
    <row r="80" ht="15" customHeight="1">
      <c r="A80" t="inlineStr">
        <is>
          <t>A 48520-2021</t>
        </is>
      </c>
      <c r="B80" s="1" t="n">
        <v>44449</v>
      </c>
      <c r="C80" s="1" t="n">
        <v>45665</v>
      </c>
      <c r="D80" t="inlineStr">
        <is>
          <t>SÖDERMANLANDS LÄN</t>
        </is>
      </c>
      <c r="E80" t="inlineStr">
        <is>
          <t>FLEN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HYPERLINK("https://klasma.github.io/Logging_0482/artfynd/A 48520-2021 artfynd.xlsx", "A 48520-2021")</f>
        <v/>
      </c>
      <c r="T80">
        <f>HYPERLINK("https://klasma.github.io/Logging_0482/kartor/A 48520-2021 karta.png", "A 48520-2021")</f>
        <v/>
      </c>
      <c r="V80">
        <f>HYPERLINK("https://klasma.github.io/Logging_0482/klagomål/A 48520-2021 FSC-klagomål.docx", "A 48520-2021")</f>
        <v/>
      </c>
      <c r="W80">
        <f>HYPERLINK("https://klasma.github.io/Logging_0482/klagomålsmail/A 48520-2021 FSC-klagomål mail.docx", "A 48520-2021")</f>
        <v/>
      </c>
      <c r="X80">
        <f>HYPERLINK("https://klasma.github.io/Logging_0482/tillsyn/A 48520-2021 tillsynsbegäran.docx", "A 48520-2021")</f>
        <v/>
      </c>
      <c r="Y80">
        <f>HYPERLINK("https://klasma.github.io/Logging_0482/tillsynsmail/A 48520-2021 tillsynsbegäran mail.docx", "A 48520-2021")</f>
        <v/>
      </c>
    </row>
    <row r="81" ht="15" customHeight="1">
      <c r="A81" t="inlineStr">
        <is>
          <t>A 55092-2021</t>
        </is>
      </c>
      <c r="B81" s="1" t="n">
        <v>44474</v>
      </c>
      <c r="C81" s="1" t="n">
        <v>45665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Huggorm</t>
        </is>
      </c>
      <c r="S81">
        <f>HYPERLINK("https://klasma.github.io/Logging_0482/artfynd/A 55092-2021 artfynd.xlsx", "A 55092-2021")</f>
        <v/>
      </c>
      <c r="T81">
        <f>HYPERLINK("https://klasma.github.io/Logging_0482/kartor/A 55092-2021 karta.png", "A 55092-2021")</f>
        <v/>
      </c>
      <c r="V81">
        <f>HYPERLINK("https://klasma.github.io/Logging_0482/klagomål/A 55092-2021 FSC-klagomål.docx", "A 55092-2021")</f>
        <v/>
      </c>
      <c r="W81">
        <f>HYPERLINK("https://klasma.github.io/Logging_0482/klagomålsmail/A 55092-2021 FSC-klagomål mail.docx", "A 55092-2021")</f>
        <v/>
      </c>
      <c r="X81">
        <f>HYPERLINK("https://klasma.github.io/Logging_0482/tillsyn/A 55092-2021 tillsynsbegäran.docx", "A 55092-2021")</f>
        <v/>
      </c>
      <c r="Y81">
        <f>HYPERLINK("https://klasma.github.io/Logging_0482/tillsynsmail/A 55092-2021 tillsynsbegäran mail.docx", "A 55092-2021")</f>
        <v/>
      </c>
    </row>
    <row r="82" ht="15" customHeight="1">
      <c r="A82" t="inlineStr">
        <is>
          <t>A 57766-2021</t>
        </is>
      </c>
      <c r="B82" s="1" t="n">
        <v>44484</v>
      </c>
      <c r="C82" s="1" t="n">
        <v>45665</v>
      </c>
      <c r="D82" t="inlineStr">
        <is>
          <t>SÖDERMANLANDS LÄN</t>
        </is>
      </c>
      <c r="E82" t="inlineStr">
        <is>
          <t>FLEN</t>
        </is>
      </c>
      <c r="G82" t="n">
        <v>9.9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57766-2021 artfynd.xlsx", "A 57766-2021")</f>
        <v/>
      </c>
      <c r="T82">
        <f>HYPERLINK("https://klasma.github.io/Logging_0482/kartor/A 57766-2021 karta.png", "A 57766-2021")</f>
        <v/>
      </c>
      <c r="V82">
        <f>HYPERLINK("https://klasma.github.io/Logging_0482/klagomål/A 57766-2021 FSC-klagomål.docx", "A 57766-2021")</f>
        <v/>
      </c>
      <c r="W82">
        <f>HYPERLINK("https://klasma.github.io/Logging_0482/klagomålsmail/A 57766-2021 FSC-klagomål mail.docx", "A 57766-2021")</f>
        <v/>
      </c>
      <c r="X82">
        <f>HYPERLINK("https://klasma.github.io/Logging_0482/tillsyn/A 57766-2021 tillsynsbegäran.docx", "A 57766-2021")</f>
        <v/>
      </c>
      <c r="Y82">
        <f>HYPERLINK("https://klasma.github.io/Logging_0482/tillsynsmail/A 57766-2021 tillsynsbegäran mail.docx", "A 57766-2021")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45665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62535-2021</t>
        </is>
      </c>
      <c r="B84" s="1" t="n">
        <v>44503</v>
      </c>
      <c r="C84" s="1" t="n">
        <v>45665</v>
      </c>
      <c r="D84" t="inlineStr">
        <is>
          <t>SÖDERMANLANDS LÄN</t>
        </is>
      </c>
      <c r="E84" t="inlineStr">
        <is>
          <t>FLEN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62535-2021 artfynd.xlsx", "A 62535-2021")</f>
        <v/>
      </c>
      <c r="T84">
        <f>HYPERLINK("https://klasma.github.io/Logging_0482/kartor/A 62535-2021 karta.png", "A 62535-2021")</f>
        <v/>
      </c>
      <c r="V84">
        <f>HYPERLINK("https://klasma.github.io/Logging_0482/klagomål/A 62535-2021 FSC-klagomål.docx", "A 62535-2021")</f>
        <v/>
      </c>
      <c r="W84">
        <f>HYPERLINK("https://klasma.github.io/Logging_0482/klagomålsmail/A 62535-2021 FSC-klagomål mail.docx", "A 62535-2021")</f>
        <v/>
      </c>
      <c r="X84">
        <f>HYPERLINK("https://klasma.github.io/Logging_0482/tillsyn/A 62535-2021 tillsynsbegäran.docx", "A 62535-2021")</f>
        <v/>
      </c>
      <c r="Y84">
        <f>HYPERLINK("https://klasma.github.io/Logging_0482/tillsynsmail/A 62535-2021 tillsynsbegäran mail.docx", "A 62535-2021")</f>
        <v/>
      </c>
    </row>
    <row r="85" ht="15" customHeight="1">
      <c r="A85" t="inlineStr">
        <is>
          <t>A 70039-2021</t>
        </is>
      </c>
      <c r="B85" s="1" t="n">
        <v>44533</v>
      </c>
      <c r="C85" s="1" t="n">
        <v>45665</v>
      </c>
      <c r="D85" t="inlineStr">
        <is>
          <t>SÖDERMANLANDS LÄN</t>
        </is>
      </c>
      <c r="E85" t="inlineStr">
        <is>
          <t>FLEN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70039-2021 artfynd.xlsx", "A 70039-2021")</f>
        <v/>
      </c>
      <c r="T85">
        <f>HYPERLINK("https://klasma.github.io/Logging_0482/kartor/A 70039-2021 karta.png", "A 70039-2021")</f>
        <v/>
      </c>
      <c r="V85">
        <f>HYPERLINK("https://klasma.github.io/Logging_0482/klagomål/A 70039-2021 FSC-klagomål.docx", "A 70039-2021")</f>
        <v/>
      </c>
      <c r="W85">
        <f>HYPERLINK("https://klasma.github.io/Logging_0482/klagomålsmail/A 70039-2021 FSC-klagomål mail.docx", "A 70039-2021")</f>
        <v/>
      </c>
      <c r="X85">
        <f>HYPERLINK("https://klasma.github.io/Logging_0482/tillsyn/A 70039-2021 tillsynsbegäran.docx", "A 70039-2021")</f>
        <v/>
      </c>
      <c r="Y85">
        <f>HYPERLINK("https://klasma.github.io/Logging_0482/tillsynsmail/A 70039-2021 tillsynsbegäran mail.docx", "A 70039-2021")</f>
        <v/>
      </c>
    </row>
    <row r="86" ht="15" customHeight="1">
      <c r="A86" t="inlineStr">
        <is>
          <t>A 73923-2021</t>
        </is>
      </c>
      <c r="B86" s="1" t="n">
        <v>44553</v>
      </c>
      <c r="C86" s="1" t="n">
        <v>45665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7883-2022</t>
        </is>
      </c>
      <c r="B87" s="1" t="n">
        <v>44608</v>
      </c>
      <c r="C87" s="1" t="n">
        <v>45665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2.2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HYPERLINK("https://klasma.github.io/Logging_0482/artfynd/A 7883-2022 artfynd.xlsx", "A 7883-2022")</f>
        <v/>
      </c>
      <c r="T87">
        <f>HYPERLINK("https://klasma.github.io/Logging_0482/kartor/A 7883-2022 karta.png", "A 7883-2022")</f>
        <v/>
      </c>
      <c r="V87">
        <f>HYPERLINK("https://klasma.github.io/Logging_0482/klagomål/A 7883-2022 FSC-klagomål.docx", "A 7883-2022")</f>
        <v/>
      </c>
      <c r="W87">
        <f>HYPERLINK("https://klasma.github.io/Logging_0482/klagomålsmail/A 7883-2022 FSC-klagomål mail.docx", "A 7883-2022")</f>
        <v/>
      </c>
      <c r="X87">
        <f>HYPERLINK("https://klasma.github.io/Logging_0482/tillsyn/A 7883-2022 tillsynsbegäran.docx", "A 7883-2022")</f>
        <v/>
      </c>
      <c r="Y87">
        <f>HYPERLINK("https://klasma.github.io/Logging_0482/tillsynsmail/A 7883-2022 tillsynsbegäran mail.docx", "A 7883-2022")</f>
        <v/>
      </c>
    </row>
    <row r="88" ht="15" customHeight="1">
      <c r="A88" t="inlineStr">
        <is>
          <t>A 10789-2022</t>
        </is>
      </c>
      <c r="B88" s="1" t="n">
        <v>44624</v>
      </c>
      <c r="C88" s="1" t="n">
        <v>45665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10789-2022 artfynd.xlsx", "A 10789-2022")</f>
        <v/>
      </c>
      <c r="T88">
        <f>HYPERLINK("https://klasma.github.io/Logging_0482/kartor/A 10789-2022 karta.png", "A 10789-2022")</f>
        <v/>
      </c>
      <c r="V88">
        <f>HYPERLINK("https://klasma.github.io/Logging_0482/klagomål/A 10789-2022 FSC-klagomål.docx", "A 10789-2022")</f>
        <v/>
      </c>
      <c r="W88">
        <f>HYPERLINK("https://klasma.github.io/Logging_0482/klagomålsmail/A 10789-2022 FSC-klagomål mail.docx", "A 10789-2022")</f>
        <v/>
      </c>
      <c r="X88">
        <f>HYPERLINK("https://klasma.github.io/Logging_0482/tillsyn/A 10789-2022 tillsynsbegäran.docx", "A 10789-2022")</f>
        <v/>
      </c>
      <c r="Y88">
        <f>HYPERLINK("https://klasma.github.io/Logging_0482/tillsynsmail/A 10789-2022 tillsynsbegäran mail.docx", "A 10789-2022")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45665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12371-2022</t>
        </is>
      </c>
      <c r="B90" s="1" t="n">
        <v>44637</v>
      </c>
      <c r="C90" s="1" t="n">
        <v>45665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45665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34498-2022</t>
        </is>
      </c>
      <c r="B92" s="1" t="n">
        <v>44792</v>
      </c>
      <c r="C92" s="1" t="n">
        <v>45665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34498-2022 artfynd.xlsx", "A 34498-2022")</f>
        <v/>
      </c>
      <c r="T92">
        <f>HYPERLINK("https://klasma.github.io/Logging_0482/kartor/A 34498-2022 karta.png", "A 34498-2022")</f>
        <v/>
      </c>
      <c r="V92">
        <f>HYPERLINK("https://klasma.github.io/Logging_0482/klagomål/A 34498-2022 FSC-klagomål.docx", "A 34498-2022")</f>
        <v/>
      </c>
      <c r="W92">
        <f>HYPERLINK("https://klasma.github.io/Logging_0482/klagomålsmail/A 34498-2022 FSC-klagomål mail.docx", "A 34498-2022")</f>
        <v/>
      </c>
      <c r="X92">
        <f>HYPERLINK("https://klasma.github.io/Logging_0482/tillsyn/A 34498-2022 tillsynsbegäran.docx", "A 34498-2022")</f>
        <v/>
      </c>
      <c r="Y92">
        <f>HYPERLINK("https://klasma.github.io/Logging_0482/tillsynsmail/A 34498-2022 tillsynsbegäran mail.docx", "A 34498-2022")</f>
        <v/>
      </c>
    </row>
    <row r="93" ht="15" customHeight="1">
      <c r="A93" t="inlineStr">
        <is>
          <t>A 35278-2022</t>
        </is>
      </c>
      <c r="B93" s="1" t="n">
        <v>44798</v>
      </c>
      <c r="C93" s="1" t="n">
        <v>45665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HYPERLINK("https://klasma.github.io/Logging_0482/artfynd/A 35278-2022 artfynd.xlsx", "A 35278-2022")</f>
        <v/>
      </c>
      <c r="T93">
        <f>HYPERLINK("https://klasma.github.io/Logging_0482/kartor/A 35278-2022 karta.png", "A 35278-2022")</f>
        <v/>
      </c>
      <c r="V93">
        <f>HYPERLINK("https://klasma.github.io/Logging_0482/klagomål/A 35278-2022 FSC-klagomål.docx", "A 35278-2022")</f>
        <v/>
      </c>
      <c r="W93">
        <f>HYPERLINK("https://klasma.github.io/Logging_0482/klagomålsmail/A 35278-2022 FSC-klagomål mail.docx", "A 35278-2022")</f>
        <v/>
      </c>
      <c r="X93">
        <f>HYPERLINK("https://klasma.github.io/Logging_0482/tillsyn/A 35278-2022 tillsynsbegäran.docx", "A 35278-2022")</f>
        <v/>
      </c>
      <c r="Y93">
        <f>HYPERLINK("https://klasma.github.io/Logging_0482/tillsynsmail/A 35278-2022 tillsynsbegäran mail.docx", "A 35278-2022")</f>
        <v/>
      </c>
    </row>
    <row r="94" ht="15" customHeight="1">
      <c r="A94" t="inlineStr">
        <is>
          <t>A 44563-2022</t>
        </is>
      </c>
      <c r="B94" s="1" t="n">
        <v>44838</v>
      </c>
      <c r="C94" s="1" t="n">
        <v>45665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44563-2022 artfynd.xlsx", "A 44563-2022")</f>
        <v/>
      </c>
      <c r="T94">
        <f>HYPERLINK("https://klasma.github.io/Logging_0482/kartor/A 44563-2022 karta.png", "A 44563-2022")</f>
        <v/>
      </c>
      <c r="V94">
        <f>HYPERLINK("https://klasma.github.io/Logging_0482/klagomål/A 44563-2022 FSC-klagomål.docx", "A 44563-2022")</f>
        <v/>
      </c>
      <c r="W94">
        <f>HYPERLINK("https://klasma.github.io/Logging_0482/klagomålsmail/A 44563-2022 FSC-klagomål mail.docx", "A 44563-2022")</f>
        <v/>
      </c>
      <c r="X94">
        <f>HYPERLINK("https://klasma.github.io/Logging_0482/tillsyn/A 44563-2022 tillsynsbegäran.docx", "A 44563-2022")</f>
        <v/>
      </c>
      <c r="Y94">
        <f>HYPERLINK("https://klasma.github.io/Logging_0482/tillsynsmail/A 44563-2022 tillsynsbegäran mail.docx", "A 44563-2022")</f>
        <v/>
      </c>
    </row>
    <row r="95" ht="15" customHeight="1">
      <c r="A95" t="inlineStr">
        <is>
          <t>A 47756-2022</t>
        </is>
      </c>
      <c r="B95" s="1" t="n">
        <v>44854</v>
      </c>
      <c r="C95" s="1" t="n">
        <v>45665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45665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45665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61870-2022</t>
        </is>
      </c>
      <c r="B98" s="1" t="n">
        <v>44917</v>
      </c>
      <c r="C98" s="1" t="n">
        <v>45665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61870-2022 artfynd.xlsx", "A 61870-2022")</f>
        <v/>
      </c>
      <c r="T98">
        <f>HYPERLINK("https://klasma.github.io/Logging_0482/kartor/A 61870-2022 karta.png", "A 61870-2022")</f>
        <v/>
      </c>
      <c r="V98">
        <f>HYPERLINK("https://klasma.github.io/Logging_0482/klagomål/A 61870-2022 FSC-klagomål.docx", "A 61870-2022")</f>
        <v/>
      </c>
      <c r="W98">
        <f>HYPERLINK("https://klasma.github.io/Logging_0482/klagomålsmail/A 61870-2022 FSC-klagomål mail.docx", "A 61870-2022")</f>
        <v/>
      </c>
      <c r="X98">
        <f>HYPERLINK("https://klasma.github.io/Logging_0482/tillsyn/A 61870-2022 tillsynsbegäran.docx", "A 61870-2022")</f>
        <v/>
      </c>
      <c r="Y98">
        <f>HYPERLINK("https://klasma.github.io/Logging_0482/tillsynsmail/A 61870-2022 tillsynsbegäran mail.docx", "A 61870-2022")</f>
        <v/>
      </c>
    </row>
    <row r="99" ht="15" customHeight="1">
      <c r="A99" t="inlineStr">
        <is>
          <t>A 882-2023</t>
        </is>
      </c>
      <c r="B99" s="1" t="n">
        <v>44931</v>
      </c>
      <c r="C99" s="1" t="n">
        <v>45665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Aspvedgnagare</t>
        </is>
      </c>
      <c r="S99">
        <f>HYPERLINK("https://klasma.github.io/Logging_0482/artfynd/A 882-2023 artfynd.xlsx", "A 882-2023")</f>
        <v/>
      </c>
      <c r="T99">
        <f>HYPERLINK("https://klasma.github.io/Logging_0482/kartor/A 882-2023 karta.png", "A 882-2023")</f>
        <v/>
      </c>
      <c r="V99">
        <f>HYPERLINK("https://klasma.github.io/Logging_0482/klagomål/A 882-2023 FSC-klagomål.docx", "A 882-2023")</f>
        <v/>
      </c>
      <c r="W99">
        <f>HYPERLINK("https://klasma.github.io/Logging_0482/klagomålsmail/A 882-2023 FSC-klagomål mail.docx", "A 882-2023")</f>
        <v/>
      </c>
      <c r="X99">
        <f>HYPERLINK("https://klasma.github.io/Logging_0482/tillsyn/A 882-2023 tillsynsbegäran.docx", "A 882-2023")</f>
        <v/>
      </c>
      <c r="Y99">
        <f>HYPERLINK("https://klasma.github.io/Logging_0482/tillsynsmail/A 882-2023 tillsynsbegäran mail.docx", "A 882-2023")</f>
        <v/>
      </c>
    </row>
    <row r="100" ht="15" customHeight="1">
      <c r="A100" t="inlineStr">
        <is>
          <t>A 4699-2023</t>
        </is>
      </c>
      <c r="B100" s="1" t="n">
        <v>44957</v>
      </c>
      <c r="C100" s="1" t="n">
        <v>45665</v>
      </c>
      <c r="D100" t="inlineStr">
        <is>
          <t>SÖDERMANLANDS LÄN</t>
        </is>
      </c>
      <c r="E100" t="inlineStr">
        <is>
          <t>FLEN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HYPERLINK("https://klasma.github.io/Logging_0482/artfynd/A 4699-2023 artfynd.xlsx", "A 4699-2023")</f>
        <v/>
      </c>
      <c r="T100">
        <f>HYPERLINK("https://klasma.github.io/Logging_0482/kartor/A 4699-2023 karta.png", "A 4699-2023")</f>
        <v/>
      </c>
      <c r="V100">
        <f>HYPERLINK("https://klasma.github.io/Logging_0482/klagomål/A 4699-2023 FSC-klagomål.docx", "A 4699-2023")</f>
        <v/>
      </c>
      <c r="W100">
        <f>HYPERLINK("https://klasma.github.io/Logging_0482/klagomålsmail/A 4699-2023 FSC-klagomål mail.docx", "A 4699-2023")</f>
        <v/>
      </c>
      <c r="X100">
        <f>HYPERLINK("https://klasma.github.io/Logging_0482/tillsyn/A 4699-2023 tillsynsbegäran.docx", "A 4699-2023")</f>
        <v/>
      </c>
      <c r="Y100">
        <f>HYPERLINK("https://klasma.github.io/Logging_0482/tillsynsmail/A 4699-2023 tillsynsbegäran mail.docx", "A 4699-2023")</f>
        <v/>
      </c>
    </row>
    <row r="101" ht="15" customHeight="1">
      <c r="A101" t="inlineStr">
        <is>
          <t>A 7506-2023</t>
        </is>
      </c>
      <c r="B101" s="1" t="n">
        <v>44971</v>
      </c>
      <c r="C101" s="1" t="n">
        <v>45665</v>
      </c>
      <c r="D101" t="inlineStr">
        <is>
          <t>SÖDERMANLANDS LÄN</t>
        </is>
      </c>
      <c r="E101" t="inlineStr">
        <is>
          <t>FLEN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7506-2023 artfynd.xlsx", "A 7506-2023")</f>
        <v/>
      </c>
      <c r="T101">
        <f>HYPERLINK("https://klasma.github.io/Logging_0482/kartor/A 7506-2023 karta.png", "A 7506-2023")</f>
        <v/>
      </c>
      <c r="V101">
        <f>HYPERLINK("https://klasma.github.io/Logging_0482/klagomål/A 7506-2023 FSC-klagomål.docx", "A 7506-2023")</f>
        <v/>
      </c>
      <c r="W101">
        <f>HYPERLINK("https://klasma.github.io/Logging_0482/klagomålsmail/A 7506-2023 FSC-klagomål mail.docx", "A 7506-2023")</f>
        <v/>
      </c>
      <c r="X101">
        <f>HYPERLINK("https://klasma.github.io/Logging_0482/tillsyn/A 7506-2023 tillsynsbegäran.docx", "A 7506-2023")</f>
        <v/>
      </c>
      <c r="Y101">
        <f>HYPERLINK("https://klasma.github.io/Logging_0482/tillsynsmail/A 7506-2023 tillsynsbegäran mail.docx", "A 7506-2023")</f>
        <v/>
      </c>
    </row>
    <row r="102" ht="15" customHeight="1">
      <c r="A102" t="inlineStr">
        <is>
          <t>A 13858-2023</t>
        </is>
      </c>
      <c r="B102" s="1" t="n">
        <v>45007</v>
      </c>
      <c r="C102" s="1" t="n">
        <v>45665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HYPERLINK("https://klasma.github.io/Logging_0482/artfynd/A 13858-2023 artfynd.xlsx", "A 13858-2023")</f>
        <v/>
      </c>
      <c r="T102">
        <f>HYPERLINK("https://klasma.github.io/Logging_0482/kartor/A 13858-2023 karta.png", "A 13858-2023")</f>
        <v/>
      </c>
      <c r="V102">
        <f>HYPERLINK("https://klasma.github.io/Logging_0482/klagomål/A 13858-2023 FSC-klagomål.docx", "A 13858-2023")</f>
        <v/>
      </c>
      <c r="W102">
        <f>HYPERLINK("https://klasma.github.io/Logging_0482/klagomålsmail/A 13858-2023 FSC-klagomål mail.docx", "A 13858-2023")</f>
        <v/>
      </c>
      <c r="X102">
        <f>HYPERLINK("https://klasma.github.io/Logging_0482/tillsyn/A 13858-2023 tillsynsbegäran.docx", "A 13858-2023")</f>
        <v/>
      </c>
      <c r="Y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30584-2023</t>
        </is>
      </c>
      <c r="B103" s="1" t="n">
        <v>45112</v>
      </c>
      <c r="C103" s="1" t="n">
        <v>45665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HYPERLINK("https://klasma.github.io/Logging_0482/artfynd/A 30584-2023 artfynd.xlsx", "A 30584-2023")</f>
        <v/>
      </c>
      <c r="T103">
        <f>HYPERLINK("https://klasma.github.io/Logging_0482/kartor/A 30584-2023 karta.png", "A 30584-2023")</f>
        <v/>
      </c>
      <c r="V103">
        <f>HYPERLINK("https://klasma.github.io/Logging_0482/klagomål/A 30584-2023 FSC-klagomål.docx", "A 30584-2023")</f>
        <v/>
      </c>
      <c r="W103">
        <f>HYPERLINK("https://klasma.github.io/Logging_0482/klagomålsmail/A 30584-2023 FSC-klagomål mail.docx", "A 30584-2023")</f>
        <v/>
      </c>
      <c r="X103">
        <f>HYPERLINK("https://klasma.github.io/Logging_0482/tillsyn/A 30584-2023 tillsynsbegäran.docx", "A 30584-2023")</f>
        <v/>
      </c>
      <c r="Y103">
        <f>HYPERLINK("https://klasma.github.io/Logging_0482/tillsynsmail/A 30584-2023 tillsynsbegäran mail.docx", "A 30584-2023")</f>
        <v/>
      </c>
      <c r="Z103">
        <f>HYPERLINK("https://klasma.github.io/Logging_0482/fåglar/A 30584-2023 prioriterade fågelarter.docx", "A 30584-2023")</f>
        <v/>
      </c>
    </row>
    <row r="104" ht="15" customHeight="1">
      <c r="A104" t="inlineStr">
        <is>
          <t>A 37317-2023</t>
        </is>
      </c>
      <c r="B104" s="1" t="n">
        <v>45156</v>
      </c>
      <c r="C104" s="1" t="n">
        <v>45665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5.1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Svavelriska</t>
        </is>
      </c>
      <c r="S104">
        <f>HYPERLINK("https://klasma.github.io/Logging_0482/artfynd/A 37317-2023 artfynd.xlsx", "A 37317-2023")</f>
        <v/>
      </c>
      <c r="T104">
        <f>HYPERLINK("https://klasma.github.io/Logging_0482/kartor/A 37317-2023 karta.png", "A 37317-2023")</f>
        <v/>
      </c>
      <c r="V104">
        <f>HYPERLINK("https://klasma.github.io/Logging_0482/klagomål/A 37317-2023 FSC-klagomål.docx", "A 37317-2023")</f>
        <v/>
      </c>
      <c r="W104">
        <f>HYPERLINK("https://klasma.github.io/Logging_0482/klagomålsmail/A 37317-2023 FSC-klagomål mail.docx", "A 37317-2023")</f>
        <v/>
      </c>
      <c r="X104">
        <f>HYPERLINK("https://klasma.github.io/Logging_0482/tillsyn/A 37317-2023 tillsynsbegäran.docx", "A 37317-2023")</f>
        <v/>
      </c>
      <c r="Y104">
        <f>HYPERLINK("https://klasma.github.io/Logging_0482/tillsynsmail/A 37317-2023 tillsynsbegäran mail.docx", "A 37317-2023")</f>
        <v/>
      </c>
    </row>
    <row r="105" ht="15" customHeight="1">
      <c r="A105" t="inlineStr">
        <is>
          <t>A 39240-2023</t>
        </is>
      </c>
      <c r="B105" s="1" t="n">
        <v>45166</v>
      </c>
      <c r="C105" s="1" t="n">
        <v>45665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Blodticka</t>
        </is>
      </c>
      <c r="S105">
        <f>HYPERLINK("https://klasma.github.io/Logging_0482/artfynd/A 39240-2023 artfynd.xlsx", "A 39240-2023")</f>
        <v/>
      </c>
      <c r="T105">
        <f>HYPERLINK("https://klasma.github.io/Logging_0482/kartor/A 39240-2023 karta.png", "A 39240-2023")</f>
        <v/>
      </c>
      <c r="V105">
        <f>HYPERLINK("https://klasma.github.io/Logging_0482/klagomål/A 39240-2023 FSC-klagomål.docx", "A 39240-2023")</f>
        <v/>
      </c>
      <c r="W105">
        <f>HYPERLINK("https://klasma.github.io/Logging_0482/klagomålsmail/A 39240-2023 FSC-klagomål mail.docx", "A 39240-2023")</f>
        <v/>
      </c>
      <c r="X105">
        <f>HYPERLINK("https://klasma.github.io/Logging_0482/tillsyn/A 39240-2023 tillsynsbegäran.docx", "A 39240-2023")</f>
        <v/>
      </c>
      <c r="Y105">
        <f>HYPERLINK("https://klasma.github.io/Logging_0482/tillsynsmail/A 39240-2023 tillsynsbegäran mail.docx", "A 39240-2023")</f>
        <v/>
      </c>
    </row>
    <row r="106" ht="15" customHeight="1">
      <c r="A106" t="inlineStr">
        <is>
          <t>A 44476-2023</t>
        </is>
      </c>
      <c r="B106" s="1" t="n">
        <v>45189</v>
      </c>
      <c r="C106" s="1" t="n">
        <v>45665</v>
      </c>
      <c r="D106" t="inlineStr">
        <is>
          <t>SÖDERMANLANDS LÄN</t>
        </is>
      </c>
      <c r="E106" t="inlineStr">
        <is>
          <t>FLEN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44476-2023 artfynd.xlsx", "A 44476-2023")</f>
        <v/>
      </c>
      <c r="T106">
        <f>HYPERLINK("https://klasma.github.io/Logging_0482/kartor/A 44476-2023 karta.png", "A 44476-2023")</f>
        <v/>
      </c>
      <c r="V106">
        <f>HYPERLINK("https://klasma.github.io/Logging_0482/klagomål/A 44476-2023 FSC-klagomål.docx", "A 44476-2023")</f>
        <v/>
      </c>
      <c r="W106">
        <f>HYPERLINK("https://klasma.github.io/Logging_0482/klagomålsmail/A 44476-2023 FSC-klagomål mail.docx", "A 44476-2023")</f>
        <v/>
      </c>
      <c r="X106">
        <f>HYPERLINK("https://klasma.github.io/Logging_0482/tillsyn/A 44476-2023 tillsynsbegäran.docx", "A 44476-2023")</f>
        <v/>
      </c>
      <c r="Y106">
        <f>HYPERLINK("https://klasma.github.io/Logging_0482/tillsynsmail/A 44476-2023 tillsynsbegäran mail.docx", "A 44476-2023")</f>
        <v/>
      </c>
    </row>
    <row r="107" ht="15" customHeight="1">
      <c r="A107" t="inlineStr">
        <is>
          <t>A 48896-2023</t>
        </is>
      </c>
      <c r="B107" s="1" t="n">
        <v>45209</v>
      </c>
      <c r="C107" s="1" t="n">
        <v>45665</v>
      </c>
      <c r="D107" t="inlineStr">
        <is>
          <t>SÖDERMANLANDS LÄN</t>
        </is>
      </c>
      <c r="E107" t="inlineStr">
        <is>
          <t>FLEN</t>
        </is>
      </c>
      <c r="F107" t="inlineStr">
        <is>
          <t>Övriga statliga verk och myndigheter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48896-2023 artfynd.xlsx", "A 48896-2023")</f>
        <v/>
      </c>
      <c r="T107">
        <f>HYPERLINK("https://klasma.github.io/Logging_0482/kartor/A 48896-2023 karta.png", "A 48896-2023")</f>
        <v/>
      </c>
      <c r="V107">
        <f>HYPERLINK("https://klasma.github.io/Logging_0482/klagomål/A 48896-2023 FSC-klagomål.docx", "A 48896-2023")</f>
        <v/>
      </c>
      <c r="W107">
        <f>HYPERLINK("https://klasma.github.io/Logging_0482/klagomålsmail/A 48896-2023 FSC-klagomål mail.docx", "A 48896-2023")</f>
        <v/>
      </c>
      <c r="X107">
        <f>HYPERLINK("https://klasma.github.io/Logging_0482/tillsyn/A 48896-2023 tillsynsbegäran.docx", "A 48896-2023")</f>
        <v/>
      </c>
      <c r="Y107">
        <f>HYPERLINK("https://klasma.github.io/Logging_0482/tillsynsmail/A 48896-2023 tillsynsbegäran mail.docx", "A 48896-2023")</f>
        <v/>
      </c>
    </row>
    <row r="108" ht="15" customHeight="1">
      <c r="A108" t="inlineStr">
        <is>
          <t>A 49808-2023</t>
        </is>
      </c>
      <c r="B108" s="1" t="n">
        <v>45212</v>
      </c>
      <c r="C108" s="1" t="n">
        <v>45665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49808-2023 artfynd.xlsx", "A 49808-2023")</f>
        <v/>
      </c>
      <c r="T108">
        <f>HYPERLINK("https://klasma.github.io/Logging_0482/kartor/A 49808-2023 karta.png", "A 49808-2023")</f>
        <v/>
      </c>
      <c r="V108">
        <f>HYPERLINK("https://klasma.github.io/Logging_0482/klagomål/A 49808-2023 FSC-klagomål.docx", "A 49808-2023")</f>
        <v/>
      </c>
      <c r="W108">
        <f>HYPERLINK("https://klasma.github.io/Logging_0482/klagomålsmail/A 49808-2023 FSC-klagomål mail.docx", "A 49808-2023")</f>
        <v/>
      </c>
      <c r="X108">
        <f>HYPERLINK("https://klasma.github.io/Logging_0482/tillsyn/A 49808-2023 tillsynsbegäran.docx", "A 49808-2023")</f>
        <v/>
      </c>
      <c r="Y108">
        <f>HYPERLINK("https://klasma.github.io/Logging_0482/tillsynsmail/A 49808-2023 tillsynsbegäran mail.docx", "A 49808-2023")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45665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45665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45665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45665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45665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45665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45665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45665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45665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45665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45665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45665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45665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45665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45665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45665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45665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45665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45665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45665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45665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45665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45665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45665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45665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45665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45665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45665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45665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45665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45665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45665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45665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45665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45665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45665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45665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45665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45665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45665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45665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45665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45665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45665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45665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45665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45665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45665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45665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45665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45665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45665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45665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45665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45665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45665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45665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45665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45665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45665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45665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45665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45665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45665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45665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45665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45665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45665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45665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45665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45665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45665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45665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45665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45665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45665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45665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45665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45665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45665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45665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45665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45665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45665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45665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45665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45665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45665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45665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45665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45665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45665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45665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45665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45665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45665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45665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45665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45665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45665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45665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45665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45665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45665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45665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45665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45665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45665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45665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45665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45665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45665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45665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45665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45665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45665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45665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45665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45665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45665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45665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45665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45665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45665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45665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45665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45665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45665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45665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45665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45665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45665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45665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45665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45665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45665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45665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45665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45665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45665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45665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45665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45665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45665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45665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45665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45665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45665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45665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45665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45665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45665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45665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45665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45665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45665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45665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45665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45665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45665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45665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45665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45665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45665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45665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45665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45665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45665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45665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45665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45665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45665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45665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45665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45665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45665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45665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45665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45665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45665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45665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45665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45665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45665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45665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45665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45665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45665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45665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45665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45665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45665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45665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45665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45665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45665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45665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45665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45665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45665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45665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45665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45665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45665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45665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45665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45665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45665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45665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45665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45665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45665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45665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45665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45665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45665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45665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45665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45665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45665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45665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45665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45665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45665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45665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45665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45665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45665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45665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45665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45665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45665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45665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45665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45665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45665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45665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45665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45665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45665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45665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45665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45665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45665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45665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45665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45665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45665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45665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45665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45665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45665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45665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45665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45665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45665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45665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45665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45665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45665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45665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45665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45665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45665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45665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45665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45665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45665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45665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45665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45665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45665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45665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45665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45665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45665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45665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45665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45665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45665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45665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45665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45665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45665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45665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45665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45665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45665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45665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45665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45665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45665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45665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45665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45665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45665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45665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45665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45665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45665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45665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45665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45665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45665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45665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45665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45665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45665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45665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45665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45665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45665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45665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45665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45665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45665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45665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45665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45665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45665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45665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45665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45665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45665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45665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45665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45665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45665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45665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45665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45665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45665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45665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45665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45665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45665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45665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45665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45665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45665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45665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45665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45665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45665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45665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45665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45665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45665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45665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45665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45665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45665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45665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45665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45665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45665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45665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45665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45665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45665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45665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45665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45665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45665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45665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45665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45665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45665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45665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45665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45665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45665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45665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45665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45665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45665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45665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45665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45665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45665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45665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45665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45665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45665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45665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45665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45665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45665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45665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45665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45665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45665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45665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45665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45665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45665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45665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45665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45665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45665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45665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45665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45665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45665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45665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45665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45665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45665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45665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45665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45665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45665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45665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45665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45665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45665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45665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45665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45665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45665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45665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45665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45665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45665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45665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45665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45665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45665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45665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45665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45665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45665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45665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45665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45665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45665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45665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45665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45665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45665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45665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45665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45665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45665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45665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45665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45665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45665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45665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45665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45665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45665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45665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45665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45665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45665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45665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45665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45665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45665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45665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45665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45665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45665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45665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45665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45665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45665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45665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45665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45665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45665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45665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45665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45665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45665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45665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45665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45665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45665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45665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45665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45665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45665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45665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45665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45665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45665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45665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45665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45665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45665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45665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45665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45665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45665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45665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45665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45665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45665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45665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45665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45665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45665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45665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45665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45665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45665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45665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45665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45665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45665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45665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45665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45665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45665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45665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45665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45665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45665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45665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45665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45665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45665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45665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45665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45665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45665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45665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45665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45665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45665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45665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45665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45665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45665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45665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45665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45665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45665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45665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45665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45665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45665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45665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45665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45665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45665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45665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45665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45665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45665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45665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45665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45665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45665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45665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45665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45665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45665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45665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45665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45665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45665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45665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45665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45665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45665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45665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45665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45665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45665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45665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45665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45665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45665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45665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45665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45665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45665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45665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45665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45665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45665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45665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45665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45665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45665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45665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45665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45665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45665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45665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45665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45665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45665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45665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45665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45665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45665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45665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45665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45665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45665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45665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45665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45665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45665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45665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45665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45665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45665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45665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45665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45665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45665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45665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45665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45665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45665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45665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45665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45665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45665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45665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45665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45665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45665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45665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45665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45665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45665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45665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45665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45665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45665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45665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45665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45665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45665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45665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45665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45665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45665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45665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45665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45665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45665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45665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45665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45665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45665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45665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45665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45665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45665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45665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45665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45665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45665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45665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45665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45665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45665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45665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45665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45665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45665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45665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45665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45665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45665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45665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45665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45665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45665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45665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45665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45665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45665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45665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45665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45665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45665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45665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45665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45665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45665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45665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45665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45665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45665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45665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45665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45665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45665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45665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45665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45665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45665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45665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45665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45665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45665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45665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45665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45665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45665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45665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45665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45665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45665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45665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45665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45665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45665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45665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45665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45665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45665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45665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45665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45665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45665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45665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45665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45665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45665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45665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45665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45665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45665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45665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45665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45665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45665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45665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45665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45665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45665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45665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45665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45665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45665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45665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45665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45665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45665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45665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45665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45665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45665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45665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45665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45665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45665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45665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45665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45665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45665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45665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45665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45665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45665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45665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45665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45665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45665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45665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45665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45665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45665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45665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45665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45665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45665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45665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45665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45665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45665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45665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45665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45665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45665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45665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45665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45665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45665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45665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45665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45665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45665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45665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45665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45665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45665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45665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45665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45665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45665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45665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45665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45665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45665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45665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45665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45665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45665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45665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45665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45665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45665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45665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45665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45665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45665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45665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45665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45665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45665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45665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45665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45665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45665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45665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45665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45665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45665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45665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45665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45665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45665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45665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45665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45665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45665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45665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45665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45665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45665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45665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45665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45665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45665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45665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45665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45665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45665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45665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45665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45665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45665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45665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45665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45665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45665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45665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45665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45665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45665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45665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45665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45665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45665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45665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45665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45665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45665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45665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45665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45665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45665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45665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45665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45665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45665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45665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45665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45665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45665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45665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45665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45665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45665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45665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45665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45665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45665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45665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45665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45665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45665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45665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45665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45665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45665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45665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45665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45665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45665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45665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45665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45665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45665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45665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45665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45665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45665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45665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45665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45665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45665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45665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45665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45665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45665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45665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45665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45665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45665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45665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45665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45665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45665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45665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45665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45665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45665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45665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45665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45665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45665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45665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45665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45665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45665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45665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45665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45665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45665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45665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45665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45665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45665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45665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45665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45665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45665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45665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45665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45665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45665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45665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45665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45665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45665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45665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45665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45665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45665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45665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45665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45665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45665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45665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45665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56307-2024</t>
        </is>
      </c>
      <c r="B1075" s="1" t="n">
        <v>45624</v>
      </c>
      <c r="C1075" s="1" t="n">
        <v>45665</v>
      </c>
      <c r="D1075" t="inlineStr">
        <is>
          <t>SÖDERMANLANDS LÄN</t>
        </is>
      </c>
      <c r="E1075" t="inlineStr">
        <is>
          <t>FLEN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45665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45665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45665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45665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45665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45665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58443-2024</t>
        </is>
      </c>
      <c r="B1082" s="1" t="n">
        <v>45635</v>
      </c>
      <c r="C1082" s="1" t="n">
        <v>45665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58818-2024</t>
        </is>
      </c>
      <c r="B1083" s="1" t="n">
        <v>45636</v>
      </c>
      <c r="C1083" s="1" t="n">
        <v>45665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58828-2024</t>
        </is>
      </c>
      <c r="B1084" s="1" t="n">
        <v>45636</v>
      </c>
      <c r="C1084" s="1" t="n">
        <v>45665</v>
      </c>
      <c r="D1084" t="inlineStr">
        <is>
          <t>SÖDERMANLANDS LÄN</t>
        </is>
      </c>
      <c r="E1084" t="inlineStr">
        <is>
          <t>FLEN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58834-2024</t>
        </is>
      </c>
      <c r="B1085" s="1" t="n">
        <v>45636</v>
      </c>
      <c r="C1085" s="1" t="n">
        <v>45665</v>
      </c>
      <c r="D1085" t="inlineStr">
        <is>
          <t>SÖDERMANLANDS LÄN</t>
        </is>
      </c>
      <c r="E1085" t="inlineStr">
        <is>
          <t>FLEN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45665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60530-2024</t>
        </is>
      </c>
      <c r="B1087" s="1" t="n">
        <v>45643</v>
      </c>
      <c r="C1087" s="1" t="n">
        <v>45665</v>
      </c>
      <c r="D1087" t="inlineStr">
        <is>
          <t>SÖDERMANLANDS LÄN</t>
        </is>
      </c>
      <c r="E1087" t="inlineStr">
        <is>
          <t>FLEN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60531-2024</t>
        </is>
      </c>
      <c r="B1088" s="1" t="n">
        <v>45643</v>
      </c>
      <c r="C1088" s="1" t="n">
        <v>45665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60756-2024</t>
        </is>
      </c>
      <c r="B1089" s="1" t="n">
        <v>45644</v>
      </c>
      <c r="C1089" s="1" t="n">
        <v>45665</v>
      </c>
      <c r="D1089" t="inlineStr">
        <is>
          <t>SÖDERMANLANDS LÄN</t>
        </is>
      </c>
      <c r="E1089" t="inlineStr">
        <is>
          <t>FLEN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38-2025</t>
        </is>
      </c>
      <c r="B1090" s="1" t="n">
        <v>45648</v>
      </c>
      <c r="C1090" s="1" t="n">
        <v>45665</v>
      </c>
      <c r="D1090" t="inlineStr">
        <is>
          <t>SÖDERMANLANDS LÄN</t>
        </is>
      </c>
      <c r="E1090" t="inlineStr">
        <is>
          <t>FLEN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2025-01-08T15:22:22Z</dcterms:created>
  <dcterms:modified xmlns:dcterms="http://purl.org/dc/terms/" xmlns:xsi="http://www.w3.org/2001/XMLSchema-instance" xsi:type="dcterms:W3CDTF">2025-01-08T15:22:23Z</dcterms:modified>
</cp:coreProperties>
</file>