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46266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46266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46266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46266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46266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46266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46266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46266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46266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46266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46266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46266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46266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46266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46266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50343-2024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46266</v>
      </c>
      <c r="F28" t="inlineStr">
        <is>
          <t>SÖDERMANLANDS LÄN</t>
        </is>
      </c>
      <c r="G28" t="inlineStr">
        <is>
          <t>FLEN</t>
        </is>
      </c>
      <c r="H28" t="inlineStr">
        <is>
          <t>Övriga statliga verk och myndigheter</t>
        </is>
      </c>
      <c r="I28" t="n">
        <v>3.6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Svartöra
Tallticka
Blåsippa
Liljekonvalj
Vildkaprifol</t>
        </is>
      </c>
      <c r="W28">
        <f>HYPERLINK("https://klasma.github.io/Logging_0482/artfynd/A 50343-2024 artfynd.xlsx", "A 50343-2024")</f>
        <v/>
      </c>
      <c r="X28">
        <f>HYPERLINK("https://klasma.github.io/Logging_0482/kartor/A 50343-2024 karta.png", "A 50343-2024")</f>
        <v/>
      </c>
      <c r="Y28">
        <f>HYPERLINK("https://klasma.github.io/Logging_0482/kartor_geotiff/A 50343-2024 georefererad karta.tif", "A 50343-2024")</f>
        <v/>
      </c>
      <c r="AA28">
        <f>HYPERLINK("https://klasma.github.io/Logging_0482/klagomål/A 50343-2024 FSC-klagomål.docx", "A 50343-2024")</f>
        <v/>
      </c>
      <c r="AB28">
        <f>HYPERLINK("https://klasma.github.io/Logging_0482/klagomålsmail/A 50343-2024 FSC-klagomål mail.docx", "A 50343-2024")</f>
        <v/>
      </c>
      <c r="AC28">
        <f>HYPERLINK("https://klasma.github.io/Logging_0482/tillsyn/A 50343-2024 tillsynsbegäran.docx", "A 50343-2024")</f>
        <v/>
      </c>
      <c r="AD28">
        <f>HYPERLINK("https://klasma.github.io/Logging_0482/tillsynsmail/A 50343-2024 tillsynsbegäran mail.docx", "A 50343-2024")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46266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46266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2661-2026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46037</v>
      </c>
      <c r="E31" s="1" t="n">
        <v>46266</v>
      </c>
      <c r="F31" t="inlineStr">
        <is>
          <t>SÖDERMANLANDS LÄN</t>
        </is>
      </c>
      <c r="G31" t="inlineStr">
        <is>
          <t>FLEN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Blåsippa
Ekbräken
Hultbräken
Liljekonvalj
Majbräken</t>
        </is>
      </c>
      <c r="W31">
        <f>HYPERLINK("https://klasma.github.io/Logging_0482/artfynd/A 2661-2026 artfynd.xlsx", "A 2661-2026")</f>
        <v/>
      </c>
      <c r="X31">
        <f>HYPERLINK("https://klasma.github.io/Logging_0482/kartor/A 2661-2026 karta.png", "A 2661-2026")</f>
        <v/>
      </c>
      <c r="Y31">
        <f>HYPERLINK("https://klasma.github.io/Logging_0482/kartor_geotiff/A 2661-2026 georefererad karta.tif", "A 2661-2026")</f>
        <v/>
      </c>
      <c r="AA31">
        <f>HYPERLINK("https://klasma.github.io/Logging_0482/klagomål/A 2661-2026 FSC-klagomål.docx", "A 2661-2026")</f>
        <v/>
      </c>
      <c r="AB31">
        <f>HYPERLINK("https://klasma.github.io/Logging_0482/klagomålsmail/A 2661-2026 FSC-klagomål mail.docx", "A 2661-2026")</f>
        <v/>
      </c>
      <c r="AC31">
        <f>HYPERLINK("https://klasma.github.io/Logging_0482/tillsyn/A 2661-2026 tillsynsbegäran.docx", "A 2661-2026")</f>
        <v/>
      </c>
      <c r="AD31">
        <f>HYPERLINK("https://klasma.github.io/Logging_0482/tillsynsmail/A 2661-2026 tillsynsbegäran mail.docx", "A 2661-2026")</f>
        <v/>
      </c>
    </row>
    <row r="32" ht="15" customHeight="1">
      <c r="A32" t="inlineStr">
        <is>
          <t>A 4551-2023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44956</v>
      </c>
      <c r="E32" s="1" t="n">
        <v>46266</v>
      </c>
      <c r="F32" t="inlineStr">
        <is>
          <t>SÖDERMANLANDS LÄN</t>
        </is>
      </c>
      <c r="G32" t="inlineStr">
        <is>
          <t>FLEN</t>
        </is>
      </c>
      <c r="I32" t="n">
        <v>6.6</v>
      </c>
      <c r="J32" t="n">
        <v>1</v>
      </c>
      <c r="K32" t="n">
        <v>0</v>
      </c>
      <c r="L32" t="n">
        <v>3</v>
      </c>
      <c r="M32" t="n">
        <v>0</v>
      </c>
      <c r="N32" t="n">
        <v>1</v>
      </c>
      <c r="O32" t="n">
        <v>0</v>
      </c>
      <c r="P32" t="n">
        <v>0</v>
      </c>
      <c r="Q32" t="n">
        <v>4</v>
      </c>
      <c r="R32" t="n">
        <v>1</v>
      </c>
      <c r="S32" t="n">
        <v>5</v>
      </c>
      <c r="T32" t="n">
        <v>6</v>
      </c>
      <c r="U32" t="n">
        <v>4</v>
      </c>
      <c r="V32" s="2" t="inlineStr">
        <is>
          <t>Ask
Krusfrö
Svinrot
Älg
Större vattensalamander</t>
        </is>
      </c>
      <c r="W32">
        <f>HYPERLINK("https://klasma.github.io/Logging_0482/artfynd/A 4551-2023 artfynd.xlsx", "A 4551-2023")</f>
        <v/>
      </c>
      <c r="X32">
        <f>HYPERLINK("https://klasma.github.io/Logging_0482/kartor/A 4551-2023 karta.png", "A 4551-2023")</f>
        <v/>
      </c>
      <c r="Y32">
        <f>HYPERLINK("https://klasma.github.io/Logging_0482/kartor_geotiff/A 4551-2023 georefererad karta.tif", "A 4551-2023")</f>
        <v/>
      </c>
      <c r="AA32">
        <f>HYPERLINK("https://klasma.github.io/Logging_0482/klagomål/A 4551-2023 FSC-klagomål.docx", "A 4551-2023")</f>
        <v/>
      </c>
      <c r="AB32">
        <f>HYPERLINK("https://klasma.github.io/Logging_0482/klagomålsmail/A 4551-2023 FSC-klagomål mail.docx", "A 4551-2023")</f>
        <v/>
      </c>
      <c r="AC32">
        <f>HYPERLINK("https://klasma.github.io/Logging_0482/tillsyn/A 4551-2023 tillsynsbegäran.docx", "A 4551-2023")</f>
        <v/>
      </c>
      <c r="AD32">
        <f>HYPERLINK("https://klasma.github.io/Logging_0482/tillsynsmail/A 4551-2023 tillsynsbegäran mail.docx", "A 4551-2023")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46266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A 13755-2026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46097</v>
      </c>
      <c r="E34" s="1" t="n">
        <v>46266</v>
      </c>
      <c r="F34" t="inlineStr">
        <is>
          <t>SÖDERMANLANDS LÄN</t>
        </is>
      </c>
      <c r="G34" t="inlineStr">
        <is>
          <t>FLEN</t>
        </is>
      </c>
      <c r="I34" t="n">
        <v>2.9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Åkerrättika
Jungfrulin
Svart trolldruva
Blåsippa
Grönvit nattviol</t>
        </is>
      </c>
      <c r="W34">
        <f>HYPERLINK("https://klasma.github.io/Logging_0482/artfynd/A 13755-2026 artfynd.xlsx", "A 13755-2026")</f>
        <v/>
      </c>
      <c r="X34">
        <f>HYPERLINK("https://klasma.github.io/Logging_0482/kartor/A 13755-2026 karta.png", "A 13755-2026")</f>
        <v/>
      </c>
      <c r="Y34">
        <f>HYPERLINK("https://klasma.github.io/Logging_0482/kartor_geotiff/A 13755-2026 georefererad karta.tif", "A 13755-2026")</f>
        <v/>
      </c>
      <c r="AA34">
        <f>HYPERLINK("https://klasma.github.io/Logging_0482/klagomål/A 13755-2026 FSC-klagomål.docx", "A 13755-2026")</f>
        <v/>
      </c>
      <c r="AB34">
        <f>HYPERLINK("https://klasma.github.io/Logging_0482/klagomålsmail/A 13755-2026 FSC-klagomål mail.docx", "A 13755-2026")</f>
        <v/>
      </c>
      <c r="AC34">
        <f>HYPERLINK("https://klasma.github.io/Logging_0482/tillsyn/A 13755-2026 tillsynsbegäran.docx", "A 13755-2026")</f>
        <v/>
      </c>
      <c r="AD34">
        <f>HYPERLINK("https://klasma.github.io/Logging_0482/tillsynsmail/A 13755-2026 tillsynsbegäran mail.docx", "A 13755-2026")</f>
        <v/>
      </c>
    </row>
    <row r="35" ht="15" customHeight="1">
      <c r="A35" t="inlineStr">
        <is>
          <t>A 17508-2026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46119</v>
      </c>
      <c r="E35" s="1" t="n">
        <v>46266</v>
      </c>
      <c r="F35" t="inlineStr">
        <is>
          <t>SÖDERMANLANDS LÄN</t>
        </is>
      </c>
      <c r="G35" t="inlineStr">
        <is>
          <t>FLEN</t>
        </is>
      </c>
      <c r="I35" t="n">
        <v>2.2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5</v>
      </c>
      <c r="U35" t="n">
        <v>2</v>
      </c>
      <c r="V35" s="2" t="inlineStr">
        <is>
          <t>Gulvaxing
Ekbräken
Spillkråka
Sälg
Gröngöling</t>
        </is>
      </c>
      <c r="W35">
        <f>HYPERLINK("https://klasma.github.io/Logging_0482/artfynd/A 17508-2026 artfynd.xlsx", "A 17508-2026")</f>
        <v/>
      </c>
      <c r="X35">
        <f>HYPERLINK("https://klasma.github.io/Logging_0482/kartor/A 17508-2026 karta.png", "A 17508-2026")</f>
        <v/>
      </c>
      <c r="Y35">
        <f>HYPERLINK("https://klasma.github.io/Logging_0482/kartor_geotiff/A 17508-2026 georefererad karta.tif", "A 17508-2026")</f>
        <v/>
      </c>
      <c r="AA35">
        <f>HYPERLINK("https://klasma.github.io/Logging_0482/klagomål/A 17508-2026 FSC-klagomål.docx", "A 17508-2026")</f>
        <v/>
      </c>
      <c r="AB35">
        <f>HYPERLINK("https://klasma.github.io/Logging_0482/klagomålsmail/A 17508-2026 FSC-klagomål mail.docx", "A 17508-2026")</f>
        <v/>
      </c>
      <c r="AC35">
        <f>HYPERLINK("https://klasma.github.io/Logging_0482/tillsyn/A 17508-2026 tillsynsbegäran.docx", "A 17508-2026")</f>
        <v/>
      </c>
      <c r="AD35">
        <f>HYPERLINK("https://klasma.github.io/Logging_0482/tillsynsmail/A 17508-2026 tillsynsbegäran mail.docx", "A 17508-2026")</f>
        <v/>
      </c>
      <c r="AE35">
        <f>HYPERLINK("https://klasma.github.io/Logging_0482/fåglar/A 17508-2026 prioriterade fågelarter.docx", "A 17508-2026")</f>
        <v/>
      </c>
    </row>
    <row r="36" ht="15" customHeight="1">
      <c r="A36" t="inlineStr">
        <is>
          <t>S 635-2025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45714</v>
      </c>
      <c r="E36" s="1" t="n">
        <v>46266</v>
      </c>
      <c r="F36" t="inlineStr">
        <is>
          <t>SÖDERMANLANDS LÄN</t>
        </is>
      </c>
      <c r="G36" t="inlineStr">
        <is>
          <t>FLEN</t>
        </is>
      </c>
      <c r="H36" t="inlineStr">
        <is>
          <t>Holmen skog AB</t>
        </is>
      </c>
      <c r="I36" t="n">
        <v>30.6</v>
      </c>
      <c r="J36" t="n">
        <v>2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Svedjenäva
Svinrot
Tibast
Blåsippa
Gullviva</t>
        </is>
      </c>
      <c r="W36">
        <f>HYPERLINK("https://klasma.github.io/Logging_0482/artfynd/S 635-2025 artfynd.xlsx", "S 635-2025")</f>
        <v/>
      </c>
      <c r="X36">
        <f>HYPERLINK("https://klasma.github.io/Logging_0482/kartor/S 635-2025 karta.png", "S 635-2025")</f>
        <v/>
      </c>
      <c r="Y36">
        <f>HYPERLINK("https://klasma.github.io/Logging_0482/kartor_geotiff/S 635-2025 georefererad karta.tif", "S 635-2025")</f>
        <v/>
      </c>
      <c r="AA36">
        <f>HYPERLINK("https://klasma.github.io/Logging_0482/klagomål/S 635-2025 FSC-klagomål.docx", "S 635-2025")</f>
        <v/>
      </c>
      <c r="AB36">
        <f>HYPERLINK("https://klasma.github.io/Logging_0482/klagomålsmail/S 635-2025 FSC-klagomål mail.docx", "S 635-2025")</f>
        <v/>
      </c>
      <c r="AC36">
        <f>HYPERLINK("https://klasma.github.io/Logging_0482/tillsyn/S 635-2025 tillsynsbegäran.docx", "S 635-2025")</f>
        <v/>
      </c>
      <c r="AD36">
        <f>HYPERLINK("https://klasma.github.io/Logging_0482/tillsynsmail/S 635-2025 tillsynsbegäran mail.docx", "S 635-2025")</f>
        <v/>
      </c>
    </row>
    <row r="37" ht="15" customHeight="1">
      <c r="A37" t="inlineStr">
        <is>
          <t>A 5859-2022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44596</v>
      </c>
      <c r="E37" s="1" t="n">
        <v>46266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5</v>
      </c>
      <c r="U37" t="n">
        <v>5</v>
      </c>
      <c r="V37" s="2" t="inlineStr">
        <is>
          <t>Fällmossa
Granbarkgnagare
Svart trolldruva
Blåsippa</t>
        </is>
      </c>
      <c r="W37">
        <f>HYPERLINK("https://klasma.github.io/Logging_0482/artfynd/A 5859-2022 artfynd.xlsx", "A 5859-2022")</f>
        <v/>
      </c>
      <c r="X37">
        <f>HYPERLINK("https://klasma.github.io/Logging_0482/kartor/A 5859-2022 karta.png", "A 5859-2022")</f>
        <v/>
      </c>
      <c r="Y37">
        <f>HYPERLINK("https://klasma.github.io/Logging_0482/kartor_geotiff/A 5859-2022 georefererad karta.tif", "A 5859-2022")</f>
        <v/>
      </c>
      <c r="AA37">
        <f>HYPERLINK("https://klasma.github.io/Logging_0482/klagomål/A 5859-2022 FSC-klagomål.docx", "A 5859-2022")</f>
        <v/>
      </c>
      <c r="AB37">
        <f>HYPERLINK("https://klasma.github.io/Logging_0482/klagomålsmail/A 5859-2022 FSC-klagomål mail.docx", "A 5859-2022")</f>
        <v/>
      </c>
      <c r="AC37">
        <f>HYPERLINK("https://klasma.github.io/Logging_0482/tillsyn/A 5859-2022 tillsynsbegäran.docx", "A 5859-2022")</f>
        <v/>
      </c>
      <c r="AD37">
        <f>HYPERLINK("https://klasma.github.io/Logging_0482/tillsynsmail/A 5859-2022 tillsynsbegäran mail.docx", "A 5859-2022")</f>
        <v/>
      </c>
    </row>
    <row r="38" ht="15" customHeight="1">
      <c r="A38" t="inlineStr">
        <is>
          <t>A 54325-2021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44472</v>
      </c>
      <c r="E38" s="1" t="n">
        <v>46266</v>
      </c>
      <c r="F38" t="inlineStr">
        <is>
          <t>SÖDERMANLANDS LÄN</t>
        </is>
      </c>
      <c r="G38" t="inlineStr">
        <is>
          <t>FLEN</t>
        </is>
      </c>
      <c r="I38" t="n">
        <v>1.6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Gullklöver
Jungfrulin
Humleblomster
Ängskovall</t>
        </is>
      </c>
      <c r="W38">
        <f>HYPERLINK("https://klasma.github.io/Logging_0482/artfynd/A 54325-2021 artfynd.xlsx", "A 54325-2021")</f>
        <v/>
      </c>
      <c r="X38">
        <f>HYPERLINK("https://klasma.github.io/Logging_0482/kartor/A 54325-2021 karta.png", "A 54325-2021")</f>
        <v/>
      </c>
      <c r="Y38">
        <f>HYPERLINK("https://klasma.github.io/Logging_0482/kartor_geotiff/A 54325-2021 georefererad karta.tif", "A 54325-2021")</f>
        <v/>
      </c>
      <c r="AA38">
        <f>HYPERLINK("https://klasma.github.io/Logging_0482/klagomål/A 54325-2021 FSC-klagomål.docx", "A 54325-2021")</f>
        <v/>
      </c>
      <c r="AB38">
        <f>HYPERLINK("https://klasma.github.io/Logging_0482/klagomålsmail/A 54325-2021 FSC-klagomål mail.docx", "A 54325-2021")</f>
        <v/>
      </c>
      <c r="AC38">
        <f>HYPERLINK("https://klasma.github.io/Logging_0482/tillsyn/A 54325-2021 tillsynsbegäran.docx", "A 54325-2021")</f>
        <v/>
      </c>
      <c r="AD38">
        <f>HYPERLINK("https://klasma.github.io/Logging_0482/tillsynsmail/A 54325-2021 tillsynsbegäran mail.docx", "A 54325-2021")</f>
        <v/>
      </c>
    </row>
    <row r="39" ht="15" customHeight="1">
      <c r="A39" t="inlineStr">
        <is>
          <t>A 13230-2023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46266</v>
      </c>
      <c r="F39" t="inlineStr">
        <is>
          <t>SÖDERMANLANDS LÄN</t>
        </is>
      </c>
      <c r="G39" t="inlineStr">
        <is>
          <t>FLEN</t>
        </is>
      </c>
      <c r="H39" t="inlineStr">
        <is>
          <t>Kommuner</t>
        </is>
      </c>
      <c r="I39" t="n">
        <v>7.8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Källpraktmossa
Stor aspticka
Blåsippa
Glansfläck</t>
        </is>
      </c>
      <c r="W39">
        <f>HYPERLINK("https://klasma.github.io/Logging_0482/artfynd/A 13230-2023 artfynd.xlsx", "A 13230-2023")</f>
        <v/>
      </c>
      <c r="X39">
        <f>HYPERLINK("https://klasma.github.io/Logging_0482/kartor/A 13230-2023 karta.png", "A 13230-2023")</f>
        <v/>
      </c>
      <c r="Y39">
        <f>HYPERLINK("https://klasma.github.io/Logging_0482/kartor_geotiff/A 13230-2023 georefererad karta.tif", "A 13230-2023")</f>
        <v/>
      </c>
      <c r="AA39">
        <f>HYPERLINK("https://klasma.github.io/Logging_0482/klagomål/A 13230-2023 FSC-klagomål.docx", "A 13230-2023")</f>
        <v/>
      </c>
      <c r="AB39">
        <f>HYPERLINK("https://klasma.github.io/Logging_0482/klagomålsmail/A 13230-2023 FSC-klagomål mail.docx", "A 13230-2023")</f>
        <v/>
      </c>
      <c r="AC39">
        <f>HYPERLINK("https://klasma.github.io/Logging_0482/tillsyn/A 13230-2023 tillsynsbegäran.docx", "A 13230-2023")</f>
        <v/>
      </c>
      <c r="AD39">
        <f>HYPERLINK("https://klasma.github.io/Logging_0482/tillsynsmail/A 13230-2023 tillsynsbegäran mail.docx", "A 13230-2023")</f>
        <v/>
      </c>
    </row>
    <row r="40" ht="15" customHeight="1">
      <c r="A40" t="inlineStr">
        <is>
          <t>A 21004-2025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46266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1.8</v>
      </c>
      <c r="J40" t="n">
        <v>0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Ask
Parknål
Tallticka
Brun nållav</t>
        </is>
      </c>
      <c r="W40">
        <f>HYPERLINK("https://klasma.github.io/Logging_0482/artfynd/A 21004-2025 artfynd.xlsx", "A 21004-2025")</f>
        <v/>
      </c>
      <c r="X40">
        <f>HYPERLINK("https://klasma.github.io/Logging_0482/kartor/A 21004-2025 karta.png", "A 21004-2025")</f>
        <v/>
      </c>
      <c r="Y40">
        <f>HYPERLINK("https://klasma.github.io/Logging_0482/kartor_geotiff/A 21004-2025 georefererad karta.tif", "A 21004-2025")</f>
        <v/>
      </c>
      <c r="AA40">
        <f>HYPERLINK("https://klasma.github.io/Logging_0482/klagomål/A 21004-2025 FSC-klagomål.docx", "A 21004-2025")</f>
        <v/>
      </c>
      <c r="AB40">
        <f>HYPERLINK("https://klasma.github.io/Logging_0482/klagomålsmail/A 21004-2025 FSC-klagomål mail.docx", "A 21004-2025")</f>
        <v/>
      </c>
      <c r="AC40">
        <f>HYPERLINK("https://klasma.github.io/Logging_0482/tillsyn/A 21004-2025 tillsynsbegäran.docx", "A 21004-2025")</f>
        <v/>
      </c>
      <c r="AD40">
        <f>HYPERLINK("https://klasma.github.io/Logging_0482/tillsynsmail/A 21004-2025 tillsynsbegäran mail.docx", "A 21004-2025")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46266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46266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46266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33225-2024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45518</v>
      </c>
      <c r="E44" s="1" t="n">
        <v>46266</v>
      </c>
      <c r="F44" t="inlineStr">
        <is>
          <t>SÖDERMANLANDS LÄN</t>
        </is>
      </c>
      <c r="G44" t="inlineStr">
        <is>
          <t>FLEN</t>
        </is>
      </c>
      <c r="I44" t="n">
        <v>0.1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Skogsklocka
Svinrot
Vippärt
Grönvit nattviol</t>
        </is>
      </c>
      <c r="W44">
        <f>HYPERLINK("https://klasma.github.io/Logging_0482/artfynd/A 33225-2024 artfynd.xlsx", "A 33225-2024")</f>
        <v/>
      </c>
      <c r="X44">
        <f>HYPERLINK("https://klasma.github.io/Logging_0482/kartor/A 33225-2024 karta.png", "A 33225-2024")</f>
        <v/>
      </c>
      <c r="Y44">
        <f>HYPERLINK("https://klasma.github.io/Logging_0482/kartor_geotiff/A 33225-2024 georefererad karta.tif", "A 33225-2024")</f>
        <v/>
      </c>
      <c r="AA44">
        <f>HYPERLINK("https://klasma.github.io/Logging_0482/klagomål/A 33225-2024 FSC-klagomål.docx", "A 33225-2024")</f>
        <v/>
      </c>
      <c r="AB44">
        <f>HYPERLINK("https://klasma.github.io/Logging_0482/klagomålsmail/A 33225-2024 FSC-klagomål mail.docx", "A 33225-2024")</f>
        <v/>
      </c>
      <c r="AC44">
        <f>HYPERLINK("https://klasma.github.io/Logging_0482/tillsyn/A 33225-2024 tillsynsbegäran.docx", "A 33225-2024")</f>
        <v/>
      </c>
      <c r="AD44">
        <f>HYPERLINK("https://klasma.github.io/Logging_0482/tillsynsmail/A 33225-2024 tillsynsbegäran mail.docx", "A 33225-2024")</f>
        <v/>
      </c>
    </row>
    <row r="45" ht="15" customHeight="1">
      <c r="A45" t="inlineStr">
        <is>
          <t>A 10107-2023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44986</v>
      </c>
      <c r="E45" s="1" t="n">
        <v>46266</v>
      </c>
      <c r="F45" t="inlineStr">
        <is>
          <t>SÖDERMANLANDS LÄN</t>
        </is>
      </c>
      <c r="G45" t="inlineStr">
        <is>
          <t>FLEN</t>
        </is>
      </c>
      <c r="I45" t="n">
        <v>21.1</v>
      </c>
      <c r="J45" t="n">
        <v>2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4</v>
      </c>
      <c r="U45" t="n">
        <v>2</v>
      </c>
      <c r="V45" s="2" t="inlineStr">
        <is>
          <t>Bombmurkla
Svedjenäva
Blåmossa
Mattlummer</t>
        </is>
      </c>
      <c r="W45">
        <f>HYPERLINK("https://klasma.github.io/Logging_0482/artfynd/A 10107-2023 artfynd.xlsx", "A 10107-2023")</f>
        <v/>
      </c>
      <c r="X45">
        <f>HYPERLINK("https://klasma.github.io/Logging_0482/kartor/A 10107-2023 karta.png", "A 10107-2023")</f>
        <v/>
      </c>
      <c r="Y45">
        <f>HYPERLINK("https://klasma.github.io/Logging_0482/kartor_geotiff/A 10107-2023 georefererad karta.tif", "A 10107-2023")</f>
        <v/>
      </c>
      <c r="AA45">
        <f>HYPERLINK("https://klasma.github.io/Logging_0482/klagomål/A 10107-2023 FSC-klagomål.docx", "A 10107-2023")</f>
        <v/>
      </c>
      <c r="AB45">
        <f>HYPERLINK("https://klasma.github.io/Logging_0482/klagomålsmail/A 10107-2023 FSC-klagomål mail.docx", "A 10107-2023")</f>
        <v/>
      </c>
      <c r="AC45">
        <f>HYPERLINK("https://klasma.github.io/Logging_0482/tillsyn/A 10107-2023 tillsynsbegäran.docx", "A 10107-2023")</f>
        <v/>
      </c>
      <c r="AD45">
        <f>HYPERLINK("https://klasma.github.io/Logging_0482/tillsynsmail/A 10107-2023 tillsynsbegäran mail.docx", "A 10107-2023")</f>
        <v/>
      </c>
    </row>
    <row r="46" ht="15" customHeight="1">
      <c r="A46" t="inlineStr">
        <is>
          <t>A 11115-2026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46266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7.8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6</v>
      </c>
      <c r="U46" t="n">
        <v>6</v>
      </c>
      <c r="V46" s="2" t="inlineStr">
        <is>
          <t>Dropptaggsvamp
Fönsterlav
Grå renlav
Gulvit renlav</t>
        </is>
      </c>
      <c r="W46">
        <f>HYPERLINK("https://klasma.github.io/Logging_0482/artfynd/A 11115-2026 artfynd.xlsx", "A 11115-2026")</f>
        <v/>
      </c>
      <c r="X46">
        <f>HYPERLINK("https://klasma.github.io/Logging_0482/kartor/A 11115-2026 karta.png", "A 11115-2026")</f>
        <v/>
      </c>
      <c r="Y46">
        <f>HYPERLINK("https://klasma.github.io/Logging_0482/kartor_geotiff/A 11115-2026 georefererad karta.tif", "A 11115-2026")</f>
        <v/>
      </c>
      <c r="AA46">
        <f>HYPERLINK("https://klasma.github.io/Logging_0482/klagomål/A 11115-2026 FSC-klagomål.docx", "A 11115-2026")</f>
        <v/>
      </c>
      <c r="AB46">
        <f>HYPERLINK("https://klasma.github.io/Logging_0482/klagomålsmail/A 11115-2026 FSC-klagomål mail.docx", "A 11115-2026")</f>
        <v/>
      </c>
      <c r="AC46">
        <f>HYPERLINK("https://klasma.github.io/Logging_0482/tillsyn/A 11115-2026 tillsynsbegäran.docx", "A 11115-2026")</f>
        <v/>
      </c>
      <c r="AD46">
        <f>HYPERLINK("https://klasma.github.io/Logging_0482/tillsynsmail/A 11115-2026 tillsynsbegäran mail.docx", "A 11115-2026")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46266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46266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46266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38465-2025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46266</v>
      </c>
      <c r="F50" t="inlineStr">
        <is>
          <t>SÖDERMANLANDS LÄN</t>
        </is>
      </c>
      <c r="G50" t="inlineStr">
        <is>
          <t>FLEN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Gullklöver
Nattviol</t>
        </is>
      </c>
      <c r="W50">
        <f>HYPERLINK("https://klasma.github.io/Logging_0482/artfynd/A 38465-2025 artfynd.xlsx", "A 38465-2025")</f>
        <v/>
      </c>
      <c r="X50">
        <f>HYPERLINK("https://klasma.github.io/Logging_0482/kartor/A 38465-2025 karta.png", "A 38465-2025")</f>
        <v/>
      </c>
      <c r="Y50">
        <f>HYPERLINK("https://klasma.github.io/Logging_0482/kartor_geotiff/A 38465-2025 georefererad karta.tif", "A 38465-2025")</f>
        <v/>
      </c>
      <c r="AA50">
        <f>HYPERLINK("https://klasma.github.io/Logging_0482/klagomål/A 38465-2025 FSC-klagomål.docx", "A 38465-2025")</f>
        <v/>
      </c>
      <c r="AB50">
        <f>HYPERLINK("https://klasma.github.io/Logging_0482/klagomålsmail/A 38465-2025 FSC-klagomål mail.docx", "A 38465-2025")</f>
        <v/>
      </c>
      <c r="AC50">
        <f>HYPERLINK("https://klasma.github.io/Logging_0482/tillsyn/A 38465-2025 tillsynsbegäran.docx", "A 38465-2025")</f>
        <v/>
      </c>
      <c r="AD50">
        <f>HYPERLINK("https://klasma.github.io/Logging_0482/tillsynsmail/A 38465-2025 tillsynsbegäran mail.docx", "A 38465-2025")</f>
        <v/>
      </c>
    </row>
    <row r="51" ht="15" customHeight="1">
      <c r="A51" t="inlineStr">
        <is>
          <t>A 38466-2025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46266</v>
      </c>
      <c r="F51" t="inlineStr">
        <is>
          <t>SÖDERMANLANDS LÄN</t>
        </is>
      </c>
      <c r="G51" t="inlineStr">
        <is>
          <t>FLEN</t>
        </is>
      </c>
      <c r="I51" t="n">
        <v>5.4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Svinrot
Blåsippa
Gullviva</t>
        </is>
      </c>
      <c r="W51">
        <f>HYPERLINK("https://klasma.github.io/Logging_0482/artfynd/A 38466-2025 artfynd.xlsx", "A 38466-2025")</f>
        <v/>
      </c>
      <c r="X51">
        <f>HYPERLINK("https://klasma.github.io/Logging_0482/kartor/A 38466-2025 karta.png", "A 38466-2025")</f>
        <v/>
      </c>
      <c r="Y51">
        <f>HYPERLINK("https://klasma.github.io/Logging_0482/kartor_geotiff/A 38466-2025 georefererad karta.tif", "A 38466-2025")</f>
        <v/>
      </c>
      <c r="AA51">
        <f>HYPERLINK("https://klasma.github.io/Logging_0482/klagomål/A 38466-2025 FSC-klagomål.docx", "A 38466-2025")</f>
        <v/>
      </c>
      <c r="AB51">
        <f>HYPERLINK("https://klasma.github.io/Logging_0482/klagomålsmail/A 38466-2025 FSC-klagomål mail.docx", "A 38466-2025")</f>
        <v/>
      </c>
      <c r="AC51">
        <f>HYPERLINK("https://klasma.github.io/Logging_0482/tillsyn/A 38466-2025 tillsynsbegäran.docx", "A 38466-2025")</f>
        <v/>
      </c>
      <c r="AD51">
        <f>HYPERLINK("https://klasma.github.io/Logging_0482/tillsynsmail/A 38466-2025 tillsynsbegäran mail.docx", "A 38466-2025")</f>
        <v/>
      </c>
    </row>
    <row r="52" ht="15" customHeight="1">
      <c r="A52" t="inlineStr">
        <is>
          <t>A 9539-2026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46266</v>
      </c>
      <c r="F52" t="inlineStr">
        <is>
          <t>SÖDERMANLANDS LÄN</t>
        </is>
      </c>
      <c r="G52" t="inlineStr">
        <is>
          <t>FLEN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Ask
Slåtterfibbla
Blåsippa</t>
        </is>
      </c>
      <c r="W52">
        <f>HYPERLINK("https://klasma.github.io/Logging_0482/artfynd/A 9539-2026 artfynd.xlsx", "A 9539-2026")</f>
        <v/>
      </c>
      <c r="X52">
        <f>HYPERLINK("https://klasma.github.io/Logging_0482/kartor/A 9539-2026 karta.png", "A 9539-2026")</f>
        <v/>
      </c>
      <c r="Y52">
        <f>HYPERLINK("https://klasma.github.io/Logging_0482/kartor_geotiff/A 9539-2026 georefererad karta.tif", "A 9539-2026")</f>
        <v/>
      </c>
      <c r="AA52">
        <f>HYPERLINK("https://klasma.github.io/Logging_0482/klagomål/A 9539-2026 FSC-klagomål.docx", "A 9539-2026")</f>
        <v/>
      </c>
      <c r="AB52">
        <f>HYPERLINK("https://klasma.github.io/Logging_0482/klagomålsmail/A 9539-2026 FSC-klagomål mail.docx", "A 9539-2026")</f>
        <v/>
      </c>
      <c r="AC52">
        <f>HYPERLINK("https://klasma.github.io/Logging_0482/tillsyn/A 9539-2026 tillsynsbegäran.docx", "A 9539-2026")</f>
        <v/>
      </c>
      <c r="AD52">
        <f>HYPERLINK("https://klasma.github.io/Logging_0482/tillsynsmail/A 9539-2026 tillsynsbegäran mail.docx", "A 9539-2026")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46266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46266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46266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46266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46266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54302-2025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46266</v>
      </c>
      <c r="F58" t="inlineStr">
        <is>
          <t>SÖDERMANLANDS LÄN</t>
        </is>
      </c>
      <c r="G58" t="inlineStr">
        <is>
          <t>FLEN</t>
        </is>
      </c>
      <c r="I58" t="n">
        <v>12.6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Dofttaggsvamp
Svinrot
Mattlummer</t>
        </is>
      </c>
      <c r="W58">
        <f>HYPERLINK("https://klasma.github.io/Logging_0482/artfynd/A 54302-2025 artfynd.xlsx", "A 54302-2025")</f>
        <v/>
      </c>
      <c r="X58">
        <f>HYPERLINK("https://klasma.github.io/Logging_0482/kartor/A 54302-2025 karta.png", "A 54302-2025")</f>
        <v/>
      </c>
      <c r="Y58">
        <f>HYPERLINK("https://klasma.github.io/Logging_0482/kartor_geotiff/A 54302-2025 georefererad karta.tif", "A 54302-2025")</f>
        <v/>
      </c>
      <c r="AA58">
        <f>HYPERLINK("https://klasma.github.io/Logging_0482/klagomål/A 54302-2025 FSC-klagomål.docx", "A 54302-2025")</f>
        <v/>
      </c>
      <c r="AB58">
        <f>HYPERLINK("https://klasma.github.io/Logging_0482/klagomålsmail/A 54302-2025 FSC-klagomål mail.docx", "A 54302-2025")</f>
        <v/>
      </c>
      <c r="AC58">
        <f>HYPERLINK("https://klasma.github.io/Logging_0482/tillsyn/A 54302-2025 tillsynsbegäran.docx", "A 54302-2025")</f>
        <v/>
      </c>
      <c r="AD58">
        <f>HYPERLINK("https://klasma.github.io/Logging_0482/tillsynsmail/A 54302-2025 tillsynsbegäran mail.docx", "A 54302-2025")</f>
        <v/>
      </c>
    </row>
    <row r="59" ht="15" customHeight="1">
      <c r="A59" t="inlineStr">
        <is>
          <t>A 1149-2025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46266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Tallkötticka
Grönpyrola
Kamjordstjärna</t>
        </is>
      </c>
      <c r="W59">
        <f>HYPERLINK("https://klasma.github.io/Logging_0482/artfynd/A 1149-2025 artfynd.xlsx", "A 1149-2025")</f>
        <v/>
      </c>
      <c r="X59">
        <f>HYPERLINK("https://klasma.github.io/Logging_0482/kartor/A 1149-2025 karta.png", "A 1149-2025")</f>
        <v/>
      </c>
      <c r="Y59">
        <f>HYPERLINK("https://klasma.github.io/Logging_0482/kartor_geotiff/A 1149-2025 georefererad karta.tif", "A 1149-2025")</f>
        <v/>
      </c>
      <c r="AA59">
        <f>HYPERLINK("https://klasma.github.io/Logging_0482/klagomål/A 1149-2025 FSC-klagomål.docx", "A 1149-2025")</f>
        <v/>
      </c>
      <c r="AB59">
        <f>HYPERLINK("https://klasma.github.io/Logging_0482/klagomålsmail/A 1149-2025 FSC-klagomål mail.docx", "A 1149-2025")</f>
        <v/>
      </c>
      <c r="AC59">
        <f>HYPERLINK("https://klasma.github.io/Logging_0482/tillsyn/A 1149-2025 tillsynsbegäran.docx", "A 1149-2025")</f>
        <v/>
      </c>
      <c r="AD59">
        <f>HYPERLINK("https://klasma.github.io/Logging_0482/tillsynsmail/A 1149-2025 tillsynsbegäran mail.docx", "A 1149-2025")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46266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46266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46266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46266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46266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46266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46266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46266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46266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46266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49255-2021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46266</v>
      </c>
      <c r="F70" t="inlineStr">
        <is>
          <t>SÖDERMANLANDS LÄN</t>
        </is>
      </c>
      <c r="G70" t="inlineStr">
        <is>
          <t>FLEN</t>
        </is>
      </c>
      <c r="I70" t="n">
        <v>15.6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Backstarr
Revlummer</t>
        </is>
      </c>
      <c r="W70">
        <f>HYPERLINK("https://klasma.github.io/Logging_0482/artfynd/A 49255-2021 artfynd.xlsx", "A 49255-2021")</f>
        <v/>
      </c>
      <c r="X70">
        <f>HYPERLINK("https://klasma.github.io/Logging_0482/kartor/A 49255-2021 karta.png", "A 49255-2021")</f>
        <v/>
      </c>
      <c r="Y70">
        <f>HYPERLINK("https://klasma.github.io/Logging_0482/kartor_geotiff/A 49255-2021 georefererad karta.tif", "A 49255-2021")</f>
        <v/>
      </c>
      <c r="AA70">
        <f>HYPERLINK("https://klasma.github.io/Logging_0482/klagomål/A 49255-2021 FSC-klagomål.docx", "A 49255-2021")</f>
        <v/>
      </c>
      <c r="AB70">
        <f>HYPERLINK("https://klasma.github.io/Logging_0482/klagomålsmail/A 49255-2021 FSC-klagomål mail.docx", "A 49255-2021")</f>
        <v/>
      </c>
      <c r="AC70">
        <f>HYPERLINK("https://klasma.github.io/Logging_0482/tillsyn/A 49255-2021 tillsynsbegäran.docx", "A 49255-2021")</f>
        <v/>
      </c>
      <c r="AD70">
        <f>HYPERLINK("https://klasma.github.io/Logging_0482/tillsynsmail/A 49255-2021 tillsynsbegäran mail.docx", "A 49255-2021")</f>
        <v/>
      </c>
    </row>
    <row r="71" ht="15" customHeight="1">
      <c r="A71" t="inlineStr">
        <is>
          <t>A 32744-2025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45838</v>
      </c>
      <c r="E71" s="1" t="n">
        <v>46266</v>
      </c>
      <c r="F71" t="inlineStr">
        <is>
          <t>SÖDERMANLANDS LÄN</t>
        </is>
      </c>
      <c r="G71" t="inlineStr">
        <is>
          <t>FLEN</t>
        </is>
      </c>
      <c r="I71" t="n">
        <v>1.8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Ekticka
Klasefibbla</t>
        </is>
      </c>
      <c r="W71">
        <f>HYPERLINK("https://klasma.github.io/Logging_0482/artfynd/A 32744-2025 artfynd.xlsx", "A 32744-2025")</f>
        <v/>
      </c>
      <c r="X71">
        <f>HYPERLINK("https://klasma.github.io/Logging_0482/kartor/A 32744-2025 karta.png", "A 32744-2025")</f>
        <v/>
      </c>
      <c r="Y71">
        <f>HYPERLINK("https://klasma.github.io/Logging_0482/kartor_geotiff/A 32744-2025 georefererad karta.tif", "A 32744-2025")</f>
        <v/>
      </c>
      <c r="AA71">
        <f>HYPERLINK("https://klasma.github.io/Logging_0482/klagomål/A 32744-2025 FSC-klagomål.docx", "A 32744-2025")</f>
        <v/>
      </c>
      <c r="AB71">
        <f>HYPERLINK("https://klasma.github.io/Logging_0482/klagomålsmail/A 32744-2025 FSC-klagomål mail.docx", "A 32744-2025")</f>
        <v/>
      </c>
      <c r="AC71">
        <f>HYPERLINK("https://klasma.github.io/Logging_0482/tillsyn/A 32744-2025 tillsynsbegäran.docx", "A 32744-2025")</f>
        <v/>
      </c>
      <c r="AD71">
        <f>HYPERLINK("https://klasma.github.io/Logging_0482/tillsynsmail/A 32744-2025 tillsynsbegäran mail.docx", "A 32744-2025")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46266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50215-2022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44865</v>
      </c>
      <c r="E73" s="1" t="n">
        <v>46266</v>
      </c>
      <c r="F73" t="inlineStr">
        <is>
          <t>SÖDERMANLANDS LÄN</t>
        </is>
      </c>
      <c r="G73" t="inlineStr">
        <is>
          <t>FLEN</t>
        </is>
      </c>
      <c r="H73" t="inlineStr">
        <is>
          <t>Kyrkan</t>
        </is>
      </c>
      <c r="I73" t="n">
        <v>2.2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Äkta lopplummer</t>
        </is>
      </c>
      <c r="W73">
        <f>HYPERLINK("https://klasma.github.io/Logging_0482/artfynd/A 50215-2022 artfynd.xlsx", "A 50215-2022")</f>
        <v/>
      </c>
      <c r="X73">
        <f>HYPERLINK("https://klasma.github.io/Logging_0482/kartor/A 50215-2022 karta.png", "A 50215-2022")</f>
        <v/>
      </c>
      <c r="Y73">
        <f>HYPERLINK("https://klasma.github.io/Logging_0482/kartor_geotiff/A 50215-2022 georefererad karta.tif", "A 50215-2022")</f>
        <v/>
      </c>
      <c r="Z73">
        <f>HYPERLINK("https://klasma.github.io/Logging_0482/knärot/A 50215-2022 karta knärot.png", "A 50215-2022")</f>
        <v/>
      </c>
      <c r="AA73">
        <f>HYPERLINK("https://klasma.github.io/Logging_0482/klagomål/A 50215-2022 FSC-klagomål.docx", "A 50215-2022")</f>
        <v/>
      </c>
      <c r="AB73">
        <f>HYPERLINK("https://klasma.github.io/Logging_0482/klagomålsmail/A 50215-2022 FSC-klagomål mail.docx", "A 50215-2022")</f>
        <v/>
      </c>
      <c r="AC73">
        <f>HYPERLINK("https://klasma.github.io/Logging_0482/tillsyn/A 50215-2022 tillsynsbegäran.docx", "A 50215-2022")</f>
        <v/>
      </c>
      <c r="AD73">
        <f>HYPERLINK("https://klasma.github.io/Logging_0482/tillsynsmail/A 50215-2022 tillsynsbegäran mail.docx", "A 50215-2022")</f>
        <v/>
      </c>
    </row>
    <row r="74" ht="15" customHeight="1">
      <c r="A74" t="inlineStr">
        <is>
          <t>A 15452-2024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46266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Svinrot
Älg</t>
        </is>
      </c>
      <c r="W74">
        <f>HYPERLINK("https://klasma.github.io/Logging_0482/artfynd/A 15452-2024 artfynd.xlsx", "A 15452-2024")</f>
        <v/>
      </c>
      <c r="X74">
        <f>HYPERLINK("https://klasma.github.io/Logging_0482/kartor/A 15452-2024 karta.png", "A 15452-2024")</f>
        <v/>
      </c>
      <c r="Y74">
        <f>HYPERLINK("https://klasma.github.io/Logging_0482/kartor_geotiff/A 15452-2024 georefererad karta.tif", "A 15452-2024")</f>
        <v/>
      </c>
      <c r="AA74">
        <f>HYPERLINK("https://klasma.github.io/Logging_0482/klagomål/A 15452-2024 FSC-klagomål.docx", "A 15452-2024")</f>
        <v/>
      </c>
      <c r="AB74">
        <f>HYPERLINK("https://klasma.github.io/Logging_0482/klagomålsmail/A 15452-2024 FSC-klagomål mail.docx", "A 15452-2024")</f>
        <v/>
      </c>
      <c r="AC74">
        <f>HYPERLINK("https://klasma.github.io/Logging_0482/tillsyn/A 15452-2024 tillsynsbegäran.docx", "A 15452-2024")</f>
        <v/>
      </c>
      <c r="AD74">
        <f>HYPERLINK("https://klasma.github.io/Logging_0482/tillsynsmail/A 15452-2024 tillsynsbegäran mail.docx", "A 15452-2024")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46266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55092-2021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46266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Sälg
Huggorm</t>
        </is>
      </c>
      <c r="W76">
        <f>HYPERLINK("https://klasma.github.io/Logging_0482/artfynd/A 55092-2021 artfynd.xlsx", "A 55092-2021")</f>
        <v/>
      </c>
      <c r="X76">
        <f>HYPERLINK("https://klasma.github.io/Logging_0482/kartor/A 55092-2021 karta.png", "A 55092-2021")</f>
        <v/>
      </c>
      <c r="Y76">
        <f>HYPERLINK("https://klasma.github.io/Logging_0482/kartor_geotiff/A 55092-2021 georefererad karta.tif", "A 55092-2021")</f>
        <v/>
      </c>
      <c r="AA76">
        <f>HYPERLINK("https://klasma.github.io/Logging_0482/klagomål/A 55092-2021 FSC-klagomål.docx", "A 55092-2021")</f>
        <v/>
      </c>
      <c r="AB76">
        <f>HYPERLINK("https://klasma.github.io/Logging_0482/klagomålsmail/A 55092-2021 FSC-klagomål mail.docx", "A 55092-2021")</f>
        <v/>
      </c>
      <c r="AC76">
        <f>HYPERLINK("https://klasma.github.io/Logging_0482/tillsyn/A 55092-2021 tillsynsbegäran.docx", "A 55092-2021")</f>
        <v/>
      </c>
      <c r="AD76">
        <f>HYPERLINK("https://klasma.github.io/Logging_0482/tillsynsmail/A 55092-2021 tillsynsbegäran mail.docx", "A 55092-2021")</f>
        <v/>
      </c>
    </row>
    <row r="77" ht="15" customHeight="1">
      <c r="A77" t="inlineStr">
        <is>
          <t>A 7506-2023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44971</v>
      </c>
      <c r="E77" s="1" t="n">
        <v>46266</v>
      </c>
      <c r="F77" t="inlineStr">
        <is>
          <t>SÖDERMANLANDS LÄN</t>
        </is>
      </c>
      <c r="G77" t="inlineStr">
        <is>
          <t>FLEN</t>
        </is>
      </c>
      <c r="I77" t="n">
        <v>3.3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Slåtterfibbla
Svinrot</t>
        </is>
      </c>
      <c r="W77">
        <f>HYPERLINK("https://klasma.github.io/Logging_0482/artfynd/A 7506-2023 artfynd.xlsx", "A 7506-2023")</f>
        <v/>
      </c>
      <c r="X77">
        <f>HYPERLINK("https://klasma.github.io/Logging_0482/kartor/A 7506-2023 karta.png", "A 7506-2023")</f>
        <v/>
      </c>
      <c r="Y77">
        <f>HYPERLINK("https://klasma.github.io/Logging_0482/kartor_geotiff/A 7506-2023 georefererad karta.tif", "A 7506-2023")</f>
        <v/>
      </c>
      <c r="AA77">
        <f>HYPERLINK("https://klasma.github.io/Logging_0482/klagomål/A 7506-2023 FSC-klagomål.docx", "A 7506-2023")</f>
        <v/>
      </c>
      <c r="AB77">
        <f>HYPERLINK("https://klasma.github.io/Logging_0482/klagomålsmail/A 7506-2023 FSC-klagomål mail.docx", "A 7506-2023")</f>
        <v/>
      </c>
      <c r="AC77">
        <f>HYPERLINK("https://klasma.github.io/Logging_0482/tillsyn/A 7506-2023 tillsynsbegäran.docx", "A 7506-2023")</f>
        <v/>
      </c>
      <c r="AD77">
        <f>HYPERLINK("https://klasma.github.io/Logging_0482/tillsynsmail/A 7506-2023 tillsynsbegäran mail.docx", "A 7506-2023")</f>
        <v/>
      </c>
    </row>
    <row r="78" ht="15" customHeight="1">
      <c r="A78" t="inlineStr">
        <is>
          <t>A 4330-2026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46266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Backstarr
Blåsippa</t>
        </is>
      </c>
      <c r="W78">
        <f>HYPERLINK("https://klasma.github.io/Logging_0482/artfynd/A 4330-2026 artfynd.xlsx", "A 4330-2026")</f>
        <v/>
      </c>
      <c r="X78">
        <f>HYPERLINK("https://klasma.github.io/Logging_0482/kartor/A 4330-2026 karta.png", "A 4330-2026")</f>
        <v/>
      </c>
      <c r="Y78">
        <f>HYPERLINK("https://klasma.github.io/Logging_0482/kartor_geotiff/A 4330-2026 georefererad karta.tif", "A 4330-2026")</f>
        <v/>
      </c>
      <c r="AA78">
        <f>HYPERLINK("https://klasma.github.io/Logging_0482/klagomål/A 4330-2026 FSC-klagomål.docx", "A 4330-2026")</f>
        <v/>
      </c>
      <c r="AB78">
        <f>HYPERLINK("https://klasma.github.io/Logging_0482/klagomålsmail/A 4330-2026 FSC-klagomål mail.docx", "A 4330-2026")</f>
        <v/>
      </c>
      <c r="AC78">
        <f>HYPERLINK("https://klasma.github.io/Logging_0482/tillsyn/A 4330-2026 tillsynsbegäran.docx", "A 4330-2026")</f>
        <v/>
      </c>
      <c r="AD78">
        <f>HYPERLINK("https://klasma.github.io/Logging_0482/tillsynsmail/A 4330-2026 tillsynsbegäran mail.docx", "A 4330-2026")</f>
        <v/>
      </c>
    </row>
    <row r="79" ht="15" customHeight="1">
      <c r="A79" t="inlineStr">
        <is>
          <t>A 8887-2026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46068</v>
      </c>
      <c r="E79" s="1" t="n">
        <v>46266</v>
      </c>
      <c r="F79" t="inlineStr">
        <is>
          <t>SÖDERMANLANDS LÄN</t>
        </is>
      </c>
      <c r="G79" t="inlineStr">
        <is>
          <t>FLEN</t>
        </is>
      </c>
      <c r="I79" t="n">
        <v>2.1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Större vattensalamander
Mindre vattensalamander</t>
        </is>
      </c>
      <c r="W79">
        <f>HYPERLINK("https://klasma.github.io/Logging_0482/artfynd/A 8887-2026 artfynd.xlsx", "A 8887-2026")</f>
        <v/>
      </c>
      <c r="X79">
        <f>HYPERLINK("https://klasma.github.io/Logging_0482/kartor/A 8887-2026 karta.png", "A 8887-2026")</f>
        <v/>
      </c>
      <c r="Y79">
        <f>HYPERLINK("https://klasma.github.io/Logging_0482/kartor_geotiff/A 8887-2026 georefererad karta.tif", "A 8887-2026")</f>
        <v/>
      </c>
      <c r="AA79">
        <f>HYPERLINK("https://klasma.github.io/Logging_0482/klagomål/A 8887-2026 FSC-klagomål.docx", "A 8887-2026")</f>
        <v/>
      </c>
      <c r="AB79">
        <f>HYPERLINK("https://klasma.github.io/Logging_0482/klagomålsmail/A 8887-2026 FSC-klagomål mail.docx", "A 8887-2026")</f>
        <v/>
      </c>
      <c r="AC79">
        <f>HYPERLINK("https://klasma.github.io/Logging_0482/tillsyn/A 8887-2026 tillsynsbegäran.docx", "A 8887-2026")</f>
        <v/>
      </c>
      <c r="AD79">
        <f>HYPERLINK("https://klasma.github.io/Logging_0482/tillsynsmail/A 8887-2026 tillsynsbegäran mail.docx", "A 8887-2026")</f>
        <v/>
      </c>
    </row>
    <row r="80" ht="15" customHeight="1">
      <c r="A80" t="inlineStr">
        <is>
          <t>A 49816-2023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46266</v>
      </c>
      <c r="F80" t="inlineStr">
        <is>
          <t>SÖDERMANLANDS LÄN</t>
        </is>
      </c>
      <c r="G80" t="inlineStr">
        <is>
          <t>FLEN</t>
        </is>
      </c>
      <c r="I80" t="n">
        <v>4.6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Reliktbock
Tallticka</t>
        </is>
      </c>
      <c r="W80">
        <f>HYPERLINK("https://klasma.github.io/Logging_0482/artfynd/A 49816-2023 artfynd.xlsx", "A 49816-2023")</f>
        <v/>
      </c>
      <c r="X80">
        <f>HYPERLINK("https://klasma.github.io/Logging_0482/kartor/A 49816-2023 karta.png", "A 49816-2023")</f>
        <v/>
      </c>
      <c r="Y80">
        <f>HYPERLINK("https://klasma.github.io/Logging_0482/kartor_geotiff/A 49816-2023 georefererad karta.tif", "A 49816-2023")</f>
        <v/>
      </c>
      <c r="AA80">
        <f>HYPERLINK("https://klasma.github.io/Logging_0482/klagomål/A 49816-2023 FSC-klagomål.docx", "A 49816-2023")</f>
        <v/>
      </c>
      <c r="AB80">
        <f>HYPERLINK("https://klasma.github.io/Logging_0482/klagomålsmail/A 49816-2023 FSC-klagomål mail.docx", "A 49816-2023")</f>
        <v/>
      </c>
      <c r="AC80">
        <f>HYPERLINK("https://klasma.github.io/Logging_0482/tillsyn/A 49816-2023 tillsynsbegäran.docx", "A 49816-2023")</f>
        <v/>
      </c>
      <c r="AD80">
        <f>HYPERLINK("https://klasma.github.io/Logging_0482/tillsynsmail/A 49816-2023 tillsynsbegäran mail.docx", "A 49816-2023")</f>
        <v/>
      </c>
    </row>
    <row r="81" ht="15" customHeight="1">
      <c r="A81" t="inlineStr">
        <is>
          <t>A 22101-2023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46266</v>
      </c>
      <c r="F81" t="inlineStr">
        <is>
          <t>SÖDERMANLANDS LÄN</t>
        </is>
      </c>
      <c r="G81" t="inlineStr">
        <is>
          <t>FLEN</t>
        </is>
      </c>
      <c r="I81" t="n">
        <v>2.7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Bombmurkla
Blåsippa</t>
        </is>
      </c>
      <c r="W81">
        <f>HYPERLINK("https://klasma.github.io/Logging_0482/artfynd/A 22101-2023 artfynd.xlsx", "A 22101-2023")</f>
        <v/>
      </c>
      <c r="X81">
        <f>HYPERLINK("https://klasma.github.io/Logging_0482/kartor/A 22101-2023 karta.png", "A 22101-2023")</f>
        <v/>
      </c>
      <c r="Y81">
        <f>HYPERLINK("https://klasma.github.io/Logging_0482/kartor_geotiff/A 22101-2023 georefererad karta.tif", "A 22101-2023")</f>
        <v/>
      </c>
      <c r="AA81">
        <f>HYPERLINK("https://klasma.github.io/Logging_0482/klagomål/A 22101-2023 FSC-klagomål.docx", "A 22101-2023")</f>
        <v/>
      </c>
      <c r="AB81">
        <f>HYPERLINK("https://klasma.github.io/Logging_0482/klagomålsmail/A 22101-2023 FSC-klagomål mail.docx", "A 22101-2023")</f>
        <v/>
      </c>
      <c r="AC81">
        <f>HYPERLINK("https://klasma.github.io/Logging_0482/tillsyn/A 22101-2023 tillsynsbegäran.docx", "A 22101-2023")</f>
        <v/>
      </c>
      <c r="AD81">
        <f>HYPERLINK("https://klasma.github.io/Logging_0482/tillsynsmail/A 22101-2023 tillsynsbegäran mail.docx", "A 22101-2023")</f>
        <v/>
      </c>
    </row>
    <row r="82" ht="15" customHeight="1">
      <c r="A82" t="inlineStr">
        <is>
          <t>A 52858-2023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45219</v>
      </c>
      <c r="E82" s="1" t="n">
        <v>46266</v>
      </c>
      <c r="F82" t="inlineStr">
        <is>
          <t>SÖDERMANLANDS LÄN</t>
        </is>
      </c>
      <c r="G82" t="inlineStr">
        <is>
          <t>FLEN</t>
        </is>
      </c>
      <c r="I82" t="n">
        <v>3.6</v>
      </c>
      <c r="J82" t="n">
        <v>1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1</v>
      </c>
      <c r="V82" s="2" t="inlineStr">
        <is>
          <t>Mindre hackspett
Tallticka</t>
        </is>
      </c>
      <c r="W82">
        <f>HYPERLINK("https://klasma.github.io/Logging_0482/artfynd/A 52858-2023 artfynd.xlsx", "A 52858-2023")</f>
        <v/>
      </c>
      <c r="X82">
        <f>HYPERLINK("https://klasma.github.io/Logging_0482/kartor/A 52858-2023 karta.png", "A 52858-2023")</f>
        <v/>
      </c>
      <c r="Y82">
        <f>HYPERLINK("https://klasma.github.io/Logging_0482/kartor_geotiff/A 52858-2023 georefererad karta.tif", "A 52858-2023")</f>
        <v/>
      </c>
      <c r="AA82">
        <f>HYPERLINK("https://klasma.github.io/Logging_0482/klagomål/A 52858-2023 FSC-klagomål.docx", "A 52858-2023")</f>
        <v/>
      </c>
      <c r="AB82">
        <f>HYPERLINK("https://klasma.github.io/Logging_0482/klagomålsmail/A 52858-2023 FSC-klagomål mail.docx", "A 52858-2023")</f>
        <v/>
      </c>
      <c r="AC82">
        <f>HYPERLINK("https://klasma.github.io/Logging_0482/tillsyn/A 52858-2023 tillsynsbegäran.docx", "A 52858-2023")</f>
        <v/>
      </c>
      <c r="AD82">
        <f>HYPERLINK("https://klasma.github.io/Logging_0482/tillsynsmail/A 52858-2023 tillsynsbegäran mail.docx", "A 52858-2023")</f>
        <v/>
      </c>
      <c r="AE82">
        <f>HYPERLINK("https://klasma.github.io/Logging_0482/fåglar/A 52858-2023 prioriterade fågelarter.docx", "A 52858-2023")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46266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46266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Kamjordstjärna
Gullviva</t>
        </is>
      </c>
      <c r="W84">
        <f>HYPERLINK("https://klasma.github.io/Logging_0482/artfynd/A 5852-2022 artfynd.xlsx", "A 5852-2022")</f>
        <v/>
      </c>
      <c r="X84">
        <f>HYPERLINK("https://klasma.github.io/Logging_0482/kartor/A 5852-2022 karta.png", "A 5852-2022")</f>
        <v/>
      </c>
      <c r="Y84">
        <f>HYPERLINK("https://klasma.github.io/Logging_0482/kartor_geotiff/A 5852-2022 georefererad karta.tif", "A 5852-2022")</f>
        <v/>
      </c>
      <c r="AA84">
        <f>HYPERLINK("https://klasma.github.io/Logging_0482/klagomål/A 5852-2022 FSC-klagomål.docx", "A 5852-2022")</f>
        <v/>
      </c>
      <c r="AB84">
        <f>HYPERLINK("https://klasma.github.io/Logging_0482/klagomålsmail/A 5852-2022 FSC-klagomål mail.docx", "A 5852-2022")</f>
        <v/>
      </c>
      <c r="AC84">
        <f>HYPERLINK("https://klasma.github.io/Logging_0482/tillsyn/A 5852-2022 tillsynsbegäran.docx", "A 5852-2022")</f>
        <v/>
      </c>
      <c r="AD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46266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Motaggsvamp
Blodticka</t>
        </is>
      </c>
      <c r="W85">
        <f>HYPERLINK("https://klasma.github.io/Logging_0482/artfynd/A 39240-2023 artfynd.xlsx", "A 39240-2023")</f>
        <v/>
      </c>
      <c r="X85">
        <f>HYPERLINK("https://klasma.github.io/Logging_0482/kartor/A 39240-2023 karta.png", "A 39240-2023")</f>
        <v/>
      </c>
      <c r="Y85">
        <f>HYPERLINK("https://klasma.github.io/Logging_0482/kartor_geotiff/A 39240-2023 georefererad karta.tif", "A 39240-2023")</f>
        <v/>
      </c>
      <c r="AA85">
        <f>HYPERLINK("https://klasma.github.io/Logging_0482/klagomål/A 39240-2023 FSC-klagomål.docx", "A 39240-2023")</f>
        <v/>
      </c>
      <c r="AB85">
        <f>HYPERLINK("https://klasma.github.io/Logging_0482/klagomålsmail/A 39240-2023 FSC-klagomål mail.docx", "A 39240-2023")</f>
        <v/>
      </c>
      <c r="AC85">
        <f>HYPERLINK("https://klasma.github.io/Logging_0482/tillsyn/A 39240-2023 tillsynsbegäran.docx", "A 39240-2023")</f>
        <v/>
      </c>
      <c r="AD85">
        <f>HYPERLINK("https://klasma.github.io/Logging_0482/tillsynsmail/A 39240-2023 tillsynsbegäran mail.docx", "A 39240-2023")</f>
        <v/>
      </c>
    </row>
    <row r="86" ht="15" customHeight="1">
      <c r="A86" t="inlineStr">
        <is>
          <t>A 47194-2022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46266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Gullklöver
Svinrot</t>
        </is>
      </c>
      <c r="W86">
        <f>HYPERLINK("https://klasma.github.io/Logging_0482/artfynd/A 47194-2022 artfynd.xlsx", "A 47194-2022")</f>
        <v/>
      </c>
      <c r="X86">
        <f>HYPERLINK("https://klasma.github.io/Logging_0482/kartor/A 47194-2022 karta.png", "A 47194-2022")</f>
        <v/>
      </c>
      <c r="Y86">
        <f>HYPERLINK("https://klasma.github.io/Logging_0482/kartor_geotiff/A 47194-2022 georefererad karta.tif", "A 47194-2022")</f>
        <v/>
      </c>
      <c r="AA86">
        <f>HYPERLINK("https://klasma.github.io/Logging_0482/klagomål/A 47194-2022 FSC-klagomål.docx", "A 47194-2022")</f>
        <v/>
      </c>
      <c r="AB86">
        <f>HYPERLINK("https://klasma.github.io/Logging_0482/klagomålsmail/A 47194-2022 FSC-klagomål mail.docx", "A 47194-2022")</f>
        <v/>
      </c>
      <c r="AC86">
        <f>HYPERLINK("https://klasma.github.io/Logging_0482/tillsyn/A 47194-2022 tillsynsbegäran.docx", "A 47194-2022")</f>
        <v/>
      </c>
      <c r="AD86">
        <f>HYPERLINK("https://klasma.github.io/Logging_0482/tillsynsmail/A 47194-2022 tillsynsbegäran mail.docx", "A 47194-2022")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46266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Ormbär
Skriftlav</t>
        </is>
      </c>
      <c r="W87">
        <f>HYPERLINK("https://klasma.github.io/Logging_0482/artfynd/A 22511-2026 artfynd.xlsx", "A 22511-2026")</f>
        <v/>
      </c>
      <c r="X87">
        <f>HYPERLINK("https://klasma.github.io/Logging_0482/kartor/A 22511-2026 karta.png", "A 22511-2026")</f>
        <v/>
      </c>
      <c r="Y87">
        <f>HYPERLINK("https://klasma.github.io/Logging_0482/kartor_geotiff/A 22511-2026 georefererad karta.tif", "A 22511-2026")</f>
        <v/>
      </c>
      <c r="AA87">
        <f>HYPERLINK("https://klasma.github.io/Logging_0482/klagomål/A 22511-2026 FSC-klagomål.docx", "A 22511-2026")</f>
        <v/>
      </c>
      <c r="AB87">
        <f>HYPERLINK("https://klasma.github.io/Logging_0482/klagomålsmail/A 22511-2026 FSC-klagomål mail.docx", "A 22511-2026")</f>
        <v/>
      </c>
      <c r="AC87">
        <f>HYPERLINK("https://klasma.github.io/Logging_0482/tillsyn/A 22511-2026 tillsynsbegäran.docx", "A 22511-2026")</f>
        <v/>
      </c>
      <c r="AD87">
        <f>HYPERLINK("https://klasma.github.io/Logging_0482/tillsynsmail/A 22511-2026 tillsynsbegäran mail.docx", "A 22511-2026")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46266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15557-2026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46266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4</v>
      </c>
      <c r="U89" t="n">
        <v>0</v>
      </c>
      <c r="V89" s="2" t="inlineStr">
        <is>
          <t>Gullklöver
Svinrot</t>
        </is>
      </c>
      <c r="W89">
        <f>HYPERLINK("https://klasma.github.io/Logging_0482/artfynd/A 15557-2026 artfynd.xlsx", "A 15557-2026")</f>
        <v/>
      </c>
      <c r="X89">
        <f>HYPERLINK("https://klasma.github.io/Logging_0482/kartor/A 15557-2026 karta.png", "A 15557-2026")</f>
        <v/>
      </c>
      <c r="Y89">
        <f>HYPERLINK("https://klasma.github.io/Logging_0482/kartor_geotiff/A 15557-2026 georefererad karta.tif", "A 15557-2026")</f>
        <v/>
      </c>
      <c r="AA89">
        <f>HYPERLINK("https://klasma.github.io/Logging_0482/klagomål/A 15557-2026 FSC-klagomål.docx", "A 15557-2026")</f>
        <v/>
      </c>
      <c r="AB89">
        <f>HYPERLINK("https://klasma.github.io/Logging_0482/klagomålsmail/A 15557-2026 FSC-klagomål mail.docx", "A 15557-2026")</f>
        <v/>
      </c>
      <c r="AC89">
        <f>HYPERLINK("https://klasma.github.io/Logging_0482/tillsyn/A 15557-2026 tillsynsbegäran.docx", "A 15557-2026")</f>
        <v/>
      </c>
      <c r="AD89">
        <f>HYPERLINK("https://klasma.github.io/Logging_0482/tillsynsmail/A 15557-2026 tillsynsbegäran mail.docx", "A 15557-2026")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46266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46266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34849-2026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46258</v>
      </c>
      <c r="E92" s="1" t="n">
        <v>46266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5</v>
      </c>
      <c r="U92" t="n">
        <v>0</v>
      </c>
      <c r="V92" s="2" t="inlineStr">
        <is>
          <t>Motaggsvamp
Vedskivlav</t>
        </is>
      </c>
      <c r="W92">
        <f>HYPERLINK("https://klasma.github.io/Logging_0482/artfynd/A 34849-2026 artfynd.xlsx", "A 34849-2026")</f>
        <v/>
      </c>
      <c r="X92">
        <f>HYPERLINK("https://klasma.github.io/Logging_0482/kartor/A 34849-2026 karta.png", "A 34849-2026")</f>
        <v/>
      </c>
      <c r="Y92">
        <f>HYPERLINK("https://klasma.github.io/Logging_0482/kartor_geotiff/A 34849-2026 georefererad karta.tif", "A 34849-2026")</f>
        <v/>
      </c>
      <c r="AA92">
        <f>HYPERLINK("https://klasma.github.io/Logging_0482/klagomål/A 34849-2026 FSC-klagomål.docx", "A 34849-2026")</f>
        <v/>
      </c>
      <c r="AB92">
        <f>HYPERLINK("https://klasma.github.io/Logging_0482/klagomålsmail/A 34849-2026 FSC-klagomål mail.docx", "A 34849-2026")</f>
        <v/>
      </c>
      <c r="AC92">
        <f>HYPERLINK("https://klasma.github.io/Logging_0482/tillsyn/A 34849-2026 tillsynsbegäran.docx", "A 34849-2026")</f>
        <v/>
      </c>
      <c r="AD92">
        <f>HYPERLINK("https://klasma.github.io/Logging_0482/tillsynsmail/A 34849-2026 tillsynsbegäran mail.docx", "A 34849-2026")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46266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46266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46266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46266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46266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46266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46266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46266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38829-2025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46266</v>
      </c>
      <c r="F101" t="inlineStr">
        <is>
          <t>SÖDERMANLANDS LÄN</t>
        </is>
      </c>
      <c r="G101" t="inlineStr">
        <is>
          <t>FLEN</t>
        </is>
      </c>
      <c r="I101" t="n">
        <v>4.2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Svinrot</t>
        </is>
      </c>
      <c r="W101">
        <f>HYPERLINK("https://klasma.github.io/Logging_0482/artfynd/A 38829-2025 artfynd.xlsx", "A 38829-2025")</f>
        <v/>
      </c>
      <c r="X101">
        <f>HYPERLINK("https://klasma.github.io/Logging_0482/kartor/A 38829-2025 karta.png", "A 38829-2025")</f>
        <v/>
      </c>
      <c r="Y101">
        <f>HYPERLINK("https://klasma.github.io/Logging_0482/kartor_geotiff/A 38829-2025 georefererad karta.tif", "A 38829-2025")</f>
        <v/>
      </c>
      <c r="AA101">
        <f>HYPERLINK("https://klasma.github.io/Logging_0482/klagomål/A 38829-2025 FSC-klagomål.docx", "A 38829-2025")</f>
        <v/>
      </c>
      <c r="AB101">
        <f>HYPERLINK("https://klasma.github.io/Logging_0482/klagomålsmail/A 38829-2025 FSC-klagomål mail.docx", "A 38829-2025")</f>
        <v/>
      </c>
      <c r="AC101">
        <f>HYPERLINK("https://klasma.github.io/Logging_0482/tillsyn/A 38829-2025 tillsynsbegäran.docx", "A 38829-2025")</f>
        <v/>
      </c>
      <c r="AD101">
        <f>HYPERLINK("https://klasma.github.io/Logging_0482/tillsynsmail/A 38829-2025 tillsynsbegäran mail.docx", "A 38829-2025")</f>
        <v/>
      </c>
    </row>
    <row r="102" ht="15" customHeight="1">
      <c r="A102" t="inlineStr">
        <is>
          <t>A 46115-2023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46266</v>
      </c>
      <c r="F102" t="inlineStr">
        <is>
          <t>SÖDERMANLANDS LÄN</t>
        </is>
      </c>
      <c r="G102" t="inlineStr">
        <is>
          <t>FLEN</t>
        </is>
      </c>
      <c r="H102" t="inlineStr">
        <is>
          <t>Kyrkan</t>
        </is>
      </c>
      <c r="I102" t="n">
        <v>3.3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Ullticka</t>
        </is>
      </c>
      <c r="W102">
        <f>HYPERLINK("https://klasma.github.io/Logging_0482/artfynd/A 46115-2023 artfynd.xlsx", "A 46115-2023")</f>
        <v/>
      </c>
      <c r="X102">
        <f>HYPERLINK("https://klasma.github.io/Logging_0482/kartor/A 46115-2023 karta.png", "A 46115-2023")</f>
        <v/>
      </c>
      <c r="Y102">
        <f>HYPERLINK("https://klasma.github.io/Logging_0482/kartor_geotiff/A 46115-2023 georefererad karta.tif", "A 46115-2023")</f>
        <v/>
      </c>
      <c r="AA102">
        <f>HYPERLINK("https://klasma.github.io/Logging_0482/klagomål/A 46115-2023 FSC-klagomål.docx", "A 46115-2023")</f>
        <v/>
      </c>
      <c r="AB102">
        <f>HYPERLINK("https://klasma.github.io/Logging_0482/klagomålsmail/A 46115-2023 FSC-klagomål mail.docx", "A 46115-2023")</f>
        <v/>
      </c>
      <c r="AC102">
        <f>HYPERLINK("https://klasma.github.io/Logging_0482/tillsyn/A 46115-2023 tillsynsbegäran.docx", "A 46115-2023")</f>
        <v/>
      </c>
      <c r="AD102">
        <f>HYPERLINK("https://klasma.github.io/Logging_0482/tillsynsmail/A 46115-2023 tillsynsbegäran mail.docx", "A 46115-2023")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46266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56308-2024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46266</v>
      </c>
      <c r="F104" t="inlineStr">
        <is>
          <t>SÖDERMANLANDS LÄN</t>
        </is>
      </c>
      <c r="G104" t="inlineStr">
        <is>
          <t>FLEN</t>
        </is>
      </c>
      <c r="I104" t="n">
        <v>2.1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Gullklöver</t>
        </is>
      </c>
      <c r="W104">
        <f>HYPERLINK("https://klasma.github.io/Logging_0482/artfynd/A 56308-2024 artfynd.xlsx", "A 56308-2024")</f>
        <v/>
      </c>
      <c r="X104">
        <f>HYPERLINK("https://klasma.github.io/Logging_0482/kartor/A 56308-2024 karta.png", "A 56308-2024")</f>
        <v/>
      </c>
      <c r="Y104">
        <f>HYPERLINK("https://klasma.github.io/Logging_0482/kartor_geotiff/A 56308-2024 georefererad karta.tif", "A 56308-2024")</f>
        <v/>
      </c>
      <c r="AA104">
        <f>HYPERLINK("https://klasma.github.io/Logging_0482/klagomål/A 56308-2024 FSC-klagomål.docx", "A 56308-2024")</f>
        <v/>
      </c>
      <c r="AB104">
        <f>HYPERLINK("https://klasma.github.io/Logging_0482/klagomålsmail/A 56308-2024 FSC-klagomål mail.docx", "A 56308-2024")</f>
        <v/>
      </c>
      <c r="AC104">
        <f>HYPERLINK("https://klasma.github.io/Logging_0482/tillsyn/A 56308-2024 tillsynsbegäran.docx", "A 56308-2024")</f>
        <v/>
      </c>
      <c r="AD104">
        <f>HYPERLINK("https://klasma.github.io/Logging_0482/tillsynsmail/A 56308-2024 tillsynsbegäran mail.docx", "A 56308-2024")</f>
        <v/>
      </c>
    </row>
    <row r="105" ht="15" customHeight="1">
      <c r="A105" t="inlineStr">
        <is>
          <t>A 52563-2021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44463</v>
      </c>
      <c r="E105" s="1" t="n">
        <v>46266</v>
      </c>
      <c r="F105" t="inlineStr">
        <is>
          <t>SÖDERMANLANDS LÄN</t>
        </is>
      </c>
      <c r="G105" t="inlineStr">
        <is>
          <t>FLEN</t>
        </is>
      </c>
      <c r="I105" t="n">
        <v>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Gulsparv</t>
        </is>
      </c>
      <c r="W105">
        <f>HYPERLINK("https://klasma.github.io/Logging_0482/artfynd/A 52563-2021 artfynd.xlsx", "A 52563-2021")</f>
        <v/>
      </c>
      <c r="X105">
        <f>HYPERLINK("https://klasma.github.io/Logging_0482/kartor/A 52563-2021 karta.png", "A 52563-2021")</f>
        <v/>
      </c>
      <c r="Y105">
        <f>HYPERLINK("https://klasma.github.io/Logging_0482/kartor_geotiff/A 52563-2021 georefererad karta.tif", "A 52563-2021")</f>
        <v/>
      </c>
      <c r="AA105">
        <f>HYPERLINK("https://klasma.github.io/Logging_0482/klagomål/A 52563-2021 FSC-klagomål.docx", "A 52563-2021")</f>
        <v/>
      </c>
      <c r="AB105">
        <f>HYPERLINK("https://klasma.github.io/Logging_0482/klagomålsmail/A 52563-2021 FSC-klagomål mail.docx", "A 52563-2021")</f>
        <v/>
      </c>
      <c r="AC105">
        <f>HYPERLINK("https://klasma.github.io/Logging_0482/tillsyn/A 52563-2021 tillsynsbegäran.docx", "A 52563-2021")</f>
        <v/>
      </c>
      <c r="AD105">
        <f>HYPERLINK("https://klasma.github.io/Logging_0482/tillsynsmail/A 52563-2021 tillsynsbegäran mail.docx", "A 52563-2021")</f>
        <v/>
      </c>
      <c r="AE105">
        <f>HYPERLINK("https://klasma.github.io/Logging_0482/fåglar/A 52563-2021 prioriterade fågelarter.docx", "A 52563-2021")</f>
        <v/>
      </c>
    </row>
    <row r="106" ht="15" customHeight="1">
      <c r="A106" t="inlineStr">
        <is>
          <t>A 13858-2023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45007</v>
      </c>
      <c r="E106" s="1" t="n">
        <v>46266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Svedjenäva</t>
        </is>
      </c>
      <c r="W106">
        <f>HYPERLINK("https://klasma.github.io/Logging_0482/artfynd/A 13858-2023 artfynd.xlsx", "A 13858-2023")</f>
        <v/>
      </c>
      <c r="X106">
        <f>HYPERLINK("https://klasma.github.io/Logging_0482/kartor/A 13858-2023 karta.png", "A 13858-2023")</f>
        <v/>
      </c>
      <c r="Y106">
        <f>HYPERLINK("https://klasma.github.io/Logging_0482/kartor_geotiff/A 13858-2023 georefererad karta.tif", "A 13858-2023")</f>
        <v/>
      </c>
      <c r="AA106">
        <f>HYPERLINK("https://klasma.github.io/Logging_0482/klagomål/A 13858-2023 FSC-klagomål.docx", "A 13858-2023")</f>
        <v/>
      </c>
      <c r="AB106">
        <f>HYPERLINK("https://klasma.github.io/Logging_0482/klagomålsmail/A 13858-2023 FSC-klagomål mail.docx", "A 13858-2023")</f>
        <v/>
      </c>
      <c r="AC106">
        <f>HYPERLINK("https://klasma.github.io/Logging_0482/tillsyn/A 13858-2023 tillsynsbegäran.docx", "A 13858-2023")</f>
        <v/>
      </c>
      <c r="AD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46266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Svinrot</t>
        </is>
      </c>
      <c r="W107">
        <f>HYPERLINK("https://klasma.github.io/Logging_0482/artfynd/A 47581-2025 artfynd.xlsx", "A 47581-2025")</f>
        <v/>
      </c>
      <c r="X107">
        <f>HYPERLINK("https://klasma.github.io/Logging_0482/kartor/A 47581-2025 karta.png", "A 47581-2025")</f>
        <v/>
      </c>
      <c r="Y107">
        <f>HYPERLINK("https://klasma.github.io/Logging_0482/kartor_geotiff/A 47581-2025 georefererad karta.tif", "A 47581-2025")</f>
        <v/>
      </c>
      <c r="AA107">
        <f>HYPERLINK("https://klasma.github.io/Logging_0482/klagomål/A 47581-2025 FSC-klagomål.docx", "A 47581-2025")</f>
        <v/>
      </c>
      <c r="AB107">
        <f>HYPERLINK("https://klasma.github.io/Logging_0482/klagomålsmail/A 47581-2025 FSC-klagomål mail.docx", "A 47581-2025")</f>
        <v/>
      </c>
      <c r="AC107">
        <f>HYPERLINK("https://klasma.github.io/Logging_0482/tillsyn/A 47581-2025 tillsynsbegäran.docx", "A 47581-2025")</f>
        <v/>
      </c>
      <c r="AD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37283-2024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45540</v>
      </c>
      <c r="E108" s="1" t="n">
        <v>46266</v>
      </c>
      <c r="F108" t="inlineStr">
        <is>
          <t>SÖDERMANLANDS LÄN</t>
        </is>
      </c>
      <c r="G108" t="inlineStr">
        <is>
          <t>FLEN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Gullklöver</t>
        </is>
      </c>
      <c r="W108">
        <f>HYPERLINK("https://klasma.github.io/Logging_0482/artfynd/A 37283-2024 artfynd.xlsx", "A 37283-2024")</f>
        <v/>
      </c>
      <c r="X108">
        <f>HYPERLINK("https://klasma.github.io/Logging_0482/kartor/A 37283-2024 karta.png", "A 37283-2024")</f>
        <v/>
      </c>
      <c r="Y108">
        <f>HYPERLINK("https://klasma.github.io/Logging_0482/kartor_geotiff/A 37283-2024 georefererad karta.tif", "A 37283-2024")</f>
        <v/>
      </c>
      <c r="AA108">
        <f>HYPERLINK("https://klasma.github.io/Logging_0482/klagomål/A 37283-2024 FSC-klagomål.docx", "A 37283-2024")</f>
        <v/>
      </c>
      <c r="AB108">
        <f>HYPERLINK("https://klasma.github.io/Logging_0482/klagomålsmail/A 37283-2024 FSC-klagomål mail.docx", "A 37283-2024")</f>
        <v/>
      </c>
      <c r="AC108">
        <f>HYPERLINK("https://klasma.github.io/Logging_0482/tillsyn/A 37283-2024 tillsynsbegäran.docx", "A 37283-2024")</f>
        <v/>
      </c>
      <c r="AD108">
        <f>HYPERLINK("https://klasma.github.io/Logging_0482/tillsynsmail/A 37283-2024 tillsynsbegäran mail.docx", "A 37283-2024")</f>
        <v/>
      </c>
    </row>
    <row r="109" ht="15" customHeight="1">
      <c r="A109" t="inlineStr">
        <is>
          <t>A 7525-2024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45348</v>
      </c>
      <c r="E109" s="1" t="n">
        <v>46266</v>
      </c>
      <c r="F109" t="inlineStr">
        <is>
          <t>SÖDERMANLANDS LÄN</t>
        </is>
      </c>
      <c r="G109" t="inlineStr">
        <is>
          <t>FLEN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Vanlig backsmörblomma</t>
        </is>
      </c>
      <c r="W109">
        <f>HYPERLINK("https://klasma.github.io/Logging_0482/artfynd/A 7525-2024 artfynd.xlsx", "A 7525-2024")</f>
        <v/>
      </c>
      <c r="X109">
        <f>HYPERLINK("https://klasma.github.io/Logging_0482/kartor/A 7525-2024 karta.png", "A 7525-2024")</f>
        <v/>
      </c>
      <c r="Y109">
        <f>HYPERLINK("https://klasma.github.io/Logging_0482/kartor_geotiff/A 7525-2024 georefererad karta.tif", "A 7525-2024")</f>
        <v/>
      </c>
      <c r="AA109">
        <f>HYPERLINK("https://klasma.github.io/Logging_0482/klagomål/A 7525-2024 FSC-klagomål.docx", "A 7525-2024")</f>
        <v/>
      </c>
      <c r="AB109">
        <f>HYPERLINK("https://klasma.github.io/Logging_0482/klagomålsmail/A 7525-2024 FSC-klagomål mail.docx", "A 7525-2024")</f>
        <v/>
      </c>
      <c r="AC109">
        <f>HYPERLINK("https://klasma.github.io/Logging_0482/tillsyn/A 7525-2024 tillsynsbegäran.docx", "A 7525-2024")</f>
        <v/>
      </c>
      <c r="AD109">
        <f>HYPERLINK("https://klasma.github.io/Logging_0482/tillsynsmail/A 7525-2024 tillsynsbegäran mail.docx", "A 7525-2024")</f>
        <v/>
      </c>
    </row>
    <row r="110" ht="15" customHeight="1">
      <c r="A110" t="inlineStr">
        <is>
          <t>A 31427-2022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44774</v>
      </c>
      <c r="E110" s="1" t="n">
        <v>46266</v>
      </c>
      <c r="F110" t="inlineStr">
        <is>
          <t>SÖDERMANLANDS LÄN</t>
        </is>
      </c>
      <c r="G110" t="inlineStr">
        <is>
          <t>FLEN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HYPERLINK("https://klasma.github.io/Logging_0482/artfynd/A 31427-2022 artfynd.xlsx", "A 31427-2022")</f>
        <v/>
      </c>
      <c r="X110">
        <f>HYPERLINK("https://klasma.github.io/Logging_0482/kartor/A 31427-2022 karta.png", "A 31427-2022")</f>
        <v/>
      </c>
      <c r="Y110">
        <f>HYPERLINK("https://klasma.github.io/Logging_0482/kartor_geotiff/A 31427-2022 georefererad karta.tif", "A 31427-2022")</f>
        <v/>
      </c>
      <c r="AA110">
        <f>HYPERLINK("https://klasma.github.io/Logging_0482/klagomål/A 31427-2022 FSC-klagomål.docx", "A 31427-2022")</f>
        <v/>
      </c>
      <c r="AB110">
        <f>HYPERLINK("https://klasma.github.io/Logging_0482/klagomålsmail/A 31427-2022 FSC-klagomål mail.docx", "A 31427-2022")</f>
        <v/>
      </c>
      <c r="AC110">
        <f>HYPERLINK("https://klasma.github.io/Logging_0482/tillsyn/A 31427-2022 tillsynsbegäran.docx", "A 31427-2022")</f>
        <v/>
      </c>
      <c r="AD110">
        <f>HYPERLINK("https://klasma.github.io/Logging_0482/tillsynsmail/A 31427-2022 tillsynsbegäran mail.docx", "A 31427-2022")</f>
        <v/>
      </c>
    </row>
    <row r="111" ht="15" customHeight="1">
      <c r="A111" t="inlineStr">
        <is>
          <t>A 14113-2025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46266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14113-2025 artfynd.xlsx", "A 14113-2025")</f>
        <v/>
      </c>
      <c r="X111">
        <f>HYPERLINK("https://klasma.github.io/Logging_0482/kartor/A 14113-2025 karta.png", "A 14113-2025")</f>
        <v/>
      </c>
      <c r="Y111">
        <f>HYPERLINK("https://klasma.github.io/Logging_0482/kartor_geotiff/A 14113-2025 georefererad karta.tif", "A 14113-2025")</f>
        <v/>
      </c>
      <c r="AA111">
        <f>HYPERLINK("https://klasma.github.io/Logging_0482/klagomål/A 14113-2025 FSC-klagomål.docx", "A 14113-2025")</f>
        <v/>
      </c>
      <c r="AB111">
        <f>HYPERLINK("https://klasma.github.io/Logging_0482/klagomålsmail/A 14113-2025 FSC-klagomål mail.docx", "A 14113-2025")</f>
        <v/>
      </c>
      <c r="AC111">
        <f>HYPERLINK("https://klasma.github.io/Logging_0482/tillsyn/A 14113-2025 tillsynsbegäran.docx", "A 14113-2025")</f>
        <v/>
      </c>
      <c r="AD111">
        <f>HYPERLINK("https://klasma.github.io/Logging_0482/tillsynsmail/A 14113-2025 tillsynsbegäran mail.docx", "A 14113-2025")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46266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6982-2024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46266</v>
      </c>
      <c r="F113" t="inlineStr">
        <is>
          <t>SÖDERMANLANDS LÄN</t>
        </is>
      </c>
      <c r="G113" t="inlineStr">
        <is>
          <t>FLEN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HYPERLINK("https://klasma.github.io/Logging_0482/artfynd/A 6982-2024 artfynd.xlsx", "A 6982-2024")</f>
        <v/>
      </c>
      <c r="X113">
        <f>HYPERLINK("https://klasma.github.io/Logging_0482/kartor/A 6982-2024 karta.png", "A 6982-2024")</f>
        <v/>
      </c>
      <c r="Y113">
        <f>HYPERLINK("https://klasma.github.io/Logging_0482/kartor_geotiff/A 6982-2024 georefererad karta.tif", "A 6982-2024")</f>
        <v/>
      </c>
      <c r="AA113">
        <f>HYPERLINK("https://klasma.github.io/Logging_0482/klagomål/A 6982-2024 FSC-klagomål.docx", "A 6982-2024")</f>
        <v/>
      </c>
      <c r="AB113">
        <f>HYPERLINK("https://klasma.github.io/Logging_0482/klagomålsmail/A 6982-2024 FSC-klagomål mail.docx", "A 6982-2024")</f>
        <v/>
      </c>
      <c r="AC113">
        <f>HYPERLINK("https://klasma.github.io/Logging_0482/tillsyn/A 6982-2024 tillsynsbegäran.docx", "A 6982-2024")</f>
        <v/>
      </c>
      <c r="AD113">
        <f>HYPERLINK("https://klasma.github.io/Logging_0482/tillsynsmail/A 6982-2024 tillsynsbegäran mail.docx", "A 6982-2024")</f>
        <v/>
      </c>
    </row>
    <row r="114" ht="15" customHeight="1">
      <c r="A114" t="inlineStr">
        <is>
          <t>A 43008-2023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45182</v>
      </c>
      <c r="E114" s="1" t="n">
        <v>46266</v>
      </c>
      <c r="F114" t="inlineStr">
        <is>
          <t>SÖDERMANLANDS LÄN</t>
        </is>
      </c>
      <c r="G114" t="inlineStr">
        <is>
          <t>FLEN</t>
        </is>
      </c>
      <c r="I114" t="n">
        <v>1.5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43008-2023 artfynd.xlsx", "A 43008-2023")</f>
        <v/>
      </c>
      <c r="X114">
        <f>HYPERLINK("https://klasma.github.io/Logging_0482/kartor/A 43008-2023 karta.png", "A 43008-2023")</f>
        <v/>
      </c>
      <c r="Y114">
        <f>HYPERLINK("https://klasma.github.io/Logging_0482/kartor_geotiff/A 43008-2023 georefererad karta.tif", "A 43008-2023")</f>
        <v/>
      </c>
      <c r="AA114">
        <f>HYPERLINK("https://klasma.github.io/Logging_0482/klagomål/A 43008-2023 FSC-klagomål.docx", "A 43008-2023")</f>
        <v/>
      </c>
      <c r="AB114">
        <f>HYPERLINK("https://klasma.github.io/Logging_0482/klagomålsmail/A 43008-2023 FSC-klagomål mail.docx", "A 43008-2023")</f>
        <v/>
      </c>
      <c r="AC114">
        <f>HYPERLINK("https://klasma.github.io/Logging_0482/tillsyn/A 43008-2023 tillsynsbegäran.docx", "A 43008-2023")</f>
        <v/>
      </c>
      <c r="AD114">
        <f>HYPERLINK("https://klasma.github.io/Logging_0482/tillsynsmail/A 43008-2023 tillsynsbegäran mail.docx", "A 43008-2023")</f>
        <v/>
      </c>
    </row>
    <row r="115" ht="15" customHeight="1">
      <c r="A115" t="inlineStr">
        <is>
          <t>A 2043-2026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46035</v>
      </c>
      <c r="E115" s="1" t="n">
        <v>46266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2.1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Scharlakansvaxing</t>
        </is>
      </c>
      <c r="W115">
        <f>HYPERLINK("https://klasma.github.io/Logging_0482/artfynd/A 2043-2026 artfynd.xlsx", "A 2043-2026")</f>
        <v/>
      </c>
      <c r="X115">
        <f>HYPERLINK("https://klasma.github.io/Logging_0482/kartor/A 2043-2026 karta.png", "A 2043-2026")</f>
        <v/>
      </c>
      <c r="Y115">
        <f>HYPERLINK("https://klasma.github.io/Logging_0482/kartor_geotiff/A 2043-2026 georefererad karta.tif", "A 2043-2026")</f>
        <v/>
      </c>
      <c r="AA115">
        <f>HYPERLINK("https://klasma.github.io/Logging_0482/klagomål/A 2043-2026 FSC-klagomål.docx", "A 2043-2026")</f>
        <v/>
      </c>
      <c r="AB115">
        <f>HYPERLINK("https://klasma.github.io/Logging_0482/klagomålsmail/A 2043-2026 FSC-klagomål mail.docx", "A 2043-2026")</f>
        <v/>
      </c>
      <c r="AC115">
        <f>HYPERLINK("https://klasma.github.io/Logging_0482/tillsyn/A 2043-2026 tillsynsbegäran.docx", "A 2043-2026")</f>
        <v/>
      </c>
      <c r="AD115">
        <f>HYPERLINK("https://klasma.github.io/Logging_0482/tillsynsmail/A 2043-2026 tillsynsbegäran mail.docx", "A 2043-2026")</f>
        <v/>
      </c>
    </row>
    <row r="116" ht="15" customHeight="1">
      <c r="A116" t="inlineStr">
        <is>
          <t>A 2036-2026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46035</v>
      </c>
      <c r="E116" s="1" t="n">
        <v>46266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0.6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HYPERLINK("https://klasma.github.io/Logging_0482/artfynd/A 2036-2026 artfynd.xlsx", "A 2036-2026")</f>
        <v/>
      </c>
      <c r="X116">
        <f>HYPERLINK("https://klasma.github.io/Logging_0482/kartor/A 2036-2026 karta.png", "A 2036-2026")</f>
        <v/>
      </c>
      <c r="Y116">
        <f>HYPERLINK("https://klasma.github.io/Logging_0482/kartor_geotiff/A 2036-2026 georefererad karta.tif", "A 2036-2026")</f>
        <v/>
      </c>
      <c r="Z116">
        <f>HYPERLINK("https://klasma.github.io/Logging_0482/knärot/A 2036-2026 karta knärot.png", "A 2036-2026")</f>
        <v/>
      </c>
      <c r="AA116">
        <f>HYPERLINK("https://klasma.github.io/Logging_0482/klagomål/A 2036-2026 FSC-klagomål.docx", "A 2036-2026")</f>
        <v/>
      </c>
      <c r="AB116">
        <f>HYPERLINK("https://klasma.github.io/Logging_0482/klagomålsmail/A 2036-2026 FSC-klagomål mail.docx", "A 2036-2026")</f>
        <v/>
      </c>
      <c r="AC116">
        <f>HYPERLINK("https://klasma.github.io/Logging_0482/tillsyn/A 2036-2026 tillsynsbegäran.docx", "A 2036-2026")</f>
        <v/>
      </c>
      <c r="AD116">
        <f>HYPERLINK("https://klasma.github.io/Logging_0482/tillsynsmail/A 2036-2026 tillsynsbegäran mail.docx", "A 2036-2026")</f>
        <v/>
      </c>
    </row>
    <row r="117" ht="15" customHeight="1">
      <c r="A117" t="inlineStr">
        <is>
          <t>A 34721-2023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45141</v>
      </c>
      <c r="E117" s="1" t="n">
        <v>46266</v>
      </c>
      <c r="F117" t="inlineStr">
        <is>
          <t>SÖDERMANLANDS LÄN</t>
        </is>
      </c>
      <c r="G117" t="inlineStr">
        <is>
          <t>FLEN</t>
        </is>
      </c>
      <c r="I117" t="n">
        <v>4.1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Gullklöver</t>
        </is>
      </c>
      <c r="W117">
        <f>HYPERLINK("https://klasma.github.io/Logging_0482/artfynd/A 34721-2023 artfynd.xlsx", "A 34721-2023")</f>
        <v/>
      </c>
      <c r="X117">
        <f>HYPERLINK("https://klasma.github.io/Logging_0482/kartor/A 34721-2023 karta.png", "A 34721-2023")</f>
        <v/>
      </c>
      <c r="Y117">
        <f>HYPERLINK("https://klasma.github.io/Logging_0482/kartor_geotiff/A 34721-2023 georefererad karta.tif", "A 34721-2023")</f>
        <v/>
      </c>
      <c r="AA117">
        <f>HYPERLINK("https://klasma.github.io/Logging_0482/klagomål/A 34721-2023 FSC-klagomål.docx", "A 34721-2023")</f>
        <v/>
      </c>
      <c r="AB117">
        <f>HYPERLINK("https://klasma.github.io/Logging_0482/klagomålsmail/A 34721-2023 FSC-klagomål mail.docx", "A 34721-2023")</f>
        <v/>
      </c>
      <c r="AC117">
        <f>HYPERLINK("https://klasma.github.io/Logging_0482/tillsyn/A 34721-2023 tillsynsbegäran.docx", "A 34721-2023")</f>
        <v/>
      </c>
      <c r="AD117">
        <f>HYPERLINK("https://klasma.github.io/Logging_0482/tillsynsmail/A 34721-2023 tillsynsbegäran mail.docx", "A 34721-2023")</f>
        <v/>
      </c>
    </row>
    <row r="118" ht="15" customHeight="1">
      <c r="A118" t="inlineStr">
        <is>
          <t>A 66230-2021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44518</v>
      </c>
      <c r="E118" s="1" t="n">
        <v>46266</v>
      </c>
      <c r="F118" t="inlineStr">
        <is>
          <t>SÖDERMANLANDS LÄN</t>
        </is>
      </c>
      <c r="G118" t="inlineStr">
        <is>
          <t>FLEN</t>
        </is>
      </c>
      <c r="I118" t="n">
        <v>1.5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HYPERLINK("https://klasma.github.io/Logging_0482/artfynd/A 66230-2021 artfynd.xlsx", "A 66230-2021")</f>
        <v/>
      </c>
      <c r="X118">
        <f>HYPERLINK("https://klasma.github.io/Logging_0482/kartor/A 66230-2021 karta.png", "A 66230-2021")</f>
        <v/>
      </c>
      <c r="Y118">
        <f>HYPERLINK("https://klasma.github.io/Logging_0482/kartor_geotiff/A 66230-2021 georefererad karta.tif", "A 66230-2021")</f>
        <v/>
      </c>
      <c r="AA118">
        <f>HYPERLINK("https://klasma.github.io/Logging_0482/klagomål/A 66230-2021 FSC-klagomål.docx", "A 66230-2021")</f>
        <v/>
      </c>
      <c r="AB118">
        <f>HYPERLINK("https://klasma.github.io/Logging_0482/klagomålsmail/A 66230-2021 FSC-klagomål mail.docx", "A 66230-2021")</f>
        <v/>
      </c>
      <c r="AC118">
        <f>HYPERLINK("https://klasma.github.io/Logging_0482/tillsyn/A 66230-2021 tillsynsbegäran.docx", "A 66230-2021")</f>
        <v/>
      </c>
      <c r="AD118">
        <f>HYPERLINK("https://klasma.github.io/Logging_0482/tillsynsmail/A 66230-2021 tillsynsbegäran mail.docx", "A 66230-2021")</f>
        <v/>
      </c>
    </row>
    <row r="119" ht="15" customHeight="1">
      <c r="A119" t="inlineStr">
        <is>
          <t>A 1242-2022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46266</v>
      </c>
      <c r="F119" t="inlineStr">
        <is>
          <t>SÖDERMANLANDS LÄN</t>
        </is>
      </c>
      <c r="G119" t="inlineStr">
        <is>
          <t>FLEN</t>
        </is>
      </c>
      <c r="H119" t="inlineStr">
        <is>
          <t>Övriga statliga verk och myndigheter</t>
        </is>
      </c>
      <c r="I119" t="n">
        <v>9.300000000000001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Slåtterfibbla</t>
        </is>
      </c>
      <c r="W119">
        <f>HYPERLINK("https://klasma.github.io/Logging_0482/artfynd/A 1242-2022 artfynd.xlsx", "A 1242-2022")</f>
        <v/>
      </c>
      <c r="X119">
        <f>HYPERLINK("https://klasma.github.io/Logging_0482/kartor/A 1242-2022 karta.png", "A 1242-2022")</f>
        <v/>
      </c>
      <c r="Y119">
        <f>HYPERLINK("https://klasma.github.io/Logging_0482/kartor_geotiff/A 1242-2022 georefererad karta.tif", "A 1242-2022")</f>
        <v/>
      </c>
      <c r="AA119">
        <f>HYPERLINK("https://klasma.github.io/Logging_0482/klagomål/A 1242-2022 FSC-klagomål.docx", "A 1242-2022")</f>
        <v/>
      </c>
      <c r="AB119">
        <f>HYPERLINK("https://klasma.github.io/Logging_0482/klagomålsmail/A 1242-2022 FSC-klagomål mail.docx", "A 1242-2022")</f>
        <v/>
      </c>
      <c r="AC119">
        <f>HYPERLINK("https://klasma.github.io/Logging_0482/tillsyn/A 1242-2022 tillsynsbegäran.docx", "A 1242-2022")</f>
        <v/>
      </c>
      <c r="AD119">
        <f>HYPERLINK("https://klasma.github.io/Logging_0482/tillsynsmail/A 1242-2022 tillsynsbegäran mail.docx", "A 1242-2022")</f>
        <v/>
      </c>
    </row>
    <row r="120" ht="15" customHeight="1">
      <c r="A120" t="inlineStr">
        <is>
          <t>A 14101-2025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46266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HYPERLINK("https://klasma.github.io/Logging_0482/artfynd/A 14101-2025 artfynd.xlsx", "A 14101-2025")</f>
        <v/>
      </c>
      <c r="X120">
        <f>HYPERLINK("https://klasma.github.io/Logging_0482/kartor/A 14101-2025 karta.png", "A 14101-2025")</f>
        <v/>
      </c>
      <c r="Y120">
        <f>HYPERLINK("https://klasma.github.io/Logging_0482/kartor_geotiff/A 14101-2025 georefererad karta.tif", "A 14101-2025")</f>
        <v/>
      </c>
      <c r="AA120">
        <f>HYPERLINK("https://klasma.github.io/Logging_0482/klagomål/A 14101-2025 FSC-klagomål.docx", "A 14101-2025")</f>
        <v/>
      </c>
      <c r="AB120">
        <f>HYPERLINK("https://klasma.github.io/Logging_0482/klagomålsmail/A 14101-2025 FSC-klagomål mail.docx", "A 14101-2025")</f>
        <v/>
      </c>
      <c r="AC120">
        <f>HYPERLINK("https://klasma.github.io/Logging_0482/tillsyn/A 14101-2025 tillsynsbegäran.docx", "A 14101-2025")</f>
        <v/>
      </c>
      <c r="AD120">
        <f>HYPERLINK("https://klasma.github.io/Logging_0482/tillsynsmail/A 14101-2025 tillsynsbegäran mail.docx", "A 14101-2025")</f>
        <v/>
      </c>
    </row>
    <row r="121" ht="15" customHeight="1">
      <c r="A121" t="inlineStr">
        <is>
          <t>A 37317-2023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46266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5.1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Svavelriska</t>
        </is>
      </c>
      <c r="W121">
        <f>HYPERLINK("https://klasma.github.io/Logging_0482/artfynd/A 37317-2023 artfynd.xlsx", "A 37317-2023")</f>
        <v/>
      </c>
      <c r="X121">
        <f>HYPERLINK("https://klasma.github.io/Logging_0482/kartor/A 37317-2023 karta.png", "A 37317-2023")</f>
        <v/>
      </c>
      <c r="Y121">
        <f>HYPERLINK("https://klasma.github.io/Logging_0482/kartor_geotiff/A 37317-2023 georefererad karta.tif", "A 37317-2023")</f>
        <v/>
      </c>
      <c r="AA121">
        <f>HYPERLINK("https://klasma.github.io/Logging_0482/klagomål/A 37317-2023 FSC-klagomål.docx", "A 37317-2023")</f>
        <v/>
      </c>
      <c r="AB121">
        <f>HYPERLINK("https://klasma.github.io/Logging_0482/klagomålsmail/A 37317-2023 FSC-klagomål mail.docx", "A 37317-2023")</f>
        <v/>
      </c>
      <c r="AC121">
        <f>HYPERLINK("https://klasma.github.io/Logging_0482/tillsyn/A 37317-2023 tillsynsbegäran.docx", "A 37317-2023")</f>
        <v/>
      </c>
      <c r="AD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6714-2026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46266</v>
      </c>
      <c r="F122" t="inlineStr">
        <is>
          <t>SÖDERMANLANDS LÄN</t>
        </is>
      </c>
      <c r="G122" t="inlineStr">
        <is>
          <t>FLEN</t>
        </is>
      </c>
      <c r="I122" t="n">
        <v>4.6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Svinrot</t>
        </is>
      </c>
      <c r="W122">
        <f>HYPERLINK("https://klasma.github.io/Logging_0482/artfynd/A 6714-2026 artfynd.xlsx", "A 6714-2026")</f>
        <v/>
      </c>
      <c r="X122">
        <f>HYPERLINK("https://klasma.github.io/Logging_0482/kartor/A 6714-2026 karta.png", "A 6714-2026")</f>
        <v/>
      </c>
      <c r="Y122">
        <f>HYPERLINK("https://klasma.github.io/Logging_0482/kartor_geotiff/A 6714-2026 georefererad karta.tif", "A 6714-2026")</f>
        <v/>
      </c>
      <c r="AA122">
        <f>HYPERLINK("https://klasma.github.io/Logging_0482/klagomål/A 6714-2026 FSC-klagomål.docx", "A 6714-2026")</f>
        <v/>
      </c>
      <c r="AB122">
        <f>HYPERLINK("https://klasma.github.io/Logging_0482/klagomålsmail/A 6714-2026 FSC-klagomål mail.docx", "A 6714-2026")</f>
        <v/>
      </c>
      <c r="AC122">
        <f>HYPERLINK("https://klasma.github.io/Logging_0482/tillsyn/A 6714-2026 tillsynsbegäran.docx", "A 6714-2026")</f>
        <v/>
      </c>
      <c r="AD122">
        <f>HYPERLINK("https://klasma.github.io/Logging_0482/tillsynsmail/A 6714-2026 tillsynsbegäran mail.docx", "A 6714-2026")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46266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Skarp dropptaggsvamp</t>
        </is>
      </c>
      <c r="W123">
        <f>HYPERLINK("https://klasma.github.io/Logging_0482/artfynd/A 60529-2024 artfynd.xlsx", "A 60529-2024")</f>
        <v/>
      </c>
      <c r="X123">
        <f>HYPERLINK("https://klasma.github.io/Logging_0482/kartor/A 60529-2024 karta.png", "A 60529-2024")</f>
        <v/>
      </c>
      <c r="Y123">
        <f>HYPERLINK("https://klasma.github.io/Logging_0482/kartor_geotiff/A 60529-2024 georefererad karta.tif", "A 60529-2024")</f>
        <v/>
      </c>
      <c r="AA123">
        <f>HYPERLINK("https://klasma.github.io/Logging_0482/klagomål/A 60529-2024 FSC-klagomål.docx", "A 60529-2024")</f>
        <v/>
      </c>
      <c r="AB123">
        <f>HYPERLINK("https://klasma.github.io/Logging_0482/klagomålsmail/A 60529-2024 FSC-klagomål mail.docx", "A 60529-2024")</f>
        <v/>
      </c>
      <c r="AC123">
        <f>HYPERLINK("https://klasma.github.io/Logging_0482/tillsyn/A 60529-2024 tillsynsbegäran.docx", "A 60529-2024")</f>
        <v/>
      </c>
      <c r="AD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46266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9446-2026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46071</v>
      </c>
      <c r="E125" s="1" t="n">
        <v>46266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0.8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9446-2026 artfynd.xlsx", "A 9446-2026")</f>
        <v/>
      </c>
      <c r="X125">
        <f>HYPERLINK("https://klasma.github.io/Logging_0482/kartor/A 9446-2026 karta.png", "A 9446-2026")</f>
        <v/>
      </c>
      <c r="Y125">
        <f>HYPERLINK("https://klasma.github.io/Logging_0482/kartor_geotiff/A 9446-2026 georefererad karta.tif", "A 9446-2026")</f>
        <v/>
      </c>
      <c r="AA125">
        <f>HYPERLINK("https://klasma.github.io/Logging_0482/klagomål/A 9446-2026 FSC-klagomål.docx", "A 9446-2026")</f>
        <v/>
      </c>
      <c r="AB125">
        <f>HYPERLINK("https://klasma.github.io/Logging_0482/klagomålsmail/A 9446-2026 FSC-klagomål mail.docx", "A 9446-2026")</f>
        <v/>
      </c>
      <c r="AC125">
        <f>HYPERLINK("https://klasma.github.io/Logging_0482/tillsyn/A 9446-2026 tillsynsbegäran.docx", "A 9446-2026")</f>
        <v/>
      </c>
      <c r="AD125">
        <f>HYPERLINK("https://klasma.github.io/Logging_0482/tillsynsmail/A 9446-2026 tillsynsbegäran mail.docx", "A 9446-2026")</f>
        <v/>
      </c>
    </row>
    <row r="126" ht="15" customHeight="1">
      <c r="A126" t="inlineStr">
        <is>
          <t>A 10999-2026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46266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3.6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HYPERLINK("https://klasma.github.io/Logging_0482/artfynd/A 10999-2026 artfynd.xlsx", "A 10999-2026")</f>
        <v/>
      </c>
      <c r="X126">
        <f>HYPERLINK("https://klasma.github.io/Logging_0482/kartor/A 10999-2026 karta.png", "A 10999-2026")</f>
        <v/>
      </c>
      <c r="Y126">
        <f>HYPERLINK("https://klasma.github.io/Logging_0482/kartor_geotiff/A 10999-2026 georefererad karta.tif", "A 10999-2026")</f>
        <v/>
      </c>
      <c r="AA126">
        <f>HYPERLINK("https://klasma.github.io/Logging_0482/klagomål/A 10999-2026 FSC-klagomål.docx", "A 10999-2026")</f>
        <v/>
      </c>
      <c r="AB126">
        <f>HYPERLINK("https://klasma.github.io/Logging_0482/klagomålsmail/A 10999-2026 FSC-klagomål mail.docx", "A 10999-2026")</f>
        <v/>
      </c>
      <c r="AC126">
        <f>HYPERLINK("https://klasma.github.io/Logging_0482/tillsyn/A 10999-2026 tillsynsbegäran.docx", "A 10999-2026")</f>
        <v/>
      </c>
      <c r="AD126">
        <f>HYPERLINK("https://klasma.github.io/Logging_0482/tillsynsmail/A 10999-2026 tillsynsbegäran mail.docx", "A 10999-2026")</f>
        <v/>
      </c>
    </row>
    <row r="127" ht="15" customHeight="1">
      <c r="A127" t="inlineStr">
        <is>
          <t>A 52546-2021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46266</v>
      </c>
      <c r="F127" t="inlineStr">
        <is>
          <t>SÖDERMANLANDS LÄN</t>
        </is>
      </c>
      <c r="G127" t="inlineStr">
        <is>
          <t>FLEN</t>
        </is>
      </c>
      <c r="I127" t="n">
        <v>6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Mindre bastardsvärmare</t>
        </is>
      </c>
      <c r="W127">
        <f>HYPERLINK("https://klasma.github.io/Logging_0482/artfynd/A 52546-2021 artfynd.xlsx", "A 52546-2021")</f>
        <v/>
      </c>
      <c r="X127">
        <f>HYPERLINK("https://klasma.github.io/Logging_0482/kartor/A 52546-2021 karta.png", "A 52546-2021")</f>
        <v/>
      </c>
      <c r="Y127">
        <f>HYPERLINK("https://klasma.github.io/Logging_0482/kartor_geotiff/A 52546-2021 georefererad karta.tif", "A 52546-2021")</f>
        <v/>
      </c>
      <c r="AA127">
        <f>HYPERLINK("https://klasma.github.io/Logging_0482/klagomål/A 52546-2021 FSC-klagomål.docx", "A 52546-2021")</f>
        <v/>
      </c>
      <c r="AB127">
        <f>HYPERLINK("https://klasma.github.io/Logging_0482/klagomålsmail/A 52546-2021 FSC-klagomål mail.docx", "A 52546-2021")</f>
        <v/>
      </c>
      <c r="AC127">
        <f>HYPERLINK("https://klasma.github.io/Logging_0482/tillsyn/A 52546-2021 tillsynsbegäran.docx", "A 52546-2021")</f>
        <v/>
      </c>
      <c r="AD127">
        <f>HYPERLINK("https://klasma.github.io/Logging_0482/tillsynsmail/A 52546-2021 tillsynsbegäran mail.docx", "A 52546-2021")</f>
        <v/>
      </c>
    </row>
    <row r="128" ht="15" customHeight="1">
      <c r="A128" t="inlineStr">
        <is>
          <t>A 46987-2024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46266</v>
      </c>
      <c r="F128" t="inlineStr">
        <is>
          <t>SÖDERMANLANDS LÄN</t>
        </is>
      </c>
      <c r="G128" t="inlineStr">
        <is>
          <t>FLEN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Svinrot</t>
        </is>
      </c>
      <c r="W128">
        <f>HYPERLINK("https://klasma.github.io/Logging_0482/artfynd/A 46987-2024 artfynd.xlsx", "A 46987-2024")</f>
        <v/>
      </c>
      <c r="X128">
        <f>HYPERLINK("https://klasma.github.io/Logging_0482/kartor/A 46987-2024 karta.png", "A 46987-2024")</f>
        <v/>
      </c>
      <c r="Y128">
        <f>HYPERLINK("https://klasma.github.io/Logging_0482/kartor_geotiff/A 46987-2024 georefererad karta.tif", "A 46987-2024")</f>
        <v/>
      </c>
      <c r="AA128">
        <f>HYPERLINK("https://klasma.github.io/Logging_0482/klagomål/A 46987-2024 FSC-klagomål.docx", "A 46987-2024")</f>
        <v/>
      </c>
      <c r="AB128">
        <f>HYPERLINK("https://klasma.github.io/Logging_0482/klagomålsmail/A 46987-2024 FSC-klagomål mail.docx", "A 46987-2024")</f>
        <v/>
      </c>
      <c r="AC128">
        <f>HYPERLINK("https://klasma.github.io/Logging_0482/tillsyn/A 46987-2024 tillsynsbegäran.docx", "A 46987-2024")</f>
        <v/>
      </c>
      <c r="AD128">
        <f>HYPERLINK("https://klasma.github.io/Logging_0482/tillsynsmail/A 46987-2024 tillsynsbegäran mail.docx", "A 46987-2024")</f>
        <v/>
      </c>
    </row>
    <row r="129" ht="15" customHeight="1">
      <c r="A129" t="inlineStr">
        <is>
          <t>A 10770-2022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46266</v>
      </c>
      <c r="F129" t="inlineStr">
        <is>
          <t>SÖDERMANLANDS LÄN</t>
        </is>
      </c>
      <c r="G129" t="inlineStr">
        <is>
          <t>FLEN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10770-2022 artfynd.xlsx", "A 10770-2022")</f>
        <v/>
      </c>
      <c r="X129">
        <f>HYPERLINK("https://klasma.github.io/Logging_0482/kartor/A 10770-2022 karta.png", "A 10770-2022")</f>
        <v/>
      </c>
      <c r="Y129">
        <f>HYPERLINK("https://klasma.github.io/Logging_0482/kartor_geotiff/A 10770-2022 georefererad karta.tif", "A 10770-2022")</f>
        <v/>
      </c>
      <c r="AA129">
        <f>HYPERLINK("https://klasma.github.io/Logging_0482/klagomål/A 10770-2022 FSC-klagomål.docx", "A 10770-2022")</f>
        <v/>
      </c>
      <c r="AB129">
        <f>HYPERLINK("https://klasma.github.io/Logging_0482/klagomålsmail/A 10770-2022 FSC-klagomål mail.docx", "A 10770-2022")</f>
        <v/>
      </c>
      <c r="AC129">
        <f>HYPERLINK("https://klasma.github.io/Logging_0482/tillsyn/A 10770-2022 tillsynsbegäran.docx", "A 10770-2022")</f>
        <v/>
      </c>
      <c r="AD129">
        <f>HYPERLINK("https://klasma.github.io/Logging_0482/tillsynsmail/A 10770-2022 tillsynsbegäran mail.docx", "A 10770-2022")</f>
        <v/>
      </c>
    </row>
    <row r="130" ht="15" customHeight="1">
      <c r="A130" t="inlineStr">
        <is>
          <t>A 39036-2023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46266</v>
      </c>
      <c r="F130" t="inlineStr">
        <is>
          <t>SÖDERMANLANDS LÄN</t>
        </is>
      </c>
      <c r="G130" t="inlineStr">
        <is>
          <t>FLEN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Igelkott</t>
        </is>
      </c>
      <c r="W130">
        <f>HYPERLINK("https://klasma.github.io/Logging_0482/artfynd/A 39036-2023 artfynd.xlsx", "A 39036-2023")</f>
        <v/>
      </c>
      <c r="X130">
        <f>HYPERLINK("https://klasma.github.io/Logging_0482/kartor/A 39036-2023 karta.png", "A 39036-2023")</f>
        <v/>
      </c>
      <c r="Y130">
        <f>HYPERLINK("https://klasma.github.io/Logging_0482/kartor_geotiff/A 39036-2023 georefererad karta.tif", "A 39036-2023")</f>
        <v/>
      </c>
      <c r="AA130">
        <f>HYPERLINK("https://klasma.github.io/Logging_0482/klagomål/A 39036-2023 FSC-klagomål.docx", "A 39036-2023")</f>
        <v/>
      </c>
      <c r="AB130">
        <f>HYPERLINK("https://klasma.github.io/Logging_0482/klagomålsmail/A 39036-2023 FSC-klagomål mail.docx", "A 39036-2023")</f>
        <v/>
      </c>
      <c r="AC130">
        <f>HYPERLINK("https://klasma.github.io/Logging_0482/tillsyn/A 39036-2023 tillsynsbegäran.docx", "A 39036-2023")</f>
        <v/>
      </c>
      <c r="AD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46266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60591-2022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44911</v>
      </c>
      <c r="E132" s="1" t="n">
        <v>46266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Grönpyrola</t>
        </is>
      </c>
      <c r="W132">
        <f>HYPERLINK("https://klasma.github.io/Logging_0482/artfynd/A 60591-2022 artfynd.xlsx", "A 60591-2022")</f>
        <v/>
      </c>
      <c r="X132">
        <f>HYPERLINK("https://klasma.github.io/Logging_0482/kartor/A 60591-2022 karta.png", "A 60591-2022")</f>
        <v/>
      </c>
      <c r="Y132">
        <f>HYPERLINK("https://klasma.github.io/Logging_0482/kartor_geotiff/A 60591-2022 georefererad karta.tif", "A 60591-2022")</f>
        <v/>
      </c>
      <c r="AA132">
        <f>HYPERLINK("https://klasma.github.io/Logging_0482/klagomål/A 60591-2022 FSC-klagomål.docx", "A 60591-2022")</f>
        <v/>
      </c>
      <c r="AB132">
        <f>HYPERLINK("https://klasma.github.io/Logging_0482/klagomålsmail/A 60591-2022 FSC-klagomål mail.docx", "A 60591-2022")</f>
        <v/>
      </c>
      <c r="AC132">
        <f>HYPERLINK("https://klasma.github.io/Logging_0482/tillsyn/A 60591-2022 tillsynsbegäran.docx", "A 60591-2022")</f>
        <v/>
      </c>
      <c r="AD132">
        <f>HYPERLINK("https://klasma.github.io/Logging_0482/tillsynsmail/A 60591-2022 tillsynsbegäran mail.docx", "A 60591-2022")</f>
        <v/>
      </c>
    </row>
    <row r="133" ht="15" customHeight="1">
      <c r="A133" t="inlineStr">
        <is>
          <t>A 4259-2023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44953</v>
      </c>
      <c r="E133" s="1" t="n">
        <v>46266</v>
      </c>
      <c r="F133" t="inlineStr">
        <is>
          <t>SÖDERMANLANDS LÄN</t>
        </is>
      </c>
      <c r="G133" t="inlineStr">
        <is>
          <t>FLEN</t>
        </is>
      </c>
      <c r="I133" t="n">
        <v>1.3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Blåsippa</t>
        </is>
      </c>
      <c r="W133">
        <f>HYPERLINK("https://klasma.github.io/Logging_0482/artfynd/A 4259-2023 artfynd.xlsx", "A 4259-2023")</f>
        <v/>
      </c>
      <c r="X133">
        <f>HYPERLINK("https://klasma.github.io/Logging_0482/kartor/A 4259-2023 karta.png", "A 4259-2023")</f>
        <v/>
      </c>
      <c r="Y133">
        <f>HYPERLINK("https://klasma.github.io/Logging_0482/kartor_geotiff/A 4259-2023 georefererad karta.tif", "A 4259-2023")</f>
        <v/>
      </c>
      <c r="AA133">
        <f>HYPERLINK("https://klasma.github.io/Logging_0482/klagomål/A 4259-2023 FSC-klagomål.docx", "A 4259-2023")</f>
        <v/>
      </c>
      <c r="AB133">
        <f>HYPERLINK("https://klasma.github.io/Logging_0482/klagomålsmail/A 4259-2023 FSC-klagomål mail.docx", "A 4259-2023")</f>
        <v/>
      </c>
      <c r="AC133">
        <f>HYPERLINK("https://klasma.github.io/Logging_0482/tillsyn/A 4259-2023 tillsynsbegäran.docx", "A 4259-2023")</f>
        <v/>
      </c>
      <c r="AD133">
        <f>HYPERLINK("https://klasma.github.io/Logging_0482/tillsynsmail/A 4259-2023 tillsynsbegäran mail.docx", "A 4259-2023")</f>
        <v/>
      </c>
    </row>
    <row r="134" ht="15" customHeight="1">
      <c r="A134" t="inlineStr">
        <is>
          <t>A 12306-2022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44637</v>
      </c>
      <c r="E134" s="1" t="n">
        <v>46266</v>
      </c>
      <c r="F134" t="inlineStr">
        <is>
          <t>SÖDERMANLANDS LÄN</t>
        </is>
      </c>
      <c r="G134" t="inlineStr">
        <is>
          <t>FLEN</t>
        </is>
      </c>
      <c r="I134" t="n">
        <v>3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Järnsparv</t>
        </is>
      </c>
      <c r="W134">
        <f>HYPERLINK("https://klasma.github.io/Logging_0482/artfynd/A 12306-2022 artfynd.xlsx", "A 12306-2022")</f>
        <v/>
      </c>
      <c r="X134">
        <f>HYPERLINK("https://klasma.github.io/Logging_0482/kartor/A 12306-2022 karta.png", "A 12306-2022")</f>
        <v/>
      </c>
      <c r="Y134">
        <f>HYPERLINK("https://klasma.github.io/Logging_0482/kartor_geotiff/A 12306-2022 georefererad karta.tif", "A 12306-2022")</f>
        <v/>
      </c>
      <c r="AA134">
        <f>HYPERLINK("https://klasma.github.io/Logging_0482/klagomål/A 12306-2022 FSC-klagomål.docx", "A 12306-2022")</f>
        <v/>
      </c>
      <c r="AB134">
        <f>HYPERLINK("https://klasma.github.io/Logging_0482/klagomålsmail/A 12306-2022 FSC-klagomål mail.docx", "A 12306-2022")</f>
        <v/>
      </c>
      <c r="AC134">
        <f>HYPERLINK("https://klasma.github.io/Logging_0482/tillsyn/A 12306-2022 tillsynsbegäran.docx", "A 12306-2022")</f>
        <v/>
      </c>
      <c r="AD134">
        <f>HYPERLINK("https://klasma.github.io/Logging_0482/tillsynsmail/A 12306-2022 tillsynsbegäran mail.docx", "A 12306-2022")</f>
        <v/>
      </c>
      <c r="AE134">
        <f>HYPERLINK("https://klasma.github.io/Logging_0482/fåglar/A 12306-2022 prioriterade fågelarter.docx", "A 12306-2022")</f>
        <v/>
      </c>
    </row>
    <row r="135" ht="15" customHeight="1">
      <c r="A135" t="inlineStr">
        <is>
          <t>A 29195-2023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46266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3.9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Plattlummer</t>
        </is>
      </c>
      <c r="W135">
        <f>HYPERLINK("https://klasma.github.io/Logging_0482/artfynd/A 29195-2023 artfynd.xlsx", "A 29195-2023")</f>
        <v/>
      </c>
      <c r="X135">
        <f>HYPERLINK("https://klasma.github.io/Logging_0482/kartor/A 29195-2023 karta.png", "A 29195-2023")</f>
        <v/>
      </c>
      <c r="Y135">
        <f>HYPERLINK("https://klasma.github.io/Logging_0482/kartor_geotiff/A 29195-2023 georefererad karta.tif", "A 29195-2023")</f>
        <v/>
      </c>
      <c r="AA135">
        <f>HYPERLINK("https://klasma.github.io/Logging_0482/klagomål/A 29195-2023 FSC-klagomål.docx", "A 29195-2023")</f>
        <v/>
      </c>
      <c r="AB135">
        <f>HYPERLINK("https://klasma.github.io/Logging_0482/klagomålsmail/A 29195-2023 FSC-klagomål mail.docx", "A 29195-2023")</f>
        <v/>
      </c>
      <c r="AC135">
        <f>HYPERLINK("https://klasma.github.io/Logging_0482/tillsyn/A 29195-2023 tillsynsbegäran.docx", "A 29195-2023")</f>
        <v/>
      </c>
      <c r="AD135">
        <f>HYPERLINK("https://klasma.github.io/Logging_0482/tillsynsmail/A 29195-2023 tillsynsbegäran mail.docx", "A 29195-2023")</f>
        <v/>
      </c>
    </row>
    <row r="136" ht="15" customHeight="1">
      <c r="A136" t="inlineStr">
        <is>
          <t>A 60562-2021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44495</v>
      </c>
      <c r="E136" s="1" t="n">
        <v>46266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Gullklöver</t>
        </is>
      </c>
      <c r="W136">
        <f>HYPERLINK("https://klasma.github.io/Logging_0482/artfynd/A 60562-2021 artfynd.xlsx", "A 60562-2021")</f>
        <v/>
      </c>
      <c r="X136">
        <f>HYPERLINK("https://klasma.github.io/Logging_0482/kartor/A 60562-2021 karta.png", "A 60562-2021")</f>
        <v/>
      </c>
      <c r="Y136">
        <f>HYPERLINK("https://klasma.github.io/Logging_0482/kartor_geotiff/A 60562-2021 georefererad karta.tif", "A 60562-2021")</f>
        <v/>
      </c>
      <c r="AA136">
        <f>HYPERLINK("https://klasma.github.io/Logging_0482/klagomål/A 60562-2021 FSC-klagomål.docx", "A 60562-2021")</f>
        <v/>
      </c>
      <c r="AB136">
        <f>HYPERLINK("https://klasma.github.io/Logging_0482/klagomålsmail/A 60562-2021 FSC-klagomål mail.docx", "A 60562-2021")</f>
        <v/>
      </c>
      <c r="AC136">
        <f>HYPERLINK("https://klasma.github.io/Logging_0482/tillsyn/A 60562-2021 tillsynsbegäran.docx", "A 60562-2021")</f>
        <v/>
      </c>
      <c r="AD136">
        <f>HYPERLINK("https://klasma.github.io/Logging_0482/tillsynsmail/A 60562-2021 tillsynsbegäran mail.docx", "A 60562-2021")</f>
        <v/>
      </c>
    </row>
    <row r="137" ht="15" customHeight="1">
      <c r="A137" t="inlineStr">
        <is>
          <t>A 21704-2026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46266</v>
      </c>
      <c r="F137" t="inlineStr">
        <is>
          <t>SÖDERMANLANDS LÄN</t>
        </is>
      </c>
      <c r="G137" t="inlineStr">
        <is>
          <t>FLEN</t>
        </is>
      </c>
      <c r="I137" t="n">
        <v>10.2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Kandelabersvamp</t>
        </is>
      </c>
      <c r="W137">
        <f>HYPERLINK("https://klasma.github.io/Logging_0482/artfynd/A 21704-2026 artfynd.xlsx", "A 21704-2026")</f>
        <v/>
      </c>
      <c r="X137">
        <f>HYPERLINK("https://klasma.github.io/Logging_0482/kartor/A 21704-2026 karta.png", "A 21704-2026")</f>
        <v/>
      </c>
      <c r="Y137">
        <f>HYPERLINK("https://klasma.github.io/Logging_0482/kartor_geotiff/A 21704-2026 georefererad karta.tif", "A 21704-2026")</f>
        <v/>
      </c>
      <c r="AA137">
        <f>HYPERLINK("https://klasma.github.io/Logging_0482/klagomål/A 21704-2026 FSC-klagomål.docx", "A 21704-2026")</f>
        <v/>
      </c>
      <c r="AB137">
        <f>HYPERLINK("https://klasma.github.io/Logging_0482/klagomålsmail/A 21704-2026 FSC-klagomål mail.docx", "A 21704-2026")</f>
        <v/>
      </c>
      <c r="AC137">
        <f>HYPERLINK("https://klasma.github.io/Logging_0482/tillsyn/A 21704-2026 tillsynsbegäran.docx", "A 21704-2026")</f>
        <v/>
      </c>
      <c r="AD137">
        <f>HYPERLINK("https://klasma.github.io/Logging_0482/tillsynsmail/A 21704-2026 tillsynsbegäran mail.docx", "A 21704-2026")</f>
        <v/>
      </c>
    </row>
    <row r="138" ht="15" customHeight="1">
      <c r="A138" t="inlineStr">
        <is>
          <t>A 50202-2022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46266</v>
      </c>
      <c r="F138" t="inlineStr">
        <is>
          <t>SÖDERMANLANDS LÄN</t>
        </is>
      </c>
      <c r="G138" t="inlineStr">
        <is>
          <t>FLEN</t>
        </is>
      </c>
      <c r="H138" t="inlineStr">
        <is>
          <t>Kyrkan</t>
        </is>
      </c>
      <c r="I138" t="n">
        <v>5.8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50202-2022 artfynd.xlsx", "A 50202-2022")</f>
        <v/>
      </c>
      <c r="X138">
        <f>HYPERLINK("https://klasma.github.io/Logging_0482/kartor/A 50202-2022 karta.png", "A 50202-2022")</f>
        <v/>
      </c>
      <c r="Y138">
        <f>HYPERLINK("https://klasma.github.io/Logging_0482/kartor_geotiff/A 50202-2022 georefererad karta.tif", "A 50202-2022")</f>
        <v/>
      </c>
      <c r="AA138">
        <f>HYPERLINK("https://klasma.github.io/Logging_0482/klagomål/A 50202-2022 FSC-klagomål.docx", "A 50202-2022")</f>
        <v/>
      </c>
      <c r="AB138">
        <f>HYPERLINK("https://klasma.github.io/Logging_0482/klagomålsmail/A 50202-2022 FSC-klagomål mail.docx", "A 50202-2022")</f>
        <v/>
      </c>
      <c r="AC138">
        <f>HYPERLINK("https://klasma.github.io/Logging_0482/tillsyn/A 50202-2022 tillsynsbegäran.docx", "A 50202-2022")</f>
        <v/>
      </c>
      <c r="AD138">
        <f>HYPERLINK("https://klasma.github.io/Logging_0482/tillsynsmail/A 50202-2022 tillsynsbegäran mail.docx", "A 50202-2022")</f>
        <v/>
      </c>
    </row>
    <row r="139" ht="15" customHeight="1">
      <c r="A139" t="inlineStr">
        <is>
          <t>A 7973-2024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46266</v>
      </c>
      <c r="F139" t="inlineStr">
        <is>
          <t>SÖDERMANLANDS LÄN</t>
        </is>
      </c>
      <c r="G139" t="inlineStr">
        <is>
          <t>FLEN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Vippärt</t>
        </is>
      </c>
      <c r="W139">
        <f>HYPERLINK("https://klasma.github.io/Logging_0482/artfynd/A 7973-2024 artfynd.xlsx", "A 7973-2024")</f>
        <v/>
      </c>
      <c r="X139">
        <f>HYPERLINK("https://klasma.github.io/Logging_0482/kartor/A 7973-2024 karta.png", "A 7973-2024")</f>
        <v/>
      </c>
      <c r="Y139">
        <f>HYPERLINK("https://klasma.github.io/Logging_0482/kartor_geotiff/A 7973-2024 georefererad karta.tif", "A 7973-2024")</f>
        <v/>
      </c>
      <c r="AA139">
        <f>HYPERLINK("https://klasma.github.io/Logging_0482/klagomål/A 7973-2024 FSC-klagomål.docx", "A 7973-2024")</f>
        <v/>
      </c>
      <c r="AB139">
        <f>HYPERLINK("https://klasma.github.io/Logging_0482/klagomålsmail/A 7973-2024 FSC-klagomål mail.docx", "A 7973-2024")</f>
        <v/>
      </c>
      <c r="AC139">
        <f>HYPERLINK("https://klasma.github.io/Logging_0482/tillsyn/A 7973-2024 tillsynsbegäran.docx", "A 7973-2024")</f>
        <v/>
      </c>
      <c r="AD139">
        <f>HYPERLINK("https://klasma.github.io/Logging_0482/tillsynsmail/A 7973-2024 tillsynsbegäran mail.docx", "A 7973-2024")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46266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24179-2026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46266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24179-2026 artfynd.xlsx", "A 24179-2026")</f>
        <v/>
      </c>
      <c r="X141">
        <f>HYPERLINK("https://klasma.github.io/Logging_0482/kartor/A 24179-2026 karta.png", "A 24179-2026")</f>
        <v/>
      </c>
      <c r="Y141">
        <f>HYPERLINK("https://klasma.github.io/Logging_0482/kartor_geotiff/A 24179-2026 georefererad karta.tif", "A 24179-2026")</f>
        <v/>
      </c>
      <c r="AA141">
        <f>HYPERLINK("https://klasma.github.io/Logging_0482/klagomål/A 24179-2026 FSC-klagomål.docx", "A 24179-2026")</f>
        <v/>
      </c>
      <c r="AB141">
        <f>HYPERLINK("https://klasma.github.io/Logging_0482/klagomålsmail/A 24179-2026 FSC-klagomål mail.docx", "A 24179-2026")</f>
        <v/>
      </c>
      <c r="AC141">
        <f>HYPERLINK("https://klasma.github.io/Logging_0482/tillsyn/A 24179-2026 tillsynsbegäran.docx", "A 24179-2026")</f>
        <v/>
      </c>
      <c r="AD141">
        <f>HYPERLINK("https://klasma.github.io/Logging_0482/tillsynsmail/A 24179-2026 tillsynsbegäran mail.docx", "A 24179-2026")</f>
        <v/>
      </c>
    </row>
    <row r="142" ht="15" customHeight="1">
      <c r="A142" t="inlineStr">
        <is>
          <t>A 47756-2022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44854</v>
      </c>
      <c r="E142" s="1" t="n">
        <v>46266</v>
      </c>
      <c r="F142" t="inlineStr">
        <is>
          <t>SÖDERMANLANDS LÄN</t>
        </is>
      </c>
      <c r="G142" t="inlineStr">
        <is>
          <t>FLEN</t>
        </is>
      </c>
      <c r="I142" t="n">
        <v>2.4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Svinrot</t>
        </is>
      </c>
      <c r="W142">
        <f>HYPERLINK("https://klasma.github.io/Logging_0482/artfynd/A 47756-2022 artfynd.xlsx", "A 47756-2022")</f>
        <v/>
      </c>
      <c r="X142">
        <f>HYPERLINK("https://klasma.github.io/Logging_0482/kartor/A 47756-2022 karta.png", "A 47756-2022")</f>
        <v/>
      </c>
      <c r="Y142">
        <f>HYPERLINK("https://klasma.github.io/Logging_0482/kartor_geotiff/A 47756-2022 georefererad karta.tif", "A 47756-2022")</f>
        <v/>
      </c>
      <c r="AA142">
        <f>HYPERLINK("https://klasma.github.io/Logging_0482/klagomål/A 47756-2022 FSC-klagomål.docx", "A 47756-2022")</f>
        <v/>
      </c>
      <c r="AB142">
        <f>HYPERLINK("https://klasma.github.io/Logging_0482/klagomålsmail/A 47756-2022 FSC-klagomål mail.docx", "A 47756-2022")</f>
        <v/>
      </c>
      <c r="AC142">
        <f>HYPERLINK("https://klasma.github.io/Logging_0482/tillsyn/A 47756-2022 tillsynsbegäran.docx", "A 47756-2022")</f>
        <v/>
      </c>
      <c r="AD142">
        <f>HYPERLINK("https://klasma.github.io/Logging_0482/tillsynsmail/A 47756-2022 tillsynsbegäran mail.docx", "A 47756-2022")</f>
        <v/>
      </c>
    </row>
    <row r="143" ht="15" customHeight="1">
      <c r="A143" t="inlineStr">
        <is>
          <t>A 62535-2021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46266</v>
      </c>
      <c r="F143" t="inlineStr">
        <is>
          <t>SÖDERMANLANDS LÄN</t>
        </is>
      </c>
      <c r="G143" t="inlineStr">
        <is>
          <t>FLEN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HYPERLINK("https://klasma.github.io/Logging_0482/artfynd/A 62535-2021 artfynd.xlsx", "A 62535-2021")</f>
        <v/>
      </c>
      <c r="X143">
        <f>HYPERLINK("https://klasma.github.io/Logging_0482/kartor/A 62535-2021 karta.png", "A 62535-2021")</f>
        <v/>
      </c>
      <c r="Y143">
        <f>HYPERLINK("https://klasma.github.io/Logging_0482/kartor_geotiff/A 62535-2021 georefererad karta.tif", "A 62535-2021")</f>
        <v/>
      </c>
      <c r="AA143">
        <f>HYPERLINK("https://klasma.github.io/Logging_0482/klagomål/A 62535-2021 FSC-klagomål.docx", "A 62535-2021")</f>
        <v/>
      </c>
      <c r="AB143">
        <f>HYPERLINK("https://klasma.github.io/Logging_0482/klagomålsmail/A 62535-2021 FSC-klagomål mail.docx", "A 62535-2021")</f>
        <v/>
      </c>
      <c r="AC143">
        <f>HYPERLINK("https://klasma.github.io/Logging_0482/tillsyn/A 62535-2021 tillsynsbegäran.docx", "A 62535-2021")</f>
        <v/>
      </c>
      <c r="AD143">
        <f>HYPERLINK("https://klasma.github.io/Logging_0482/tillsynsmail/A 62535-2021 tillsynsbegäran mail.docx", "A 62535-2021")</f>
        <v/>
      </c>
    </row>
    <row r="144" ht="15" customHeight="1">
      <c r="A144" t="inlineStr">
        <is>
          <t>A 14273-2025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46266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Vedskivlav</t>
        </is>
      </c>
      <c r="W144">
        <f>HYPERLINK("https://klasma.github.io/Logging_0482/artfynd/A 14273-2025 artfynd.xlsx", "A 14273-2025")</f>
        <v/>
      </c>
      <c r="X144">
        <f>HYPERLINK("https://klasma.github.io/Logging_0482/kartor/A 14273-2025 karta.png", "A 14273-2025")</f>
        <v/>
      </c>
      <c r="Y144">
        <f>HYPERLINK("https://klasma.github.io/Logging_0482/kartor_geotiff/A 14273-2025 georefererad karta.tif", "A 14273-2025")</f>
        <v/>
      </c>
      <c r="AA144">
        <f>HYPERLINK("https://klasma.github.io/Logging_0482/klagomål/A 14273-2025 FSC-klagomål.docx", "A 14273-2025")</f>
        <v/>
      </c>
      <c r="AB144">
        <f>HYPERLINK("https://klasma.github.io/Logging_0482/klagomålsmail/A 14273-2025 FSC-klagomål mail.docx", "A 14273-2025")</f>
        <v/>
      </c>
      <c r="AC144">
        <f>HYPERLINK("https://klasma.github.io/Logging_0482/tillsyn/A 14273-2025 tillsynsbegäran.docx", "A 14273-2025")</f>
        <v/>
      </c>
      <c r="AD144">
        <f>HYPERLINK("https://klasma.github.io/Logging_0482/tillsynsmail/A 14273-2025 tillsynsbegäran mail.docx", "A 14273-2025")</f>
        <v/>
      </c>
    </row>
    <row r="145" ht="15" customHeight="1">
      <c r="A145" t="inlineStr">
        <is>
          <t>A 26310-2026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46266</v>
      </c>
      <c r="F145" t="inlineStr">
        <is>
          <t>SÖDERMANLANDS LÄN</t>
        </is>
      </c>
      <c r="G145" t="inlineStr">
        <is>
          <t>FLEN</t>
        </is>
      </c>
      <c r="I145" t="n">
        <v>1.2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HYPERLINK("https://klasma.github.io/Logging_0482/artfynd/A 26310-2026 artfynd.xlsx", "A 26310-2026")</f>
        <v/>
      </c>
      <c r="X145">
        <f>HYPERLINK("https://klasma.github.io/Logging_0482/kartor/A 26310-2026 karta.png", "A 26310-2026")</f>
        <v/>
      </c>
      <c r="Y145">
        <f>HYPERLINK("https://klasma.github.io/Logging_0482/kartor_geotiff/A 26310-2026 georefererad karta.tif", "A 26310-2026")</f>
        <v/>
      </c>
      <c r="AA145">
        <f>HYPERLINK("https://klasma.github.io/Logging_0482/klagomål/A 26310-2026 FSC-klagomål.docx", "A 26310-2026")</f>
        <v/>
      </c>
      <c r="AB145">
        <f>HYPERLINK("https://klasma.github.io/Logging_0482/klagomålsmail/A 26310-2026 FSC-klagomål mail.docx", "A 26310-2026")</f>
        <v/>
      </c>
      <c r="AC145">
        <f>HYPERLINK("https://klasma.github.io/Logging_0482/tillsyn/A 26310-2026 tillsynsbegäran.docx", "A 26310-2026")</f>
        <v/>
      </c>
      <c r="AD145">
        <f>HYPERLINK("https://klasma.github.io/Logging_0482/tillsynsmail/A 26310-2026 tillsynsbegäran mail.docx", "A 26310-2026")</f>
        <v/>
      </c>
      <c r="AE145">
        <f>HYPERLINK("https://klasma.github.io/Logging_0482/fåglar/A 26310-2026 prioriterade fågelarter.docx", "A 26310-2026")</f>
        <v/>
      </c>
    </row>
    <row r="146" ht="15" customHeight="1">
      <c r="A146" t="inlineStr">
        <is>
          <t>A 26052-2026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46266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Revlummer</t>
        </is>
      </c>
      <c r="W146">
        <f>HYPERLINK("https://klasma.github.io/Logging_0482/artfynd/A 26052-2026 artfynd.xlsx", "A 26052-2026")</f>
        <v/>
      </c>
      <c r="X146">
        <f>HYPERLINK("https://klasma.github.io/Logging_0482/kartor/A 26052-2026 karta.png", "A 26052-2026")</f>
        <v/>
      </c>
      <c r="Y146">
        <f>HYPERLINK("https://klasma.github.io/Logging_0482/kartor_geotiff/A 26052-2026 georefererad karta.tif", "A 26052-2026")</f>
        <v/>
      </c>
      <c r="AA146">
        <f>HYPERLINK("https://klasma.github.io/Logging_0482/klagomål/A 26052-2026 FSC-klagomål.docx", "A 26052-2026")</f>
        <v/>
      </c>
      <c r="AB146">
        <f>HYPERLINK("https://klasma.github.io/Logging_0482/klagomålsmail/A 26052-2026 FSC-klagomål mail.docx", "A 26052-2026")</f>
        <v/>
      </c>
      <c r="AC146">
        <f>HYPERLINK("https://klasma.github.io/Logging_0482/tillsyn/A 26052-2026 tillsynsbegäran.docx", "A 26052-2026")</f>
        <v/>
      </c>
      <c r="AD146">
        <f>HYPERLINK("https://klasma.github.io/Logging_0482/tillsynsmail/A 26052-2026 tillsynsbegäran mail.docx", "A 26052-2026")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46266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Gullviva</t>
        </is>
      </c>
      <c r="W147">
        <f>HYPERLINK("https://klasma.github.io/Logging_0482/artfynd/A 49820-2023 artfynd.xlsx", "A 49820-2023")</f>
        <v/>
      </c>
      <c r="X147">
        <f>HYPERLINK("https://klasma.github.io/Logging_0482/kartor/A 49820-2023 karta.png", "A 49820-2023")</f>
        <v/>
      </c>
      <c r="Y147">
        <f>HYPERLINK("https://klasma.github.io/Logging_0482/kartor_geotiff/A 49820-2023 georefererad karta.tif", "A 49820-2023")</f>
        <v/>
      </c>
      <c r="AA147">
        <f>HYPERLINK("https://klasma.github.io/Logging_0482/klagomål/A 49820-2023 FSC-klagomål.docx", "A 49820-2023")</f>
        <v/>
      </c>
      <c r="AB147">
        <f>HYPERLINK("https://klasma.github.io/Logging_0482/klagomålsmail/A 49820-2023 FSC-klagomål mail.docx", "A 49820-2023")</f>
        <v/>
      </c>
      <c r="AC147">
        <f>HYPERLINK("https://klasma.github.io/Logging_0482/tillsyn/A 49820-2023 tillsynsbegäran.docx", "A 49820-2023")</f>
        <v/>
      </c>
      <c r="AD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45107-2023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46266</v>
      </c>
      <c r="F148" t="inlineStr">
        <is>
          <t>SÖDERMANLANDS LÄN</t>
        </is>
      </c>
      <c r="G148" t="inlineStr">
        <is>
          <t>FLEN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Brudborste</t>
        </is>
      </c>
      <c r="W148">
        <f>HYPERLINK("https://klasma.github.io/Logging_0482/artfynd/A 45107-2023 artfynd.xlsx", "A 45107-2023")</f>
        <v/>
      </c>
      <c r="X148">
        <f>HYPERLINK("https://klasma.github.io/Logging_0482/kartor/A 45107-2023 karta.png", "A 45107-2023")</f>
        <v/>
      </c>
      <c r="Y148">
        <f>HYPERLINK("https://klasma.github.io/Logging_0482/kartor_geotiff/A 45107-2023 georefererad karta.tif", "A 45107-2023")</f>
        <v/>
      </c>
      <c r="AA148">
        <f>HYPERLINK("https://klasma.github.io/Logging_0482/klagomål/A 45107-2023 FSC-klagomål.docx", "A 45107-2023")</f>
        <v/>
      </c>
      <c r="AB148">
        <f>HYPERLINK("https://klasma.github.io/Logging_0482/klagomålsmail/A 45107-2023 FSC-klagomål mail.docx", "A 45107-2023")</f>
        <v/>
      </c>
      <c r="AC148">
        <f>HYPERLINK("https://klasma.github.io/Logging_0482/tillsyn/A 45107-2023 tillsynsbegäran.docx", "A 45107-2023")</f>
        <v/>
      </c>
      <c r="AD148">
        <f>HYPERLINK("https://klasma.github.io/Logging_0482/tillsynsmail/A 45107-2023 tillsynsbegäran mail.docx", "A 45107-2023")</f>
        <v/>
      </c>
    </row>
    <row r="149" ht="15" customHeight="1">
      <c r="A149" t="inlineStr">
        <is>
          <t>A 30406-2026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46209</v>
      </c>
      <c r="E149" s="1" t="n">
        <v>46266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1.1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HYPERLINK("https://klasma.github.io/Logging_0482/artfynd/A 30406-2026 artfynd.xlsx", "A 30406-2026")</f>
        <v/>
      </c>
      <c r="X149">
        <f>HYPERLINK("https://klasma.github.io/Logging_0482/kartor/A 30406-2026 karta.png", "A 30406-2026")</f>
        <v/>
      </c>
      <c r="Y149">
        <f>HYPERLINK("https://klasma.github.io/Logging_0482/kartor_geotiff/A 30406-2026 georefererad karta.tif", "A 30406-2026")</f>
        <v/>
      </c>
      <c r="AA149">
        <f>HYPERLINK("https://klasma.github.io/Logging_0482/klagomål/A 30406-2026 FSC-klagomål.docx", "A 30406-2026")</f>
        <v/>
      </c>
      <c r="AB149">
        <f>HYPERLINK("https://klasma.github.io/Logging_0482/klagomålsmail/A 30406-2026 FSC-klagomål mail.docx", "A 30406-2026")</f>
        <v/>
      </c>
      <c r="AC149">
        <f>HYPERLINK("https://klasma.github.io/Logging_0482/tillsyn/A 30406-2026 tillsynsbegäran.docx", "A 30406-2026")</f>
        <v/>
      </c>
      <c r="AD149">
        <f>HYPERLINK("https://klasma.github.io/Logging_0482/tillsynsmail/A 30406-2026 tillsynsbegäran mail.docx", "A 30406-2026")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46266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46266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46266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46266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46266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46266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46266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46266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46266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46266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46266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46266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46266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46266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46266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27992-2022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44745</v>
      </c>
      <c r="E165" s="1" t="n">
        <v>46266</v>
      </c>
      <c r="F165" t="inlineStr">
        <is>
          <t>SÖDERMANLANDS LÄN</t>
        </is>
      </c>
      <c r="G165" t="inlineStr">
        <is>
          <t>FLEN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51246-2021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44461</v>
      </c>
      <c r="E166" s="1" t="n">
        <v>46266</v>
      </c>
      <c r="F166" t="inlineStr">
        <is>
          <t>SÖDERMANLANDS LÄN</t>
        </is>
      </c>
      <c r="G166" t="inlineStr">
        <is>
          <t>FLEN</t>
        </is>
      </c>
      <c r="H166" t="inlineStr">
        <is>
          <t>Holmen skog AB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46266</v>
      </c>
      <c r="F167" t="inlineStr">
        <is>
          <t>SÖDERMANLANDS LÄN</t>
        </is>
      </c>
      <c r="G167" t="inlineStr">
        <is>
          <t>FLEN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46266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46266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46266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46266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46266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46266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46266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46266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46266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46266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46266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44640</v>
      </c>
      <c r="E179" s="1" t="n">
        <v>46266</v>
      </c>
      <c r="F179" t="inlineStr">
        <is>
          <t>SÖDERMANLANDS LÄN</t>
        </is>
      </c>
      <c r="G179" t="inlineStr">
        <is>
          <t>FLEN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47644-2021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44448</v>
      </c>
      <c r="E180" s="1" t="n">
        <v>46266</v>
      </c>
      <c r="F180" t="inlineStr">
        <is>
          <t>SÖDERMANLANDS LÄN</t>
        </is>
      </c>
      <c r="G180" t="inlineStr">
        <is>
          <t>FLEN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46266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46266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46266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46266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46266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46266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46266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46266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46266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46266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46266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46266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46266</v>
      </c>
      <c r="F193" t="inlineStr">
        <is>
          <t>SÖDERMANLANDS LÄN</t>
        </is>
      </c>
      <c r="G193" t="inlineStr">
        <is>
          <t>FLEN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46266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46266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46266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46266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46266</v>
      </c>
      <c r="F198" t="inlineStr">
        <is>
          <t>SÖDERMANLANDS LÄN</t>
        </is>
      </c>
      <c r="G198" t="inlineStr">
        <is>
          <t>FLEN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46266</v>
      </c>
      <c r="F199" t="inlineStr">
        <is>
          <t>SÖDERMANLANDS LÄN</t>
        </is>
      </c>
      <c r="G199" t="inlineStr">
        <is>
          <t>FLEN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44566</v>
      </c>
      <c r="E200" s="1" t="n">
        <v>46266</v>
      </c>
      <c r="F200" t="inlineStr">
        <is>
          <t>SÖDERMANLANDS LÄN</t>
        </is>
      </c>
      <c r="G200" t="inlineStr">
        <is>
          <t>FLEN</t>
        </is>
      </c>
      <c r="H200" t="inlineStr">
        <is>
          <t>Kyrkan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46266</v>
      </c>
      <c r="F201" t="inlineStr">
        <is>
          <t>SÖDERMANLANDS LÄN</t>
        </is>
      </c>
      <c r="G201" t="inlineStr">
        <is>
          <t>FLEN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44610</v>
      </c>
      <c r="E202" s="1" t="n">
        <v>46266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44643</v>
      </c>
      <c r="E203" s="1" t="n">
        <v>46266</v>
      </c>
      <c r="F203" t="inlineStr">
        <is>
          <t>SÖDERMANLANDS LÄN</t>
        </is>
      </c>
      <c r="G203" t="inlineStr">
        <is>
          <t>FLEN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44448</v>
      </c>
      <c r="E204" s="1" t="n">
        <v>46266</v>
      </c>
      <c r="F204" t="inlineStr">
        <is>
          <t>SÖDERMANLANDS LÄN</t>
        </is>
      </c>
      <c r="G204" t="inlineStr">
        <is>
          <t>FLEN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46266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46266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21351-2022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44705</v>
      </c>
      <c r="E207" s="1" t="n">
        <v>46266</v>
      </c>
      <c r="F207" t="inlineStr">
        <is>
          <t>SÖDERMANLANDS LÄN</t>
        </is>
      </c>
      <c r="G207" t="inlineStr">
        <is>
          <t>FLEN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46266</v>
      </c>
      <c r="F208" t="inlineStr">
        <is>
          <t>SÖDERMANLANDS LÄN</t>
        </is>
      </c>
      <c r="G208" t="inlineStr">
        <is>
          <t>FLEN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44868</v>
      </c>
      <c r="E209" s="1" t="n">
        <v>46266</v>
      </c>
      <c r="F209" t="inlineStr">
        <is>
          <t>SÖDERMANLANDS LÄN</t>
        </is>
      </c>
      <c r="G209" t="inlineStr">
        <is>
          <t>FLEN</t>
        </is>
      </c>
      <c r="H209" t="inlineStr">
        <is>
          <t>Övriga statliga verk och myndigheter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35507-2024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45531</v>
      </c>
      <c r="E210" s="1" t="n">
        <v>46266</v>
      </c>
      <c r="F210" t="inlineStr">
        <is>
          <t>SÖDERMANLANDS LÄN</t>
        </is>
      </c>
      <c r="G210" t="inlineStr">
        <is>
          <t>FLEN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45555</v>
      </c>
      <c r="E211" s="1" t="n">
        <v>46266</v>
      </c>
      <c r="F211" t="inlineStr">
        <is>
          <t>SÖDERMANLANDS LÄN</t>
        </is>
      </c>
      <c r="G211" t="inlineStr">
        <is>
          <t>FLEN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45378</v>
      </c>
      <c r="E212" s="1" t="n">
        <v>46266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65869-2021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46266</v>
      </c>
      <c r="F213" t="inlineStr">
        <is>
          <t>SÖDERMANLANDS LÄN</t>
        </is>
      </c>
      <c r="G213" t="inlineStr">
        <is>
          <t>FLEN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69588-2021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44531</v>
      </c>
      <c r="E214" s="1" t="n">
        <v>46266</v>
      </c>
      <c r="F214" t="inlineStr">
        <is>
          <t>SÖDERMANLANDS LÄN</t>
        </is>
      </c>
      <c r="G214" t="inlineStr">
        <is>
          <t>FLEN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4899-2023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44958</v>
      </c>
      <c r="E215" s="1" t="n">
        <v>46266</v>
      </c>
      <c r="F215" t="inlineStr">
        <is>
          <t>SÖDERMANLANDS LÄN</t>
        </is>
      </c>
      <c r="G215" t="inlineStr">
        <is>
          <t>FLEN</t>
        </is>
      </c>
      <c r="H215" t="inlineStr">
        <is>
          <t>Kyrkan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46266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33024-2022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44785</v>
      </c>
      <c r="E217" s="1" t="n">
        <v>46266</v>
      </c>
      <c r="F217" t="inlineStr">
        <is>
          <t>SÖDERMANLANDS LÄN</t>
        </is>
      </c>
      <c r="G217" t="inlineStr">
        <is>
          <t>FLEN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46266</v>
      </c>
      <c r="F218" t="inlineStr">
        <is>
          <t>SÖDERMANLANDS LÄN</t>
        </is>
      </c>
      <c r="G218" t="inlineStr">
        <is>
          <t>FLEN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47989-2025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45932</v>
      </c>
      <c r="E219" s="1" t="n">
        <v>46266</v>
      </c>
      <c r="F219" t="inlineStr">
        <is>
          <t>SÖDERMANLANDS LÄN</t>
        </is>
      </c>
      <c r="G219" t="inlineStr">
        <is>
          <t>FLEN</t>
        </is>
      </c>
      <c r="H219" t="inlineStr">
        <is>
          <t>Holmen skog AB</t>
        </is>
      </c>
      <c r="I219" t="n">
        <v>9.1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44986</v>
      </c>
      <c r="E220" s="1" t="n">
        <v>46266</v>
      </c>
      <c r="F220" t="inlineStr">
        <is>
          <t>SÖDERMANLANDS LÄN</t>
        </is>
      </c>
      <c r="G220" t="inlineStr">
        <is>
          <t>FLEN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17290-2024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46266</v>
      </c>
      <c r="F221" t="inlineStr">
        <is>
          <t>SÖDERMANLANDS LÄN</t>
        </is>
      </c>
      <c r="G221" t="inlineStr">
        <is>
          <t>FLEN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59051-2023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46266</v>
      </c>
      <c r="F222" t="inlineStr">
        <is>
          <t>SÖDERMANLANDS LÄN</t>
        </is>
      </c>
      <c r="G222" t="inlineStr">
        <is>
          <t>FLEN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7960-2024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45350</v>
      </c>
      <c r="E223" s="1" t="n">
        <v>46266</v>
      </c>
      <c r="F223" t="inlineStr">
        <is>
          <t>SÖDERMANLANDS LÄN</t>
        </is>
      </c>
      <c r="G223" t="inlineStr">
        <is>
          <t>FLEN</t>
        </is>
      </c>
      <c r="I223" t="n">
        <v>10.4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44883</v>
      </c>
      <c r="E224" s="1" t="n">
        <v>46266</v>
      </c>
      <c r="F224" t="inlineStr">
        <is>
          <t>SÖDERMANLANDS LÄN</t>
        </is>
      </c>
      <c r="G224" t="inlineStr">
        <is>
          <t>FLEN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47055-2022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44852</v>
      </c>
      <c r="E225" s="1" t="n">
        <v>46266</v>
      </c>
      <c r="F225" t="inlineStr">
        <is>
          <t>SÖDERMANLANDS LÄN</t>
        </is>
      </c>
      <c r="G225" t="inlineStr">
        <is>
          <t>FLEN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13909-2023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45008</v>
      </c>
      <c r="E226" s="1" t="n">
        <v>46266</v>
      </c>
      <c r="F226" t="inlineStr">
        <is>
          <t>SÖDERMANLANDS LÄN</t>
        </is>
      </c>
      <c r="G226" t="inlineStr">
        <is>
          <t>FLEN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44914</v>
      </c>
      <c r="E227" s="1" t="n">
        <v>46266</v>
      </c>
      <c r="F227" t="inlineStr">
        <is>
          <t>SÖDERMANLANDS LÄN</t>
        </is>
      </c>
      <c r="G227" t="inlineStr">
        <is>
          <t>FLEN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60255-2021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44495</v>
      </c>
      <c r="E228" s="1" t="n">
        <v>46266</v>
      </c>
      <c r="F228" t="inlineStr">
        <is>
          <t>SÖDERMANLANDS LÄN</t>
        </is>
      </c>
      <c r="G228" t="inlineStr">
        <is>
          <t>FLEN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22989-2025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46266</v>
      </c>
      <c r="F229" t="inlineStr">
        <is>
          <t>SÖDERMANLANDS LÄN</t>
        </is>
      </c>
      <c r="G229" t="inlineStr">
        <is>
          <t>FLEN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72314-2021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44544</v>
      </c>
      <c r="E230" s="1" t="n">
        <v>46266</v>
      </c>
      <c r="F230" t="inlineStr">
        <is>
          <t>SÖDERMANLANDS LÄN</t>
        </is>
      </c>
      <c r="G230" t="inlineStr">
        <is>
          <t>FLEN</t>
        </is>
      </c>
      <c r="I230" t="n">
        <v>13.8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46266</v>
      </c>
      <c r="F231" t="inlineStr">
        <is>
          <t>SÖDERMANLANDS LÄN</t>
        </is>
      </c>
      <c r="G231" t="inlineStr">
        <is>
          <t>FLEN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45790</v>
      </c>
      <c r="E232" s="1" t="n">
        <v>46266</v>
      </c>
      <c r="F232" t="inlineStr">
        <is>
          <t>SÖDERMANLANDS LÄN</t>
        </is>
      </c>
      <c r="G232" t="inlineStr">
        <is>
          <t>FLEN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54666-2021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46266</v>
      </c>
      <c r="F233" t="inlineStr">
        <is>
          <t>SÖDERMANLANDS LÄN</t>
        </is>
      </c>
      <c r="G233" t="inlineStr">
        <is>
          <t>FLEN</t>
        </is>
      </c>
      <c r="I233" t="n">
        <v>10.1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58834-2024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46266</v>
      </c>
      <c r="F234" t="inlineStr">
        <is>
          <t>SÖDERMANLANDS LÄN</t>
        </is>
      </c>
      <c r="G234" t="inlineStr">
        <is>
          <t>FLEN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46266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46266</v>
      </c>
      <c r="F236" t="inlineStr">
        <is>
          <t>SÖDERMANLANDS LÄN</t>
        </is>
      </c>
      <c r="G236" t="inlineStr">
        <is>
          <t>FLEN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47604-2021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44448</v>
      </c>
      <c r="E237" s="1" t="n">
        <v>46266</v>
      </c>
      <c r="F237" t="inlineStr">
        <is>
          <t>SÖDERMANLANDS LÄN</t>
        </is>
      </c>
      <c r="G237" t="inlineStr">
        <is>
          <t>FLEN</t>
        </is>
      </c>
      <c r="I237" t="n">
        <v>11.5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52472-2023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45225</v>
      </c>
      <c r="E238" s="1" t="n">
        <v>46266</v>
      </c>
      <c r="F238" t="inlineStr">
        <is>
          <t>SÖDERMANLANDS LÄN</t>
        </is>
      </c>
      <c r="G238" t="inlineStr">
        <is>
          <t>FLEN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52775-2024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46266</v>
      </c>
      <c r="F239" t="inlineStr">
        <is>
          <t>SÖDERMANLANDS LÄN</t>
        </is>
      </c>
      <c r="G239" t="inlineStr">
        <is>
          <t>FLEN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34817-2022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44796</v>
      </c>
      <c r="E240" s="1" t="n">
        <v>46266</v>
      </c>
      <c r="F240" t="inlineStr">
        <is>
          <t>SÖDERMANLANDS LÄN</t>
        </is>
      </c>
      <c r="G240" t="inlineStr">
        <is>
          <t>FLEN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45555</v>
      </c>
      <c r="E241" s="1" t="n">
        <v>46266</v>
      </c>
      <c r="F241" t="inlineStr">
        <is>
          <t>SÖDERMANLANDS LÄN</t>
        </is>
      </c>
      <c r="G241" t="inlineStr">
        <is>
          <t>FLEN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29148-2024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45482</v>
      </c>
      <c r="E242" s="1" t="n">
        <v>46266</v>
      </c>
      <c r="F242" t="inlineStr">
        <is>
          <t>SÖDERMANLANDS LÄN</t>
        </is>
      </c>
      <c r="G242" t="inlineStr">
        <is>
          <t>FLEN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45797</v>
      </c>
      <c r="E243" s="1" t="n">
        <v>46266</v>
      </c>
      <c r="F243" t="inlineStr">
        <is>
          <t>SÖDERMANLANDS LÄN</t>
        </is>
      </c>
      <c r="G243" t="inlineStr">
        <is>
          <t>FLEN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46266</v>
      </c>
      <c r="F244" t="inlineStr">
        <is>
          <t>SÖDERMANLANDS LÄN</t>
        </is>
      </c>
      <c r="G244" t="inlineStr">
        <is>
          <t>FLEN</t>
        </is>
      </c>
      <c r="H244" t="inlineStr">
        <is>
          <t>Övriga statliga verk och myndigheter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45798</v>
      </c>
      <c r="E245" s="1" t="n">
        <v>46266</v>
      </c>
      <c r="F245" t="inlineStr">
        <is>
          <t>SÖDERMANLANDS LÄN</t>
        </is>
      </c>
      <c r="G245" t="inlineStr">
        <is>
          <t>FLEN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46266</v>
      </c>
      <c r="F246" t="inlineStr">
        <is>
          <t>SÖDERMANLANDS LÄN</t>
        </is>
      </c>
      <c r="G246" t="inlineStr">
        <is>
          <t>FLEN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7313-2025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45702</v>
      </c>
      <c r="E247" s="1" t="n">
        <v>46266</v>
      </c>
      <c r="F247" t="inlineStr">
        <is>
          <t>SÖDERMANLANDS LÄN</t>
        </is>
      </c>
      <c r="G247" t="inlineStr">
        <is>
          <t>FLEN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49775-2024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45597</v>
      </c>
      <c r="E248" s="1" t="n">
        <v>46266</v>
      </c>
      <c r="F248" t="inlineStr">
        <is>
          <t>SÖDERMANLANDS LÄN</t>
        </is>
      </c>
      <c r="G248" t="inlineStr">
        <is>
          <t>FLEN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52980-2023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45226</v>
      </c>
      <c r="E249" s="1" t="n">
        <v>46266</v>
      </c>
      <c r="F249" t="inlineStr">
        <is>
          <t>SÖDERMANLANDS LÄN</t>
        </is>
      </c>
      <c r="G249" t="inlineStr">
        <is>
          <t>FLEN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46266</v>
      </c>
      <c r="F250" t="inlineStr">
        <is>
          <t>SÖDERMANLANDS LÄN</t>
        </is>
      </c>
      <c r="G250" t="inlineStr">
        <is>
          <t>FLEN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24480-2025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45798</v>
      </c>
      <c r="E251" s="1" t="n">
        <v>46266</v>
      </c>
      <c r="F251" t="inlineStr">
        <is>
          <t>SÖDERMANLANDS LÄN</t>
        </is>
      </c>
      <c r="G251" t="inlineStr">
        <is>
          <t>FLEN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62579-2023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45270</v>
      </c>
      <c r="E252" s="1" t="n">
        <v>46266</v>
      </c>
      <c r="F252" t="inlineStr">
        <is>
          <t>SÖDERMANLANDS LÄN</t>
        </is>
      </c>
      <c r="G252" t="inlineStr">
        <is>
          <t>FLEN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44970</v>
      </c>
      <c r="E253" s="1" t="n">
        <v>46266</v>
      </c>
      <c r="F253" t="inlineStr">
        <is>
          <t>SÖDERMANLANDS LÄN</t>
        </is>
      </c>
      <c r="G253" t="inlineStr">
        <is>
          <t>FLEN</t>
        </is>
      </c>
      <c r="H253" t="inlineStr">
        <is>
          <t>Kommuner</t>
        </is>
      </c>
      <c r="I253" t="n">
        <v>11.2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45166</v>
      </c>
      <c r="E254" s="1" t="n">
        <v>46266</v>
      </c>
      <c r="F254" t="inlineStr">
        <is>
          <t>SÖDERMANLANDS LÄN</t>
        </is>
      </c>
      <c r="G254" t="inlineStr">
        <is>
          <t>FLEN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36096-2023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45149</v>
      </c>
      <c r="E255" s="1" t="n">
        <v>46266</v>
      </c>
      <c r="F255" t="inlineStr">
        <is>
          <t>SÖDERMANLANDS LÄN</t>
        </is>
      </c>
      <c r="G255" t="inlineStr">
        <is>
          <t>FLEN</t>
        </is>
      </c>
      <c r="H255" t="inlineStr">
        <is>
          <t>Kyrkan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45309</v>
      </c>
      <c r="E256" s="1" t="n">
        <v>46266</v>
      </c>
      <c r="F256" t="inlineStr">
        <is>
          <t>SÖDERMANLANDS LÄN</t>
        </is>
      </c>
      <c r="G256" t="inlineStr">
        <is>
          <t>FLEN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25823-2022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44733</v>
      </c>
      <c r="E257" s="1" t="n">
        <v>46266</v>
      </c>
      <c r="F257" t="inlineStr">
        <is>
          <t>SÖDERMANLANDS LÄN</t>
        </is>
      </c>
      <c r="G257" t="inlineStr">
        <is>
          <t>FLEN</t>
        </is>
      </c>
      <c r="I257" t="n">
        <v>8.699999999999999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46266</v>
      </c>
      <c r="F258" t="inlineStr">
        <is>
          <t>SÖDERMANLANDS LÄN</t>
        </is>
      </c>
      <c r="G258" t="inlineStr">
        <is>
          <t>FLEN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46031-2025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46266</v>
      </c>
      <c r="F259" t="inlineStr">
        <is>
          <t>SÖDERMANLANDS LÄN</t>
        </is>
      </c>
      <c r="G259" t="inlineStr">
        <is>
          <t>FLEN</t>
        </is>
      </c>
      <c r="H259" t="inlineStr">
        <is>
          <t>Holmen skog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46266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46662-2025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45926</v>
      </c>
      <c r="E261" s="1" t="n">
        <v>46266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48858-2023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45209</v>
      </c>
      <c r="E262" s="1" t="n">
        <v>46266</v>
      </c>
      <c r="F262" t="inlineStr">
        <is>
          <t>SÖDERMANLANDS LÄN</t>
        </is>
      </c>
      <c r="G262" t="inlineStr">
        <is>
          <t>FLEN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39161-2025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46266</v>
      </c>
      <c r="F263" t="inlineStr">
        <is>
          <t>SÖDERMANLANDS LÄN</t>
        </is>
      </c>
      <c r="G263" t="inlineStr">
        <is>
          <t>FLEN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66867-2021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44522</v>
      </c>
      <c r="E264" s="1" t="n">
        <v>46266</v>
      </c>
      <c r="F264" t="inlineStr">
        <is>
          <t>SÖDERMANLANDS LÄN</t>
        </is>
      </c>
      <c r="G264" t="inlineStr">
        <is>
          <t>FLEN</t>
        </is>
      </c>
      <c r="H264" t="inlineStr">
        <is>
          <t>Kyrkan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44931</v>
      </c>
      <c r="E265" s="1" t="n">
        <v>46266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46266</v>
      </c>
      <c r="F266" t="inlineStr">
        <is>
          <t>SÖDERMANLANDS LÄN</t>
        </is>
      </c>
      <c r="G266" t="inlineStr">
        <is>
          <t>FLEN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45830</v>
      </c>
      <c r="E267" s="1" t="n">
        <v>46266</v>
      </c>
      <c r="F267" t="inlineStr">
        <is>
          <t>SÖDERMANLANDS LÄN</t>
        </is>
      </c>
      <c r="G267" t="inlineStr">
        <is>
          <t>FLEN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30493-2025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45830</v>
      </c>
      <c r="E268" s="1" t="n">
        <v>46266</v>
      </c>
      <c r="F268" t="inlineStr">
        <is>
          <t>SÖDERMANLANDS LÄN</t>
        </is>
      </c>
      <c r="G268" t="inlineStr">
        <is>
          <t>FLEN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44979</v>
      </c>
      <c r="E269" s="1" t="n">
        <v>46266</v>
      </c>
      <c r="F269" t="inlineStr">
        <is>
          <t>SÖDERMANLANDS LÄN</t>
        </is>
      </c>
      <c r="G269" t="inlineStr">
        <is>
          <t>FLEN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35600-2023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45147</v>
      </c>
      <c r="E270" s="1" t="n">
        <v>46266</v>
      </c>
      <c r="F270" t="inlineStr">
        <is>
          <t>SÖDERMANLANDS LÄN</t>
        </is>
      </c>
      <c r="G270" t="inlineStr">
        <is>
          <t>FLEN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48785-2022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44859</v>
      </c>
      <c r="E271" s="1" t="n">
        <v>46266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45244</v>
      </c>
      <c r="E272" s="1" t="n">
        <v>46266</v>
      </c>
      <c r="F272" t="inlineStr">
        <is>
          <t>SÖDERMANLANDS LÄN</t>
        </is>
      </c>
      <c r="G272" t="inlineStr">
        <is>
          <t>FLEN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10771-2022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44624</v>
      </c>
      <c r="E273" s="1" t="n">
        <v>46266</v>
      </c>
      <c r="F273" t="inlineStr">
        <is>
          <t>SÖDERMANLANDS LÄN</t>
        </is>
      </c>
      <c r="G273" t="inlineStr">
        <is>
          <t>FLEN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38762-2023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45163</v>
      </c>
      <c r="E274" s="1" t="n">
        <v>46266</v>
      </c>
      <c r="F274" t="inlineStr">
        <is>
          <t>SÖDERMANLANDS LÄN</t>
        </is>
      </c>
      <c r="G274" t="inlineStr">
        <is>
          <t>FLEN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46266</v>
      </c>
      <c r="F275" t="inlineStr">
        <is>
          <t>SÖDERMANLANDS LÄN</t>
        </is>
      </c>
      <c r="G275" t="inlineStr">
        <is>
          <t>FLEN</t>
        </is>
      </c>
      <c r="H275" t="inlineStr">
        <is>
          <t>Övriga statliga verk och myndigheter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45702</v>
      </c>
      <c r="E276" s="1" t="n">
        <v>46266</v>
      </c>
      <c r="F276" t="inlineStr">
        <is>
          <t>SÖDERMANLANDS LÄN</t>
        </is>
      </c>
      <c r="G276" t="inlineStr">
        <is>
          <t>FLEN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45729</v>
      </c>
      <c r="E277" s="1" t="n">
        <v>46266</v>
      </c>
      <c r="F277" t="inlineStr">
        <is>
          <t>SÖDERMANLANDS LÄN</t>
        </is>
      </c>
      <c r="G277" t="inlineStr">
        <is>
          <t>FLEN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45311</v>
      </c>
      <c r="E278" s="1" t="n">
        <v>46266</v>
      </c>
      <c r="F278" t="inlineStr">
        <is>
          <t>SÖDERMANLANDS LÄN</t>
        </is>
      </c>
      <c r="G278" t="inlineStr">
        <is>
          <t>FLEN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44588</v>
      </c>
      <c r="E279" s="1" t="n">
        <v>46266</v>
      </c>
      <c r="F279" t="inlineStr">
        <is>
          <t>SÖDERMANLANDS LÄN</t>
        </is>
      </c>
      <c r="G279" t="inlineStr">
        <is>
          <t>FLEN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45299</v>
      </c>
      <c r="E280" s="1" t="n">
        <v>46266</v>
      </c>
      <c r="F280" t="inlineStr">
        <is>
          <t>SÖDERMANLANDS LÄN</t>
        </is>
      </c>
      <c r="G280" t="inlineStr">
        <is>
          <t>FLEN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57356-2022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46266</v>
      </c>
      <c r="F281" t="inlineStr">
        <is>
          <t>SÖDERMANLANDS LÄN</t>
        </is>
      </c>
      <c r="G281" t="inlineStr">
        <is>
          <t>FLEN</t>
        </is>
      </c>
      <c r="H281" t="inlineStr">
        <is>
          <t>Övriga statliga verk och myndigheter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57863-2022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44899</v>
      </c>
      <c r="E282" s="1" t="n">
        <v>46266</v>
      </c>
      <c r="F282" t="inlineStr">
        <is>
          <t>SÖDERMANLANDS LÄN</t>
        </is>
      </c>
      <c r="G282" t="inlineStr">
        <is>
          <t>FLEN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51872-2022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44872</v>
      </c>
      <c r="E283" s="1" t="n">
        <v>46266</v>
      </c>
      <c r="F283" t="inlineStr">
        <is>
          <t>SÖDERMANLANDS LÄN</t>
        </is>
      </c>
      <c r="G283" t="inlineStr">
        <is>
          <t>FLEN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51955-2025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45952</v>
      </c>
      <c r="E284" s="1" t="n">
        <v>46266</v>
      </c>
      <c r="F284" t="inlineStr">
        <is>
          <t>SÖDERMANLANDS LÄN</t>
        </is>
      </c>
      <c r="G284" t="inlineStr">
        <is>
          <t>FLEN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48826-2022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44859</v>
      </c>
      <c r="E285" s="1" t="n">
        <v>46266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45057</v>
      </c>
      <c r="E286" s="1" t="n">
        <v>46266</v>
      </c>
      <c r="F286" t="inlineStr">
        <is>
          <t>SÖDERMANLANDS LÄN</t>
        </is>
      </c>
      <c r="G286" t="inlineStr">
        <is>
          <t>FLEN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53121-2023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45228</v>
      </c>
      <c r="E287" s="1" t="n">
        <v>46266</v>
      </c>
      <c r="F287" t="inlineStr">
        <is>
          <t>SÖDERMANLANDS LÄN</t>
        </is>
      </c>
      <c r="G287" t="inlineStr">
        <is>
          <t>FLEN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45880</v>
      </c>
      <c r="E288" s="1" t="n">
        <v>46266</v>
      </c>
      <c r="F288" t="inlineStr">
        <is>
          <t>SÖDERMANLANDS LÄN</t>
        </is>
      </c>
      <c r="G288" t="inlineStr">
        <is>
          <t>FLEN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17125-2023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46266</v>
      </c>
      <c r="F289" t="inlineStr">
        <is>
          <t>SÖDERMANLANDS LÄN</t>
        </is>
      </c>
      <c r="G289" t="inlineStr">
        <is>
          <t>FLEN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38464-2025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46266</v>
      </c>
      <c r="F290" t="inlineStr">
        <is>
          <t>SÖDERMANLANDS LÄN</t>
        </is>
      </c>
      <c r="G290" t="inlineStr">
        <is>
          <t>FLEN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54283-2025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45964</v>
      </c>
      <c r="E291" s="1" t="n">
        <v>46266</v>
      </c>
      <c r="F291" t="inlineStr">
        <is>
          <t>SÖDERMANLANDS LÄN</t>
        </is>
      </c>
      <c r="G291" t="inlineStr">
        <is>
          <t>FLEN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54282-2025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45964</v>
      </c>
      <c r="E292" s="1" t="n">
        <v>46266</v>
      </c>
      <c r="F292" t="inlineStr">
        <is>
          <t>SÖDERMANLANDS LÄN</t>
        </is>
      </c>
      <c r="G292" t="inlineStr">
        <is>
          <t>FLEN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44602</v>
      </c>
      <c r="E293" s="1" t="n">
        <v>46266</v>
      </c>
      <c r="F293" t="inlineStr">
        <is>
          <t>SÖDERMANLANDS LÄN</t>
        </is>
      </c>
      <c r="G293" t="inlineStr">
        <is>
          <t>FLEN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14859-2024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46266</v>
      </c>
      <c r="F294" t="inlineStr">
        <is>
          <t>SÖDERMANLANDS LÄN</t>
        </is>
      </c>
      <c r="G294" t="inlineStr">
        <is>
          <t>FLEN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25605-2023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45089</v>
      </c>
      <c r="E295" s="1" t="n">
        <v>46266</v>
      </c>
      <c r="F295" t="inlineStr">
        <is>
          <t>SÖDERMANLANDS LÄN</t>
        </is>
      </c>
      <c r="G295" t="inlineStr">
        <is>
          <t>FLEN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46266</v>
      </c>
      <c r="F296" t="inlineStr">
        <is>
          <t>SÖDERMANLANDS LÄN</t>
        </is>
      </c>
      <c r="G296" t="inlineStr">
        <is>
          <t>FLEN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56573-2025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45974</v>
      </c>
      <c r="E297" s="1" t="n">
        <v>46266</v>
      </c>
      <c r="F297" t="inlineStr">
        <is>
          <t>SÖDERMANLANDS LÄN</t>
        </is>
      </c>
      <c r="G297" t="inlineStr">
        <is>
          <t>FLEN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30423-2022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44761</v>
      </c>
      <c r="E298" s="1" t="n">
        <v>46266</v>
      </c>
      <c r="F298" t="inlineStr">
        <is>
          <t>SÖDERMANLANDS LÄN</t>
        </is>
      </c>
      <c r="G298" t="inlineStr">
        <is>
          <t>FLEN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42731-2024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45566</v>
      </c>
      <c r="E299" s="1" t="n">
        <v>46266</v>
      </c>
      <c r="F299" t="inlineStr">
        <is>
          <t>SÖDERMANLANDS LÄN</t>
        </is>
      </c>
      <c r="G299" t="inlineStr">
        <is>
          <t>FLEN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46106-2024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46266</v>
      </c>
      <c r="F300" t="inlineStr">
        <is>
          <t>SÖDERMANLANDS LÄN</t>
        </is>
      </c>
      <c r="G300" t="inlineStr">
        <is>
          <t>FLEN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45260</v>
      </c>
      <c r="E301" s="1" t="n">
        <v>46266</v>
      </c>
      <c r="F301" t="inlineStr">
        <is>
          <t>SÖDERMANLANDS LÄN</t>
        </is>
      </c>
      <c r="G301" t="inlineStr">
        <is>
          <t>FLEN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44006-2022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44838</v>
      </c>
      <c r="E302" s="1" t="n">
        <v>46266</v>
      </c>
      <c r="F302" t="inlineStr">
        <is>
          <t>SÖDERMANLANDS LÄN</t>
        </is>
      </c>
      <c r="G302" t="inlineStr">
        <is>
          <t>FLEN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45358</v>
      </c>
      <c r="E303" s="1" t="n">
        <v>46266</v>
      </c>
      <c r="F303" t="inlineStr">
        <is>
          <t>SÖDERMANLANDS LÄN</t>
        </is>
      </c>
      <c r="G303" t="inlineStr">
        <is>
          <t>FLEN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23835-2022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46266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46266</v>
      </c>
      <c r="F305" t="inlineStr">
        <is>
          <t>SÖDERMANLANDS LÄN</t>
        </is>
      </c>
      <c r="G305" t="inlineStr">
        <is>
          <t>FLEN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33103-2022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44785</v>
      </c>
      <c r="E306" s="1" t="n">
        <v>46266</v>
      </c>
      <c r="F306" t="inlineStr">
        <is>
          <t>SÖDERMANLANDS LÄN</t>
        </is>
      </c>
      <c r="G306" t="inlineStr">
        <is>
          <t>FLEN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9431-2022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44616</v>
      </c>
      <c r="E307" s="1" t="n">
        <v>46266</v>
      </c>
      <c r="F307" t="inlineStr">
        <is>
          <t>SÖDERMANLANDS LÄN</t>
        </is>
      </c>
      <c r="G307" t="inlineStr">
        <is>
          <t>FLEN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59910-2025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45993</v>
      </c>
      <c r="E308" s="1" t="n">
        <v>46266</v>
      </c>
      <c r="F308" t="inlineStr">
        <is>
          <t>SÖDERMANLANDS LÄN</t>
        </is>
      </c>
      <c r="G308" t="inlineStr">
        <is>
          <t>FLEN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46266</v>
      </c>
      <c r="F309" t="inlineStr">
        <is>
          <t>SÖDERMANLANDS LÄN</t>
        </is>
      </c>
      <c r="G309" t="inlineStr">
        <is>
          <t>FLEN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46266</v>
      </c>
      <c r="F310" t="inlineStr">
        <is>
          <t>SÖDERMANLANDS LÄN</t>
        </is>
      </c>
      <c r="G310" t="inlineStr">
        <is>
          <t>FLEN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52692-2021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44466</v>
      </c>
      <c r="E311" s="1" t="n">
        <v>46266</v>
      </c>
      <c r="F311" t="inlineStr">
        <is>
          <t>SÖDERMANLANDS LÄN</t>
        </is>
      </c>
      <c r="G311" t="inlineStr">
        <is>
          <t>FLEN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46266</v>
      </c>
      <c r="F312" t="inlineStr">
        <is>
          <t>SÖDERMANLANDS LÄN</t>
        </is>
      </c>
      <c r="G312" t="inlineStr">
        <is>
          <t>FLEN</t>
        </is>
      </c>
      <c r="H312" t="inlineStr">
        <is>
          <t>Kyrkan</t>
        </is>
      </c>
      <c r="I312" t="n">
        <v>9.699999999999999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39821-2024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45553</v>
      </c>
      <c r="E313" s="1" t="n">
        <v>46266</v>
      </c>
      <c r="F313" t="inlineStr">
        <is>
          <t>SÖDERMANLANDS LÄN</t>
        </is>
      </c>
      <c r="G313" t="inlineStr">
        <is>
          <t>FLEN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28529-2023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45103</v>
      </c>
      <c r="E314" s="1" t="n">
        <v>46266</v>
      </c>
      <c r="F314" t="inlineStr">
        <is>
          <t>SÖDERMANLANDS LÄN</t>
        </is>
      </c>
      <c r="G314" t="inlineStr">
        <is>
          <t>FLEN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60401-2025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45995</v>
      </c>
      <c r="E315" s="1" t="n">
        <v>46266</v>
      </c>
      <c r="F315" t="inlineStr">
        <is>
          <t>SÖDERMANLANDS LÄN</t>
        </is>
      </c>
      <c r="G315" t="inlineStr">
        <is>
          <t>FLEN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45995</v>
      </c>
      <c r="E316" s="1" t="n">
        <v>46266</v>
      </c>
      <c r="F316" t="inlineStr">
        <is>
          <t>SÖDERMANLANDS LÄN</t>
        </is>
      </c>
      <c r="G316" t="inlineStr">
        <is>
          <t>FLEN</t>
        </is>
      </c>
      <c r="H316" t="inlineStr">
        <is>
          <t>Holmen skog AB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45994</v>
      </c>
      <c r="E317" s="1" t="n">
        <v>46266</v>
      </c>
      <c r="F317" t="inlineStr">
        <is>
          <t>SÖDERMANLANDS LÄN</t>
        </is>
      </c>
      <c r="G317" t="inlineStr">
        <is>
          <t>FLEN</t>
        </is>
      </c>
      <c r="H317" t="inlineStr">
        <is>
          <t>Kyrkan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49891-2023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45213</v>
      </c>
      <c r="E318" s="1" t="n">
        <v>46266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46266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28938-2023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45104</v>
      </c>
      <c r="E320" s="1" t="n">
        <v>46266</v>
      </c>
      <c r="F320" t="inlineStr">
        <is>
          <t>SÖDERMANLANDS LÄN</t>
        </is>
      </c>
      <c r="G320" t="inlineStr">
        <is>
          <t>FLEN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45322</v>
      </c>
      <c r="E321" s="1" t="n">
        <v>46266</v>
      </c>
      <c r="F321" t="inlineStr">
        <is>
          <t>SÖDERMANLANDS LÄN</t>
        </is>
      </c>
      <c r="G321" t="inlineStr">
        <is>
          <t>FLEN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64480-2023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45280</v>
      </c>
      <c r="E322" s="1" t="n">
        <v>46266</v>
      </c>
      <c r="F322" t="inlineStr">
        <is>
          <t>SÖDERMANLANDS LÄN</t>
        </is>
      </c>
      <c r="G322" t="inlineStr">
        <is>
          <t>FLEN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49828-2022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44862</v>
      </c>
      <c r="E323" s="1" t="n">
        <v>46266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67464-2021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44524</v>
      </c>
      <c r="E324" s="1" t="n">
        <v>46266</v>
      </c>
      <c r="F324" t="inlineStr">
        <is>
          <t>SÖDERMANLANDS LÄN</t>
        </is>
      </c>
      <c r="G324" t="inlineStr">
        <is>
          <t>FLEN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66979-2021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44522</v>
      </c>
      <c r="E325" s="1" t="n">
        <v>46266</v>
      </c>
      <c r="F325" t="inlineStr">
        <is>
          <t>SÖDERMANLANDS LÄN</t>
        </is>
      </c>
      <c r="G325" t="inlineStr">
        <is>
          <t>FLEN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16908-2024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45411</v>
      </c>
      <c r="E326" s="1" t="n">
        <v>46266</v>
      </c>
      <c r="F326" t="inlineStr">
        <is>
          <t>SÖDERMANLANDS LÄN</t>
        </is>
      </c>
      <c r="G326" t="inlineStr">
        <is>
          <t>FLEN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8883-2023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44979</v>
      </c>
      <c r="E327" s="1" t="n">
        <v>46266</v>
      </c>
      <c r="F327" t="inlineStr">
        <is>
          <t>SÖDERMANLANDS LÄN</t>
        </is>
      </c>
      <c r="G327" t="inlineStr">
        <is>
          <t>FLEN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46266</v>
      </c>
      <c r="F328" t="inlineStr">
        <is>
          <t>SÖDERMANLANDS LÄN</t>
        </is>
      </c>
      <c r="G328" t="inlineStr">
        <is>
          <t>FLEN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45081</v>
      </c>
      <c r="E329" s="1" t="n">
        <v>46266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45081</v>
      </c>
      <c r="E330" s="1" t="n">
        <v>46266</v>
      </c>
      <c r="F330" t="inlineStr">
        <is>
          <t>SÖDERMANLANDS LÄN</t>
        </is>
      </c>
      <c r="G330" t="inlineStr">
        <is>
          <t>FLEN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10565-2023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46266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53119-2023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45228</v>
      </c>
      <c r="E332" s="1" t="n">
        <v>46266</v>
      </c>
      <c r="F332" t="inlineStr">
        <is>
          <t>SÖDERMANLANDS LÄN</t>
        </is>
      </c>
      <c r="G332" t="inlineStr">
        <is>
          <t>FLEN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45022</v>
      </c>
      <c r="E333" s="1" t="n">
        <v>46266</v>
      </c>
      <c r="F333" t="inlineStr">
        <is>
          <t>SÖDERMANLANDS LÄN</t>
        </is>
      </c>
      <c r="G333" t="inlineStr">
        <is>
          <t>FLEN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58631-2024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46266</v>
      </c>
      <c r="F334" t="inlineStr">
        <is>
          <t>SÖDERMANLANDS LÄN</t>
        </is>
      </c>
      <c r="G334" t="inlineStr">
        <is>
          <t>FLEN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15897-2023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45022</v>
      </c>
      <c r="E335" s="1" t="n">
        <v>46266</v>
      </c>
      <c r="F335" t="inlineStr">
        <is>
          <t>SÖDERMANLANDS LÄN</t>
        </is>
      </c>
      <c r="G335" t="inlineStr">
        <is>
          <t>FLEN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59258-2022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44897</v>
      </c>
      <c r="E336" s="1" t="n">
        <v>46266</v>
      </c>
      <c r="F336" t="inlineStr">
        <is>
          <t>SÖDERMANLANDS LÄN</t>
        </is>
      </c>
      <c r="G336" t="inlineStr">
        <is>
          <t>FLEN</t>
        </is>
      </c>
      <c r="H336" t="inlineStr">
        <is>
          <t>Övriga statliga verk och myndigheter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32023-2022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44778</v>
      </c>
      <c r="E337" s="1" t="n">
        <v>46266</v>
      </c>
      <c r="F337" t="inlineStr">
        <is>
          <t>SÖDERMANLANDS LÄN</t>
        </is>
      </c>
      <c r="G337" t="inlineStr">
        <is>
          <t>FLEN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46266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52541-2021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44463</v>
      </c>
      <c r="E339" s="1" t="n">
        <v>46266</v>
      </c>
      <c r="F339" t="inlineStr">
        <is>
          <t>SÖDERMANLANDS LÄN</t>
        </is>
      </c>
      <c r="G339" t="inlineStr">
        <is>
          <t>FLEN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45331</v>
      </c>
      <c r="E340" s="1" t="n">
        <v>46266</v>
      </c>
      <c r="F340" t="inlineStr">
        <is>
          <t>SÖDERMANLANDS LÄN</t>
        </is>
      </c>
      <c r="G340" t="inlineStr">
        <is>
          <t>FLEN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45066</v>
      </c>
      <c r="E341" s="1" t="n">
        <v>46266</v>
      </c>
      <c r="F341" t="inlineStr">
        <is>
          <t>SÖDERMANLANDS LÄN</t>
        </is>
      </c>
      <c r="G341" t="inlineStr">
        <is>
          <t>FLEN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44979</v>
      </c>
      <c r="E342" s="1" t="n">
        <v>46266</v>
      </c>
      <c r="F342" t="inlineStr">
        <is>
          <t>SÖDERMANLANDS LÄN</t>
        </is>
      </c>
      <c r="G342" t="inlineStr">
        <is>
          <t>FLEN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45330</v>
      </c>
      <c r="E343" s="1" t="n">
        <v>46266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44864</v>
      </c>
      <c r="E344" s="1" t="n">
        <v>46266</v>
      </c>
      <c r="F344" t="inlineStr">
        <is>
          <t>SÖDERMANLANDS LÄN</t>
        </is>
      </c>
      <c r="G344" t="inlineStr">
        <is>
          <t>FLEN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48749-2022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46266</v>
      </c>
      <c r="F345" t="inlineStr">
        <is>
          <t>SÖDERMANLANDS LÄN</t>
        </is>
      </c>
      <c r="G345" t="inlineStr">
        <is>
          <t>FLEN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46266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46266</v>
      </c>
      <c r="F347" t="inlineStr">
        <is>
          <t>SÖDERMANLANDS LÄN</t>
        </is>
      </c>
      <c r="G347" t="inlineStr">
        <is>
          <t>FLEN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46266</v>
      </c>
      <c r="F348" t="inlineStr">
        <is>
          <t>SÖDERMANLANDS LÄN</t>
        </is>
      </c>
      <c r="G348" t="inlineStr">
        <is>
          <t>FLEN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46266</v>
      </c>
      <c r="F349" t="inlineStr">
        <is>
          <t>SÖDERMANLANDS LÄN</t>
        </is>
      </c>
      <c r="G349" t="inlineStr">
        <is>
          <t>FLEN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45528</v>
      </c>
      <c r="E350" s="1" t="n">
        <v>46266</v>
      </c>
      <c r="F350" t="inlineStr">
        <is>
          <t>SÖDERMANLANDS LÄN</t>
        </is>
      </c>
      <c r="G350" t="inlineStr">
        <is>
          <t>FLEN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46266</v>
      </c>
      <c r="F351" t="inlineStr">
        <is>
          <t>SÖDERMANLANDS LÄN</t>
        </is>
      </c>
      <c r="G351" t="inlineStr">
        <is>
          <t>FLEN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44896</v>
      </c>
      <c r="E352" s="1" t="n">
        <v>46266</v>
      </c>
      <c r="F352" t="inlineStr">
        <is>
          <t>SÖDERMANLANDS LÄN</t>
        </is>
      </c>
      <c r="G352" t="inlineStr">
        <is>
          <t>FLEN</t>
        </is>
      </c>
      <c r="H352" t="inlineStr">
        <is>
          <t>Övriga statliga verk och myndigheter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46266</v>
      </c>
      <c r="F353" t="inlineStr">
        <is>
          <t>SÖDERMANLANDS LÄN</t>
        </is>
      </c>
      <c r="G353" t="inlineStr">
        <is>
          <t>FLEN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48497-2021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44449</v>
      </c>
      <c r="E354" s="1" t="n">
        <v>46266</v>
      </c>
      <c r="F354" t="inlineStr">
        <is>
          <t>SÖDERMANLANDS LÄN</t>
        </is>
      </c>
      <c r="G354" t="inlineStr">
        <is>
          <t>FLEN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46266</v>
      </c>
      <c r="F355" t="inlineStr">
        <is>
          <t>SÖDERMANLANDS LÄN</t>
        </is>
      </c>
      <c r="G355" t="inlineStr">
        <is>
          <t>FLEN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46266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45140</v>
      </c>
      <c r="E357" s="1" t="n">
        <v>46266</v>
      </c>
      <c r="F357" t="inlineStr">
        <is>
          <t>SÖDERMANLANDS LÄN</t>
        </is>
      </c>
      <c r="G357" t="inlineStr">
        <is>
          <t>FLEN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45713</v>
      </c>
      <c r="E358" s="1" t="n">
        <v>46266</v>
      </c>
      <c r="F358" t="inlineStr">
        <is>
          <t>SÖDERMANLANDS LÄN</t>
        </is>
      </c>
      <c r="G358" t="inlineStr">
        <is>
          <t>FLEN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44957</v>
      </c>
      <c r="E359" s="1" t="n">
        <v>46266</v>
      </c>
      <c r="F359" t="inlineStr">
        <is>
          <t>SÖDERMANLANDS LÄN</t>
        </is>
      </c>
      <c r="G359" t="inlineStr">
        <is>
          <t>FLEN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48852-2023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45209</v>
      </c>
      <c r="E360" s="1" t="n">
        <v>46266</v>
      </c>
      <c r="F360" t="inlineStr">
        <is>
          <t>SÖDERMANLANDS LÄN</t>
        </is>
      </c>
      <c r="G360" t="inlineStr">
        <is>
          <t>FLEN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46266</v>
      </c>
      <c r="F361" t="inlineStr">
        <is>
          <t>SÖDERMANLANDS LÄN</t>
        </is>
      </c>
      <c r="G361" t="inlineStr">
        <is>
          <t>FLEN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46071</v>
      </c>
      <c r="E362" s="1" t="n">
        <v>46266</v>
      </c>
      <c r="F362" t="inlineStr">
        <is>
          <t>SÖDERMANLANDS LÄN</t>
        </is>
      </c>
      <c r="G362" t="inlineStr">
        <is>
          <t>FLEN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45244</v>
      </c>
      <c r="E363" s="1" t="n">
        <v>46266</v>
      </c>
      <c r="F363" t="inlineStr">
        <is>
          <t>SÖDERMANLANDS LÄN</t>
        </is>
      </c>
      <c r="G363" t="inlineStr">
        <is>
          <t>FLEN</t>
        </is>
      </c>
      <c r="H363" t="inlineStr">
        <is>
          <t>Övriga statliga verk och myndigheter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10886-2023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44991</v>
      </c>
      <c r="E364" s="1" t="n">
        <v>46266</v>
      </c>
      <c r="F364" t="inlineStr">
        <is>
          <t>SÖDERMANLANDS LÄN</t>
        </is>
      </c>
      <c r="G364" t="inlineStr">
        <is>
          <t>FLEN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10397-2026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46077</v>
      </c>
      <c r="E365" s="1" t="n">
        <v>46266</v>
      </c>
      <c r="F365" t="inlineStr">
        <is>
          <t>SÖDERMANLANDS LÄN</t>
        </is>
      </c>
      <c r="G365" t="inlineStr">
        <is>
          <t>FLEN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11148-2026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46080</v>
      </c>
      <c r="E366" s="1" t="n">
        <v>46266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46080</v>
      </c>
      <c r="E367" s="1" t="n">
        <v>46266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45048</v>
      </c>
      <c r="E368" s="1" t="n">
        <v>46266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46266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46266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46266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46266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46082</v>
      </c>
      <c r="E373" s="1" t="n">
        <v>46266</v>
      </c>
      <c r="F373" t="inlineStr">
        <is>
          <t>SÖDERMANLANDS LÄN</t>
        </is>
      </c>
      <c r="G373" t="inlineStr">
        <is>
          <t>FLEN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20980-2023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45056</v>
      </c>
      <c r="E374" s="1" t="n">
        <v>46266</v>
      </c>
      <c r="F374" t="inlineStr">
        <is>
          <t>SÖDERMANLANDS LÄN</t>
        </is>
      </c>
      <c r="G374" t="inlineStr">
        <is>
          <t>FLEN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11413-2026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46083</v>
      </c>
      <c r="E375" s="1" t="n">
        <v>46266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44561-2024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45574</v>
      </c>
      <c r="E376" s="1" t="n">
        <v>46266</v>
      </c>
      <c r="F376" t="inlineStr">
        <is>
          <t>SÖDERMANLANDS LÄN</t>
        </is>
      </c>
      <c r="G376" t="inlineStr">
        <is>
          <t>FLEN</t>
        </is>
      </c>
      <c r="H376" t="inlineStr">
        <is>
          <t>Övriga statliga verk och myndigheter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53509-2023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45230</v>
      </c>
      <c r="E377" s="1" t="n">
        <v>46266</v>
      </c>
      <c r="F377" t="inlineStr">
        <is>
          <t>SÖDERMANLANDS LÄN</t>
        </is>
      </c>
      <c r="G377" t="inlineStr">
        <is>
          <t>FLEN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45119</v>
      </c>
      <c r="E378" s="1" t="n">
        <v>46266</v>
      </c>
      <c r="F378" t="inlineStr">
        <is>
          <t>SÖDERMANLANDS LÄN</t>
        </is>
      </c>
      <c r="G378" t="inlineStr">
        <is>
          <t>FLEN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44566</v>
      </c>
      <c r="E379" s="1" t="n">
        <v>46266</v>
      </c>
      <c r="F379" t="inlineStr">
        <is>
          <t>SÖDERMANLANDS LÄN</t>
        </is>
      </c>
      <c r="G379" t="inlineStr">
        <is>
          <t>FLEN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44624</v>
      </c>
      <c r="E380" s="1" t="n">
        <v>46266</v>
      </c>
      <c r="F380" t="inlineStr">
        <is>
          <t>SÖDERMANLANDS LÄN</t>
        </is>
      </c>
      <c r="G380" t="inlineStr">
        <is>
          <t>FLEN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12712-2026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46266</v>
      </c>
      <c r="F381" t="inlineStr">
        <is>
          <t>SÖDERMANLANDS LÄN</t>
        </is>
      </c>
      <c r="G381" t="inlineStr">
        <is>
          <t>FLEN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18511-2023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45041</v>
      </c>
      <c r="E382" s="1" t="n">
        <v>46266</v>
      </c>
      <c r="F382" t="inlineStr">
        <is>
          <t>SÖDERMANLANDS LÄN</t>
        </is>
      </c>
      <c r="G382" t="inlineStr">
        <is>
          <t>FLEN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51768-2023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45222</v>
      </c>
      <c r="E383" s="1" t="n">
        <v>46266</v>
      </c>
      <c r="F383" t="inlineStr">
        <is>
          <t>SÖDERMANLANDS LÄN</t>
        </is>
      </c>
      <c r="G383" t="inlineStr">
        <is>
          <t>FLEN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39335-2023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45166</v>
      </c>
      <c r="E384" s="1" t="n">
        <v>46266</v>
      </c>
      <c r="F384" t="inlineStr">
        <is>
          <t>SÖDERMANLANDS LÄN</t>
        </is>
      </c>
      <c r="G384" t="inlineStr">
        <is>
          <t>FLEN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44701</v>
      </c>
      <c r="E385" s="1" t="n">
        <v>46266</v>
      </c>
      <c r="F385" t="inlineStr">
        <is>
          <t>SÖDERMANLANDS LÄN</t>
        </is>
      </c>
      <c r="G385" t="inlineStr">
        <is>
          <t>FLEN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14260-2025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45740</v>
      </c>
      <c r="E386" s="1" t="n">
        <v>46266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44909</v>
      </c>
      <c r="E387" s="1" t="n">
        <v>46266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33228-2024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45518</v>
      </c>
      <c r="E388" s="1" t="n">
        <v>46266</v>
      </c>
      <c r="F388" t="inlineStr">
        <is>
          <t>SÖDERMANLANDS LÄN</t>
        </is>
      </c>
      <c r="G388" t="inlineStr">
        <is>
          <t>FLEN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46266</v>
      </c>
      <c r="F389" t="inlineStr">
        <is>
          <t>SÖDERMANLANDS LÄN</t>
        </is>
      </c>
      <c r="G389" t="inlineStr">
        <is>
          <t>FLEN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46266</v>
      </c>
      <c r="F390" t="inlineStr">
        <is>
          <t>SÖDERMANLANDS LÄN</t>
        </is>
      </c>
      <c r="G390" t="inlineStr">
        <is>
          <t>FLEN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46266</v>
      </c>
      <c r="F391" t="inlineStr">
        <is>
          <t>SÖDERMANLANDS LÄN</t>
        </is>
      </c>
      <c r="G391" t="inlineStr">
        <is>
          <t>FLEN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16052-2026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46108</v>
      </c>
      <c r="E392" s="1" t="n">
        <v>46266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46266</v>
      </c>
      <c r="F393" t="inlineStr">
        <is>
          <t>SÖDERMANLANDS LÄN</t>
        </is>
      </c>
      <c r="G393" t="inlineStr">
        <is>
          <t>FLEN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45321</v>
      </c>
      <c r="E394" s="1" t="n">
        <v>46266</v>
      </c>
      <c r="F394" t="inlineStr">
        <is>
          <t>SÖDERMANLANDS LÄN</t>
        </is>
      </c>
      <c r="G394" t="inlineStr">
        <is>
          <t>FLEN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44676</v>
      </c>
      <c r="E395" s="1" t="n">
        <v>46266</v>
      </c>
      <c r="F395" t="inlineStr">
        <is>
          <t>SÖDERMANLANDS LÄN</t>
        </is>
      </c>
      <c r="G395" t="inlineStr">
        <is>
          <t>FLEN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46266</v>
      </c>
      <c r="F396" t="inlineStr">
        <is>
          <t>SÖDERMANLANDS LÄN</t>
        </is>
      </c>
      <c r="G396" t="inlineStr">
        <is>
          <t>FLEN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46266</v>
      </c>
      <c r="F397" t="inlineStr">
        <is>
          <t>SÖDERMANLANDS LÄN</t>
        </is>
      </c>
      <c r="G397" t="inlineStr">
        <is>
          <t>FLEN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14599-2023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45013</v>
      </c>
      <c r="E398" s="1" t="n">
        <v>46266</v>
      </c>
      <c r="F398" t="inlineStr">
        <is>
          <t>SÖDERMANLANDS LÄN</t>
        </is>
      </c>
      <c r="G398" t="inlineStr">
        <is>
          <t>FLEN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53507-2023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45230</v>
      </c>
      <c r="E399" s="1" t="n">
        <v>46266</v>
      </c>
      <c r="F399" t="inlineStr">
        <is>
          <t>SÖDERMANLANDS LÄN</t>
        </is>
      </c>
      <c r="G399" t="inlineStr">
        <is>
          <t>FLEN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53518-2023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45230</v>
      </c>
      <c r="E400" s="1" t="n">
        <v>46266</v>
      </c>
      <c r="F400" t="inlineStr">
        <is>
          <t>SÖDERMANLANDS LÄN</t>
        </is>
      </c>
      <c r="G400" t="inlineStr">
        <is>
          <t>FLEN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46126</v>
      </c>
      <c r="E401" s="1" t="n">
        <v>46266</v>
      </c>
      <c r="F401" t="inlineStr">
        <is>
          <t>SÖDERMANLANDS LÄN</t>
        </is>
      </c>
      <c r="G401" t="inlineStr">
        <is>
          <t>FLEN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18471-2026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46126</v>
      </c>
      <c r="E402" s="1" t="n">
        <v>46266</v>
      </c>
      <c r="F402" t="inlineStr">
        <is>
          <t>SÖDERMANLANDS LÄN</t>
        </is>
      </c>
      <c r="G402" t="inlineStr">
        <is>
          <t>FLEN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18000-2026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46125</v>
      </c>
      <c r="E403" s="1" t="n">
        <v>46266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50796-2021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44459</v>
      </c>
      <c r="E404" s="1" t="n">
        <v>46266</v>
      </c>
      <c r="F404" t="inlineStr">
        <is>
          <t>SÖDERMANLANDS LÄN</t>
        </is>
      </c>
      <c r="G404" t="inlineStr">
        <is>
          <t>FLEN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18499-2026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46126</v>
      </c>
      <c r="E405" s="1" t="n">
        <v>46266</v>
      </c>
      <c r="F405" t="inlineStr">
        <is>
          <t>SÖDERMANLANDS LÄN</t>
        </is>
      </c>
      <c r="G405" t="inlineStr">
        <is>
          <t>FLEN</t>
        </is>
      </c>
      <c r="I405" t="n">
        <v>7.9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46121</v>
      </c>
      <c r="E406" s="1" t="n">
        <v>46266</v>
      </c>
      <c r="F406" t="inlineStr">
        <is>
          <t>SÖDERMANLANDS LÄN</t>
        </is>
      </c>
      <c r="G406" t="inlineStr">
        <is>
          <t>FLEN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46266</v>
      </c>
      <c r="F407" t="inlineStr">
        <is>
          <t>SÖDERMANLANDS LÄN</t>
        </is>
      </c>
      <c r="G407" t="inlineStr">
        <is>
          <t>FLEN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46129</v>
      </c>
      <c r="E408" s="1" t="n">
        <v>46266</v>
      </c>
      <c r="F408" t="inlineStr">
        <is>
          <t>SÖDERMANLANDS LÄN</t>
        </is>
      </c>
      <c r="G408" t="inlineStr">
        <is>
          <t>FLEN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46121</v>
      </c>
      <c r="E409" s="1" t="n">
        <v>46266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39053-2023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45163</v>
      </c>
      <c r="E410" s="1" t="n">
        <v>46266</v>
      </c>
      <c r="F410" t="inlineStr">
        <is>
          <t>SÖDERMANLANDS LÄN</t>
        </is>
      </c>
      <c r="G410" t="inlineStr">
        <is>
          <t>FLEN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46132</v>
      </c>
      <c r="E411" s="1" t="n">
        <v>46266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27146-2022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44741</v>
      </c>
      <c r="E412" s="1" t="n">
        <v>46266</v>
      </c>
      <c r="F412" t="inlineStr">
        <is>
          <t>SÖDERMANLANDS LÄN</t>
        </is>
      </c>
      <c r="G412" t="inlineStr">
        <is>
          <t>FLEN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12172-2022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44636</v>
      </c>
      <c r="E413" s="1" t="n">
        <v>46266</v>
      </c>
      <c r="F413" t="inlineStr">
        <is>
          <t>SÖDERMANLANDS LÄN</t>
        </is>
      </c>
      <c r="G413" t="inlineStr">
        <is>
          <t>FLEN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19102-2026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46266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19618-2026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46134</v>
      </c>
      <c r="E415" s="1" t="n">
        <v>46266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39171-2025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45888</v>
      </c>
      <c r="E416" s="1" t="n">
        <v>46266</v>
      </c>
      <c r="F416" t="inlineStr">
        <is>
          <t>SÖDERMANLANDS LÄN</t>
        </is>
      </c>
      <c r="G416" t="inlineStr">
        <is>
          <t>FLEN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44887</v>
      </c>
      <c r="E417" s="1" t="n">
        <v>46266</v>
      </c>
      <c r="F417" t="inlineStr">
        <is>
          <t>SÖDERMANLANDS LÄN</t>
        </is>
      </c>
      <c r="G417" t="inlineStr">
        <is>
          <t>FLEN</t>
        </is>
      </c>
      <c r="I417" t="n">
        <v>11.3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26253-2025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45805</v>
      </c>
      <c r="E418" s="1" t="n">
        <v>46266</v>
      </c>
      <c r="F418" t="inlineStr">
        <is>
          <t>SÖDERMANLANDS LÄN</t>
        </is>
      </c>
      <c r="G418" t="inlineStr">
        <is>
          <t>FLEN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9979-2025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45718</v>
      </c>
      <c r="E419" s="1" t="n">
        <v>46266</v>
      </c>
      <c r="F419" t="inlineStr">
        <is>
          <t>SÖDERMANLANDS LÄN</t>
        </is>
      </c>
      <c r="G419" t="inlineStr">
        <is>
          <t>FLEN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38331-2023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45161</v>
      </c>
      <c r="E420" s="1" t="n">
        <v>46266</v>
      </c>
      <c r="F420" t="inlineStr">
        <is>
          <t>SÖDERMANLANDS LÄN</t>
        </is>
      </c>
      <c r="G420" t="inlineStr">
        <is>
          <t>FLEN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60609-2022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44911</v>
      </c>
      <c r="E421" s="1" t="n">
        <v>46266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22839-2025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45789</v>
      </c>
      <c r="E422" s="1" t="n">
        <v>46266</v>
      </c>
      <c r="F422" t="inlineStr">
        <is>
          <t>SÖDERMANLANDS LÄN</t>
        </is>
      </c>
      <c r="G422" t="inlineStr">
        <is>
          <t>FLEN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31214-2023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45114</v>
      </c>
      <c r="E423" s="1" t="n">
        <v>46266</v>
      </c>
      <c r="F423" t="inlineStr">
        <is>
          <t>SÖDERMANLANDS LÄN</t>
        </is>
      </c>
      <c r="G423" t="inlineStr">
        <is>
          <t>FLEN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46266</v>
      </c>
      <c r="F424" t="inlineStr">
        <is>
          <t>SÖDERMANLANDS LÄN</t>
        </is>
      </c>
      <c r="G424" t="inlineStr">
        <is>
          <t>FLEN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38217-2023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46266</v>
      </c>
      <c r="F425" t="inlineStr">
        <is>
          <t>SÖDERMANLANDS LÄN</t>
        </is>
      </c>
      <c r="G425" t="inlineStr">
        <is>
          <t>FLEN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45012</v>
      </c>
      <c r="E426" s="1" t="n">
        <v>46266</v>
      </c>
      <c r="F426" t="inlineStr">
        <is>
          <t>SÖDERMANLANDS LÄN</t>
        </is>
      </c>
      <c r="G426" t="inlineStr">
        <is>
          <t>FLEN</t>
        </is>
      </c>
      <c r="H426" t="inlineStr">
        <is>
          <t>Holmen skog AB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56497-2022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44887</v>
      </c>
      <c r="E427" s="1" t="n">
        <v>46266</v>
      </c>
      <c r="F427" t="inlineStr">
        <is>
          <t>SÖDERMANLANDS LÄN</t>
        </is>
      </c>
      <c r="G427" t="inlineStr">
        <is>
          <t>FLEN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44958</v>
      </c>
      <c r="E428" s="1" t="n">
        <v>46266</v>
      </c>
      <c r="F428" t="inlineStr">
        <is>
          <t>SÖDERMANLANDS LÄN</t>
        </is>
      </c>
      <c r="G428" t="inlineStr">
        <is>
          <t>FLEN</t>
        </is>
      </c>
      <c r="I428" t="n">
        <v>7.5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59599-2022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44907</v>
      </c>
      <c r="E429" s="1" t="n">
        <v>46266</v>
      </c>
      <c r="F429" t="inlineStr">
        <is>
          <t>SÖDERMANLANDS LÄN</t>
        </is>
      </c>
      <c r="G429" t="inlineStr">
        <is>
          <t>FLEN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59817-2022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44900</v>
      </c>
      <c r="E430" s="1" t="n">
        <v>46266</v>
      </c>
      <c r="F430" t="inlineStr">
        <is>
          <t>SÖDERMANLANDS LÄN</t>
        </is>
      </c>
      <c r="G430" t="inlineStr">
        <is>
          <t>FLEN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22957-2023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45072</v>
      </c>
      <c r="E431" s="1" t="n">
        <v>46266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50646-2023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45217</v>
      </c>
      <c r="E432" s="1" t="n">
        <v>46266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45895</v>
      </c>
      <c r="E433" s="1" t="n">
        <v>46266</v>
      </c>
      <c r="F433" t="inlineStr">
        <is>
          <t>SÖDERMANLANDS LÄN</t>
        </is>
      </c>
      <c r="G433" t="inlineStr">
        <is>
          <t>FLEN</t>
        </is>
      </c>
      <c r="I433" t="n">
        <v>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45869</v>
      </c>
      <c r="E434" s="1" t="n">
        <v>46266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31352-2023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45114</v>
      </c>
      <c r="E435" s="1" t="n">
        <v>46266</v>
      </c>
      <c r="F435" t="inlineStr">
        <is>
          <t>SÖDERMANLANDS LÄN</t>
        </is>
      </c>
      <c r="G435" t="inlineStr">
        <is>
          <t>FLEN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45299</v>
      </c>
      <c r="E436" s="1" t="n">
        <v>46266</v>
      </c>
      <c r="F436" t="inlineStr">
        <is>
          <t>SÖDERMANLANDS LÄN</t>
        </is>
      </c>
      <c r="G436" t="inlineStr">
        <is>
          <t>FLEN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37256-2022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44807</v>
      </c>
      <c r="E437" s="1" t="n">
        <v>46266</v>
      </c>
      <c r="F437" t="inlineStr">
        <is>
          <t>SÖDERMANLANDS LÄN</t>
        </is>
      </c>
      <c r="G437" t="inlineStr">
        <is>
          <t>FLEN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45189</v>
      </c>
      <c r="E438" s="1" t="n">
        <v>46266</v>
      </c>
      <c r="F438" t="inlineStr">
        <is>
          <t>SÖDERMANLANDS LÄN</t>
        </is>
      </c>
      <c r="G438" t="inlineStr">
        <is>
          <t>FLEN</t>
        </is>
      </c>
      <c r="H438" t="inlineStr">
        <is>
          <t>Övriga statliga verk och myndigheter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24348-2023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45082</v>
      </c>
      <c r="E439" s="1" t="n">
        <v>46266</v>
      </c>
      <c r="F439" t="inlineStr">
        <is>
          <t>SÖDERMANLANDS LÄN</t>
        </is>
      </c>
      <c r="G439" t="inlineStr">
        <is>
          <t>FLEN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16580-2023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45030</v>
      </c>
      <c r="E440" s="1" t="n">
        <v>46266</v>
      </c>
      <c r="F440" t="inlineStr">
        <is>
          <t>SÖDERMANLANDS LÄN</t>
        </is>
      </c>
      <c r="G440" t="inlineStr">
        <is>
          <t>FLEN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23216-2025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46266</v>
      </c>
      <c r="F441" t="inlineStr">
        <is>
          <t>SÖDERMANLANDS LÄN</t>
        </is>
      </c>
      <c r="G441" t="inlineStr">
        <is>
          <t>FLEN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59891-2025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45993</v>
      </c>
      <c r="E442" s="1" t="n">
        <v>46266</v>
      </c>
      <c r="F442" t="inlineStr">
        <is>
          <t>SÖDERMANLANDS LÄN</t>
        </is>
      </c>
      <c r="G442" t="inlineStr">
        <is>
          <t>FLEN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55445-2022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44887</v>
      </c>
      <c r="E443" s="1" t="n">
        <v>46266</v>
      </c>
      <c r="F443" t="inlineStr">
        <is>
          <t>SÖDERMANLANDS LÄN</t>
        </is>
      </c>
      <c r="G443" t="inlineStr">
        <is>
          <t>FLEN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40286-2023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45169</v>
      </c>
      <c r="E444" s="1" t="n">
        <v>46266</v>
      </c>
      <c r="F444" t="inlineStr">
        <is>
          <t>SÖDERMANLANDS LÄN</t>
        </is>
      </c>
      <c r="G444" t="inlineStr">
        <is>
          <t>FLEN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54340-2023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45225</v>
      </c>
      <c r="E445" s="1" t="n">
        <v>46266</v>
      </c>
      <c r="F445" t="inlineStr">
        <is>
          <t>SÖDERMANLANDS LÄN</t>
        </is>
      </c>
      <c r="G445" t="inlineStr">
        <is>
          <t>FLEN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31028-2024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45501</v>
      </c>
      <c r="E446" s="1" t="n">
        <v>46266</v>
      </c>
      <c r="F446" t="inlineStr">
        <is>
          <t>SÖDERMANLANDS LÄN</t>
        </is>
      </c>
      <c r="G446" t="inlineStr">
        <is>
          <t>FLEN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40420-2024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46266</v>
      </c>
      <c r="F447" t="inlineStr">
        <is>
          <t>SÖDERMANLANDS LÄN</t>
        </is>
      </c>
      <c r="G447" t="inlineStr">
        <is>
          <t>FLEN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46401-2022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44846</v>
      </c>
      <c r="E448" s="1" t="n">
        <v>46266</v>
      </c>
      <c r="F448" t="inlineStr">
        <is>
          <t>SÖDERMANLANDS LÄN</t>
        </is>
      </c>
      <c r="G448" t="inlineStr">
        <is>
          <t>FLEN</t>
        </is>
      </c>
      <c r="H448" t="inlineStr">
        <is>
          <t>Kyrkan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38209-2023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46266</v>
      </c>
      <c r="F449" t="inlineStr">
        <is>
          <t>SÖDERMANLANDS LÄN</t>
        </is>
      </c>
      <c r="G449" t="inlineStr">
        <is>
          <t>FLEN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58267-2023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45250</v>
      </c>
      <c r="E450" s="1" t="n">
        <v>46266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14.7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49811-2023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46266</v>
      </c>
      <c r="F451" t="inlineStr">
        <is>
          <t>SÖDERMANLANDS LÄN</t>
        </is>
      </c>
      <c r="G451" t="inlineStr">
        <is>
          <t>FLEN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52481-2023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45225</v>
      </c>
      <c r="E452" s="1" t="n">
        <v>46266</v>
      </c>
      <c r="F452" t="inlineStr">
        <is>
          <t>SÖDERMANLANDS LÄN</t>
        </is>
      </c>
      <c r="G452" t="inlineStr">
        <is>
          <t>FLEN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47187-2022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44848</v>
      </c>
      <c r="E453" s="1" t="n">
        <v>46266</v>
      </c>
      <c r="F453" t="inlineStr">
        <is>
          <t>SÖDERMANLANDS LÄN</t>
        </is>
      </c>
      <c r="G453" t="inlineStr">
        <is>
          <t>FLEN</t>
        </is>
      </c>
      <c r="H453" t="inlineStr">
        <is>
          <t>Övriga statliga verk och myndigheter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21476-2024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45441</v>
      </c>
      <c r="E454" s="1" t="n">
        <v>46266</v>
      </c>
      <c r="F454" t="inlineStr">
        <is>
          <t>SÖDERMANLANDS LÄN</t>
        </is>
      </c>
      <c r="G454" t="inlineStr">
        <is>
          <t>FLEN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8903-2022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44614</v>
      </c>
      <c r="E455" s="1" t="n">
        <v>46266</v>
      </c>
      <c r="F455" t="inlineStr">
        <is>
          <t>SÖDERMANLANDS LÄN</t>
        </is>
      </c>
      <c r="G455" t="inlineStr">
        <is>
          <t>FLEN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10281-2025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46266</v>
      </c>
      <c r="F456" t="inlineStr">
        <is>
          <t>SÖDERMANLANDS LÄN</t>
        </is>
      </c>
      <c r="G456" t="inlineStr">
        <is>
          <t>FLEN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53517-2023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45230</v>
      </c>
      <c r="E457" s="1" t="n">
        <v>46266</v>
      </c>
      <c r="F457" t="inlineStr">
        <is>
          <t>SÖDERMANLANDS LÄN</t>
        </is>
      </c>
      <c r="G457" t="inlineStr">
        <is>
          <t>FLEN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37286-2024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45540</v>
      </c>
      <c r="E458" s="1" t="n">
        <v>46266</v>
      </c>
      <c r="F458" t="inlineStr">
        <is>
          <t>SÖDERMANLANDS LÄN</t>
        </is>
      </c>
      <c r="G458" t="inlineStr">
        <is>
          <t>FLEN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52353-2023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45224</v>
      </c>
      <c r="E459" s="1" t="n">
        <v>46266</v>
      </c>
      <c r="F459" t="inlineStr">
        <is>
          <t>SÖDERMANLANDS LÄN</t>
        </is>
      </c>
      <c r="G459" t="inlineStr">
        <is>
          <t>FLEN</t>
        </is>
      </c>
      <c r="H459" t="inlineStr">
        <is>
          <t>Kyrkan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44614</v>
      </c>
      <c r="E460" s="1" t="n">
        <v>46266</v>
      </c>
      <c r="F460" t="inlineStr">
        <is>
          <t>SÖDERMANLANDS LÄN</t>
        </is>
      </c>
      <c r="G460" t="inlineStr">
        <is>
          <t>FLEN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60034-2022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44909</v>
      </c>
      <c r="E461" s="1" t="n">
        <v>46266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4536-2024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45327</v>
      </c>
      <c r="E462" s="1" t="n">
        <v>46266</v>
      </c>
      <c r="F462" t="inlineStr">
        <is>
          <t>SÖDERMANLANDS LÄN</t>
        </is>
      </c>
      <c r="G462" t="inlineStr">
        <is>
          <t>FLEN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12936-2023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45001</v>
      </c>
      <c r="E463" s="1" t="n">
        <v>46266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9088-2026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46069</v>
      </c>
      <c r="E464" s="1" t="n">
        <v>46266</v>
      </c>
      <c r="F464" t="inlineStr">
        <is>
          <t>SÖDERMANLANDS LÄN</t>
        </is>
      </c>
      <c r="G464" t="inlineStr">
        <is>
          <t>FLEN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73923-2021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44553</v>
      </c>
      <c r="E465" s="1" t="n">
        <v>46266</v>
      </c>
      <c r="F465" t="inlineStr">
        <is>
          <t>SÖDERMANLANDS LÄN</t>
        </is>
      </c>
      <c r="G465" t="inlineStr">
        <is>
          <t>FLEN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7381-2024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45345</v>
      </c>
      <c r="E466" s="1" t="n">
        <v>46266</v>
      </c>
      <c r="F466" t="inlineStr">
        <is>
          <t>SÖDERMANLANDS LÄN</t>
        </is>
      </c>
      <c r="G466" t="inlineStr">
        <is>
          <t>FLEN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24223-2026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46266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46266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46266</v>
      </c>
      <c r="F469" t="inlineStr">
        <is>
          <t>SÖDERMANLANDS LÄN</t>
        </is>
      </c>
      <c r="G469" t="inlineStr">
        <is>
          <t>FLEN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24151-2026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46266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24155-2026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46266</v>
      </c>
      <c r="F471" t="inlineStr">
        <is>
          <t>SÖDERMANLANDS LÄN</t>
        </is>
      </c>
      <c r="G471" t="inlineStr">
        <is>
          <t>FLEN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46168</v>
      </c>
      <c r="E472" s="1" t="n">
        <v>46266</v>
      </c>
      <c r="F472" t="inlineStr">
        <is>
          <t>SÖDERMANLANDS LÄN</t>
        </is>
      </c>
      <c r="G472" t="inlineStr">
        <is>
          <t>FLEN</t>
        </is>
      </c>
      <c r="H472" t="inlineStr">
        <is>
          <t>Holmen skog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17838-2026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46121</v>
      </c>
      <c r="E473" s="1" t="n">
        <v>46266</v>
      </c>
      <c r="F473" t="inlineStr">
        <is>
          <t>SÖDERMANLANDS LÄN</t>
        </is>
      </c>
      <c r="G473" t="inlineStr">
        <is>
          <t>FLEN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46266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  <c r="Z474">
        <f>HYPERLINK("https://klasma.github.io/Logging_0482/knärot/A 24450-2026 karta knärot.png", "A 24450-2026")</f>
        <v/>
      </c>
      <c r="AA474">
        <f>HYPERLINK("https://klasma.github.io/Logging_0482/klagomål/A 24450-2026 FSC-klagomål.docx", "A 24450-2026")</f>
        <v/>
      </c>
      <c r="AB474">
        <f>HYPERLINK("https://klasma.github.io/Logging_0482/klagomålsmail/A 24450-2026 FSC-klagomål mail.docx", "A 24450-2026")</f>
        <v/>
      </c>
      <c r="AC474">
        <f>HYPERLINK("https://klasma.github.io/Logging_0482/tillsyn/A 24450-2026 tillsynsbegäran.docx", "A 24450-2026")</f>
        <v/>
      </c>
      <c r="AD474">
        <f>HYPERLINK("https://klasma.github.io/Logging_0482/tillsynsmail/A 24450-2026 tillsynsbegäran mail.docx", "A 24450-2026")</f>
        <v/>
      </c>
    </row>
    <row r="475" ht="15" customHeight="1">
      <c r="A475" t="inlineStr">
        <is>
          <t>A 24721-2026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46170</v>
      </c>
      <c r="E475" s="1" t="n">
        <v>46266</v>
      </c>
      <c r="F475" t="inlineStr">
        <is>
          <t>SÖDERMANLANDS LÄN</t>
        </is>
      </c>
      <c r="G475" t="inlineStr">
        <is>
          <t>FLEN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54781-2024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45618</v>
      </c>
      <c r="E476" s="1" t="n">
        <v>46266</v>
      </c>
      <c r="F476" t="inlineStr">
        <is>
          <t>SÖDERMANLANDS LÄN</t>
        </is>
      </c>
      <c r="G476" t="inlineStr">
        <is>
          <t>FLEN</t>
        </is>
      </c>
      <c r="I476" t="n">
        <v>10.3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13587-2022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44648</v>
      </c>
      <c r="E477" s="1" t="n">
        <v>46266</v>
      </c>
      <c r="F477" t="inlineStr">
        <is>
          <t>SÖDERMANLANDS LÄN</t>
        </is>
      </c>
      <c r="G477" t="inlineStr">
        <is>
          <t>FLEN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26663-2022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44739</v>
      </c>
      <c r="E478" s="1" t="n">
        <v>46266</v>
      </c>
      <c r="F478" t="inlineStr">
        <is>
          <t>SÖDERMANLANDS LÄN</t>
        </is>
      </c>
      <c r="G478" t="inlineStr">
        <is>
          <t>FLEN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23716-2024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45454</v>
      </c>
      <c r="E479" s="1" t="n">
        <v>46266</v>
      </c>
      <c r="F479" t="inlineStr">
        <is>
          <t>SÖDERMANLANDS LÄN</t>
        </is>
      </c>
      <c r="G479" t="inlineStr">
        <is>
          <t>FLEN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47872-2025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45932</v>
      </c>
      <c r="E480" s="1" t="n">
        <v>46266</v>
      </c>
      <c r="F480" t="inlineStr">
        <is>
          <t>SÖDERMANLANDS LÄN</t>
        </is>
      </c>
      <c r="G480" t="inlineStr">
        <is>
          <t>FLEN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28768-2024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46266</v>
      </c>
      <c r="F481" t="inlineStr">
        <is>
          <t>SÖDERMANLANDS LÄN</t>
        </is>
      </c>
      <c r="G481" t="inlineStr">
        <is>
          <t>FLEN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46266</v>
      </c>
      <c r="F482" t="inlineStr">
        <is>
          <t>SÖDERMANLANDS LÄN</t>
        </is>
      </c>
      <c r="G482" t="inlineStr">
        <is>
          <t>FLEN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25147-2026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46266</v>
      </c>
      <c r="F483" t="inlineStr">
        <is>
          <t>SÖDERMANLANDS LÄN</t>
        </is>
      </c>
      <c r="G483" t="inlineStr">
        <is>
          <t>FLEN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25303-2026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46176</v>
      </c>
      <c r="E484" s="1" t="n">
        <v>46266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26318-2026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46181</v>
      </c>
      <c r="E485" s="1" t="n">
        <v>46266</v>
      </c>
      <c r="F485" t="inlineStr">
        <is>
          <t>SÖDERMANLANDS LÄN</t>
        </is>
      </c>
      <c r="G485" t="inlineStr">
        <is>
          <t>FLEN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26326-2026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46181</v>
      </c>
      <c r="E486" s="1" t="n">
        <v>46266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9074-2025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45713</v>
      </c>
      <c r="E487" s="1" t="n">
        <v>46266</v>
      </c>
      <c r="F487" t="inlineStr">
        <is>
          <t>SÖDERMANLANDS LÄN</t>
        </is>
      </c>
      <c r="G487" t="inlineStr">
        <is>
          <t>FLEN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44580</v>
      </c>
      <c r="E488" s="1" t="n">
        <v>46266</v>
      </c>
      <c r="F488" t="inlineStr">
        <is>
          <t>SÖDERMANLANDS LÄN</t>
        </is>
      </c>
      <c r="G488" t="inlineStr">
        <is>
          <t>FLEN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34612-2023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45140</v>
      </c>
      <c r="E489" s="1" t="n">
        <v>46266</v>
      </c>
      <c r="F489" t="inlineStr">
        <is>
          <t>SÖDERMANLANDS LÄN</t>
        </is>
      </c>
      <c r="G489" t="inlineStr">
        <is>
          <t>FLEN</t>
        </is>
      </c>
      <c r="H489" t="inlineStr">
        <is>
          <t>Kyrkan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39891-2022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44819</v>
      </c>
      <c r="E490" s="1" t="n">
        <v>46266</v>
      </c>
      <c r="F490" t="inlineStr">
        <is>
          <t>SÖDERMANLANDS LÄN</t>
        </is>
      </c>
      <c r="G490" t="inlineStr">
        <is>
          <t>FLEN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26050-2026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46181</v>
      </c>
      <c r="E491" s="1" t="n">
        <v>46266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31083-2022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44769</v>
      </c>
      <c r="E492" s="1" t="n">
        <v>46266</v>
      </c>
      <c r="F492" t="inlineStr">
        <is>
          <t>SÖDERMANLANDS LÄN</t>
        </is>
      </c>
      <c r="G492" t="inlineStr">
        <is>
          <t>FLEN</t>
        </is>
      </c>
      <c r="I492" t="n">
        <v>7.1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32407-2023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45110</v>
      </c>
      <c r="E493" s="1" t="n">
        <v>46266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58926-2023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45250</v>
      </c>
      <c r="E494" s="1" t="n">
        <v>46266</v>
      </c>
      <c r="F494" t="inlineStr">
        <is>
          <t>SÖDERMANLANDS LÄN</t>
        </is>
      </c>
      <c r="G494" t="inlineStr">
        <is>
          <t>FLEN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38135-2023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45161</v>
      </c>
      <c r="E495" s="1" t="n">
        <v>46266</v>
      </c>
      <c r="F495" t="inlineStr">
        <is>
          <t>SÖDERMANLANDS LÄN</t>
        </is>
      </c>
      <c r="G495" t="inlineStr">
        <is>
          <t>FLEN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5582-2023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44960</v>
      </c>
      <c r="E496" s="1" t="n">
        <v>46266</v>
      </c>
      <c r="F496" t="inlineStr">
        <is>
          <t>SÖDERMANLANDS LÄN</t>
        </is>
      </c>
      <c r="G496" t="inlineStr">
        <is>
          <t>FLEN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57046-2023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45244</v>
      </c>
      <c r="E497" s="1" t="n">
        <v>46266</v>
      </c>
      <c r="F497" t="inlineStr">
        <is>
          <t>SÖDERMANLANDS LÄN</t>
        </is>
      </c>
      <c r="G497" t="inlineStr">
        <is>
          <t>FLEN</t>
        </is>
      </c>
      <c r="H497" t="inlineStr">
        <is>
          <t>Övriga statliga verk och myndigheter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46266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45328</v>
      </c>
      <c r="E499" s="1" t="n">
        <v>46266</v>
      </c>
      <c r="F499" t="inlineStr">
        <is>
          <t>SÖDERMANLANDS LÄN</t>
        </is>
      </c>
      <c r="G499" t="inlineStr">
        <is>
          <t>FLEN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41630-2023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45175</v>
      </c>
      <c r="E500" s="1" t="n">
        <v>46266</v>
      </c>
      <c r="F500" t="inlineStr">
        <is>
          <t>SÖDERMANLANDS LÄN</t>
        </is>
      </c>
      <c r="G500" t="inlineStr">
        <is>
          <t>FLEN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17654-2023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45036</v>
      </c>
      <c r="E501" s="1" t="n">
        <v>46266</v>
      </c>
      <c r="F501" t="inlineStr">
        <is>
          <t>SÖDERMANLANDS LÄN</t>
        </is>
      </c>
      <c r="G501" t="inlineStr">
        <is>
          <t>FLEN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26854-2026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46185</v>
      </c>
      <c r="E502" s="1" t="n">
        <v>46266</v>
      </c>
      <c r="F502" t="inlineStr">
        <is>
          <t>SÖDERMANLANDS LÄN</t>
        </is>
      </c>
      <c r="G502" t="inlineStr">
        <is>
          <t>FLEN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59439-2022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46266</v>
      </c>
      <c r="F503" t="inlineStr">
        <is>
          <t>SÖDERMANLANDS LÄN</t>
        </is>
      </c>
      <c r="G503" t="inlineStr">
        <is>
          <t>FLEN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10256-2024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45365</v>
      </c>
      <c r="E504" s="1" t="n">
        <v>46266</v>
      </c>
      <c r="F504" t="inlineStr">
        <is>
          <t>SÖDERMANLANDS LÄN</t>
        </is>
      </c>
      <c r="G504" t="inlineStr">
        <is>
          <t>FLEN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45244</v>
      </c>
      <c r="E505" s="1" t="n">
        <v>46266</v>
      </c>
      <c r="F505" t="inlineStr">
        <is>
          <t>SÖDERMANLANDS LÄN</t>
        </is>
      </c>
      <c r="G505" t="inlineStr">
        <is>
          <t>FLEN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26444-2026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46183</v>
      </c>
      <c r="E506" s="1" t="n">
        <v>46266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26850-2026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46266</v>
      </c>
      <c r="F507" t="inlineStr">
        <is>
          <t>SÖDERMANLANDS LÄN</t>
        </is>
      </c>
      <c r="G507" t="inlineStr">
        <is>
          <t>FLEN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31762-2026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46229</v>
      </c>
      <c r="E508" s="1" t="n">
        <v>46266</v>
      </c>
      <c r="F508" t="inlineStr">
        <is>
          <t>SÖDERMANLANDS LÄN</t>
        </is>
      </c>
      <c r="G508" t="inlineStr">
        <is>
          <t>FLEN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27304-2026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46266</v>
      </c>
      <c r="F509" t="inlineStr">
        <is>
          <t>SÖDERMANLANDS LÄN</t>
        </is>
      </c>
      <c r="G509" t="inlineStr">
        <is>
          <t>FLEN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27317-2026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46266</v>
      </c>
      <c r="F510" t="inlineStr">
        <is>
          <t>SÖDERMANLANDS LÄN</t>
        </is>
      </c>
      <c r="G510" t="inlineStr">
        <is>
          <t>FLEN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27328-2026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46266</v>
      </c>
      <c r="F511" t="inlineStr">
        <is>
          <t>SÖDERMANLANDS LÄN</t>
        </is>
      </c>
      <c r="G511" t="inlineStr">
        <is>
          <t>FLEN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11747-2022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44634</v>
      </c>
      <c r="E512" s="1" t="n">
        <v>46266</v>
      </c>
      <c r="F512" t="inlineStr">
        <is>
          <t>SÖDERMANLANDS LÄN</t>
        </is>
      </c>
      <c r="G512" t="inlineStr">
        <is>
          <t>FLEN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45176</v>
      </c>
      <c r="E513" s="1" t="n">
        <v>46266</v>
      </c>
      <c r="F513" t="inlineStr">
        <is>
          <t>SÖDERMANLANDS LÄN</t>
        </is>
      </c>
      <c r="G513" t="inlineStr">
        <is>
          <t>FLEN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50358-2023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46266</v>
      </c>
      <c r="F514" t="inlineStr">
        <is>
          <t>SÖDERMANLANDS LÄN</t>
        </is>
      </c>
      <c r="G514" t="inlineStr">
        <is>
          <t>FLEN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42388-2023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45180</v>
      </c>
      <c r="E515" s="1" t="n">
        <v>46266</v>
      </c>
      <c r="F515" t="inlineStr">
        <is>
          <t>SÖDERMANLANDS LÄN</t>
        </is>
      </c>
      <c r="G515" t="inlineStr">
        <is>
          <t>FLEN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45256</v>
      </c>
      <c r="E516" s="1" t="n">
        <v>46266</v>
      </c>
      <c r="F516" t="inlineStr">
        <is>
          <t>SÖDERMANLANDS LÄN</t>
        </is>
      </c>
      <c r="G516" t="inlineStr">
        <is>
          <t>FLEN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46266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28316-2026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46196</v>
      </c>
      <c r="E518" s="1" t="n">
        <v>46266</v>
      </c>
      <c r="F518" t="inlineStr">
        <is>
          <t>SÖDERMANLANDS LÄN</t>
        </is>
      </c>
      <c r="G518" t="inlineStr">
        <is>
          <t>FLEN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22827-2024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45448</v>
      </c>
      <c r="E519" s="1" t="n">
        <v>46266</v>
      </c>
      <c r="F519" t="inlineStr">
        <is>
          <t>SÖDERMANLANDS LÄN</t>
        </is>
      </c>
      <c r="G519" t="inlineStr">
        <is>
          <t>FLEN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13233-2024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45386</v>
      </c>
      <c r="E520" s="1" t="n">
        <v>46266</v>
      </c>
      <c r="F520" t="inlineStr">
        <is>
          <t>SÖDERMANLANDS LÄN</t>
        </is>
      </c>
      <c r="G520" t="inlineStr">
        <is>
          <t>FLEN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8293-2022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44610</v>
      </c>
      <c r="E521" s="1" t="n">
        <v>46266</v>
      </c>
      <c r="F521" t="inlineStr">
        <is>
          <t>SÖDERMANLANDS LÄN</t>
        </is>
      </c>
      <c r="G521" t="inlineStr">
        <is>
          <t>FLEN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32693-2026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46240</v>
      </c>
      <c r="E522" s="1" t="n">
        <v>46266</v>
      </c>
      <c r="F522" t="inlineStr">
        <is>
          <t>SÖDERMANLANDS LÄN</t>
        </is>
      </c>
      <c r="G522" t="inlineStr">
        <is>
          <t>FLEN</t>
        </is>
      </c>
      <c r="I522" t="n">
        <v>9.5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14755-2023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45014</v>
      </c>
      <c r="E523" s="1" t="n">
        <v>46266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45671</v>
      </c>
      <c r="E524" s="1" t="n">
        <v>46266</v>
      </c>
      <c r="F524" t="inlineStr">
        <is>
          <t>SÖDERMANLANDS LÄN</t>
        </is>
      </c>
      <c r="G524" t="inlineStr">
        <is>
          <t>FLEN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38753-2023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45163</v>
      </c>
      <c r="E525" s="1" t="n">
        <v>46266</v>
      </c>
      <c r="F525" t="inlineStr">
        <is>
          <t>SÖDERMANLANDS LÄN</t>
        </is>
      </c>
      <c r="G525" t="inlineStr">
        <is>
          <t>FLEN</t>
        </is>
      </c>
      <c r="I525" t="n">
        <v>7.9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33000-2026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46266</v>
      </c>
      <c r="F526" t="inlineStr">
        <is>
          <t>SÖDERMANLANDS LÄN</t>
        </is>
      </c>
      <c r="G526" t="inlineStr">
        <is>
          <t>FLEN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33717-2026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46266</v>
      </c>
      <c r="F527" t="inlineStr">
        <is>
          <t>SÖDERMANLANDS LÄN</t>
        </is>
      </c>
      <c r="G527" t="inlineStr">
        <is>
          <t>FLEN</t>
        </is>
      </c>
      <c r="H527" t="inlineStr">
        <is>
          <t>Holmen skog AB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33694-2026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46249</v>
      </c>
      <c r="E528" s="1" t="n">
        <v>46266</v>
      </c>
      <c r="F528" t="inlineStr">
        <is>
          <t>SÖDERMANLANDS LÄN</t>
        </is>
      </c>
      <c r="G528" t="inlineStr">
        <is>
          <t>FLEN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46266</v>
      </c>
      <c r="F529" t="inlineStr">
        <is>
          <t>SÖDERMANLANDS LÄN</t>
        </is>
      </c>
      <c r="G529" t="inlineStr">
        <is>
          <t>FLEN</t>
        </is>
      </c>
      <c r="H529" t="inlineStr">
        <is>
          <t>Holmen skog AB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46251</v>
      </c>
      <c r="E530" s="1" t="n">
        <v>46266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29897-2026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46205</v>
      </c>
      <c r="E531" s="1" t="n">
        <v>46266</v>
      </c>
      <c r="F531" t="inlineStr">
        <is>
          <t>SÖDERMANLANDS LÄN</t>
        </is>
      </c>
      <c r="G531" t="inlineStr">
        <is>
          <t>FLEN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33936-2026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46250</v>
      </c>
      <c r="E532" s="1" t="n">
        <v>46266</v>
      </c>
      <c r="F532" t="inlineStr">
        <is>
          <t>SÖDERMANLANDS LÄN</t>
        </is>
      </c>
      <c r="G532" t="inlineStr">
        <is>
          <t>FLEN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46198</v>
      </c>
      <c r="E533" s="1" t="n">
        <v>46266</v>
      </c>
      <c r="F533" t="inlineStr">
        <is>
          <t>SÖDERMANLANDS LÄN</t>
        </is>
      </c>
      <c r="G533" t="inlineStr">
        <is>
          <t>FLEN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34325-2026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46266</v>
      </c>
      <c r="F534" t="inlineStr">
        <is>
          <t>SÖDERMANLANDS LÄN</t>
        </is>
      </c>
      <c r="G534" t="inlineStr">
        <is>
          <t>FLEN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34844-2026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46266</v>
      </c>
      <c r="F535" t="inlineStr">
        <is>
          <t>SÖDERMANLANDS LÄN</t>
        </is>
      </c>
      <c r="G535" t="inlineStr">
        <is>
          <t>FLEN</t>
        </is>
      </c>
      <c r="H535" t="inlineStr">
        <is>
          <t>Holmen skog AB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46266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46266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8.5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34097-2026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46252</v>
      </c>
      <c r="E538" s="1" t="n">
        <v>46266</v>
      </c>
      <c r="F538" t="inlineStr">
        <is>
          <t>SÖDERMANLANDS LÄN</t>
        </is>
      </c>
      <c r="G538" t="inlineStr">
        <is>
          <t>FLEN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34030-2026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46266</v>
      </c>
      <c r="F539" t="inlineStr">
        <is>
          <t>SÖDERMANLANDS LÄN</t>
        </is>
      </c>
      <c r="G539" t="inlineStr">
        <is>
          <t>FLEN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34055-2026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46266</v>
      </c>
      <c r="F540" t="inlineStr">
        <is>
          <t>SÖDERMANLANDS LÄN</t>
        </is>
      </c>
      <c r="G540" t="inlineStr">
        <is>
          <t>FLEN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35742-2026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46265</v>
      </c>
      <c r="E541" s="1" t="n">
        <v>46266</v>
      </c>
      <c r="F541" t="inlineStr">
        <is>
          <t>SÖDERMANLANDS LÄN</t>
        </is>
      </c>
      <c r="G541" t="inlineStr">
        <is>
          <t>FLEN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458-2023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44964</v>
      </c>
      <c r="E542" s="1" t="n">
        <v>46266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292-2025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45686</v>
      </c>
      <c r="E543" s="1" t="n">
        <v>46266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3723-2022</t>
        </is>
      </c>
      <c r="B544" t="inlineStr">
        <is>
          <t>samrådsanmälan</t>
        </is>
      </c>
      <c r="C544" t="inlineStr">
        <is>
          <t>Åtgärd i nyckelbiotop</t>
        </is>
      </c>
      <c r="D544" s="1" t="n">
        <v>44742</v>
      </c>
      <c r="E544" s="1" t="n">
        <v>46266</v>
      </c>
      <c r="F544" t="inlineStr">
        <is>
          <t>SÖDERMANLANDS LÄN</t>
        </is>
      </c>
      <c r="G544" t="inlineStr">
        <is>
          <t>FLEN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482-2022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44588</v>
      </c>
      <c r="E545" s="1" t="n">
        <v>46266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2321-2022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44685</v>
      </c>
      <c r="E546" s="1" t="n">
        <v>46266</v>
      </c>
      <c r="F546" t="inlineStr">
        <is>
          <t>SÖDERMANLANDS LÄN</t>
        </is>
      </c>
      <c r="G546" t="inlineStr">
        <is>
          <t>FLEN</t>
        </is>
      </c>
      <c r="H546" t="inlineStr">
        <is>
          <t>Kyrkan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1976-2024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45446</v>
      </c>
      <c r="E547" s="1" t="n">
        <v>46266</v>
      </c>
      <c r="F547" t="inlineStr">
        <is>
          <t>SÖDERMANLANDS LÄN</t>
        </is>
      </c>
      <c r="G547" t="inlineStr">
        <is>
          <t>FLEN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1287-2024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45403</v>
      </c>
      <c r="E548" s="1" t="n">
        <v>46266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1528-2026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46164</v>
      </c>
      <c r="E549" s="1" t="n">
        <v>46266</v>
      </c>
      <c r="F549" t="inlineStr">
        <is>
          <t>SÖDERMANLANDS LÄN</t>
        </is>
      </c>
      <c r="G549" t="inlineStr">
        <is>
          <t>FLEN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2026-09-01T02:11:03Z</dcterms:created>
  <dcterms:modified xmlns:dcterms="http://purl.org/dc/terms/" xmlns:xsi="http://www.w3.org/2001/XMLSchema-instance" xsi:type="dcterms:W3CDTF">2026-09-01T02:11:04Z</dcterms:modified>
</cp:coreProperties>
</file>