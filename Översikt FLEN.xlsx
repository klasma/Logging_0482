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45928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45928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45928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45928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45928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45928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45928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45928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45928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45928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45928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45928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45928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45928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45928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45928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45928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45928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45928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45928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45928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45928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45928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45928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45928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45928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45928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50343-2024</t>
        </is>
      </c>
      <c r="B29" s="1" t="n">
        <v>45600</v>
      </c>
      <c r="C29" s="1" t="n">
        <v>45928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Blåsippa</t>
        </is>
      </c>
      <c r="S29">
        <f>HYPERLINK("https://klasma.github.io/Logging_0482/artfynd/A 50343-2024 artfynd.xlsx", "A 50343-2024")</f>
        <v/>
      </c>
      <c r="T29">
        <f>HYPERLINK("https://klasma.github.io/Logging_0482/kartor/A 50343-2024 karta.png", "A 50343-2024")</f>
        <v/>
      </c>
      <c r="V29">
        <f>HYPERLINK("https://klasma.github.io/Logging_0482/klagomål/A 50343-2024 FSC-klagomål.docx", "A 50343-2024")</f>
        <v/>
      </c>
      <c r="W29">
        <f>HYPERLINK("https://klasma.github.io/Logging_0482/klagomålsmail/A 50343-2024 FSC-klagomål mail.docx", "A 50343-2024")</f>
        <v/>
      </c>
      <c r="X29">
        <f>HYPERLINK("https://klasma.github.io/Logging_0482/tillsyn/A 50343-2024 tillsynsbegäran.docx", "A 50343-2024")</f>
        <v/>
      </c>
      <c r="Y29">
        <f>HYPERLINK("https://klasma.github.io/Logging_0482/tillsynsmail/A 50343-2024 tillsynsbegäran mail.docx", "A 50343-2024")</f>
        <v/>
      </c>
    </row>
    <row r="30" ht="15" customHeight="1">
      <c r="A30" t="inlineStr">
        <is>
          <t>A 41352-2025</t>
        </is>
      </c>
      <c r="B30" s="1" t="n">
        <v>45899.76378472222</v>
      </c>
      <c r="C30" s="1" t="n">
        <v>45928</v>
      </c>
      <c r="D30" t="inlineStr">
        <is>
          <t>SÖDERMANLANDS LÄN</t>
        </is>
      </c>
      <c r="E30" t="inlineStr">
        <is>
          <t>FLEN</t>
        </is>
      </c>
      <c r="G30" t="n">
        <v>1.4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Tallticka</t>
        </is>
      </c>
      <c r="S30">
        <f>HYPERLINK("https://klasma.github.io/Logging_0482/artfynd/A 41352-2025 artfynd.xlsx", "A 41352-2025")</f>
        <v/>
      </c>
      <c r="T30">
        <f>HYPERLINK("https://klasma.github.io/Logging_0482/kartor/A 41352-2025 karta.png", "A 41352-2025")</f>
        <v/>
      </c>
      <c r="V30">
        <f>HYPERLINK("https://klasma.github.io/Logging_0482/klagomål/A 41352-2025 FSC-klagomål.docx", "A 41352-2025")</f>
        <v/>
      </c>
      <c r="W30">
        <f>HYPERLINK("https://klasma.github.io/Logging_0482/klagomålsmail/A 41352-2025 FSC-klagomål mail.docx", "A 41352-2025")</f>
        <v/>
      </c>
      <c r="X30">
        <f>HYPERLINK("https://klasma.github.io/Logging_0482/tillsyn/A 41352-2025 tillsynsbegäran.docx", "A 41352-2025")</f>
        <v/>
      </c>
      <c r="Y30">
        <f>HYPERLINK("https://klasma.github.io/Logging_0482/tillsynsmail/A 41352-2025 tillsynsbegäran mail.docx", "A 41352-2025")</f>
        <v/>
      </c>
      <c r="Z30">
        <f>HYPERLINK("https://klasma.github.io/Logging_0482/fåglar/A 41352-2025 prioriterade fågelarter.docx", "A 41352-2025")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45928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45928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33853-2022</t>
        </is>
      </c>
      <c r="B33" s="1" t="n">
        <v>44790</v>
      </c>
      <c r="C33" s="1" t="n">
        <v>45928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Gullklöver
Svart trolldruva</t>
        </is>
      </c>
      <c r="S33">
        <f>HYPERLINK("https://klasma.github.io/Logging_0482/artfynd/A 33853-2022 artfynd.xlsx", "A 33853-2022")</f>
        <v/>
      </c>
      <c r="T33">
        <f>HYPERLINK("https://klasma.github.io/Logging_0482/kartor/A 33853-2022 karta.png", "A 33853-2022")</f>
        <v/>
      </c>
      <c r="V33">
        <f>HYPERLINK("https://klasma.github.io/Logging_0482/klagomål/A 33853-2022 FSC-klagomål.docx", "A 33853-2022")</f>
        <v/>
      </c>
      <c r="W33">
        <f>HYPERLINK("https://klasma.github.io/Logging_0482/klagomålsmail/A 33853-2022 FSC-klagomål mail.docx", "A 33853-2022")</f>
        <v/>
      </c>
      <c r="X33">
        <f>HYPERLINK("https://klasma.github.io/Logging_0482/tillsyn/A 33853-2022 tillsynsbegäran.docx", "A 33853-2022")</f>
        <v/>
      </c>
      <c r="Y33">
        <f>HYPERLINK("https://klasma.github.io/Logging_0482/tillsynsmail/A 33853-2022 tillsynsbegäran mail.docx", "A 33853-2022")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45928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11103-2023</t>
        </is>
      </c>
      <c r="B35" s="1" t="n">
        <v>44986</v>
      </c>
      <c r="C35" s="1" t="n">
        <v>45928</v>
      </c>
      <c r="D35" t="inlineStr">
        <is>
          <t>SÖDERMANLANDS LÄN</t>
        </is>
      </c>
      <c r="E35" t="inlineStr">
        <is>
          <t>FLEN</t>
        </is>
      </c>
      <c r="G35" t="n">
        <v>8.9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Blåmossa</t>
        </is>
      </c>
      <c r="S35">
        <f>HYPERLINK("https://klasma.github.io/Logging_0482/artfynd/A 11103-2023 artfynd.xlsx", "A 11103-2023")</f>
        <v/>
      </c>
      <c r="T35">
        <f>HYPERLINK("https://klasma.github.io/Logging_0482/kartor/A 11103-2023 karta.png", "A 11103-2023")</f>
        <v/>
      </c>
      <c r="V35">
        <f>HYPERLINK("https://klasma.github.io/Logging_0482/klagomål/A 11103-2023 FSC-klagomål.docx", "A 11103-2023")</f>
        <v/>
      </c>
      <c r="W35">
        <f>HYPERLINK("https://klasma.github.io/Logging_0482/klagomålsmail/A 11103-2023 FSC-klagomål mail.docx", "A 11103-2023")</f>
        <v/>
      </c>
      <c r="X35">
        <f>HYPERLINK("https://klasma.github.io/Logging_0482/tillsyn/A 11103-2023 tillsynsbegäran.docx", "A 11103-2023")</f>
        <v/>
      </c>
      <c r="Y35">
        <f>HYPERLINK("https://klasma.github.io/Logging_0482/tillsynsmail/A 11103-2023 tillsynsbegäran mail.docx", "A 11103-2023")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45928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45928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45928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45928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45928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45928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45928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45928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45928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45928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45928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45928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15452-2024</t>
        </is>
      </c>
      <c r="B48" s="1" t="n">
        <v>45400</v>
      </c>
      <c r="C48" s="1" t="n">
        <v>45928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15452-2024 artfynd.xlsx", "A 15452-2024")</f>
        <v/>
      </c>
      <c r="T48">
        <f>HYPERLINK("https://klasma.github.io/Logging_0482/kartor/A 15452-2024 karta.png", "A 15452-2024")</f>
        <v/>
      </c>
      <c r="V48">
        <f>HYPERLINK("https://klasma.github.io/Logging_0482/klagomål/A 15452-2024 FSC-klagomål.docx", "A 15452-2024")</f>
        <v/>
      </c>
      <c r="W48">
        <f>HYPERLINK("https://klasma.github.io/Logging_0482/klagomålsmail/A 15452-2024 FSC-klagomål mail.docx", "A 15452-2024")</f>
        <v/>
      </c>
      <c r="X48">
        <f>HYPERLINK("https://klasma.github.io/Logging_0482/tillsyn/A 15452-2024 tillsynsbegäran.docx", "A 15452-2024")</f>
        <v/>
      </c>
      <c r="Y48">
        <f>HYPERLINK("https://klasma.github.io/Logging_0482/tillsynsmail/A 15452-2024 tillsynsbegäran mail.docx", "A 15452-2024")</f>
        <v/>
      </c>
    </row>
    <row r="49" ht="15" customHeight="1">
      <c r="A49" t="inlineStr">
        <is>
          <t>A 10828-2025</t>
        </is>
      </c>
      <c r="B49" s="1" t="n">
        <v>45722.56230324074</v>
      </c>
      <c r="C49" s="1" t="n">
        <v>45928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HYPERLINK("https://klasma.github.io/Logging_0482/artfynd/A 10828-2025 artfynd.xlsx", "A 10828-2025")</f>
        <v/>
      </c>
      <c r="T49">
        <f>HYPERLINK("https://klasma.github.io/Logging_0482/kartor/A 10828-2025 karta.png", "A 10828-2025")</f>
        <v/>
      </c>
      <c r="V49">
        <f>HYPERLINK("https://klasma.github.io/Logging_0482/klagomål/A 10828-2025 FSC-klagomål.docx", "A 10828-2025")</f>
        <v/>
      </c>
      <c r="W49">
        <f>HYPERLINK("https://klasma.github.io/Logging_0482/klagomålsmail/A 10828-2025 FSC-klagomål mail.docx", "A 10828-2025")</f>
        <v/>
      </c>
      <c r="X49">
        <f>HYPERLINK("https://klasma.github.io/Logging_0482/tillsyn/A 10828-2025 tillsynsbegäran.docx", "A 10828-2025")</f>
        <v/>
      </c>
      <c r="Y49">
        <f>HYPERLINK("https://klasma.github.io/Logging_0482/tillsynsmail/A 10828-2025 tillsynsbegäran mail.docx", "A 10828-2025")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45928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40820-2024</t>
        </is>
      </c>
      <c r="B51" s="1" t="n">
        <v>45558</v>
      </c>
      <c r="C51" s="1" t="n">
        <v>45928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HYPERLINK("https://klasma.github.io/Logging_0482/artfynd/A 40820-2024 artfynd.xlsx", "A 40820-2024")</f>
        <v/>
      </c>
      <c r="T51">
        <f>HYPERLINK("https://klasma.github.io/Logging_0482/kartor/A 40820-2024 karta.png", "A 40820-2024")</f>
        <v/>
      </c>
      <c r="U51">
        <f>HYPERLINK("https://klasma.github.io/Logging_0482/knärot/A 40820-2024 karta knärot.png", "A 40820-2024")</f>
        <v/>
      </c>
      <c r="V51">
        <f>HYPERLINK("https://klasma.github.io/Logging_0482/klagomål/A 40820-2024 FSC-klagomål.docx", "A 40820-2024")</f>
        <v/>
      </c>
      <c r="W51">
        <f>HYPERLINK("https://klasma.github.io/Logging_0482/klagomålsmail/A 40820-2024 FSC-klagomål mail.docx", "A 40820-2024")</f>
        <v/>
      </c>
      <c r="X51">
        <f>HYPERLINK("https://klasma.github.io/Logging_0482/tillsyn/A 40820-2024 tillsynsbegäran.docx", "A 40820-2024")</f>
        <v/>
      </c>
      <c r="Y51">
        <f>HYPERLINK("https://klasma.github.io/Logging_0482/tillsynsmail/A 40820-2024 tillsynsbegäran mail.docx", "A 40820-2024")</f>
        <v/>
      </c>
    </row>
    <row r="52" ht="15" customHeight="1">
      <c r="A52" t="inlineStr">
        <is>
          <t>A 53339-2023</t>
        </is>
      </c>
      <c r="B52" s="1" t="n">
        <v>45222</v>
      </c>
      <c r="C52" s="1" t="n">
        <v>45928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53339-2023 artfynd.xlsx", "A 53339-2023")</f>
        <v/>
      </c>
      <c r="T52">
        <f>HYPERLINK("https://klasma.github.io/Logging_0482/kartor/A 53339-2023 karta.png", "A 53339-2023")</f>
        <v/>
      </c>
      <c r="V52">
        <f>HYPERLINK("https://klasma.github.io/Logging_0482/klagomål/A 53339-2023 FSC-klagomål.docx", "A 53339-2023")</f>
        <v/>
      </c>
      <c r="W52">
        <f>HYPERLINK("https://klasma.github.io/Logging_0482/klagomålsmail/A 53339-2023 FSC-klagomål mail.docx", "A 53339-2023")</f>
        <v/>
      </c>
      <c r="X52">
        <f>HYPERLINK("https://klasma.github.io/Logging_0482/tillsyn/A 53339-2023 tillsynsbegäran.docx", "A 53339-2023")</f>
        <v/>
      </c>
      <c r="Y52">
        <f>HYPERLINK("https://klasma.github.io/Logging_0482/tillsynsmail/A 53339-2023 tillsynsbegäran mail.docx", "A 53339-2023")</f>
        <v/>
      </c>
    </row>
    <row r="53" ht="15" customHeight="1">
      <c r="A53" t="inlineStr">
        <is>
          <t>A 12306-2022</t>
        </is>
      </c>
      <c r="B53" s="1" t="n">
        <v>44637</v>
      </c>
      <c r="C53" s="1" t="n">
        <v>45928</v>
      </c>
      <c r="D53" t="inlineStr">
        <is>
          <t>SÖDERMANLANDS LÄN</t>
        </is>
      </c>
      <c r="E53" t="inlineStr">
        <is>
          <t>FLEN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HYPERLINK("https://klasma.github.io/Logging_0482/artfynd/A 12306-2022 artfynd.xlsx", "A 12306-2022")</f>
        <v/>
      </c>
      <c r="T53">
        <f>HYPERLINK("https://klasma.github.io/Logging_0482/kartor/A 12306-2022 karta.png", "A 12306-2022")</f>
        <v/>
      </c>
      <c r="V53">
        <f>HYPERLINK("https://klasma.github.io/Logging_0482/klagomål/A 12306-2022 FSC-klagomål.docx", "A 12306-2022")</f>
        <v/>
      </c>
      <c r="W53">
        <f>HYPERLINK("https://klasma.github.io/Logging_0482/klagomålsmail/A 12306-2022 FSC-klagomål mail.docx", "A 12306-2022")</f>
        <v/>
      </c>
      <c r="X53">
        <f>HYPERLINK("https://klasma.github.io/Logging_0482/tillsyn/A 12306-2022 tillsynsbegäran.docx", "A 12306-2022")</f>
        <v/>
      </c>
      <c r="Y53">
        <f>HYPERLINK("https://klasma.github.io/Logging_0482/tillsynsmail/A 12306-2022 tillsynsbegäran mail.docx", "A 12306-2022")</f>
        <v/>
      </c>
      <c r="Z53">
        <f>HYPERLINK("https://klasma.github.io/Logging_0482/fåglar/A 12306-2022 prioriterade fågelarter.docx", "A 12306-2022")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45928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70039-2021</t>
        </is>
      </c>
      <c r="B55" s="1" t="n">
        <v>44533</v>
      </c>
      <c r="C55" s="1" t="n">
        <v>45928</v>
      </c>
      <c r="D55" t="inlineStr">
        <is>
          <t>SÖDERMANLANDS LÄN</t>
        </is>
      </c>
      <c r="E55" t="inlineStr">
        <is>
          <t>FLEN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70039-2021 artfynd.xlsx", "A 70039-2021")</f>
        <v/>
      </c>
      <c r="T55">
        <f>HYPERLINK("https://klasma.github.io/Logging_0482/kartor/A 70039-2021 karta.png", "A 70039-2021")</f>
        <v/>
      </c>
      <c r="V55">
        <f>HYPERLINK("https://klasma.github.io/Logging_0482/klagomål/A 70039-2021 FSC-klagomål.docx", "A 70039-2021")</f>
        <v/>
      </c>
      <c r="W55">
        <f>HYPERLINK("https://klasma.github.io/Logging_0482/klagomålsmail/A 70039-2021 FSC-klagomål mail.docx", "A 70039-2021")</f>
        <v/>
      </c>
      <c r="X55">
        <f>HYPERLINK("https://klasma.github.io/Logging_0482/tillsyn/A 70039-2021 tillsynsbegäran.docx", "A 70039-2021")</f>
        <v/>
      </c>
      <c r="Y55">
        <f>HYPERLINK("https://klasma.github.io/Logging_0482/tillsynsmail/A 70039-2021 tillsynsbegäran mail.docx", "A 70039-2021")</f>
        <v/>
      </c>
    </row>
    <row r="56" ht="15" customHeight="1">
      <c r="A56" t="inlineStr">
        <is>
          <t>A 46987-2024</t>
        </is>
      </c>
      <c r="B56" s="1" t="n">
        <v>45586.35740740741</v>
      </c>
      <c r="C56" s="1" t="n">
        <v>45928</v>
      </c>
      <c r="D56" t="inlineStr">
        <is>
          <t>SÖDERMANLANDS LÄN</t>
        </is>
      </c>
      <c r="E56" t="inlineStr">
        <is>
          <t>FLEN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46987-2024 artfynd.xlsx", "A 46987-2024")</f>
        <v/>
      </c>
      <c r="T56">
        <f>HYPERLINK("https://klasma.github.io/Logging_0482/kartor/A 46987-2024 karta.png", "A 46987-2024")</f>
        <v/>
      </c>
      <c r="V56">
        <f>HYPERLINK("https://klasma.github.io/Logging_0482/klagomål/A 46987-2024 FSC-klagomål.docx", "A 46987-2024")</f>
        <v/>
      </c>
      <c r="W56">
        <f>HYPERLINK("https://klasma.github.io/Logging_0482/klagomålsmail/A 46987-2024 FSC-klagomål mail.docx", "A 46987-2024")</f>
        <v/>
      </c>
      <c r="X56">
        <f>HYPERLINK("https://klasma.github.io/Logging_0482/tillsyn/A 46987-2024 tillsynsbegäran.docx", "A 46987-2024")</f>
        <v/>
      </c>
      <c r="Y56">
        <f>HYPERLINK("https://klasma.github.io/Logging_0482/tillsynsmail/A 46987-2024 tillsynsbegäran mail.docx", "A 46987-2024")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45928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45928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45928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14273-2025</t>
        </is>
      </c>
      <c r="B60" s="1" t="n">
        <v>45740.64418981481</v>
      </c>
      <c r="C60" s="1" t="n">
        <v>45928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HYPERLINK("https://klasma.github.io/Logging_0482/artfynd/A 14273-2025 artfynd.xlsx", "A 14273-2025")</f>
        <v/>
      </c>
      <c r="T60">
        <f>HYPERLINK("https://klasma.github.io/Logging_0482/kartor/A 14273-2025 karta.png", "A 14273-2025")</f>
        <v/>
      </c>
      <c r="V60">
        <f>HYPERLINK("https://klasma.github.io/Logging_0482/klagomål/A 14273-2025 FSC-klagomål.docx", "A 14273-2025")</f>
        <v/>
      </c>
      <c r="W60">
        <f>HYPERLINK("https://klasma.github.io/Logging_0482/klagomålsmail/A 14273-2025 FSC-klagomål mail.docx", "A 14273-2025")</f>
        <v/>
      </c>
      <c r="X60">
        <f>HYPERLINK("https://klasma.github.io/Logging_0482/tillsyn/A 14273-2025 tillsynsbegäran.docx", "A 14273-2025")</f>
        <v/>
      </c>
      <c r="Y60">
        <f>HYPERLINK("https://klasma.github.io/Logging_0482/tillsynsmail/A 14273-2025 tillsynsbegäran mail.docx", "A 14273-2025")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45928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60591-2022</t>
        </is>
      </c>
      <c r="B62" s="1" t="n">
        <v>44911</v>
      </c>
      <c r="C62" s="1" t="n">
        <v>45928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60591-2022 artfynd.xlsx", "A 60591-2022")</f>
        <v/>
      </c>
      <c r="T62">
        <f>HYPERLINK("https://klasma.github.io/Logging_0482/kartor/A 60591-2022 karta.png", "A 60591-2022")</f>
        <v/>
      </c>
      <c r="V62">
        <f>HYPERLINK("https://klasma.github.io/Logging_0482/klagomål/A 60591-2022 FSC-klagomål.docx", "A 60591-2022")</f>
        <v/>
      </c>
      <c r="W62">
        <f>HYPERLINK("https://klasma.github.io/Logging_0482/klagomålsmail/A 60591-2022 FSC-klagomål mail.docx", "A 60591-2022")</f>
        <v/>
      </c>
      <c r="X62">
        <f>HYPERLINK("https://klasma.github.io/Logging_0482/tillsyn/A 60591-2022 tillsynsbegäran.docx", "A 60591-2022")</f>
        <v/>
      </c>
      <c r="Y62">
        <f>HYPERLINK("https://klasma.github.io/Logging_0482/tillsynsmail/A 60591-2022 tillsynsbegäran mail.docx", "A 60591-2022")</f>
        <v/>
      </c>
    </row>
    <row r="63" ht="15" customHeight="1">
      <c r="A63" t="inlineStr">
        <is>
          <t>A 34823-2023</t>
        </is>
      </c>
      <c r="B63" s="1" t="n">
        <v>45140</v>
      </c>
      <c r="C63" s="1" t="n">
        <v>45928</v>
      </c>
      <c r="D63" t="inlineStr">
        <is>
          <t>SÖDERMANLANDS LÄN</t>
        </is>
      </c>
      <c r="E63" t="inlineStr">
        <is>
          <t>FLEN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34823-2023 artfynd.xlsx", "A 34823-2023")</f>
        <v/>
      </c>
      <c r="T63">
        <f>HYPERLINK("https://klasma.github.io/Logging_0482/kartor/A 34823-2023 karta.png", "A 34823-2023")</f>
        <v/>
      </c>
      <c r="V63">
        <f>HYPERLINK("https://klasma.github.io/Logging_0482/klagomål/A 34823-2023 FSC-klagomål.docx", "A 34823-2023")</f>
        <v/>
      </c>
      <c r="W63">
        <f>HYPERLINK("https://klasma.github.io/Logging_0482/klagomålsmail/A 34823-2023 FSC-klagomål mail.docx", "A 34823-2023")</f>
        <v/>
      </c>
      <c r="X63">
        <f>HYPERLINK("https://klasma.github.io/Logging_0482/tillsyn/A 34823-2023 tillsynsbegäran.docx", "A 34823-2023")</f>
        <v/>
      </c>
      <c r="Y63">
        <f>HYPERLINK("https://klasma.github.io/Logging_0482/tillsynsmail/A 34823-2023 tillsynsbegäran mail.docx", "A 34823-2023")</f>
        <v/>
      </c>
    </row>
    <row r="64" ht="15" customHeight="1">
      <c r="A64" t="inlineStr">
        <is>
          <t>A 49808-2023</t>
        </is>
      </c>
      <c r="B64" s="1" t="n">
        <v>45212</v>
      </c>
      <c r="C64" s="1" t="n">
        <v>45928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49808-2023 artfynd.xlsx", "A 49808-2023")</f>
        <v/>
      </c>
      <c r="T64">
        <f>HYPERLINK("https://klasma.github.io/Logging_0482/kartor/A 49808-2023 karta.png", "A 49808-2023")</f>
        <v/>
      </c>
      <c r="V64">
        <f>HYPERLINK("https://klasma.github.io/Logging_0482/klagomål/A 49808-2023 FSC-klagomål.docx", "A 49808-2023")</f>
        <v/>
      </c>
      <c r="W64">
        <f>HYPERLINK("https://klasma.github.io/Logging_0482/klagomålsmail/A 49808-2023 FSC-klagomål mail.docx", "A 49808-2023")</f>
        <v/>
      </c>
      <c r="X64">
        <f>HYPERLINK("https://klasma.github.io/Logging_0482/tillsyn/A 49808-2023 tillsynsbegäran.docx", "A 49808-2023")</f>
        <v/>
      </c>
      <c r="Y64">
        <f>HYPERLINK("https://klasma.github.io/Logging_0482/tillsynsmail/A 49808-2023 tillsynsbegäran mail.docx", "A 49808-2023")</f>
        <v/>
      </c>
    </row>
    <row r="65" ht="15" customHeight="1">
      <c r="A65" t="inlineStr">
        <is>
          <t>A 60529-2024</t>
        </is>
      </c>
      <c r="B65" s="1" t="n">
        <v>45643.70822916667</v>
      </c>
      <c r="C65" s="1" t="n">
        <v>45928</v>
      </c>
      <c r="D65" t="inlineStr">
        <is>
          <t>SÖDERMANLANDS LÄN</t>
        </is>
      </c>
      <c r="E65" t="inlineStr">
        <is>
          <t>FLEN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HYPERLINK("https://klasma.github.io/Logging_0482/artfynd/A 60529-2024 artfynd.xlsx", "A 60529-2024")</f>
        <v/>
      </c>
      <c r="T65">
        <f>HYPERLINK("https://klasma.github.io/Logging_0482/kartor/A 60529-2024 karta.png", "A 60529-2024")</f>
        <v/>
      </c>
      <c r="V65">
        <f>HYPERLINK("https://klasma.github.io/Logging_0482/klagomål/A 60529-2024 FSC-klagomål.docx", "A 60529-2024")</f>
        <v/>
      </c>
      <c r="W65">
        <f>HYPERLINK("https://klasma.github.io/Logging_0482/klagomålsmail/A 60529-2024 FSC-klagomål mail.docx", "A 60529-2024")</f>
        <v/>
      </c>
      <c r="X65">
        <f>HYPERLINK("https://klasma.github.io/Logging_0482/tillsyn/A 60529-2024 tillsynsbegäran.docx", "A 60529-2024")</f>
        <v/>
      </c>
      <c r="Y65">
        <f>HYPERLINK("https://klasma.github.io/Logging_0482/tillsynsmail/A 60529-2024 tillsynsbegäran mail.docx", "A 60529-2024")</f>
        <v/>
      </c>
    </row>
    <row r="66" ht="15" customHeight="1">
      <c r="A66" t="inlineStr">
        <is>
          <t>A 38465-2025</t>
        </is>
      </c>
      <c r="B66" s="1" t="n">
        <v>45883</v>
      </c>
      <c r="C66" s="1" t="n">
        <v>45928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HYPERLINK("https://klasma.github.io/Logging_0482/artfynd/A 38465-2025 artfynd.xlsx", "A 38465-2025")</f>
        <v/>
      </c>
      <c r="T66">
        <f>HYPERLINK("https://klasma.github.io/Logging_0482/kartor/A 38465-2025 karta.png", "A 38465-2025")</f>
        <v/>
      </c>
      <c r="V66">
        <f>HYPERLINK("https://klasma.github.io/Logging_0482/klagomål/A 38465-2025 FSC-klagomål.docx", "A 38465-2025")</f>
        <v/>
      </c>
      <c r="W66">
        <f>HYPERLINK("https://klasma.github.io/Logging_0482/klagomålsmail/A 38465-2025 FSC-klagomål mail.docx", "A 38465-2025")</f>
        <v/>
      </c>
      <c r="X66">
        <f>HYPERLINK("https://klasma.github.io/Logging_0482/tillsyn/A 38465-2025 tillsynsbegäran.docx", "A 38465-2025")</f>
        <v/>
      </c>
      <c r="Y66">
        <f>HYPERLINK("https://klasma.github.io/Logging_0482/tillsynsmail/A 38465-2025 tillsynsbegäran mail.docx", "A 38465-2025")</f>
        <v/>
      </c>
    </row>
    <row r="67" ht="15" customHeight="1">
      <c r="A67" t="inlineStr">
        <is>
          <t>A 62535-2021</t>
        </is>
      </c>
      <c r="B67" s="1" t="n">
        <v>44503</v>
      </c>
      <c r="C67" s="1" t="n">
        <v>45928</v>
      </c>
      <c r="D67" t="inlineStr">
        <is>
          <t>SÖDERMANLANDS LÄN</t>
        </is>
      </c>
      <c r="E67" t="inlineStr">
        <is>
          <t>FLEN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62535-2021 artfynd.xlsx", "A 62535-2021")</f>
        <v/>
      </c>
      <c r="T67">
        <f>HYPERLINK("https://klasma.github.io/Logging_0482/kartor/A 62535-2021 karta.png", "A 62535-2021")</f>
        <v/>
      </c>
      <c r="V67">
        <f>HYPERLINK("https://klasma.github.io/Logging_0482/klagomål/A 62535-2021 FSC-klagomål.docx", "A 62535-2021")</f>
        <v/>
      </c>
      <c r="W67">
        <f>HYPERLINK("https://klasma.github.io/Logging_0482/klagomålsmail/A 62535-2021 FSC-klagomål mail.docx", "A 62535-2021")</f>
        <v/>
      </c>
      <c r="X67">
        <f>HYPERLINK("https://klasma.github.io/Logging_0482/tillsyn/A 62535-2021 tillsynsbegäran.docx", "A 62535-2021")</f>
        <v/>
      </c>
      <c r="Y67">
        <f>HYPERLINK("https://klasma.github.io/Logging_0482/tillsynsmail/A 62535-2021 tillsynsbegäran mail.docx", "A 62535-2021")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45928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7973-2024</t>
        </is>
      </c>
      <c r="B69" s="1" t="n">
        <v>45350.58791666666</v>
      </c>
      <c r="C69" s="1" t="n">
        <v>45928</v>
      </c>
      <c r="D69" t="inlineStr">
        <is>
          <t>SÖDERMANLANDS LÄN</t>
        </is>
      </c>
      <c r="E69" t="inlineStr">
        <is>
          <t>FLEN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HYPERLINK("https://klasma.github.io/Logging_0482/artfynd/A 7973-2024 artfynd.xlsx", "A 7973-2024")</f>
        <v/>
      </c>
      <c r="T69">
        <f>HYPERLINK("https://klasma.github.io/Logging_0482/kartor/A 7973-2024 karta.png", "A 7973-2024")</f>
        <v/>
      </c>
      <c r="V69">
        <f>HYPERLINK("https://klasma.github.io/Logging_0482/klagomål/A 7973-2024 FSC-klagomål.docx", "A 7973-2024")</f>
        <v/>
      </c>
      <c r="W69">
        <f>HYPERLINK("https://klasma.github.io/Logging_0482/klagomålsmail/A 7973-2024 FSC-klagomål mail.docx", "A 7973-2024")</f>
        <v/>
      </c>
      <c r="X69">
        <f>HYPERLINK("https://klasma.github.io/Logging_0482/tillsyn/A 7973-2024 tillsynsbegäran.docx", "A 7973-2024")</f>
        <v/>
      </c>
      <c r="Y69">
        <f>HYPERLINK("https://klasma.github.io/Logging_0482/tillsynsmail/A 7973-2024 tillsynsbegäran mail.docx", "A 7973-2024")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45928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45928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30584-2023</t>
        </is>
      </c>
      <c r="B72" s="1" t="n">
        <v>45112.3309375</v>
      </c>
      <c r="C72" s="1" t="n">
        <v>45928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HYPERLINK("https://klasma.github.io/Logging_0482/artfynd/A 30584-2023 artfynd.xlsx", "A 30584-2023")</f>
        <v/>
      </c>
      <c r="T72">
        <f>HYPERLINK("https://klasma.github.io/Logging_0482/kartor/A 30584-2023 karta.png", "A 30584-2023")</f>
        <v/>
      </c>
      <c r="V72">
        <f>HYPERLINK("https://klasma.github.io/Logging_0482/klagomål/A 30584-2023 FSC-klagomål.docx", "A 30584-2023")</f>
        <v/>
      </c>
      <c r="W72">
        <f>HYPERLINK("https://klasma.github.io/Logging_0482/klagomålsmail/A 30584-2023 FSC-klagomål mail.docx", "A 30584-2023")</f>
        <v/>
      </c>
      <c r="X72">
        <f>HYPERLINK("https://klasma.github.io/Logging_0482/tillsyn/A 30584-2023 tillsynsbegäran.docx", "A 30584-2023")</f>
        <v/>
      </c>
      <c r="Y72">
        <f>HYPERLINK("https://klasma.github.io/Logging_0482/tillsynsmail/A 30584-2023 tillsynsbegäran mail.docx", "A 30584-2023")</f>
        <v/>
      </c>
      <c r="Z72">
        <f>HYPERLINK("https://klasma.github.io/Logging_0482/fåglar/A 30584-2023 prioriterade fågelarter.docx", "A 30584-2023")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45928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45928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45928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45928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7525-2024</t>
        </is>
      </c>
      <c r="B77" s="1" t="n">
        <v>45348</v>
      </c>
      <c r="C77" s="1" t="n">
        <v>45928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Vanlig backsmörblomma</t>
        </is>
      </c>
      <c r="S77">
        <f>HYPERLINK("https://klasma.github.io/Logging_0482/artfynd/A 7525-2024 artfynd.xlsx", "A 7525-2024")</f>
        <v/>
      </c>
      <c r="T77">
        <f>HYPERLINK("https://klasma.github.io/Logging_0482/kartor/A 7525-2024 karta.png", "A 7525-2024")</f>
        <v/>
      </c>
      <c r="V77">
        <f>HYPERLINK("https://klasma.github.io/Logging_0482/klagomål/A 7525-2024 FSC-klagomål.docx", "A 7525-2024")</f>
        <v/>
      </c>
      <c r="W77">
        <f>HYPERLINK("https://klasma.github.io/Logging_0482/klagomålsmail/A 7525-2024 FSC-klagomål mail.docx", "A 7525-2024")</f>
        <v/>
      </c>
      <c r="X77">
        <f>HYPERLINK("https://klasma.github.io/Logging_0482/tillsyn/A 7525-2024 tillsynsbegäran.docx", "A 7525-2024")</f>
        <v/>
      </c>
      <c r="Y77">
        <f>HYPERLINK("https://klasma.github.io/Logging_0482/tillsynsmail/A 7525-2024 tillsynsbegäran mail.docx", "A 7525-2024")</f>
        <v/>
      </c>
    </row>
    <row r="78" ht="15" customHeight="1">
      <c r="A78" t="inlineStr">
        <is>
          <t>A 24464-2025</t>
        </is>
      </c>
      <c r="B78" s="1" t="n">
        <v>45798.3537037037</v>
      </c>
      <c r="C78" s="1" t="n">
        <v>45928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HYPERLINK("https://klasma.github.io/Logging_0482/artfynd/A 24464-2025 artfynd.xlsx", "A 24464-2025")</f>
        <v/>
      </c>
      <c r="T78">
        <f>HYPERLINK("https://klasma.github.io/Logging_0482/kartor/A 24464-2025 karta.png", "A 24464-2025")</f>
        <v/>
      </c>
      <c r="V78">
        <f>HYPERLINK("https://klasma.github.io/Logging_0482/klagomål/A 24464-2025 FSC-klagomål.docx", "A 24464-2025")</f>
        <v/>
      </c>
      <c r="W78">
        <f>HYPERLINK("https://klasma.github.io/Logging_0482/klagomålsmail/A 24464-2025 FSC-klagomål mail.docx", "A 24464-2025")</f>
        <v/>
      </c>
      <c r="X78">
        <f>HYPERLINK("https://klasma.github.io/Logging_0482/tillsyn/A 24464-2025 tillsynsbegäran.docx", "A 24464-2025")</f>
        <v/>
      </c>
      <c r="Y78">
        <f>HYPERLINK("https://klasma.github.io/Logging_0482/tillsynsmail/A 24464-2025 tillsynsbegäran mail.docx", "A 24464-2025")</f>
        <v/>
      </c>
    </row>
    <row r="79" ht="15" customHeight="1">
      <c r="A79" t="inlineStr">
        <is>
          <t>A 9066-2025</t>
        </is>
      </c>
      <c r="B79" s="1" t="n">
        <v>45713.6522800926</v>
      </c>
      <c r="C79" s="1" t="n">
        <v>45928</v>
      </c>
      <c r="D79" t="inlineStr">
        <is>
          <t>SÖDERMANLANDS LÄN</t>
        </is>
      </c>
      <c r="E79" t="inlineStr">
        <is>
          <t>FLEN</t>
        </is>
      </c>
      <c r="G79" t="n">
        <v>4.5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9066-2025 artfynd.xlsx", "A 9066-2025")</f>
        <v/>
      </c>
      <c r="T79">
        <f>HYPERLINK("https://klasma.github.io/Logging_0482/kartor/A 9066-2025 karta.png", "A 9066-2025")</f>
        <v/>
      </c>
      <c r="V79">
        <f>HYPERLINK("https://klasma.github.io/Logging_0482/klagomål/A 9066-2025 FSC-klagomål.docx", "A 9066-2025")</f>
        <v/>
      </c>
      <c r="W79">
        <f>HYPERLINK("https://klasma.github.io/Logging_0482/klagomålsmail/A 9066-2025 FSC-klagomål mail.docx", "A 9066-2025")</f>
        <v/>
      </c>
      <c r="X79">
        <f>HYPERLINK("https://klasma.github.io/Logging_0482/tillsyn/A 9066-2025 tillsynsbegäran.docx", "A 9066-2025")</f>
        <v/>
      </c>
      <c r="Y79">
        <f>HYPERLINK("https://klasma.github.io/Logging_0482/tillsynsmail/A 9066-2025 tillsynsbegäran mail.docx", "A 9066-2025")</f>
        <v/>
      </c>
    </row>
    <row r="80" ht="15" customHeight="1">
      <c r="A80" t="inlineStr">
        <is>
          <t>A 13858-2023</t>
        </is>
      </c>
      <c r="B80" s="1" t="n">
        <v>45007</v>
      </c>
      <c r="C80" s="1" t="n">
        <v>45928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13858-2023 artfynd.xlsx", "A 13858-2023")</f>
        <v/>
      </c>
      <c r="T80">
        <f>HYPERLINK("https://klasma.github.io/Logging_0482/kartor/A 13858-2023 karta.png", "A 13858-2023")</f>
        <v/>
      </c>
      <c r="V80">
        <f>HYPERLINK("https://klasma.github.io/Logging_0482/klagomål/A 13858-2023 FSC-klagomål.docx", "A 13858-2023")</f>
        <v/>
      </c>
      <c r="W80">
        <f>HYPERLINK("https://klasma.github.io/Logging_0482/klagomålsmail/A 13858-2023 FSC-klagomål mail.docx", "A 13858-2023")</f>
        <v/>
      </c>
      <c r="X80">
        <f>HYPERLINK("https://klasma.github.io/Logging_0482/tillsyn/A 13858-2023 tillsynsbegäran.docx", "A 13858-2023")</f>
        <v/>
      </c>
      <c r="Y80">
        <f>HYPERLINK("https://klasma.github.io/Logging_0482/tillsynsmail/A 13858-2023 tillsynsbegäran mail.docx", "A 13858-2023")</f>
        <v/>
      </c>
    </row>
    <row r="81" ht="15" customHeight="1">
      <c r="A81" t="inlineStr">
        <is>
          <t>A 39240-2023</t>
        </is>
      </c>
      <c r="B81" s="1" t="n">
        <v>45166</v>
      </c>
      <c r="C81" s="1" t="n">
        <v>45928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HYPERLINK("https://klasma.github.io/Logging_0482/artfynd/A 39240-2023 artfynd.xlsx", "A 39240-2023")</f>
        <v/>
      </c>
      <c r="T81">
        <f>HYPERLINK("https://klasma.github.io/Logging_0482/kartor/A 39240-2023 karta.png", "A 39240-2023")</f>
        <v/>
      </c>
      <c r="V81">
        <f>HYPERLINK("https://klasma.github.io/Logging_0482/klagomål/A 39240-2023 FSC-klagomål.docx", "A 39240-2023")</f>
        <v/>
      </c>
      <c r="W81">
        <f>HYPERLINK("https://klasma.github.io/Logging_0482/klagomålsmail/A 39240-2023 FSC-klagomål mail.docx", "A 39240-2023")</f>
        <v/>
      </c>
      <c r="X81">
        <f>HYPERLINK("https://klasma.github.io/Logging_0482/tillsyn/A 39240-2023 tillsynsbegäran.docx", "A 39240-2023")</f>
        <v/>
      </c>
      <c r="Y81">
        <f>HYPERLINK("https://klasma.github.io/Logging_0482/tillsynsmail/A 39240-2023 tillsynsbegäran mail.docx", "A 39240-2023")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45928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32901-2025</t>
        </is>
      </c>
      <c r="B83" s="1" t="n">
        <v>45839</v>
      </c>
      <c r="C83" s="1" t="n">
        <v>45928</v>
      </c>
      <c r="D83" t="inlineStr">
        <is>
          <t>SÖDERMANLANDS LÄN</t>
        </is>
      </c>
      <c r="E83" t="inlineStr">
        <is>
          <t>FLEN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HYPERLINK("https://klasma.github.io/Logging_0482/artfynd/A 32901-2025 artfynd.xlsx", "A 32901-2025")</f>
        <v/>
      </c>
      <c r="T83">
        <f>HYPERLINK("https://klasma.github.io/Logging_0482/kartor/A 32901-2025 karta.png", "A 32901-2025")</f>
        <v/>
      </c>
      <c r="V83">
        <f>HYPERLINK("https://klasma.github.io/Logging_0482/klagomål/A 32901-2025 FSC-klagomål.docx", "A 32901-2025")</f>
        <v/>
      </c>
      <c r="W83">
        <f>HYPERLINK("https://klasma.github.io/Logging_0482/klagomålsmail/A 32901-2025 FSC-klagomål mail.docx", "A 32901-2025")</f>
        <v/>
      </c>
      <c r="X83">
        <f>HYPERLINK("https://klasma.github.io/Logging_0482/tillsyn/A 32901-2025 tillsynsbegäran.docx", "A 32901-2025")</f>
        <v/>
      </c>
      <c r="Y83">
        <f>HYPERLINK("https://klasma.github.io/Logging_0482/tillsynsmail/A 32901-2025 tillsynsbegäran mail.docx", "A 32901-2025")</f>
        <v/>
      </c>
    </row>
    <row r="84" ht="15" customHeight="1">
      <c r="A84" t="inlineStr">
        <is>
          <t>A 12371-2022</t>
        </is>
      </c>
      <c r="B84" s="1" t="n">
        <v>44637.78113425926</v>
      </c>
      <c r="C84" s="1" t="n">
        <v>45928</v>
      </c>
      <c r="D84" t="inlineStr">
        <is>
          <t>SÖDERMANLANDS LÄN</t>
        </is>
      </c>
      <c r="E84" t="inlineStr">
        <is>
          <t>FLEN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12371-2022 artfynd.xlsx", "A 12371-2022")</f>
        <v/>
      </c>
      <c r="T84">
        <f>HYPERLINK("https://klasma.github.io/Logging_0482/kartor/A 12371-2022 karta.png", "A 12371-2022")</f>
        <v/>
      </c>
      <c r="V84">
        <f>HYPERLINK("https://klasma.github.io/Logging_0482/klagomål/A 12371-2022 FSC-klagomål.docx", "A 12371-2022")</f>
        <v/>
      </c>
      <c r="W84">
        <f>HYPERLINK("https://klasma.github.io/Logging_0482/klagomålsmail/A 12371-2022 FSC-klagomål mail.docx", "A 12371-2022")</f>
        <v/>
      </c>
      <c r="X84">
        <f>HYPERLINK("https://klasma.github.io/Logging_0482/tillsyn/A 12371-2022 tillsynsbegäran.docx", "A 12371-2022")</f>
        <v/>
      </c>
      <c r="Y84">
        <f>HYPERLINK("https://klasma.github.io/Logging_0482/tillsynsmail/A 12371-2022 tillsynsbegäran mail.docx", "A 12371-2022")</f>
        <v/>
      </c>
    </row>
    <row r="85" ht="15" customHeight="1">
      <c r="A85" t="inlineStr">
        <is>
          <t>A 14113-2025</t>
        </is>
      </c>
      <c r="B85" s="1" t="n">
        <v>45740</v>
      </c>
      <c r="C85" s="1" t="n">
        <v>45928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3.6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14113-2025 artfynd.xlsx", "A 14113-2025")</f>
        <v/>
      </c>
      <c r="T85">
        <f>HYPERLINK("https://klasma.github.io/Logging_0482/kartor/A 14113-2025 karta.png", "A 14113-2025")</f>
        <v/>
      </c>
      <c r="V85">
        <f>HYPERLINK("https://klasma.github.io/Logging_0482/klagomål/A 14113-2025 FSC-klagomål.docx", "A 14113-2025")</f>
        <v/>
      </c>
      <c r="W85">
        <f>HYPERLINK("https://klasma.github.io/Logging_0482/klagomålsmail/A 14113-2025 FSC-klagomål mail.docx", "A 14113-2025")</f>
        <v/>
      </c>
      <c r="X85">
        <f>HYPERLINK("https://klasma.github.io/Logging_0482/tillsyn/A 14113-2025 tillsynsbegäran.docx", "A 14113-2025")</f>
        <v/>
      </c>
      <c r="Y85">
        <f>HYPERLINK("https://klasma.github.io/Logging_0482/tillsynsmail/A 14113-2025 tillsynsbegäran mail.docx", "A 14113-2025")</f>
        <v/>
      </c>
    </row>
    <row r="86" ht="15" customHeight="1">
      <c r="A86" t="inlineStr">
        <is>
          <t>A 39036-2023</t>
        </is>
      </c>
      <c r="B86" s="1" t="n">
        <v>45163</v>
      </c>
      <c r="C86" s="1" t="n">
        <v>45928</v>
      </c>
      <c r="D86" t="inlineStr">
        <is>
          <t>SÖDERMANLANDS LÄN</t>
        </is>
      </c>
      <c r="E86" t="inlineStr">
        <is>
          <t>FLEN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HYPERLINK("https://klasma.github.io/Logging_0482/artfynd/A 39036-2023 artfynd.xlsx", "A 39036-2023")</f>
        <v/>
      </c>
      <c r="T86">
        <f>HYPERLINK("https://klasma.github.io/Logging_0482/kartor/A 39036-2023 karta.png", "A 39036-2023")</f>
        <v/>
      </c>
      <c r="V86">
        <f>HYPERLINK("https://klasma.github.io/Logging_0482/klagomål/A 39036-2023 FSC-klagomål.docx", "A 39036-2023")</f>
        <v/>
      </c>
      <c r="W86">
        <f>HYPERLINK("https://klasma.github.io/Logging_0482/klagomålsmail/A 39036-2023 FSC-klagomål mail.docx", "A 39036-2023")</f>
        <v/>
      </c>
      <c r="X86">
        <f>HYPERLINK("https://klasma.github.io/Logging_0482/tillsyn/A 39036-2023 tillsynsbegäran.docx", "A 39036-2023")</f>
        <v/>
      </c>
      <c r="Y86">
        <f>HYPERLINK("https://klasma.github.io/Logging_0482/tillsynsmail/A 39036-2023 tillsynsbegäran mail.docx", "A 39036-2023")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45928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45928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45928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45928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45928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45928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45928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45928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45928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45928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45928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45928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45928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45928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45928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45928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45928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45928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45928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45928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45928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45928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45928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45928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45928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45928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45928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45928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45928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45928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45928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45928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45928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45928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45928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45928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45928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45928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45928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45928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45928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45928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45928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45928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45928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45928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45928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45928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45928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45928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45928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45928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45928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45928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45928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45928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45928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45928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45928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45928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45928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45928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45928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45928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45928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45928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45928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45928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45928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47609-2021</t>
        </is>
      </c>
      <c r="B156" s="1" t="n">
        <v>44448.34645833333</v>
      </c>
      <c r="C156" s="1" t="n">
        <v>45928</v>
      </c>
      <c r="D156" t="inlineStr">
        <is>
          <t>SÖDERMANLANDS LÄN</t>
        </is>
      </c>
      <c r="E156" t="inlineStr">
        <is>
          <t>FLEN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45928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45928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8301-2022</t>
        </is>
      </c>
      <c r="B159" s="1" t="n">
        <v>44610</v>
      </c>
      <c r="C159" s="1" t="n">
        <v>45928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45928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45928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20013-2022</t>
        </is>
      </c>
      <c r="B162" s="1" t="n">
        <v>44697</v>
      </c>
      <c r="C162" s="1" t="n">
        <v>45928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48298-2021</t>
        </is>
      </c>
      <c r="B163" s="1" t="n">
        <v>44450.02509259259</v>
      </c>
      <c r="C163" s="1" t="n">
        <v>45928</v>
      </c>
      <c r="D163" t="inlineStr">
        <is>
          <t>SÖDERMANLANDS LÄN</t>
        </is>
      </c>
      <c r="E163" t="inlineStr">
        <is>
          <t>FLEN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37385-2021</t>
        </is>
      </c>
      <c r="B164" s="1" t="n">
        <v>44398</v>
      </c>
      <c r="C164" s="1" t="n">
        <v>45928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13533-2022</t>
        </is>
      </c>
      <c r="B165" s="1" t="n">
        <v>44643</v>
      </c>
      <c r="C165" s="1" t="n">
        <v>45928</v>
      </c>
      <c r="D165" t="inlineStr">
        <is>
          <t>SÖDERMANLANDS LÄN</t>
        </is>
      </c>
      <c r="E165" t="inlineStr">
        <is>
          <t>FLEN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32416-2021</t>
        </is>
      </c>
      <c r="B166" s="1" t="n">
        <v>44371.68461805556</v>
      </c>
      <c r="C166" s="1" t="n">
        <v>45928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18192-2021</t>
        </is>
      </c>
      <c r="B167" s="1" t="n">
        <v>44302</v>
      </c>
      <c r="C167" s="1" t="n">
        <v>45928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27190-2021</t>
        </is>
      </c>
      <c r="B168" s="1" t="n">
        <v>44350</v>
      </c>
      <c r="C168" s="1" t="n">
        <v>45928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13529-2022</t>
        </is>
      </c>
      <c r="B169" s="1" t="n">
        <v>44643</v>
      </c>
      <c r="C169" s="1" t="n">
        <v>45928</v>
      </c>
      <c r="D169" t="inlineStr">
        <is>
          <t>SÖDERMANLANDS LÄN</t>
        </is>
      </c>
      <c r="E169" t="inlineStr">
        <is>
          <t>FLEN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54840-2021</t>
        </is>
      </c>
      <c r="B170" s="1" t="n">
        <v>44474</v>
      </c>
      <c r="C170" s="1" t="n">
        <v>45928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2162-2022</t>
        </is>
      </c>
      <c r="B171" s="1" t="n">
        <v>44578</v>
      </c>
      <c r="C171" s="1" t="n">
        <v>45928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12774-2021</t>
        </is>
      </c>
      <c r="B172" s="1" t="n">
        <v>44270</v>
      </c>
      <c r="C172" s="1" t="n">
        <v>45928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45928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62512-2020</t>
        </is>
      </c>
      <c r="B174" s="1" t="n">
        <v>44160</v>
      </c>
      <c r="C174" s="1" t="n">
        <v>45928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17985-2021</t>
        </is>
      </c>
      <c r="B175" s="1" t="n">
        <v>44301</v>
      </c>
      <c r="C175" s="1" t="n">
        <v>45928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45928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49323-2021</t>
        </is>
      </c>
      <c r="B177" s="1" t="n">
        <v>44453</v>
      </c>
      <c r="C177" s="1" t="n">
        <v>45928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47613-2021</t>
        </is>
      </c>
      <c r="B178" s="1" t="n">
        <v>44448.35070601852</v>
      </c>
      <c r="C178" s="1" t="n">
        <v>45928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1565-2021</t>
        </is>
      </c>
      <c r="B179" s="1" t="n">
        <v>44209</v>
      </c>
      <c r="C179" s="1" t="n">
        <v>45928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45928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45928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12174-2022</t>
        </is>
      </c>
      <c r="B182" s="1" t="n">
        <v>44636</v>
      </c>
      <c r="C182" s="1" t="n">
        <v>45928</v>
      </c>
      <c r="D182" t="inlineStr">
        <is>
          <t>SÖDERMANLANDS LÄN</t>
        </is>
      </c>
      <c r="E182" t="inlineStr">
        <is>
          <t>FLEN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45928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21351-2022</t>
        </is>
      </c>
      <c r="B184" s="1" t="n">
        <v>44705</v>
      </c>
      <c r="C184" s="1" t="n">
        <v>45928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45928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45928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45928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39673-2022</t>
        </is>
      </c>
      <c r="B188" s="1" t="n">
        <v>44818</v>
      </c>
      <c r="C188" s="1" t="n">
        <v>45928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45928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45928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45928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45928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45928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10281-2025</t>
        </is>
      </c>
      <c r="B194" s="1" t="n">
        <v>45720.40424768518</v>
      </c>
      <c r="C194" s="1" t="n">
        <v>45928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53517-2023</t>
        </is>
      </c>
      <c r="B195" s="1" t="n">
        <v>45230</v>
      </c>
      <c r="C195" s="1" t="n">
        <v>45928</v>
      </c>
      <c r="D195" t="inlineStr">
        <is>
          <t>SÖDERMANLANDS LÄN</t>
        </is>
      </c>
      <c r="E195" t="inlineStr">
        <is>
          <t>FLEN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2448-2024</t>
        </is>
      </c>
      <c r="B196" s="1" t="n">
        <v>45311.73829861111</v>
      </c>
      <c r="C196" s="1" t="n">
        <v>45928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9147-2024</t>
        </is>
      </c>
      <c r="B197" s="1" t="n">
        <v>45358.37712962963</v>
      </c>
      <c r="C197" s="1" t="n">
        <v>45928</v>
      </c>
      <c r="D197" t="inlineStr">
        <is>
          <t>SÖDERMANLANDS LÄN</t>
        </is>
      </c>
      <c r="E197" t="inlineStr">
        <is>
          <t>FLEN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46414-2022</t>
        </is>
      </c>
      <c r="B198" s="1" t="n">
        <v>44846</v>
      </c>
      <c r="C198" s="1" t="n">
        <v>45928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27146-2022</t>
        </is>
      </c>
      <c r="B199" s="1" t="n">
        <v>44741</v>
      </c>
      <c r="C199" s="1" t="n">
        <v>45928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4065-2022</t>
        </is>
      </c>
      <c r="B200" s="1" t="n">
        <v>44588</v>
      </c>
      <c r="C200" s="1" t="n">
        <v>45928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53121-2023</t>
        </is>
      </c>
      <c r="B201" s="1" t="n">
        <v>45228</v>
      </c>
      <c r="C201" s="1" t="n">
        <v>45928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22883-2022</t>
        </is>
      </c>
      <c r="B202" s="1" t="n">
        <v>44715</v>
      </c>
      <c r="C202" s="1" t="n">
        <v>45928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49828-2022</t>
        </is>
      </c>
      <c r="B203" s="1" t="n">
        <v>44862</v>
      </c>
      <c r="C203" s="1" t="n">
        <v>45928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10999-2025</t>
        </is>
      </c>
      <c r="B204" s="1" t="n">
        <v>45723.44172453704</v>
      </c>
      <c r="C204" s="1" t="n">
        <v>45928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550-2022</t>
        </is>
      </c>
      <c r="B205" s="1" t="n">
        <v>44566</v>
      </c>
      <c r="C205" s="1" t="n">
        <v>45928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31068-2022</t>
        </is>
      </c>
      <c r="B206" s="1" t="n">
        <v>44769</v>
      </c>
      <c r="C206" s="1" t="n">
        <v>45928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6668-2025</t>
        </is>
      </c>
      <c r="B207" s="1" t="n">
        <v>45700</v>
      </c>
      <c r="C207" s="1" t="n">
        <v>45928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51864-2020</t>
        </is>
      </c>
      <c r="B208" s="1" t="n">
        <v>44113</v>
      </c>
      <c r="C208" s="1" t="n">
        <v>45928</v>
      </c>
      <c r="D208" t="inlineStr">
        <is>
          <t>SÖDERMANLANDS LÄN</t>
        </is>
      </c>
      <c r="E208" t="inlineStr">
        <is>
          <t>FLEN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34095-2022</t>
        </is>
      </c>
      <c r="B209" s="1" t="n">
        <v>44791</v>
      </c>
      <c r="C209" s="1" t="n">
        <v>45928</v>
      </c>
      <c r="D209" t="inlineStr">
        <is>
          <t>SÖDERMANLANDS LÄN</t>
        </is>
      </c>
      <c r="E209" t="inlineStr">
        <is>
          <t>FLEN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54325-2021</t>
        </is>
      </c>
      <c r="B210" s="1" t="n">
        <v>44472</v>
      </c>
      <c r="C210" s="1" t="n">
        <v>45928</v>
      </c>
      <c r="D210" t="inlineStr">
        <is>
          <t>SÖDERMANLANDS LÄN</t>
        </is>
      </c>
      <c r="E210" t="inlineStr">
        <is>
          <t>FLEN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17183-2021</t>
        </is>
      </c>
      <c r="B211" s="1" t="n">
        <v>44297</v>
      </c>
      <c r="C211" s="1" t="n">
        <v>45928</v>
      </c>
      <c r="D211" t="inlineStr">
        <is>
          <t>SÖDERMANLANDS LÄN</t>
        </is>
      </c>
      <c r="E211" t="inlineStr">
        <is>
          <t>FLEN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45928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53424-2020</t>
        </is>
      </c>
      <c r="B213" s="1" t="n">
        <v>44123.62645833333</v>
      </c>
      <c r="C213" s="1" t="n">
        <v>45928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51768-2023</t>
        </is>
      </c>
      <c r="B214" s="1" t="n">
        <v>45222</v>
      </c>
      <c r="C214" s="1" t="n">
        <v>45928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5194-2024</t>
        </is>
      </c>
      <c r="B215" s="1" t="n">
        <v>45330</v>
      </c>
      <c r="C215" s="1" t="n">
        <v>45928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50731-2022</t>
        </is>
      </c>
      <c r="B216" s="1" t="n">
        <v>44862</v>
      </c>
      <c r="C216" s="1" t="n">
        <v>45928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44161-2022</t>
        </is>
      </c>
      <c r="B217" s="1" t="n">
        <v>44839</v>
      </c>
      <c r="C217" s="1" t="n">
        <v>45928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55081-2022</t>
        </is>
      </c>
      <c r="B218" s="1" t="n">
        <v>44886</v>
      </c>
      <c r="C218" s="1" t="n">
        <v>45928</v>
      </c>
      <c r="D218" t="inlineStr">
        <is>
          <t>SÖDERMANLANDS LÄN</t>
        </is>
      </c>
      <c r="E218" t="inlineStr">
        <is>
          <t>FLEN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2460-2021</t>
        </is>
      </c>
      <c r="B219" s="1" t="n">
        <v>44214.53769675926</v>
      </c>
      <c r="C219" s="1" t="n">
        <v>45928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18053-2021</t>
        </is>
      </c>
      <c r="B220" s="1" t="n">
        <v>44302.41196759259</v>
      </c>
      <c r="C220" s="1" t="n">
        <v>45928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56991-2023</t>
        </is>
      </c>
      <c r="B221" s="1" t="n">
        <v>45244</v>
      </c>
      <c r="C221" s="1" t="n">
        <v>45928</v>
      </c>
      <c r="D221" t="inlineStr">
        <is>
          <t>SÖDERMANLANDS LÄN</t>
        </is>
      </c>
      <c r="E221" t="inlineStr">
        <is>
          <t>FLEN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35649-2021</t>
        </is>
      </c>
      <c r="B222" s="1" t="n">
        <v>44384</v>
      </c>
      <c r="C222" s="1" t="n">
        <v>45928</v>
      </c>
      <c r="D222" t="inlineStr">
        <is>
          <t>SÖDERMANLANDS LÄN</t>
        </is>
      </c>
      <c r="E222" t="inlineStr">
        <is>
          <t>FLEN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47759-2022</t>
        </is>
      </c>
      <c r="B223" s="1" t="n">
        <v>44854.69221064815</v>
      </c>
      <c r="C223" s="1" t="n">
        <v>45928</v>
      </c>
      <c r="D223" t="inlineStr">
        <is>
          <t>SÖDERMANLANDS LÄN</t>
        </is>
      </c>
      <c r="E223" t="inlineStr">
        <is>
          <t>FLEN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58926-2023</t>
        </is>
      </c>
      <c r="B224" s="1" t="n">
        <v>45250</v>
      </c>
      <c r="C224" s="1" t="n">
        <v>45928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58267-2023</t>
        </is>
      </c>
      <c r="B225" s="1" t="n">
        <v>45250</v>
      </c>
      <c r="C225" s="1" t="n">
        <v>45928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14859-2024</t>
        </is>
      </c>
      <c r="B226" s="1" t="n">
        <v>45398.45043981481</v>
      </c>
      <c r="C226" s="1" t="n">
        <v>45928</v>
      </c>
      <c r="D226" t="inlineStr">
        <is>
          <t>SÖDERMANLANDS LÄN</t>
        </is>
      </c>
      <c r="E226" t="inlineStr">
        <is>
          <t>FLEN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60409-2020</t>
        </is>
      </c>
      <c r="B227" s="1" t="n">
        <v>44152</v>
      </c>
      <c r="C227" s="1" t="n">
        <v>45928</v>
      </c>
      <c r="D227" t="inlineStr">
        <is>
          <t>SÖDERMANLANDS LÄN</t>
        </is>
      </c>
      <c r="E227" t="inlineStr">
        <is>
          <t>FLEN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7163-2023</t>
        </is>
      </c>
      <c r="B228" s="1" t="n">
        <v>44970</v>
      </c>
      <c r="C228" s="1" t="n">
        <v>45928</v>
      </c>
      <c r="D228" t="inlineStr">
        <is>
          <t>SÖDERMANLANDS LÄN</t>
        </is>
      </c>
      <c r="E228" t="inlineStr">
        <is>
          <t>FLEN</t>
        </is>
      </c>
      <c r="F228" t="inlineStr">
        <is>
          <t>Kommuner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57356-2022</t>
        </is>
      </c>
      <c r="B229" s="1" t="n">
        <v>44896</v>
      </c>
      <c r="C229" s="1" t="n">
        <v>45928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21476-2024</t>
        </is>
      </c>
      <c r="B230" s="1" t="n">
        <v>45441.51645833333</v>
      </c>
      <c r="C230" s="1" t="n">
        <v>45928</v>
      </c>
      <c r="D230" t="inlineStr">
        <is>
          <t>SÖDERMANLANDS LÄN</t>
        </is>
      </c>
      <c r="E230" t="inlineStr">
        <is>
          <t>FLEN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34817-2022</t>
        </is>
      </c>
      <c r="B231" s="1" t="n">
        <v>44796</v>
      </c>
      <c r="C231" s="1" t="n">
        <v>45928</v>
      </c>
      <c r="D231" t="inlineStr">
        <is>
          <t>SÖDERMANLANDS LÄN</t>
        </is>
      </c>
      <c r="E231" t="inlineStr">
        <is>
          <t>FLEN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57046-2023</t>
        </is>
      </c>
      <c r="B232" s="1" t="n">
        <v>45244</v>
      </c>
      <c r="C232" s="1" t="n">
        <v>45928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12295-2025</t>
        </is>
      </c>
      <c r="B233" s="1" t="n">
        <v>45729</v>
      </c>
      <c r="C233" s="1" t="n">
        <v>45928</v>
      </c>
      <c r="D233" t="inlineStr">
        <is>
          <t>SÖDERMANLANDS LÄN</t>
        </is>
      </c>
      <c r="E233" t="inlineStr">
        <is>
          <t>FLEN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39226-2023</t>
        </is>
      </c>
      <c r="B234" s="1" t="n">
        <v>45166</v>
      </c>
      <c r="C234" s="1" t="n">
        <v>45928</v>
      </c>
      <c r="D234" t="inlineStr">
        <is>
          <t>SÖDERMANLANDS LÄN</t>
        </is>
      </c>
      <c r="E234" t="inlineStr">
        <is>
          <t>FLEN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9894-2023</t>
        </is>
      </c>
      <c r="B235" s="1" t="n">
        <v>44979</v>
      </c>
      <c r="C235" s="1" t="n">
        <v>45928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31214-2023</t>
        </is>
      </c>
      <c r="B236" s="1" t="n">
        <v>45114.25847222222</v>
      </c>
      <c r="C236" s="1" t="n">
        <v>45928</v>
      </c>
      <c r="D236" t="inlineStr">
        <is>
          <t>SÖDERMANLANDS LÄN</t>
        </is>
      </c>
      <c r="E236" t="inlineStr">
        <is>
          <t>FLEN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42936-2021</t>
        </is>
      </c>
      <c r="B237" s="1" t="n">
        <v>44431</v>
      </c>
      <c r="C237" s="1" t="n">
        <v>45928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35507-2024</t>
        </is>
      </c>
      <c r="B238" s="1" t="n">
        <v>45531</v>
      </c>
      <c r="C238" s="1" t="n">
        <v>45928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59779-2023</t>
        </is>
      </c>
      <c r="B239" s="1" t="n">
        <v>45257.43989583333</v>
      </c>
      <c r="C239" s="1" t="n">
        <v>45928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48826-2022</t>
        </is>
      </c>
      <c r="B240" s="1" t="n">
        <v>44859</v>
      </c>
      <c r="C240" s="1" t="n">
        <v>45928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40439-2025</t>
        </is>
      </c>
      <c r="B241" s="1" t="n">
        <v>45895.62396990741</v>
      </c>
      <c r="C241" s="1" t="n">
        <v>45928</v>
      </c>
      <c r="D241" t="inlineStr">
        <is>
          <t>SÖDERMANLANDS LÄN</t>
        </is>
      </c>
      <c r="E241" t="inlineStr">
        <is>
          <t>FLEN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31028-2024</t>
        </is>
      </c>
      <c r="B242" s="1" t="n">
        <v>45501.40141203703</v>
      </c>
      <c r="C242" s="1" t="n">
        <v>45928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45928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50045-2024</t>
        </is>
      </c>
      <c r="B244" s="1" t="n">
        <v>45600.30909722222</v>
      </c>
      <c r="C244" s="1" t="n">
        <v>45928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59135-2023</t>
        </is>
      </c>
      <c r="B245" s="1" t="n">
        <v>45253</v>
      </c>
      <c r="C245" s="1" t="n">
        <v>45928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67464-2021</t>
        </is>
      </c>
      <c r="B246" s="1" t="n">
        <v>44524</v>
      </c>
      <c r="C246" s="1" t="n">
        <v>45928</v>
      </c>
      <c r="D246" t="inlineStr">
        <is>
          <t>SÖDERMANLANDS LÄN</t>
        </is>
      </c>
      <c r="E246" t="inlineStr">
        <is>
          <t>FLEN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59258-2022</t>
        </is>
      </c>
      <c r="B247" s="1" t="n">
        <v>44897</v>
      </c>
      <c r="C247" s="1" t="n">
        <v>45928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47604-2021</t>
        </is>
      </c>
      <c r="B248" s="1" t="n">
        <v>44448</v>
      </c>
      <c r="C248" s="1" t="n">
        <v>45928</v>
      </c>
      <c r="D248" t="inlineStr">
        <is>
          <t>SÖDERMANLANDS LÄN</t>
        </is>
      </c>
      <c r="E248" t="inlineStr">
        <is>
          <t>FLEN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33742-2023</t>
        </is>
      </c>
      <c r="B249" s="1" t="n">
        <v>45119</v>
      </c>
      <c r="C249" s="1" t="n">
        <v>45928</v>
      </c>
      <c r="D249" t="inlineStr">
        <is>
          <t>SÖDERMANLANDS LÄN</t>
        </is>
      </c>
      <c r="E249" t="inlineStr">
        <is>
          <t>FLEN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56393-2022</t>
        </is>
      </c>
      <c r="B250" s="1" t="n">
        <v>44887</v>
      </c>
      <c r="C250" s="1" t="n">
        <v>45928</v>
      </c>
      <c r="D250" t="inlineStr">
        <is>
          <t>SÖDERMANLANDS LÄN</t>
        </is>
      </c>
      <c r="E250" t="inlineStr">
        <is>
          <t>FLEN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20868-2024</t>
        </is>
      </c>
      <c r="B251" s="1" t="n">
        <v>45439.4372337963</v>
      </c>
      <c r="C251" s="1" t="n">
        <v>45928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43394-2021</t>
        </is>
      </c>
      <c r="B252" s="1" t="n">
        <v>44432</v>
      </c>
      <c r="C252" s="1" t="n">
        <v>45928</v>
      </c>
      <c r="D252" t="inlineStr">
        <is>
          <t>SÖDERMANLANDS LÄN</t>
        </is>
      </c>
      <c r="E252" t="inlineStr">
        <is>
          <t>FLEN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48852-2023</t>
        </is>
      </c>
      <c r="B253" s="1" t="n">
        <v>45209</v>
      </c>
      <c r="C253" s="1" t="n">
        <v>45928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10110-2023</t>
        </is>
      </c>
      <c r="B254" s="1" t="n">
        <v>44986</v>
      </c>
      <c r="C254" s="1" t="n">
        <v>45928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65869-2021</t>
        </is>
      </c>
      <c r="B255" s="1" t="n">
        <v>44517.39820601852</v>
      </c>
      <c r="C255" s="1" t="n">
        <v>45928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4259-2023</t>
        </is>
      </c>
      <c r="B256" s="1" t="n">
        <v>44953.54269675926</v>
      </c>
      <c r="C256" s="1" t="n">
        <v>45928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3926-2024</t>
        </is>
      </c>
      <c r="B257" s="1" t="n">
        <v>45322.59059027778</v>
      </c>
      <c r="C257" s="1" t="n">
        <v>45928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41888-2025</t>
        </is>
      </c>
      <c r="B258" s="1" t="n">
        <v>45903.37440972222</v>
      </c>
      <c r="C258" s="1" t="n">
        <v>45928</v>
      </c>
      <c r="D258" t="inlineStr">
        <is>
          <t>SÖDERMANLANDS LÄN</t>
        </is>
      </c>
      <c r="E258" t="inlineStr">
        <is>
          <t>FLEN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66511-2020</t>
        </is>
      </c>
      <c r="B259" s="1" t="n">
        <v>44178</v>
      </c>
      <c r="C259" s="1" t="n">
        <v>45928</v>
      </c>
      <c r="D259" t="inlineStr">
        <is>
          <t>SÖDERMANLANDS LÄN</t>
        </is>
      </c>
      <c r="E259" t="inlineStr">
        <is>
          <t>FLEN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476-2022</t>
        </is>
      </c>
      <c r="B260" s="1" t="n">
        <v>44566</v>
      </c>
      <c r="C260" s="1" t="n">
        <v>45928</v>
      </c>
      <c r="D260" t="inlineStr">
        <is>
          <t>SÖDERMANLANDS LÄN</t>
        </is>
      </c>
      <c r="E260" t="inlineStr">
        <is>
          <t>FLEN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10565-2023</t>
        </is>
      </c>
      <c r="B261" s="1" t="n">
        <v>44988</v>
      </c>
      <c r="C261" s="1" t="n">
        <v>45928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16902-2025</t>
        </is>
      </c>
      <c r="B262" s="1" t="n">
        <v>45752</v>
      </c>
      <c r="C262" s="1" t="n">
        <v>45928</v>
      </c>
      <c r="D262" t="inlineStr">
        <is>
          <t>SÖDERMANLANDS LÄN</t>
        </is>
      </c>
      <c r="E262" t="inlineStr">
        <is>
          <t>FLEN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10738-2022</t>
        </is>
      </c>
      <c r="B263" s="1" t="n">
        <v>44624</v>
      </c>
      <c r="C263" s="1" t="n">
        <v>45928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32023-2022</t>
        </is>
      </c>
      <c r="B264" s="1" t="n">
        <v>44778</v>
      </c>
      <c r="C264" s="1" t="n">
        <v>45928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59690-2023</t>
        </is>
      </c>
      <c r="B265" s="1" t="n">
        <v>45256.76922453703</v>
      </c>
      <c r="C265" s="1" t="n">
        <v>45928</v>
      </c>
      <c r="D265" t="inlineStr">
        <is>
          <t>SÖDERMANLANDS LÄN</t>
        </is>
      </c>
      <c r="E265" t="inlineStr">
        <is>
          <t>FLEN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25605-2023</t>
        </is>
      </c>
      <c r="B266" s="1" t="n">
        <v>45089</v>
      </c>
      <c r="C266" s="1" t="n">
        <v>45928</v>
      </c>
      <c r="D266" t="inlineStr">
        <is>
          <t>SÖDERMANLANDS LÄN</t>
        </is>
      </c>
      <c r="E266" t="inlineStr">
        <is>
          <t>FLEN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22827-2024</t>
        </is>
      </c>
      <c r="B267" s="1" t="n">
        <v>45448.56204861111</v>
      </c>
      <c r="C267" s="1" t="n">
        <v>45928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9237-2021</t>
        </is>
      </c>
      <c r="B268" s="1" t="n">
        <v>44250</v>
      </c>
      <c r="C268" s="1" t="n">
        <v>45928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3169-2021</t>
        </is>
      </c>
      <c r="B269" s="1" t="n">
        <v>44217</v>
      </c>
      <c r="C269" s="1" t="n">
        <v>45928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41894-2021</t>
        </is>
      </c>
      <c r="B270" s="1" t="n">
        <v>44425</v>
      </c>
      <c r="C270" s="1" t="n">
        <v>45928</v>
      </c>
      <c r="D270" t="inlineStr">
        <is>
          <t>SÖDERMANLANDS LÄN</t>
        </is>
      </c>
      <c r="E270" t="inlineStr">
        <is>
          <t>FLEN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41709-2021</t>
        </is>
      </c>
      <c r="B271" s="1" t="n">
        <v>44425</v>
      </c>
      <c r="C271" s="1" t="n">
        <v>45928</v>
      </c>
      <c r="D271" t="inlineStr">
        <is>
          <t>SÖDERMANLANDS LÄN</t>
        </is>
      </c>
      <c r="E271" t="inlineStr">
        <is>
          <t>FLEN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5582-2023</t>
        </is>
      </c>
      <c r="B272" s="1" t="n">
        <v>44960</v>
      </c>
      <c r="C272" s="1" t="n">
        <v>45928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39427-2024</t>
        </is>
      </c>
      <c r="B273" s="1" t="n">
        <v>45551.58553240741</v>
      </c>
      <c r="C273" s="1" t="n">
        <v>45928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57863-2022</t>
        </is>
      </c>
      <c r="B274" s="1" t="n">
        <v>44899.4174537037</v>
      </c>
      <c r="C274" s="1" t="n">
        <v>45928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5852-2022</t>
        </is>
      </c>
      <c r="B275" s="1" t="n">
        <v>44596</v>
      </c>
      <c r="C275" s="1" t="n">
        <v>45928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29002-2021</t>
        </is>
      </c>
      <c r="B276" s="1" t="n">
        <v>44358</v>
      </c>
      <c r="C276" s="1" t="n">
        <v>45928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5971-2021</t>
        </is>
      </c>
      <c r="B277" s="1" t="n">
        <v>44230</v>
      </c>
      <c r="C277" s="1" t="n">
        <v>45928</v>
      </c>
      <c r="D277" t="inlineStr">
        <is>
          <t>SÖDERMANLANDS LÄN</t>
        </is>
      </c>
      <c r="E277" t="inlineStr">
        <is>
          <t>FLEN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1575-2024</t>
        </is>
      </c>
      <c r="B278" s="1" t="n">
        <v>45306</v>
      </c>
      <c r="C278" s="1" t="n">
        <v>45928</v>
      </c>
      <c r="D278" t="inlineStr">
        <is>
          <t>SÖDERMANLANDS LÄN</t>
        </is>
      </c>
      <c r="E278" t="inlineStr">
        <is>
          <t>FLEN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10980-2021</t>
        </is>
      </c>
      <c r="B279" s="1" t="n">
        <v>44260</v>
      </c>
      <c r="C279" s="1" t="n">
        <v>45928</v>
      </c>
      <c r="D279" t="inlineStr">
        <is>
          <t>SÖDERMANLANDS LÄN</t>
        </is>
      </c>
      <c r="E279" t="inlineStr">
        <is>
          <t>FLEN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48749-2022</t>
        </is>
      </c>
      <c r="B280" s="1" t="n">
        <v>44855</v>
      </c>
      <c r="C280" s="1" t="n">
        <v>45928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48774-2022</t>
        </is>
      </c>
      <c r="B281" s="1" t="n">
        <v>44855</v>
      </c>
      <c r="C281" s="1" t="n">
        <v>45928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8710-2021</t>
        </is>
      </c>
      <c r="B282" s="1" t="n">
        <v>44246</v>
      </c>
      <c r="C282" s="1" t="n">
        <v>45928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39821-2024</t>
        </is>
      </c>
      <c r="B283" s="1" t="n">
        <v>45553</v>
      </c>
      <c r="C283" s="1" t="n">
        <v>45928</v>
      </c>
      <c r="D283" t="inlineStr">
        <is>
          <t>SÖDERMANLANDS LÄN</t>
        </is>
      </c>
      <c r="E283" t="inlineStr">
        <is>
          <t>FLEN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50467-2020</t>
        </is>
      </c>
      <c r="B284" s="1" t="n">
        <v>44110</v>
      </c>
      <c r="C284" s="1" t="n">
        <v>45928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41435-2022</t>
        </is>
      </c>
      <c r="B285" s="1" t="n">
        <v>44826</v>
      </c>
      <c r="C285" s="1" t="n">
        <v>45928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34783-2023</t>
        </is>
      </c>
      <c r="B286" s="1" t="n">
        <v>45140</v>
      </c>
      <c r="C286" s="1" t="n">
        <v>45928</v>
      </c>
      <c r="D286" t="inlineStr">
        <is>
          <t>SÖDERMANLANDS LÄN</t>
        </is>
      </c>
      <c r="E286" t="inlineStr">
        <is>
          <t>FLEN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54737-2022</t>
        </is>
      </c>
      <c r="B287" s="1" t="n">
        <v>44881</v>
      </c>
      <c r="C287" s="1" t="n">
        <v>45928</v>
      </c>
      <c r="D287" t="inlineStr">
        <is>
          <t>SÖDERMANLANDS LÄN</t>
        </is>
      </c>
      <c r="E287" t="inlineStr">
        <is>
          <t>FLEN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60609-2022</t>
        </is>
      </c>
      <c r="B288" s="1" t="n">
        <v>44911</v>
      </c>
      <c r="C288" s="1" t="n">
        <v>45928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46106-2024</t>
        </is>
      </c>
      <c r="B289" s="1" t="n">
        <v>45581.37462962963</v>
      </c>
      <c r="C289" s="1" t="n">
        <v>45928</v>
      </c>
      <c r="D289" t="inlineStr">
        <is>
          <t>SÖDERMANLANDS LÄN</t>
        </is>
      </c>
      <c r="E289" t="inlineStr">
        <is>
          <t>FLEN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30423-2022</t>
        </is>
      </c>
      <c r="B290" s="1" t="n">
        <v>44761.47006944445</v>
      </c>
      <c r="C290" s="1" t="n">
        <v>45928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63185-2023</t>
        </is>
      </c>
      <c r="B291" s="1" t="n">
        <v>45272</v>
      </c>
      <c r="C291" s="1" t="n">
        <v>45928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36454-2025</t>
        </is>
      </c>
      <c r="B292" s="1" t="n">
        <v>45869</v>
      </c>
      <c r="C292" s="1" t="n">
        <v>45928</v>
      </c>
      <c r="D292" t="inlineStr">
        <is>
          <t>SÖDERMANLANDS LÄN</t>
        </is>
      </c>
      <c r="E292" t="inlineStr">
        <is>
          <t>FLEN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36455-2025</t>
        </is>
      </c>
      <c r="B293" s="1" t="n">
        <v>45869</v>
      </c>
      <c r="C293" s="1" t="n">
        <v>45928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48497-2021</t>
        </is>
      </c>
      <c r="B294" s="1" t="n">
        <v>44449</v>
      </c>
      <c r="C294" s="1" t="n">
        <v>45928</v>
      </c>
      <c r="D294" t="inlineStr">
        <is>
          <t>SÖDERMANLANDS LÄN</t>
        </is>
      </c>
      <c r="E294" t="inlineStr">
        <is>
          <t>FLEN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26036-2023</t>
        </is>
      </c>
      <c r="B295" s="1" t="n">
        <v>45091.32778935185</v>
      </c>
      <c r="C295" s="1" t="n">
        <v>45928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54919-2020</t>
        </is>
      </c>
      <c r="B296" s="1" t="n">
        <v>44127</v>
      </c>
      <c r="C296" s="1" t="n">
        <v>45928</v>
      </c>
      <c r="D296" t="inlineStr">
        <is>
          <t>SÖDERMANLANDS LÄN</t>
        </is>
      </c>
      <c r="E296" t="inlineStr">
        <is>
          <t>FLEN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56497-2022</t>
        </is>
      </c>
      <c r="B297" s="1" t="n">
        <v>44887</v>
      </c>
      <c r="C297" s="1" t="n">
        <v>45928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28768-2024</t>
        </is>
      </c>
      <c r="B298" s="1" t="n">
        <v>45478</v>
      </c>
      <c r="C298" s="1" t="n">
        <v>45928</v>
      </c>
      <c r="D298" t="inlineStr">
        <is>
          <t>SÖDERMANLANDS LÄN</t>
        </is>
      </c>
      <c r="E298" t="inlineStr">
        <is>
          <t>FLEN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57251-2020</t>
        </is>
      </c>
      <c r="B299" s="1" t="n">
        <v>44139</v>
      </c>
      <c r="C299" s="1" t="n">
        <v>45928</v>
      </c>
      <c r="D299" t="inlineStr">
        <is>
          <t>SÖDERMANLANDS LÄN</t>
        </is>
      </c>
      <c r="E299" t="inlineStr">
        <is>
          <t>FLEN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52546-2021</t>
        </is>
      </c>
      <c r="B300" s="1" t="n">
        <v>44463</v>
      </c>
      <c r="C300" s="1" t="n">
        <v>45928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58631-2024</t>
        </is>
      </c>
      <c r="B301" s="1" t="n">
        <v>45632</v>
      </c>
      <c r="C301" s="1" t="n">
        <v>45928</v>
      </c>
      <c r="D301" t="inlineStr">
        <is>
          <t>SÖDERMANLANDS LÄN</t>
        </is>
      </c>
      <c r="E301" t="inlineStr">
        <is>
          <t>FLEN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41806-2023</t>
        </is>
      </c>
      <c r="B302" s="1" t="n">
        <v>45176</v>
      </c>
      <c r="C302" s="1" t="n">
        <v>45928</v>
      </c>
      <c r="D302" t="inlineStr">
        <is>
          <t>SÖDERMANLANDS LÄN</t>
        </is>
      </c>
      <c r="E302" t="inlineStr">
        <is>
          <t>FLEN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36453-2025</t>
        </is>
      </c>
      <c r="B303" s="1" t="n">
        <v>45869</v>
      </c>
      <c r="C303" s="1" t="n">
        <v>45928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66979-2021</t>
        </is>
      </c>
      <c r="B304" s="1" t="n">
        <v>44522</v>
      </c>
      <c r="C304" s="1" t="n">
        <v>45928</v>
      </c>
      <c r="D304" t="inlineStr">
        <is>
          <t>SÖDERMANLANDS LÄN</t>
        </is>
      </c>
      <c r="E304" t="inlineStr">
        <is>
          <t>FLEN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11288-2021</t>
        </is>
      </c>
      <c r="B305" s="1" t="n">
        <v>44263</v>
      </c>
      <c r="C305" s="1" t="n">
        <v>45928</v>
      </c>
      <c r="D305" t="inlineStr">
        <is>
          <t>SÖDERMANLANDS LÄN</t>
        </is>
      </c>
      <c r="E305" t="inlineStr">
        <is>
          <t>FLEN</t>
        </is>
      </c>
      <c r="G305" t="n">
        <v>19.1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22957-2023</t>
        </is>
      </c>
      <c r="B306" s="1" t="n">
        <v>45072.65648148148</v>
      </c>
      <c r="C306" s="1" t="n">
        <v>45928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58834-2024</t>
        </is>
      </c>
      <c r="B307" s="1" t="n">
        <v>45636.37457175926</v>
      </c>
      <c r="C307" s="1" t="n">
        <v>45928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8762-2021</t>
        </is>
      </c>
      <c r="B308" s="1" t="n">
        <v>44246</v>
      </c>
      <c r="C308" s="1" t="n">
        <v>45928</v>
      </c>
      <c r="D308" t="inlineStr">
        <is>
          <t>SÖDERMANLANDS LÄN</t>
        </is>
      </c>
      <c r="E308" t="inlineStr">
        <is>
          <t>FLEN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29148-2024</t>
        </is>
      </c>
      <c r="B309" s="1" t="n">
        <v>45482</v>
      </c>
      <c r="C309" s="1" t="n">
        <v>45928</v>
      </c>
      <c r="D309" t="inlineStr">
        <is>
          <t>SÖDERMANLANDS LÄN</t>
        </is>
      </c>
      <c r="E309" t="inlineStr">
        <is>
          <t>FLEN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54781-2024</t>
        </is>
      </c>
      <c r="B310" s="1" t="n">
        <v>45618</v>
      </c>
      <c r="C310" s="1" t="n">
        <v>45928</v>
      </c>
      <c r="D310" t="inlineStr">
        <is>
          <t>SÖDERMANLANDS LÄN</t>
        </is>
      </c>
      <c r="E310" t="inlineStr">
        <is>
          <t>FLEN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37286-2024</t>
        </is>
      </c>
      <c r="B311" s="1" t="n">
        <v>45540.43818287037</v>
      </c>
      <c r="C311" s="1" t="n">
        <v>45928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49891-2023</t>
        </is>
      </c>
      <c r="B312" s="1" t="n">
        <v>45213</v>
      </c>
      <c r="C312" s="1" t="n">
        <v>45928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38217-2023</t>
        </is>
      </c>
      <c r="B313" s="1" t="n">
        <v>45161.53572916667</v>
      </c>
      <c r="C313" s="1" t="n">
        <v>45928</v>
      </c>
      <c r="D313" t="inlineStr">
        <is>
          <t>SÖDERMANLANDS LÄN</t>
        </is>
      </c>
      <c r="E313" t="inlineStr">
        <is>
          <t>FLEN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14040-2025</t>
        </is>
      </c>
      <c r="B314" s="1" t="n">
        <v>45740.36704861111</v>
      </c>
      <c r="C314" s="1" t="n">
        <v>45928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12172-2022</t>
        </is>
      </c>
      <c r="B315" s="1" t="n">
        <v>44636</v>
      </c>
      <c r="C315" s="1" t="n">
        <v>45928</v>
      </c>
      <c r="D315" t="inlineStr">
        <is>
          <t>SÖDERMANLANDS LÄN</t>
        </is>
      </c>
      <c r="E315" t="inlineStr">
        <is>
          <t>FLEN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45928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7194-2023</t>
        </is>
      </c>
      <c r="B317" s="1" t="n">
        <v>44970</v>
      </c>
      <c r="C317" s="1" t="n">
        <v>45928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31965-2024</t>
        </is>
      </c>
      <c r="B318" s="1" t="n">
        <v>45510.53577546297</v>
      </c>
      <c r="C318" s="1" t="n">
        <v>45928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48785-2022</t>
        </is>
      </c>
      <c r="B319" s="1" t="n">
        <v>44859</v>
      </c>
      <c r="C319" s="1" t="n">
        <v>45928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64480-2023</t>
        </is>
      </c>
      <c r="B320" s="1" t="n">
        <v>45280.90018518519</v>
      </c>
      <c r="C320" s="1" t="n">
        <v>45928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59776-2022</t>
        </is>
      </c>
      <c r="B321" s="1" t="n">
        <v>44908</v>
      </c>
      <c r="C321" s="1" t="n">
        <v>45928</v>
      </c>
      <c r="D321" t="inlineStr">
        <is>
          <t>SÖDERMANLANDS LÄN</t>
        </is>
      </c>
      <c r="E321" t="inlineStr">
        <is>
          <t>FLEN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60937-2022</t>
        </is>
      </c>
      <c r="B322" s="1" t="n">
        <v>44914.6196875</v>
      </c>
      <c r="C322" s="1" t="n">
        <v>45928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23835-2022</t>
        </is>
      </c>
      <c r="B323" s="1" t="n">
        <v>44722</v>
      </c>
      <c r="C323" s="1" t="n">
        <v>45928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23859-2022</t>
        </is>
      </c>
      <c r="B324" s="1" t="n">
        <v>44722</v>
      </c>
      <c r="C324" s="1" t="n">
        <v>45928</v>
      </c>
      <c r="D324" t="inlineStr">
        <is>
          <t>SÖDERMANLANDS LÄN</t>
        </is>
      </c>
      <c r="E324" t="inlineStr">
        <is>
          <t>FLEN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66230-2021</t>
        </is>
      </c>
      <c r="B325" s="1" t="n">
        <v>44518</v>
      </c>
      <c r="C325" s="1" t="n">
        <v>45928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15465-2021</t>
        </is>
      </c>
      <c r="B326" s="1" t="n">
        <v>44285</v>
      </c>
      <c r="C326" s="1" t="n">
        <v>45928</v>
      </c>
      <c r="D326" t="inlineStr">
        <is>
          <t>SÖDERMANLANDS LÄN</t>
        </is>
      </c>
      <c r="E326" t="inlineStr">
        <is>
          <t>FLEN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29195-2023</t>
        </is>
      </c>
      <c r="B327" s="1" t="n">
        <v>45105</v>
      </c>
      <c r="C327" s="1" t="n">
        <v>45928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33107-2022</t>
        </is>
      </c>
      <c r="B328" s="1" t="n">
        <v>44785.4987962963</v>
      </c>
      <c r="C328" s="1" t="n">
        <v>45928</v>
      </c>
      <c r="D328" t="inlineStr">
        <is>
          <t>SÖDERMANLANDS LÄN</t>
        </is>
      </c>
      <c r="E328" t="inlineStr">
        <is>
          <t>FLEN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40961-2021</t>
        </is>
      </c>
      <c r="B329" s="1" t="n">
        <v>44421</v>
      </c>
      <c r="C329" s="1" t="n">
        <v>45928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33103-2022</t>
        </is>
      </c>
      <c r="B330" s="1" t="n">
        <v>44785</v>
      </c>
      <c r="C330" s="1" t="n">
        <v>45928</v>
      </c>
      <c r="D330" t="inlineStr">
        <is>
          <t>SÖDERMANLANDS LÄN</t>
        </is>
      </c>
      <c r="E330" t="inlineStr">
        <is>
          <t>FLEN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44194-2024</t>
        </is>
      </c>
      <c r="B331" s="1" t="n">
        <v>45573.31581018519</v>
      </c>
      <c r="C331" s="1" t="n">
        <v>45928</v>
      </c>
      <c r="D331" t="inlineStr">
        <is>
          <t>SÖDERMANLANDS LÄN</t>
        </is>
      </c>
      <c r="E331" t="inlineStr">
        <is>
          <t>FLEN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13587-2022</t>
        </is>
      </c>
      <c r="B332" s="1" t="n">
        <v>44648</v>
      </c>
      <c r="C332" s="1" t="n">
        <v>45928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52541-2021</t>
        </is>
      </c>
      <c r="B333" s="1" t="n">
        <v>44463</v>
      </c>
      <c r="C333" s="1" t="n">
        <v>45928</v>
      </c>
      <c r="D333" t="inlineStr">
        <is>
          <t>SÖDERMANLANDS LÄN</t>
        </is>
      </c>
      <c r="E333" t="inlineStr">
        <is>
          <t>FLEN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14412-2023</t>
        </is>
      </c>
      <c r="B334" s="1" t="n">
        <v>45012</v>
      </c>
      <c r="C334" s="1" t="n">
        <v>45928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45370-2025</t>
        </is>
      </c>
      <c r="B335" s="1" t="n">
        <v>45920</v>
      </c>
      <c r="C335" s="1" t="n">
        <v>45928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9892-2023</t>
        </is>
      </c>
      <c r="B336" s="1" t="n">
        <v>44979</v>
      </c>
      <c r="C336" s="1" t="n">
        <v>45928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20980-2023</t>
        </is>
      </c>
      <c r="B337" s="1" t="n">
        <v>45056</v>
      </c>
      <c r="C337" s="1" t="n">
        <v>45928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45369-2025</t>
        </is>
      </c>
      <c r="B338" s="1" t="n">
        <v>45920</v>
      </c>
      <c r="C338" s="1" t="n">
        <v>45928</v>
      </c>
      <c r="D338" t="inlineStr">
        <is>
          <t>SÖDERMANLANDS LÄN</t>
        </is>
      </c>
      <c r="E338" t="inlineStr">
        <is>
          <t>FLEN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45928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26663-2022</t>
        </is>
      </c>
      <c r="B340" s="1" t="n">
        <v>44739</v>
      </c>
      <c r="C340" s="1" t="n">
        <v>45928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9079-2025</t>
        </is>
      </c>
      <c r="B341" s="1" t="n">
        <v>45713.66100694444</v>
      </c>
      <c r="C341" s="1" t="n">
        <v>45928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37775-2025</t>
        </is>
      </c>
      <c r="B342" s="1" t="n">
        <v>45880.79771990741</v>
      </c>
      <c r="C342" s="1" t="n">
        <v>45928</v>
      </c>
      <c r="D342" t="inlineStr">
        <is>
          <t>SÖDERMANLANDS LÄN</t>
        </is>
      </c>
      <c r="E342" t="inlineStr">
        <is>
          <t>FLEN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31083-2022</t>
        </is>
      </c>
      <c r="B343" s="1" t="n">
        <v>44769</v>
      </c>
      <c r="C343" s="1" t="n">
        <v>45928</v>
      </c>
      <c r="D343" t="inlineStr">
        <is>
          <t>SÖDERMANLANDS LÄN</t>
        </is>
      </c>
      <c r="E343" t="inlineStr">
        <is>
          <t>FLEN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46031-2025</t>
        </is>
      </c>
      <c r="B344" s="1" t="n">
        <v>45924.44363425926</v>
      </c>
      <c r="C344" s="1" t="n">
        <v>45928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34721-2023</t>
        </is>
      </c>
      <c r="B345" s="1" t="n">
        <v>45141</v>
      </c>
      <c r="C345" s="1" t="n">
        <v>45928</v>
      </c>
      <c r="D345" t="inlineStr">
        <is>
          <t>SÖDERMANLANDS LÄN</t>
        </is>
      </c>
      <c r="E345" t="inlineStr">
        <is>
          <t>FLEN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49816-2023</t>
        </is>
      </c>
      <c r="B346" s="1" t="n">
        <v>45211</v>
      </c>
      <c r="C346" s="1" t="n">
        <v>45928</v>
      </c>
      <c r="D346" t="inlineStr">
        <is>
          <t>SÖDERMANLANDS LÄN</t>
        </is>
      </c>
      <c r="E346" t="inlineStr">
        <is>
          <t>FLEN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8891-2023</t>
        </is>
      </c>
      <c r="B347" s="1" t="n">
        <v>44979.32887731482</v>
      </c>
      <c r="C347" s="1" t="n">
        <v>45928</v>
      </c>
      <c r="D347" t="inlineStr">
        <is>
          <t>SÖDERMANLANDS LÄN</t>
        </is>
      </c>
      <c r="E347" t="inlineStr">
        <is>
          <t>FLEN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17654-2023</t>
        </is>
      </c>
      <c r="B348" s="1" t="n">
        <v>45036.84393518518</v>
      </c>
      <c r="C348" s="1" t="n">
        <v>45928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39161-2025</t>
        </is>
      </c>
      <c r="B349" s="1" t="n">
        <v>45888</v>
      </c>
      <c r="C349" s="1" t="n">
        <v>45928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2388-2025</t>
        </is>
      </c>
      <c r="B350" s="1" t="n">
        <v>45672</v>
      </c>
      <c r="C350" s="1" t="n">
        <v>45928</v>
      </c>
      <c r="D350" t="inlineStr">
        <is>
          <t>SÖDERMANLANDS LÄN</t>
        </is>
      </c>
      <c r="E350" t="inlineStr">
        <is>
          <t>FLEN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57353-2022</t>
        </is>
      </c>
      <c r="B351" s="1" t="n">
        <v>44896</v>
      </c>
      <c r="C351" s="1" t="n">
        <v>45928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58507-2022</t>
        </is>
      </c>
      <c r="B352" s="1" t="n">
        <v>44902.39163194445</v>
      </c>
      <c r="C352" s="1" t="n">
        <v>45928</v>
      </c>
      <c r="D352" t="inlineStr">
        <is>
          <t>SÖDERMANLANDS LÄN</t>
        </is>
      </c>
      <c r="E352" t="inlineStr">
        <is>
          <t>FLEN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46103-2024</t>
        </is>
      </c>
      <c r="B353" s="1" t="n">
        <v>45581</v>
      </c>
      <c r="C353" s="1" t="n">
        <v>45928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51872-2022</t>
        </is>
      </c>
      <c r="B354" s="1" t="n">
        <v>44872.59371527778</v>
      </c>
      <c r="C354" s="1" t="n">
        <v>45928</v>
      </c>
      <c r="D354" t="inlineStr">
        <is>
          <t>SÖDERMANLANDS LÄN</t>
        </is>
      </c>
      <c r="E354" t="inlineStr">
        <is>
          <t>FLEN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49775-2024</t>
        </is>
      </c>
      <c r="B355" s="1" t="n">
        <v>45597.34841435185</v>
      </c>
      <c r="C355" s="1" t="n">
        <v>45928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9979-2025</t>
        </is>
      </c>
      <c r="B356" s="1" t="n">
        <v>45718</v>
      </c>
      <c r="C356" s="1" t="n">
        <v>45928</v>
      </c>
      <c r="D356" t="inlineStr">
        <is>
          <t>SÖDERMANLANDS LÄN</t>
        </is>
      </c>
      <c r="E356" t="inlineStr">
        <is>
          <t>FLEN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58635-2024</t>
        </is>
      </c>
      <c r="B357" s="1" t="n">
        <v>45632</v>
      </c>
      <c r="C357" s="1" t="n">
        <v>45928</v>
      </c>
      <c r="D357" t="inlineStr">
        <is>
          <t>SÖDERMANLANDS LÄN</t>
        </is>
      </c>
      <c r="E357" t="inlineStr">
        <is>
          <t>FLEN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9431-2022</t>
        </is>
      </c>
      <c r="B358" s="1" t="n">
        <v>44616</v>
      </c>
      <c r="C358" s="1" t="n">
        <v>45928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14755-2023</t>
        </is>
      </c>
      <c r="B359" s="1" t="n">
        <v>45014</v>
      </c>
      <c r="C359" s="1" t="n">
        <v>45928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4216-2022</t>
        </is>
      </c>
      <c r="B360" s="1" t="n">
        <v>44588</v>
      </c>
      <c r="C360" s="1" t="n">
        <v>45928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44006-2022</t>
        </is>
      </c>
      <c r="B361" s="1" t="n">
        <v>44838</v>
      </c>
      <c r="C361" s="1" t="n">
        <v>45928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4899-2023</t>
        </is>
      </c>
      <c r="B362" s="1" t="n">
        <v>44958</v>
      </c>
      <c r="C362" s="1" t="n">
        <v>45928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45928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52980-2023</t>
        </is>
      </c>
      <c r="B364" s="1" t="n">
        <v>45226</v>
      </c>
      <c r="C364" s="1" t="n">
        <v>45928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1180-2025</t>
        </is>
      </c>
      <c r="B365" s="1" t="n">
        <v>45667</v>
      </c>
      <c r="C365" s="1" t="n">
        <v>45928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23650-2023</t>
        </is>
      </c>
      <c r="B366" s="1" t="n">
        <v>45073</v>
      </c>
      <c r="C366" s="1" t="n">
        <v>45928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52472-2023</t>
        </is>
      </c>
      <c r="B367" s="1" t="n">
        <v>45225</v>
      </c>
      <c r="C367" s="1" t="n">
        <v>45928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45928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52481-2023</t>
        </is>
      </c>
      <c r="B369" s="1" t="n">
        <v>45225.43978009259</v>
      </c>
      <c r="C369" s="1" t="n">
        <v>45928</v>
      </c>
      <c r="D369" t="inlineStr">
        <is>
          <t>SÖDERMANLANDS LÄN</t>
        </is>
      </c>
      <c r="E369" t="inlineStr">
        <is>
          <t>FLEN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56930-2020</t>
        </is>
      </c>
      <c r="B370" s="1" t="n">
        <v>44138.55532407408</v>
      </c>
      <c r="C370" s="1" t="n">
        <v>45928</v>
      </c>
      <c r="D370" t="inlineStr">
        <is>
          <t>SÖDERMANLANDS LÄN</t>
        </is>
      </c>
      <c r="E370" t="inlineStr">
        <is>
          <t>FLEN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56869-2023</t>
        </is>
      </c>
      <c r="B371" s="1" t="n">
        <v>45239</v>
      </c>
      <c r="C371" s="1" t="n">
        <v>45928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56996-2023</t>
        </is>
      </c>
      <c r="B372" s="1" t="n">
        <v>45244.67170138889</v>
      </c>
      <c r="C372" s="1" t="n">
        <v>45928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20791-2022</t>
        </is>
      </c>
      <c r="B373" s="1" t="n">
        <v>44701</v>
      </c>
      <c r="C373" s="1" t="n">
        <v>45928</v>
      </c>
      <c r="D373" t="inlineStr">
        <is>
          <t>SÖDERMANLANDS LÄN</t>
        </is>
      </c>
      <c r="E373" t="inlineStr">
        <is>
          <t>FLEN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16938-2025</t>
        </is>
      </c>
      <c r="B374" s="1" t="n">
        <v>45755.41969907407</v>
      </c>
      <c r="C374" s="1" t="n">
        <v>45928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62579-2023</t>
        </is>
      </c>
      <c r="B375" s="1" t="n">
        <v>45270</v>
      </c>
      <c r="C375" s="1" t="n">
        <v>45928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45928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1617-2025</t>
        </is>
      </c>
      <c r="B377" s="1" t="n">
        <v>45670</v>
      </c>
      <c r="C377" s="1" t="n">
        <v>45928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52353-2023</t>
        </is>
      </c>
      <c r="B378" s="1" t="n">
        <v>45224</v>
      </c>
      <c r="C378" s="1" t="n">
        <v>45928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16580-2023</t>
        </is>
      </c>
      <c r="B379" s="1" t="n">
        <v>45030.30835648148</v>
      </c>
      <c r="C379" s="1" t="n">
        <v>45928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38135-2023</t>
        </is>
      </c>
      <c r="B380" s="1" t="n">
        <v>45161</v>
      </c>
      <c r="C380" s="1" t="n">
        <v>45928</v>
      </c>
      <c r="D380" t="inlineStr">
        <is>
          <t>SÖDERMANLANDS LÄN</t>
        </is>
      </c>
      <c r="E380" t="inlineStr">
        <is>
          <t>FLEN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33228-2024</t>
        </is>
      </c>
      <c r="B381" s="1" t="n">
        <v>45518.57210648148</v>
      </c>
      <c r="C381" s="1" t="n">
        <v>45928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44561-2024</t>
        </is>
      </c>
      <c r="B382" s="1" t="n">
        <v>45574</v>
      </c>
      <c r="C382" s="1" t="n">
        <v>45928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9074-2025</t>
        </is>
      </c>
      <c r="B383" s="1" t="n">
        <v>45713.65885416666</v>
      </c>
      <c r="C383" s="1" t="n">
        <v>45928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31972-2024</t>
        </is>
      </c>
      <c r="B384" s="1" t="n">
        <v>45510.55208333334</v>
      </c>
      <c r="C384" s="1" t="n">
        <v>45928</v>
      </c>
      <c r="D384" t="inlineStr">
        <is>
          <t>SÖDERMANLANDS LÄN</t>
        </is>
      </c>
      <c r="E384" t="inlineStr">
        <is>
          <t>FLEN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46387-2025</t>
        </is>
      </c>
      <c r="B385" s="1" t="n">
        <v>45925.53314814815</v>
      </c>
      <c r="C385" s="1" t="n">
        <v>45928</v>
      </c>
      <c r="D385" t="inlineStr">
        <is>
          <t>SÖDERMANLANDS LÄN</t>
        </is>
      </c>
      <c r="E385" t="inlineStr">
        <is>
          <t>FLEN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42588-2025</t>
        </is>
      </c>
      <c r="B386" s="1" t="n">
        <v>45905</v>
      </c>
      <c r="C386" s="1" t="n">
        <v>45928</v>
      </c>
      <c r="D386" t="inlineStr">
        <is>
          <t>SÖDERMANLANDS LÄN</t>
        </is>
      </c>
      <c r="E386" t="inlineStr">
        <is>
          <t>FLEN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42558-2025</t>
        </is>
      </c>
      <c r="B387" s="1" t="n">
        <v>45905</v>
      </c>
      <c r="C387" s="1" t="n">
        <v>45928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38464-2025</t>
        </is>
      </c>
      <c r="B388" s="1" t="n">
        <v>45883</v>
      </c>
      <c r="C388" s="1" t="n">
        <v>45928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42483-2025</t>
        </is>
      </c>
      <c r="B389" s="1" t="n">
        <v>45905.48784722222</v>
      </c>
      <c r="C389" s="1" t="n">
        <v>45928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42491-2025</t>
        </is>
      </c>
      <c r="B390" s="1" t="n">
        <v>45905.49965277778</v>
      </c>
      <c r="C390" s="1" t="n">
        <v>45928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46382-2025</t>
        </is>
      </c>
      <c r="B391" s="1" t="n">
        <v>45925.52625</v>
      </c>
      <c r="C391" s="1" t="n">
        <v>45928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46662-2025</t>
        </is>
      </c>
      <c r="B392" s="1" t="n">
        <v>45926.50364583333</v>
      </c>
      <c r="C392" s="1" t="n">
        <v>45928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42525-2025</t>
        </is>
      </c>
      <c r="B393" s="1" t="n">
        <v>45905.55394675926</v>
      </c>
      <c r="C393" s="1" t="n">
        <v>45928</v>
      </c>
      <c r="D393" t="inlineStr">
        <is>
          <t>SÖDERMANLANDS LÄN</t>
        </is>
      </c>
      <c r="E393" t="inlineStr">
        <is>
          <t>FLEN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53119-2023</t>
        </is>
      </c>
      <c r="B394" s="1" t="n">
        <v>45228</v>
      </c>
      <c r="C394" s="1" t="n">
        <v>45928</v>
      </c>
      <c r="D394" t="inlineStr">
        <is>
          <t>SÖDERMANLANDS LÄN</t>
        </is>
      </c>
      <c r="E394" t="inlineStr">
        <is>
          <t>FLEN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41800-2021</t>
        </is>
      </c>
      <c r="B395" s="1" t="n">
        <v>44425</v>
      </c>
      <c r="C395" s="1" t="n">
        <v>45928</v>
      </c>
      <c r="D395" t="inlineStr">
        <is>
          <t>SÖDERMANLANDS LÄN</t>
        </is>
      </c>
      <c r="E395" t="inlineStr">
        <is>
          <t>FLEN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10256-2024</t>
        </is>
      </c>
      <c r="B396" s="1" t="n">
        <v>45365</v>
      </c>
      <c r="C396" s="1" t="n">
        <v>45928</v>
      </c>
      <c r="D396" t="inlineStr">
        <is>
          <t>SÖDERMANLANDS LÄN</t>
        </is>
      </c>
      <c r="E396" t="inlineStr">
        <is>
          <t>FLEN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543-2024</t>
        </is>
      </c>
      <c r="B397" s="1" t="n">
        <v>45299</v>
      </c>
      <c r="C397" s="1" t="n">
        <v>45928</v>
      </c>
      <c r="D397" t="inlineStr">
        <is>
          <t>SÖDERMANLANDS LÄN</t>
        </is>
      </c>
      <c r="E397" t="inlineStr">
        <is>
          <t>FLEN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545-2024</t>
        </is>
      </c>
      <c r="B398" s="1" t="n">
        <v>45299</v>
      </c>
      <c r="C398" s="1" t="n">
        <v>45928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15904-2023</t>
        </is>
      </c>
      <c r="B399" s="1" t="n">
        <v>45022</v>
      </c>
      <c r="C399" s="1" t="n">
        <v>45928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32407-2023</t>
        </is>
      </c>
      <c r="B400" s="1" t="n">
        <v>45110</v>
      </c>
      <c r="C400" s="1" t="n">
        <v>45928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66867-2021</t>
        </is>
      </c>
      <c r="B401" s="1" t="n">
        <v>44522</v>
      </c>
      <c r="C401" s="1" t="n">
        <v>45928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22015-2021</t>
        </is>
      </c>
      <c r="B402" s="1" t="n">
        <v>44323</v>
      </c>
      <c r="C402" s="1" t="n">
        <v>45928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36096-2023</t>
        </is>
      </c>
      <c r="B403" s="1" t="n">
        <v>45149</v>
      </c>
      <c r="C403" s="1" t="n">
        <v>45928</v>
      </c>
      <c r="D403" t="inlineStr">
        <is>
          <t>SÖDERMANLANDS LÄN</t>
        </is>
      </c>
      <c r="E403" t="inlineStr">
        <is>
          <t>FLEN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40408-2024</t>
        </is>
      </c>
      <c r="B404" s="1" t="n">
        <v>45555</v>
      </c>
      <c r="C404" s="1" t="n">
        <v>45928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49820-2023</t>
        </is>
      </c>
      <c r="B405" s="1" t="n">
        <v>45211</v>
      </c>
      <c r="C405" s="1" t="n">
        <v>45928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5331-2024</t>
        </is>
      </c>
      <c r="B406" s="1" t="n">
        <v>45331</v>
      </c>
      <c r="C406" s="1" t="n">
        <v>45928</v>
      </c>
      <c r="D406" t="inlineStr">
        <is>
          <t>SÖDERMANLANDS LÄN</t>
        </is>
      </c>
      <c r="E406" t="inlineStr">
        <is>
          <t>FLEN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49811-2023</t>
        </is>
      </c>
      <c r="B407" s="1" t="n">
        <v>45211</v>
      </c>
      <c r="C407" s="1" t="n">
        <v>45928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1186-2025</t>
        </is>
      </c>
      <c r="B408" s="1" t="n">
        <v>45667</v>
      </c>
      <c r="C408" s="1" t="n">
        <v>45928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19150-2023</t>
        </is>
      </c>
      <c r="B409" s="1" t="n">
        <v>45048</v>
      </c>
      <c r="C409" s="1" t="n">
        <v>45928</v>
      </c>
      <c r="D409" t="inlineStr">
        <is>
          <t>SÖDERMANLANDS LÄN</t>
        </is>
      </c>
      <c r="E409" t="inlineStr">
        <is>
          <t>FLEN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37283-2024</t>
        </is>
      </c>
      <c r="B410" s="1" t="n">
        <v>45540.43278935185</v>
      </c>
      <c r="C410" s="1" t="n">
        <v>45928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1899-2025</t>
        </is>
      </c>
      <c r="B411" s="1" t="n">
        <v>45671</v>
      </c>
      <c r="C411" s="1" t="n">
        <v>45928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13824-2023</t>
        </is>
      </c>
      <c r="B412" s="1" t="n">
        <v>45007</v>
      </c>
      <c r="C412" s="1" t="n">
        <v>45928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7381-2024</t>
        </is>
      </c>
      <c r="B413" s="1" t="n">
        <v>45345.53630787037</v>
      </c>
      <c r="C413" s="1" t="n">
        <v>45928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24348-2023</t>
        </is>
      </c>
      <c r="B414" s="1" t="n">
        <v>45082</v>
      </c>
      <c r="C414" s="1" t="n">
        <v>45928</v>
      </c>
      <c r="D414" t="inlineStr">
        <is>
          <t>SÖDERMANLANDS LÄN</t>
        </is>
      </c>
      <c r="E414" t="inlineStr">
        <is>
          <t>FLEN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60150-2022</t>
        </is>
      </c>
      <c r="B415" s="1" t="n">
        <v>44909</v>
      </c>
      <c r="C415" s="1" t="n">
        <v>45928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34612-2023</t>
        </is>
      </c>
      <c r="B416" s="1" t="n">
        <v>45140</v>
      </c>
      <c r="C416" s="1" t="n">
        <v>45928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780-2023</t>
        </is>
      </c>
      <c r="B417" s="1" t="n">
        <v>44931</v>
      </c>
      <c r="C417" s="1" t="n">
        <v>45928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18511-2023</t>
        </is>
      </c>
      <c r="B418" s="1" t="n">
        <v>45041</v>
      </c>
      <c r="C418" s="1" t="n">
        <v>45928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2738-2022</t>
        </is>
      </c>
      <c r="B419" s="1" t="n">
        <v>44580.82798611111</v>
      </c>
      <c r="C419" s="1" t="n">
        <v>45928</v>
      </c>
      <c r="D419" t="inlineStr">
        <is>
          <t>SÖDERMANLANDS LÄN</t>
        </is>
      </c>
      <c r="E419" t="inlineStr">
        <is>
          <t>FLEN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43008-2023</t>
        </is>
      </c>
      <c r="B420" s="1" t="n">
        <v>45182</v>
      </c>
      <c r="C420" s="1" t="n">
        <v>45928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19389-2025</t>
        </is>
      </c>
      <c r="B421" s="1" t="n">
        <v>45769</v>
      </c>
      <c r="C421" s="1" t="n">
        <v>45928</v>
      </c>
      <c r="D421" t="inlineStr">
        <is>
          <t>SÖDERMANLANDS LÄN</t>
        </is>
      </c>
      <c r="E421" t="inlineStr">
        <is>
          <t>FLEN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50646-2023</t>
        </is>
      </c>
      <c r="B422" s="1" t="n">
        <v>45217.47643518518</v>
      </c>
      <c r="C422" s="1" t="n">
        <v>45928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8883-2023</t>
        </is>
      </c>
      <c r="B423" s="1" t="n">
        <v>44979.27921296296</v>
      </c>
      <c r="C423" s="1" t="n">
        <v>45928</v>
      </c>
      <c r="D423" t="inlineStr">
        <is>
          <t>SÖDERMANLANDS LÄN</t>
        </is>
      </c>
      <c r="E423" t="inlineStr">
        <is>
          <t>FLEN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21822-2023</t>
        </is>
      </c>
      <c r="B424" s="1" t="n">
        <v>45068.36099537037</v>
      </c>
      <c r="C424" s="1" t="n">
        <v>45928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22028-2023</t>
        </is>
      </c>
      <c r="B425" s="1" t="n">
        <v>45066</v>
      </c>
      <c r="C425" s="1" t="n">
        <v>45928</v>
      </c>
      <c r="D425" t="inlineStr">
        <is>
          <t>SÖDERMANLANDS LÄN</t>
        </is>
      </c>
      <c r="E425" t="inlineStr">
        <is>
          <t>FLEN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59439-2022</t>
        </is>
      </c>
      <c r="B426" s="1" t="n">
        <v>44907.39300925926</v>
      </c>
      <c r="C426" s="1" t="n">
        <v>45928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47187-2022</t>
        </is>
      </c>
      <c r="B427" s="1" t="n">
        <v>44848</v>
      </c>
      <c r="C427" s="1" t="n">
        <v>45928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1209-2025</t>
        </is>
      </c>
      <c r="B428" s="1" t="n">
        <v>45667</v>
      </c>
      <c r="C428" s="1" t="n">
        <v>45928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53507-2023</t>
        </is>
      </c>
      <c r="B429" s="1" t="n">
        <v>45230</v>
      </c>
      <c r="C429" s="1" t="n">
        <v>45928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53518-2023</t>
        </is>
      </c>
      <c r="B430" s="1" t="n">
        <v>45230</v>
      </c>
      <c r="C430" s="1" t="n">
        <v>45928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54340-2023</t>
        </is>
      </c>
      <c r="B431" s="1" t="n">
        <v>45225</v>
      </c>
      <c r="C431" s="1" t="n">
        <v>45928</v>
      </c>
      <c r="D431" t="inlineStr">
        <is>
          <t>SÖDERMANLANDS LÄN</t>
        </is>
      </c>
      <c r="E431" t="inlineStr">
        <is>
          <t>FLEN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14599-2023</t>
        </is>
      </c>
      <c r="B432" s="1" t="n">
        <v>45013</v>
      </c>
      <c r="C432" s="1" t="n">
        <v>45928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45928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61713-2020</t>
        </is>
      </c>
      <c r="B434" s="1" t="n">
        <v>44158</v>
      </c>
      <c r="C434" s="1" t="n">
        <v>45928</v>
      </c>
      <c r="D434" t="inlineStr">
        <is>
          <t>SÖDERMANLANDS LÄN</t>
        </is>
      </c>
      <c r="E434" t="inlineStr">
        <is>
          <t>FLEN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8141-2021</t>
        </is>
      </c>
      <c r="B435" s="1" t="n">
        <v>44242</v>
      </c>
      <c r="C435" s="1" t="n">
        <v>45928</v>
      </c>
      <c r="D435" t="inlineStr">
        <is>
          <t>SÖDERMANLANDS LÄN</t>
        </is>
      </c>
      <c r="E435" t="inlineStr">
        <is>
          <t>FLEN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10205-2025</t>
        </is>
      </c>
      <c r="B436" s="1" t="n">
        <v>45719.8153125</v>
      </c>
      <c r="C436" s="1" t="n">
        <v>45928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33225-2024</t>
        </is>
      </c>
      <c r="B437" s="1" t="n">
        <v>45518.56827546296</v>
      </c>
      <c r="C437" s="1" t="n">
        <v>45928</v>
      </c>
      <c r="D437" t="inlineStr">
        <is>
          <t>SÖDERMANLANDS LÄN</t>
        </is>
      </c>
      <c r="E437" t="inlineStr">
        <is>
          <t>FLEN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50898-2022</t>
        </is>
      </c>
      <c r="B438" s="1" t="n">
        <v>44864</v>
      </c>
      <c r="C438" s="1" t="n">
        <v>45928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45928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12704-2025</t>
        </is>
      </c>
      <c r="B440" s="1" t="n">
        <v>45733.46799768518</v>
      </c>
      <c r="C440" s="1" t="n">
        <v>45928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50358-2023</t>
        </is>
      </c>
      <c r="B441" s="1" t="n">
        <v>45216</v>
      </c>
      <c r="C441" s="1" t="n">
        <v>45928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42731-2024</t>
        </is>
      </c>
      <c r="B442" s="1" t="n">
        <v>45566</v>
      </c>
      <c r="C442" s="1" t="n">
        <v>45928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57044-2023</t>
        </is>
      </c>
      <c r="B443" s="1" t="n">
        <v>45244</v>
      </c>
      <c r="C443" s="1" t="n">
        <v>45928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13233-2024</t>
        </is>
      </c>
      <c r="B444" s="1" t="n">
        <v>45386</v>
      </c>
      <c r="C444" s="1" t="n">
        <v>45928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1239-2025</t>
        </is>
      </c>
      <c r="B445" s="1" t="n">
        <v>45667</v>
      </c>
      <c r="C445" s="1" t="n">
        <v>45928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20788-2025</t>
        </is>
      </c>
      <c r="B446" s="1" t="n">
        <v>45776.62307870371</v>
      </c>
      <c r="C446" s="1" t="n">
        <v>45928</v>
      </c>
      <c r="D446" t="inlineStr">
        <is>
          <t>SÖDERMANLANDS LÄN</t>
        </is>
      </c>
      <c r="E446" t="inlineStr">
        <is>
          <t>FLEN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20833-2025</t>
        </is>
      </c>
      <c r="B447" s="1" t="n">
        <v>45776.80291666667</v>
      </c>
      <c r="C447" s="1" t="n">
        <v>45928</v>
      </c>
      <c r="D447" t="inlineStr">
        <is>
          <t>SÖDERMANLANDS LÄN</t>
        </is>
      </c>
      <c r="E447" t="inlineStr">
        <is>
          <t>FLEN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20952-2025</t>
        </is>
      </c>
      <c r="B448" s="1" t="n">
        <v>45777.44011574074</v>
      </c>
      <c r="C448" s="1" t="n">
        <v>45928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20875-2025</t>
        </is>
      </c>
      <c r="B449" s="1" t="n">
        <v>45777</v>
      </c>
      <c r="C449" s="1" t="n">
        <v>45928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21004-2025</t>
        </is>
      </c>
      <c r="B450" s="1" t="n">
        <v>45777.491875</v>
      </c>
      <c r="C450" s="1" t="n">
        <v>45928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20849-2025</t>
        </is>
      </c>
      <c r="B451" s="1" t="n">
        <v>45777</v>
      </c>
      <c r="C451" s="1" t="n">
        <v>45928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40404-2024</t>
        </is>
      </c>
      <c r="B452" s="1" t="n">
        <v>45555</v>
      </c>
      <c r="C452" s="1" t="n">
        <v>45928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45928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20702-2025</t>
        </is>
      </c>
      <c r="B454" s="1" t="n">
        <v>45776</v>
      </c>
      <c r="C454" s="1" t="n">
        <v>45928</v>
      </c>
      <c r="D454" t="inlineStr">
        <is>
          <t>SÖDERMANLANDS LÄN</t>
        </is>
      </c>
      <c r="E454" t="inlineStr">
        <is>
          <t>FLEN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14260-2025</t>
        </is>
      </c>
      <c r="B455" s="1" t="n">
        <v>45740.6271875</v>
      </c>
      <c r="C455" s="1" t="n">
        <v>45928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14117-2025</t>
        </is>
      </c>
      <c r="B456" s="1" t="n">
        <v>45740</v>
      </c>
      <c r="C456" s="1" t="n">
        <v>45928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7960-2024</t>
        </is>
      </c>
      <c r="B457" s="1" t="n">
        <v>45350.57226851852</v>
      </c>
      <c r="C457" s="1" t="n">
        <v>45928</v>
      </c>
      <c r="D457" t="inlineStr">
        <is>
          <t>SÖDERMANLANDS LÄN</t>
        </is>
      </c>
      <c r="E457" t="inlineStr">
        <is>
          <t>FLEN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6827-2021</t>
        </is>
      </c>
      <c r="B458" s="1" t="n">
        <v>44237.34643518519</v>
      </c>
      <c r="C458" s="1" t="n">
        <v>45928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59051-2023</t>
        </is>
      </c>
      <c r="B459" s="1" t="n">
        <v>45252.77672453703</v>
      </c>
      <c r="C459" s="1" t="n">
        <v>45928</v>
      </c>
      <c r="D459" t="inlineStr">
        <is>
          <t>SÖDERMANLANDS LÄN</t>
        </is>
      </c>
      <c r="E459" t="inlineStr">
        <is>
          <t>FLEN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11068-2021</t>
        </is>
      </c>
      <c r="B460" s="1" t="n">
        <v>44260.58606481482</v>
      </c>
      <c r="C460" s="1" t="n">
        <v>45928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13909-2023</t>
        </is>
      </c>
      <c r="B461" s="1" t="n">
        <v>45008.36534722222</v>
      </c>
      <c r="C461" s="1" t="n">
        <v>45928</v>
      </c>
      <c r="D461" t="inlineStr">
        <is>
          <t>SÖDERMANLANDS LÄN</t>
        </is>
      </c>
      <c r="E461" t="inlineStr">
        <is>
          <t>FLEN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47055-2022</t>
        </is>
      </c>
      <c r="B462" s="1" t="n">
        <v>44852.40068287037</v>
      </c>
      <c r="C462" s="1" t="n">
        <v>45928</v>
      </c>
      <c r="D462" t="inlineStr">
        <is>
          <t>SÖDERMANLANDS LÄN</t>
        </is>
      </c>
      <c r="E462" t="inlineStr">
        <is>
          <t>FLEN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60613-2023</t>
        </is>
      </c>
      <c r="B463" s="1" t="n">
        <v>45260.36072916666</v>
      </c>
      <c r="C463" s="1" t="n">
        <v>45928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46115-2023</t>
        </is>
      </c>
      <c r="B464" s="1" t="n">
        <v>45196</v>
      </c>
      <c r="C464" s="1" t="n">
        <v>45928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62763-2023</t>
        </is>
      </c>
      <c r="B465" s="1" t="n">
        <v>45271.64175925926</v>
      </c>
      <c r="C465" s="1" t="n">
        <v>45928</v>
      </c>
      <c r="D465" t="inlineStr">
        <is>
          <t>SÖDERMANLANDS LÄN</t>
        </is>
      </c>
      <c r="E465" t="inlineStr">
        <is>
          <t>FLEN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54736-2022</t>
        </is>
      </c>
      <c r="B466" s="1" t="n">
        <v>44883.57304398148</v>
      </c>
      <c r="C466" s="1" t="n">
        <v>45928</v>
      </c>
      <c r="D466" t="inlineStr">
        <is>
          <t>SÖDERMANLANDS LÄN</t>
        </is>
      </c>
      <c r="E466" t="inlineStr">
        <is>
          <t>FLEN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28529-2023</t>
        </is>
      </c>
      <c r="B467" s="1" t="n">
        <v>45103.48629629629</v>
      </c>
      <c r="C467" s="1" t="n">
        <v>45928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1330-2021</t>
        </is>
      </c>
      <c r="B468" s="1" t="n">
        <v>44208</v>
      </c>
      <c r="C468" s="1" t="n">
        <v>45928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56308-2024</t>
        </is>
      </c>
      <c r="B469" s="1" t="n">
        <v>45624.70232638889</v>
      </c>
      <c r="C469" s="1" t="n">
        <v>45928</v>
      </c>
      <c r="D469" t="inlineStr">
        <is>
          <t>SÖDERMANLANDS LÄN</t>
        </is>
      </c>
      <c r="E469" t="inlineStr">
        <is>
          <t>FLEN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15897-2023</t>
        </is>
      </c>
      <c r="B470" s="1" t="n">
        <v>45022</v>
      </c>
      <c r="C470" s="1" t="n">
        <v>45928</v>
      </c>
      <c r="D470" t="inlineStr">
        <is>
          <t>SÖDERMANLANDS LÄN</t>
        </is>
      </c>
      <c r="E470" t="inlineStr">
        <is>
          <t>FLEN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17125-2023</t>
        </is>
      </c>
      <c r="B471" s="1" t="n">
        <v>45034</v>
      </c>
      <c r="C471" s="1" t="n">
        <v>45928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28938-2023</t>
        </is>
      </c>
      <c r="B472" s="1" t="n">
        <v>45104</v>
      </c>
      <c r="C472" s="1" t="n">
        <v>45928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17290-2024</t>
        </is>
      </c>
      <c r="B473" s="1" t="n">
        <v>45414</v>
      </c>
      <c r="C473" s="1" t="n">
        <v>45928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22882-2025</t>
        </is>
      </c>
      <c r="B474" s="1" t="n">
        <v>45790.38300925926</v>
      </c>
      <c r="C474" s="1" t="n">
        <v>45928</v>
      </c>
      <c r="D474" t="inlineStr">
        <is>
          <t>SÖDERMANLANDS LÄN</t>
        </is>
      </c>
      <c r="E474" t="inlineStr">
        <is>
          <t>FLEN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22101-2023</t>
        </is>
      </c>
      <c r="B475" s="1" t="n">
        <v>45068</v>
      </c>
      <c r="C475" s="1" t="n">
        <v>45928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22892-2025</t>
        </is>
      </c>
      <c r="B476" s="1" t="n">
        <v>45790.39479166667</v>
      </c>
      <c r="C476" s="1" t="n">
        <v>45928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25467-2023</t>
        </is>
      </c>
      <c r="B477" s="1" t="n">
        <v>45081</v>
      </c>
      <c r="C477" s="1" t="n">
        <v>45928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25474-2023</t>
        </is>
      </c>
      <c r="B478" s="1" t="n">
        <v>45081</v>
      </c>
      <c r="C478" s="1" t="n">
        <v>45928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22873-2025</t>
        </is>
      </c>
      <c r="B479" s="1" t="n">
        <v>45790.37265046296</v>
      </c>
      <c r="C479" s="1" t="n">
        <v>45928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51933-2020</t>
        </is>
      </c>
      <c r="B480" s="1" t="n">
        <v>44109</v>
      </c>
      <c r="C480" s="1" t="n">
        <v>45928</v>
      </c>
      <c r="D480" t="inlineStr">
        <is>
          <t>SÖDERMANLANDS LÄN</t>
        </is>
      </c>
      <c r="E480" t="inlineStr">
        <is>
          <t>FLEN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22989-2025</t>
        </is>
      </c>
      <c r="B481" s="1" t="n">
        <v>45790.57600694444</v>
      </c>
      <c r="C481" s="1" t="n">
        <v>45928</v>
      </c>
      <c r="D481" t="inlineStr">
        <is>
          <t>SÖDERMANLANDS LÄN</t>
        </is>
      </c>
      <c r="E481" t="inlineStr">
        <is>
          <t>FLEN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12936-2023</t>
        </is>
      </c>
      <c r="B482" s="1" t="n">
        <v>45001</v>
      </c>
      <c r="C482" s="1" t="n">
        <v>45928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8888-2021</t>
        </is>
      </c>
      <c r="B483" s="1" t="n">
        <v>44248</v>
      </c>
      <c r="C483" s="1" t="n">
        <v>45928</v>
      </c>
      <c r="D483" t="inlineStr">
        <is>
          <t>SÖDERMANLANDS LÄN</t>
        </is>
      </c>
      <c r="E483" t="inlineStr">
        <is>
          <t>FLEN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22839-2025</t>
        </is>
      </c>
      <c r="B484" s="1" t="n">
        <v>45789</v>
      </c>
      <c r="C484" s="1" t="n">
        <v>45928</v>
      </c>
      <c r="D484" t="inlineStr">
        <is>
          <t>SÖDERMANLANDS LÄN</t>
        </is>
      </c>
      <c r="E484" t="inlineStr">
        <is>
          <t>FLEN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22867-2025</t>
        </is>
      </c>
      <c r="B485" s="1" t="n">
        <v>45790.36635416667</v>
      </c>
      <c r="C485" s="1" t="n">
        <v>45928</v>
      </c>
      <c r="D485" t="inlineStr">
        <is>
          <t>SÖDERMANLANDS LÄN</t>
        </is>
      </c>
      <c r="E485" t="inlineStr">
        <is>
          <t>FLEN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22998-2025</t>
        </is>
      </c>
      <c r="B486" s="1" t="n">
        <v>45790.585625</v>
      </c>
      <c r="C486" s="1" t="n">
        <v>45928</v>
      </c>
      <c r="D486" t="inlineStr">
        <is>
          <t>SÖDERMANLANDS LÄN</t>
        </is>
      </c>
      <c r="E486" t="inlineStr">
        <is>
          <t>FLEN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23513-2025</t>
        </is>
      </c>
      <c r="B487" s="1" t="n">
        <v>45792</v>
      </c>
      <c r="C487" s="1" t="n">
        <v>45928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23216-2025</t>
        </is>
      </c>
      <c r="B488" s="1" t="n">
        <v>45791</v>
      </c>
      <c r="C488" s="1" t="n">
        <v>45928</v>
      </c>
      <c r="D488" t="inlineStr">
        <is>
          <t>SÖDERMANLANDS LÄN</t>
        </is>
      </c>
      <c r="E488" t="inlineStr">
        <is>
          <t>FLEN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35600-2023</t>
        </is>
      </c>
      <c r="B489" s="1" t="n">
        <v>45147</v>
      </c>
      <c r="C489" s="1" t="n">
        <v>45928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60034-2022</t>
        </is>
      </c>
      <c r="B490" s="1" t="n">
        <v>44909</v>
      </c>
      <c r="C490" s="1" t="n">
        <v>45928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40412-2024</t>
        </is>
      </c>
      <c r="B491" s="1" t="n">
        <v>45555</v>
      </c>
      <c r="C491" s="1" t="n">
        <v>45928</v>
      </c>
      <c r="D491" t="inlineStr">
        <is>
          <t>SÖDERMANLANDS LÄN</t>
        </is>
      </c>
      <c r="E491" t="inlineStr">
        <is>
          <t>FLEN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60562-2021</t>
        </is>
      </c>
      <c r="B492" s="1" t="n">
        <v>44495</v>
      </c>
      <c r="C492" s="1" t="n">
        <v>45928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52775-2024</t>
        </is>
      </c>
      <c r="B493" s="1" t="n">
        <v>45610</v>
      </c>
      <c r="C493" s="1" t="n">
        <v>45928</v>
      </c>
      <c r="D493" t="inlineStr">
        <is>
          <t>SÖDERMANLANDS LÄN</t>
        </is>
      </c>
      <c r="E493" t="inlineStr">
        <is>
          <t>FLEN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58364-2023</t>
        </is>
      </c>
      <c r="B494" s="1" t="n">
        <v>45250</v>
      </c>
      <c r="C494" s="1" t="n">
        <v>45928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38209-2023</t>
        </is>
      </c>
      <c r="B495" s="1" t="n">
        <v>45161.52697916667</v>
      </c>
      <c r="C495" s="1" t="n">
        <v>45928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37428-2023</t>
        </is>
      </c>
      <c r="B496" s="1" t="n">
        <v>45156.63482638889</v>
      </c>
      <c r="C496" s="1" t="n">
        <v>45928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38762-2023</t>
        </is>
      </c>
      <c r="B497" s="1" t="n">
        <v>45163</v>
      </c>
      <c r="C497" s="1" t="n">
        <v>45928</v>
      </c>
      <c r="D497" t="inlineStr">
        <is>
          <t>SÖDERMANLANDS LÄN</t>
        </is>
      </c>
      <c r="E497" t="inlineStr">
        <is>
          <t>FLEN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24480-2025</t>
        </is>
      </c>
      <c r="B498" s="1" t="n">
        <v>45798.38046296296</v>
      </c>
      <c r="C498" s="1" t="n">
        <v>45928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9257-2023</t>
        </is>
      </c>
      <c r="B499" s="1" t="n">
        <v>44980</v>
      </c>
      <c r="C499" s="1" t="n">
        <v>45928</v>
      </c>
      <c r="D499" t="inlineStr">
        <is>
          <t>SÖDERMANLANDS LÄN</t>
        </is>
      </c>
      <c r="E499" t="inlineStr">
        <is>
          <t>FLEN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24414-2025</t>
        </is>
      </c>
      <c r="B500" s="1" t="n">
        <v>45797.67208333333</v>
      </c>
      <c r="C500" s="1" t="n">
        <v>45928</v>
      </c>
      <c r="D500" t="inlineStr">
        <is>
          <t>SÖDERMANLANDS LÄN</t>
        </is>
      </c>
      <c r="E500" t="inlineStr">
        <is>
          <t>FLEN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24526-2025</t>
        </is>
      </c>
      <c r="B501" s="1" t="n">
        <v>45798.42364583333</v>
      </c>
      <c r="C501" s="1" t="n">
        <v>45928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24541-2025</t>
        </is>
      </c>
      <c r="B502" s="1" t="n">
        <v>45798</v>
      </c>
      <c r="C502" s="1" t="n">
        <v>45928</v>
      </c>
      <c r="D502" t="inlineStr">
        <is>
          <t>SÖDERMANLANDS LÄN</t>
        </is>
      </c>
      <c r="E502" t="inlineStr">
        <is>
          <t>FLEN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24557-2025</t>
        </is>
      </c>
      <c r="B503" s="1" t="n">
        <v>45798.45195601852</v>
      </c>
      <c r="C503" s="1" t="n">
        <v>45928</v>
      </c>
      <c r="D503" t="inlineStr">
        <is>
          <t>SÖDERMANLANDS LÄN</t>
        </is>
      </c>
      <c r="E503" t="inlineStr">
        <is>
          <t>FLEN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24474-2025</t>
        </is>
      </c>
      <c r="B504" s="1" t="n">
        <v>45798.37215277777</v>
      </c>
      <c r="C504" s="1" t="n">
        <v>45928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54666-2021</t>
        </is>
      </c>
      <c r="B505" s="1" t="n">
        <v>44473</v>
      </c>
      <c r="C505" s="1" t="n">
        <v>45928</v>
      </c>
      <c r="D505" t="inlineStr">
        <is>
          <t>SÖDERMANLANDS LÄN</t>
        </is>
      </c>
      <c r="E505" t="inlineStr">
        <is>
          <t>FLEN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10886-2023</t>
        </is>
      </c>
      <c r="B506" s="1" t="n">
        <v>44991</v>
      </c>
      <c r="C506" s="1" t="n">
        <v>45928</v>
      </c>
      <c r="D506" t="inlineStr">
        <is>
          <t>SÖDERMANLANDS LÄN</t>
        </is>
      </c>
      <c r="E506" t="inlineStr">
        <is>
          <t>FLEN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7313-2025</t>
        </is>
      </c>
      <c r="B507" s="1" t="n">
        <v>45702</v>
      </c>
      <c r="C507" s="1" t="n">
        <v>45928</v>
      </c>
      <c r="D507" t="inlineStr">
        <is>
          <t>SÖDERMANLANDS LÄN</t>
        </is>
      </c>
      <c r="E507" t="inlineStr">
        <is>
          <t>FLEN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26253-2025</t>
        </is>
      </c>
      <c r="B508" s="1" t="n">
        <v>45805</v>
      </c>
      <c r="C508" s="1" t="n">
        <v>45928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4742-2023</t>
        </is>
      </c>
      <c r="B509" s="1" t="n">
        <v>44957</v>
      </c>
      <c r="C509" s="1" t="n">
        <v>45928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8793-2022</t>
        </is>
      </c>
      <c r="B510" s="1" t="n">
        <v>44614</v>
      </c>
      <c r="C510" s="1" t="n">
        <v>45928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27724-2023</t>
        </is>
      </c>
      <c r="B511" s="1" t="n">
        <v>45097</v>
      </c>
      <c r="C511" s="1" t="n">
        <v>45928</v>
      </c>
      <c r="D511" t="inlineStr">
        <is>
          <t>SÖDERMANLANDS LÄN</t>
        </is>
      </c>
      <c r="E511" t="inlineStr">
        <is>
          <t>FLEN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42388-2023</t>
        </is>
      </c>
      <c r="B512" s="1" t="n">
        <v>45180</v>
      </c>
      <c r="C512" s="1" t="n">
        <v>45928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35118-2024</t>
        </is>
      </c>
      <c r="B513" s="1" t="n">
        <v>45528</v>
      </c>
      <c r="C513" s="1" t="n">
        <v>45928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72314-2021</t>
        </is>
      </c>
      <c r="B514" s="1" t="n">
        <v>44544</v>
      </c>
      <c r="C514" s="1" t="n">
        <v>45928</v>
      </c>
      <c r="D514" t="inlineStr">
        <is>
          <t>SÖDERMANLANDS LÄN</t>
        </is>
      </c>
      <c r="E514" t="inlineStr">
        <is>
          <t>FLEN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41630-2023</t>
        </is>
      </c>
      <c r="B515" s="1" t="n">
        <v>45175</v>
      </c>
      <c r="C515" s="1" t="n">
        <v>45928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38753-2023</t>
        </is>
      </c>
      <c r="B516" s="1" t="n">
        <v>45163.40603009259</v>
      </c>
      <c r="C516" s="1" t="n">
        <v>45928</v>
      </c>
      <c r="D516" t="inlineStr">
        <is>
          <t>SÖDERMANLANDS LÄN</t>
        </is>
      </c>
      <c r="E516" t="inlineStr">
        <is>
          <t>FLEN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60255-2021</t>
        </is>
      </c>
      <c r="B517" s="1" t="n">
        <v>44495</v>
      </c>
      <c r="C517" s="1" t="n">
        <v>45928</v>
      </c>
      <c r="D517" t="inlineStr">
        <is>
          <t>SÖDERMANLANDS LÄN</t>
        </is>
      </c>
      <c r="E517" t="inlineStr">
        <is>
          <t>FLEN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3944-2025</t>
        </is>
      </c>
      <c r="B518" s="1" t="n">
        <v>45684.48369212963</v>
      </c>
      <c r="C518" s="1" t="n">
        <v>45928</v>
      </c>
      <c r="D518" t="inlineStr">
        <is>
          <t>SÖDERMANLANDS LÄN</t>
        </is>
      </c>
      <c r="E518" t="inlineStr">
        <is>
          <t>FLEN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57686-2024</t>
        </is>
      </c>
      <c r="B519" s="1" t="n">
        <v>45630</v>
      </c>
      <c r="C519" s="1" t="n">
        <v>45928</v>
      </c>
      <c r="D519" t="inlineStr">
        <is>
          <t>SÖDERMANLANDS LÄN</t>
        </is>
      </c>
      <c r="E519" t="inlineStr">
        <is>
          <t>FLEN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4536-2024</t>
        </is>
      </c>
      <c r="B520" s="1" t="n">
        <v>45327.68914351852</v>
      </c>
      <c r="C520" s="1" t="n">
        <v>45928</v>
      </c>
      <c r="D520" t="inlineStr">
        <is>
          <t>SÖDERMANLANDS LÄN</t>
        </is>
      </c>
      <c r="E520" t="inlineStr">
        <is>
          <t>FLEN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27827-2025</t>
        </is>
      </c>
      <c r="B521" s="1" t="n">
        <v>45817.35372685185</v>
      </c>
      <c r="C521" s="1" t="n">
        <v>45928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38331-2023</t>
        </is>
      </c>
      <c r="B522" s="1" t="n">
        <v>45161</v>
      </c>
      <c r="C522" s="1" t="n">
        <v>45928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29162-2025</t>
        </is>
      </c>
      <c r="B523" s="1" t="n">
        <v>45821.66907407407</v>
      </c>
      <c r="C523" s="1" t="n">
        <v>45928</v>
      </c>
      <c r="D523" t="inlineStr">
        <is>
          <t>SÖDERMANLANDS LÄN</t>
        </is>
      </c>
      <c r="E523" t="inlineStr">
        <is>
          <t>FLEN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4724-2024</t>
        </is>
      </c>
      <c r="B524" s="1" t="n">
        <v>45328.60582175926</v>
      </c>
      <c r="C524" s="1" t="n">
        <v>45928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30068-2025</t>
        </is>
      </c>
      <c r="B525" s="1" t="n">
        <v>45826</v>
      </c>
      <c r="C525" s="1" t="n">
        <v>45928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30075-2025</t>
        </is>
      </c>
      <c r="B526" s="1" t="n">
        <v>45826</v>
      </c>
      <c r="C526" s="1" t="n">
        <v>45928</v>
      </c>
      <c r="D526" t="inlineStr">
        <is>
          <t>SÖDERMANLANDS LÄN</t>
        </is>
      </c>
      <c r="E526" t="inlineStr">
        <is>
          <t>FLEN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10246-2025</t>
        </is>
      </c>
      <c r="B527" s="1" t="n">
        <v>45720</v>
      </c>
      <c r="C527" s="1" t="n">
        <v>45928</v>
      </c>
      <c r="D527" t="inlineStr">
        <is>
          <t>SÖDERMANLANDS LÄN</t>
        </is>
      </c>
      <c r="E527" t="inlineStr">
        <is>
          <t>FLEN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30494-2025</t>
        </is>
      </c>
      <c r="B528" s="1" t="n">
        <v>45830</v>
      </c>
      <c r="C528" s="1" t="n">
        <v>45928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30493-2025</t>
        </is>
      </c>
      <c r="B529" s="1" t="n">
        <v>45830</v>
      </c>
      <c r="C529" s="1" t="n">
        <v>45928</v>
      </c>
      <c r="D529" t="inlineStr">
        <is>
          <t>SÖDERMANLANDS LÄN</t>
        </is>
      </c>
      <c r="E529" t="inlineStr">
        <is>
          <t>FLEN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10745-2022</t>
        </is>
      </c>
      <c r="B530" s="1" t="n">
        <v>44624</v>
      </c>
      <c r="C530" s="1" t="n">
        <v>45928</v>
      </c>
      <c r="D530" t="inlineStr">
        <is>
          <t>SÖDERMANLANDS LÄN</t>
        </is>
      </c>
      <c r="E530" t="inlineStr">
        <is>
          <t>FLEN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8293-2022</t>
        </is>
      </c>
      <c r="B531" s="1" t="n">
        <v>44610.44100694444</v>
      </c>
      <c r="C531" s="1" t="n">
        <v>45928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45107-2023</t>
        </is>
      </c>
      <c r="B532" s="1" t="n">
        <v>45191</v>
      </c>
      <c r="C532" s="1" t="n">
        <v>45928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6725-2022</t>
        </is>
      </c>
      <c r="B533" s="1" t="n">
        <v>44602</v>
      </c>
      <c r="C533" s="1" t="n">
        <v>45928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31352-2023</t>
        </is>
      </c>
      <c r="B534" s="1" t="n">
        <v>45114</v>
      </c>
      <c r="C534" s="1" t="n">
        <v>45928</v>
      </c>
      <c r="D534" t="inlineStr">
        <is>
          <t>SÖDERMANLANDS LÄN</t>
        </is>
      </c>
      <c r="E534" t="inlineStr">
        <is>
          <t>FLEN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4657-2024</t>
        </is>
      </c>
      <c r="B535" s="1" t="n">
        <v>45328</v>
      </c>
      <c r="C535" s="1" t="n">
        <v>45928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40420-2024</t>
        </is>
      </c>
      <c r="B536" s="1" t="n">
        <v>45555</v>
      </c>
      <c r="C536" s="1" t="n">
        <v>45928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1199-2025</t>
        </is>
      </c>
      <c r="B537" s="1" t="n">
        <v>45667</v>
      </c>
      <c r="C537" s="1" t="n">
        <v>45928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38829-2025</t>
        </is>
      </c>
      <c r="B538" s="1" t="n">
        <v>45887.51916666667</v>
      </c>
      <c r="C538" s="1" t="n">
        <v>45928</v>
      </c>
      <c r="D538" t="inlineStr">
        <is>
          <t>SÖDERMANLANDS LÄN</t>
        </is>
      </c>
      <c r="E538" t="inlineStr">
        <is>
          <t>FLEN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39335-2023</t>
        </is>
      </c>
      <c r="B539" s="1" t="n">
        <v>45166</v>
      </c>
      <c r="C539" s="1" t="n">
        <v>45928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34438-2025</t>
        </is>
      </c>
      <c r="B540" s="1" t="n">
        <v>45845</v>
      </c>
      <c r="C540" s="1" t="n">
        <v>45928</v>
      </c>
      <c r="D540" t="inlineStr">
        <is>
          <t>SÖDERMANLANDS LÄN</t>
        </is>
      </c>
      <c r="E540" t="inlineStr">
        <is>
          <t>FLEN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1242-2022</t>
        </is>
      </c>
      <c r="B541" s="1" t="n">
        <v>44572</v>
      </c>
      <c r="C541" s="1" t="n">
        <v>45928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60756-2024</t>
        </is>
      </c>
      <c r="B542" s="1" t="n">
        <v>45644</v>
      </c>
      <c r="C542" s="1" t="n">
        <v>45928</v>
      </c>
      <c r="D542" t="inlineStr">
        <is>
          <t>SÖDERMANLANDS LÄN</t>
        </is>
      </c>
      <c r="E542" t="inlineStr">
        <is>
          <t>FLEN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38826-2025</t>
        </is>
      </c>
      <c r="B543" s="1" t="n">
        <v>45887.51643518519</v>
      </c>
      <c r="C543" s="1" t="n">
        <v>45928</v>
      </c>
      <c r="D543" t="inlineStr">
        <is>
          <t>SÖDERMANLANDS LÄN</t>
        </is>
      </c>
      <c r="E543" t="inlineStr">
        <is>
          <t>FLEN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39171-2025</t>
        </is>
      </c>
      <c r="B544" s="1" t="n">
        <v>45888.64476851852</v>
      </c>
      <c r="C544" s="1" t="n">
        <v>45928</v>
      </c>
      <c r="D544" t="inlineStr">
        <is>
          <t>SÖDERMANLANDS LÄN</t>
        </is>
      </c>
      <c r="E544" t="inlineStr">
        <is>
          <t>FLEN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69588-2021</t>
        </is>
      </c>
      <c r="B545" s="1" t="n">
        <v>44531</v>
      </c>
      <c r="C545" s="1" t="n">
        <v>45928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7312-2025</t>
        </is>
      </c>
      <c r="B546" s="1" t="n">
        <v>45702.71366898148</v>
      </c>
      <c r="C546" s="1" t="n">
        <v>45928</v>
      </c>
      <c r="D546" t="inlineStr">
        <is>
          <t>SÖDERMANLANDS LÄN</t>
        </is>
      </c>
      <c r="E546" t="inlineStr">
        <is>
          <t>FLEN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35078-2025</t>
        </is>
      </c>
      <c r="B547" s="1" t="n">
        <v>45852</v>
      </c>
      <c r="C547" s="1" t="n">
        <v>45928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4502-2025</t>
        </is>
      </c>
      <c r="B548" s="1" t="n">
        <v>45686</v>
      </c>
      <c r="C548" s="1" t="n">
        <v>45928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11747-2022</t>
        </is>
      </c>
      <c r="B549" s="1" t="n">
        <v>44634.55490740741</v>
      </c>
      <c r="C549" s="1" t="n">
        <v>45928</v>
      </c>
      <c r="D549" t="inlineStr">
        <is>
          <t>SÖDERMANLANDS LÄN</t>
        </is>
      </c>
      <c r="E549" t="inlineStr">
        <is>
          <t>FLEN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17858-2025</t>
        </is>
      </c>
      <c r="B550" s="1" t="n">
        <v>45758</v>
      </c>
      <c r="C550" s="1" t="n">
        <v>45928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45923-2023</t>
        </is>
      </c>
      <c r="B551" s="1" t="n">
        <v>45189</v>
      </c>
      <c r="C551" s="1" t="n">
        <v>45928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48858-2023</t>
        </is>
      </c>
      <c r="B552" s="1" t="n">
        <v>45209.44743055556</v>
      </c>
      <c r="C552" s="1" t="n">
        <v>45928</v>
      </c>
      <c r="D552" t="inlineStr">
        <is>
          <t>SÖDERMANLANDS LÄN</t>
        </is>
      </c>
      <c r="E552" t="inlineStr">
        <is>
          <t>FLEN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8903-2022</t>
        </is>
      </c>
      <c r="B553" s="1" t="n">
        <v>44614</v>
      </c>
      <c r="C553" s="1" t="n">
        <v>45928</v>
      </c>
      <c r="D553" t="inlineStr">
        <is>
          <t>SÖDERMANLANDS LÄN</t>
        </is>
      </c>
      <c r="E553" t="inlineStr">
        <is>
          <t>FLEN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1620-2025</t>
        </is>
      </c>
      <c r="B554" s="1" t="n">
        <v>45670</v>
      </c>
      <c r="C554" s="1" t="n">
        <v>45928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16937-2022</t>
        </is>
      </c>
      <c r="B555" s="1" t="n">
        <v>44676</v>
      </c>
      <c r="C555" s="1" t="n">
        <v>45928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23716-2024</t>
        </is>
      </c>
      <c r="B556" s="1" t="n">
        <v>45454.79756944445</v>
      </c>
      <c r="C556" s="1" t="n">
        <v>45928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14106-2025</t>
        </is>
      </c>
      <c r="B557" s="1" t="n">
        <v>45740</v>
      </c>
      <c r="C557" s="1" t="n">
        <v>45928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33024-2022</t>
        </is>
      </c>
      <c r="B558" s="1" t="n">
        <v>44785.33699074074</v>
      </c>
      <c r="C558" s="1" t="n">
        <v>45928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53509-2023</t>
        </is>
      </c>
      <c r="B559" s="1" t="n">
        <v>45230</v>
      </c>
      <c r="C559" s="1" t="n">
        <v>45928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46401-2022</t>
        </is>
      </c>
      <c r="B560" s="1" t="n">
        <v>44846</v>
      </c>
      <c r="C560" s="1" t="n">
        <v>45928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39891-2022</t>
        </is>
      </c>
      <c r="B561" s="1" t="n">
        <v>44819.65010416666</v>
      </c>
      <c r="C561" s="1" t="n">
        <v>45928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21167-2023</t>
        </is>
      </c>
      <c r="B562" s="1" t="n">
        <v>45057</v>
      </c>
      <c r="C562" s="1" t="n">
        <v>45928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40286-2023</t>
        </is>
      </c>
      <c r="B563" s="1" t="n">
        <v>45169</v>
      </c>
      <c r="C563" s="1" t="n">
        <v>45928</v>
      </c>
      <c r="D563" t="inlineStr">
        <is>
          <t>SÖDERMANLANDS LÄN</t>
        </is>
      </c>
      <c r="E563" t="inlineStr">
        <is>
          <t>FLEN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25823-2022</t>
        </is>
      </c>
      <c r="B564" s="1" t="n">
        <v>44733</v>
      </c>
      <c r="C564" s="1" t="n">
        <v>45928</v>
      </c>
      <c r="D564" t="inlineStr">
        <is>
          <t>SÖDERMANLANDS LÄN</t>
        </is>
      </c>
      <c r="E564" t="inlineStr">
        <is>
          <t>FLEN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59599-2022</t>
        </is>
      </c>
      <c r="B565" s="1" t="n">
        <v>44907.71084490741</v>
      </c>
      <c r="C565" s="1" t="n">
        <v>45928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31427-2022</t>
        </is>
      </c>
      <c r="B566" s="1" t="n">
        <v>44774</v>
      </c>
      <c r="C566" s="1" t="n">
        <v>45928</v>
      </c>
      <c r="D566" t="inlineStr">
        <is>
          <t>SÖDERMANLANDS LÄN</t>
        </is>
      </c>
      <c r="E566" t="inlineStr">
        <is>
          <t>FLEN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2901-2024</t>
        </is>
      </c>
      <c r="B567" s="1" t="n">
        <v>45315</v>
      </c>
      <c r="C567" s="1" t="n">
        <v>45928</v>
      </c>
      <c r="D567" t="inlineStr">
        <is>
          <t>SÖDERMANLANDS LÄN</t>
        </is>
      </c>
      <c r="E567" t="inlineStr">
        <is>
          <t>FLEN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45928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55445-2022</t>
        </is>
      </c>
      <c r="B569" s="1" t="n">
        <v>44887</v>
      </c>
      <c r="C569" s="1" t="n">
        <v>45928</v>
      </c>
      <c r="D569" t="inlineStr">
        <is>
          <t>SÖDERMANLANDS LÄN</t>
        </is>
      </c>
      <c r="E569" t="inlineStr">
        <is>
          <t>FLEN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12277-2024</t>
        </is>
      </c>
      <c r="B570" s="1" t="n">
        <v>45378.50372685185</v>
      </c>
      <c r="C570" s="1" t="n">
        <v>45928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39053-2023</t>
        </is>
      </c>
      <c r="B571" s="1" t="n">
        <v>45163</v>
      </c>
      <c r="C571" s="1" t="n">
        <v>45928</v>
      </c>
      <c r="D571" t="inlineStr">
        <is>
          <t>SÖDERMANLANDS LÄN</t>
        </is>
      </c>
      <c r="E571" t="inlineStr">
        <is>
          <t>FLEN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58377-2023</t>
        </is>
      </c>
      <c r="B572" s="1" t="n">
        <v>45250</v>
      </c>
      <c r="C572" s="1" t="n">
        <v>45928</v>
      </c>
      <c r="D572" t="inlineStr">
        <is>
          <t>SÖDERMANLANDS LÄN</t>
        </is>
      </c>
      <c r="E572" t="inlineStr">
        <is>
          <t>FLEN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69388-2020</t>
        </is>
      </c>
      <c r="B573" s="1" t="n">
        <v>44193</v>
      </c>
      <c r="C573" s="1" t="n">
        <v>45928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3798-2024</t>
        </is>
      </c>
      <c r="B574" s="1" t="n">
        <v>45321</v>
      </c>
      <c r="C574" s="1" t="n">
        <v>45928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59817-2022</t>
        </is>
      </c>
      <c r="B575" s="1" t="n">
        <v>44900</v>
      </c>
      <c r="C575" s="1" t="n">
        <v>45928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2087-2024</t>
        </is>
      </c>
      <c r="B576" s="1" t="n">
        <v>45309</v>
      </c>
      <c r="C576" s="1" t="n">
        <v>45928</v>
      </c>
      <c r="D576" t="inlineStr">
        <is>
          <t>SÖDERMANLANDS LÄN</t>
        </is>
      </c>
      <c r="E576" t="inlineStr">
        <is>
          <t>FLEN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5109-2023</t>
        </is>
      </c>
      <c r="B577" s="1" t="n">
        <v>44958</v>
      </c>
      <c r="C577" s="1" t="n">
        <v>45928</v>
      </c>
      <c r="D577" t="inlineStr">
        <is>
          <t>SÖDERMANLANDS LÄN</t>
        </is>
      </c>
      <c r="E577" t="inlineStr">
        <is>
          <t>FLEN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45928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17222-2021</t>
        </is>
      </c>
      <c r="B579" s="1" t="n">
        <v>44297</v>
      </c>
      <c r="C579" s="1" t="n">
        <v>45928</v>
      </c>
      <c r="D579" t="inlineStr">
        <is>
          <t>SÖDERMANLANDS LÄN</t>
        </is>
      </c>
      <c r="E579" t="inlineStr">
        <is>
          <t>FLEN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6982-2024</t>
        </is>
      </c>
      <c r="B580" s="1" t="n">
        <v>45343</v>
      </c>
      <c r="C580" s="1" t="n">
        <v>45928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10771-2022</t>
        </is>
      </c>
      <c r="B581" s="1" t="n">
        <v>44624</v>
      </c>
      <c r="C581" s="1" t="n">
        <v>45928</v>
      </c>
      <c r="D581" t="inlineStr">
        <is>
          <t>SÖDERMANLANDS LÄN</t>
        </is>
      </c>
      <c r="E581" t="inlineStr">
        <is>
          <t>FLEN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10828-2022</t>
        </is>
      </c>
      <c r="B582" s="1" t="n">
        <v>44624</v>
      </c>
      <c r="C582" s="1" t="n">
        <v>45928</v>
      </c>
      <c r="D582" t="inlineStr">
        <is>
          <t>SÖDERMANLANDS LÄN</t>
        </is>
      </c>
      <c r="E582" t="inlineStr">
        <is>
          <t>FLEN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16908-2024</t>
        </is>
      </c>
      <c r="B583" s="1" t="n">
        <v>45411</v>
      </c>
      <c r="C583" s="1" t="n">
        <v>45928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2025-09-28T12:14:22Z</dcterms:created>
  <dcterms:modified xmlns:dcterms="http://purl.org/dc/terms/" xmlns:xsi="http://www.w3.org/2001/XMLSchema-instance" xsi:type="dcterms:W3CDTF">2025-09-28T12:14:22Z</dcterms:modified>
</cp:coreProperties>
</file>