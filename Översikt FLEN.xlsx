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46274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46274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46274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46274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46274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46274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46274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46274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46274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46274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46274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46274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46274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46274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46274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46274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46274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46274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46274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A 32901-2025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46274</v>
      </c>
      <c r="F35" t="inlineStr">
        <is>
          <t>SÖDERMANLANDS LÄN</t>
        </is>
      </c>
      <c r="G35" t="inlineStr">
        <is>
          <t>FLEN</t>
        </is>
      </c>
      <c r="I35" t="n">
        <v>2.6</v>
      </c>
      <c r="J35" t="n">
        <v>1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9</v>
      </c>
      <c r="U35" t="n">
        <v>5</v>
      </c>
      <c r="V35" s="2" t="inlineStr">
        <is>
          <t>Motaggsvamp
Ullticka
Blomkålssvamp
Flagellkvastmossa
Spillkråka</t>
        </is>
      </c>
      <c r="W35">
        <f>HYPERLINK("https://klasma.github.io/Logging_0482/artfynd/A 32901-2025 artfynd.xlsx", "A 32901-2025")</f>
        <v/>
      </c>
      <c r="X35">
        <f>HYPERLINK("https://klasma.github.io/Logging_0482/kartor/A 32901-2025 karta.png", "A 32901-2025")</f>
        <v/>
      </c>
      <c r="Y35">
        <f>HYPERLINK("https://klasma.github.io/Logging_0482/kartor_geotiff/A 32901-2025 georefererad karta.tif", "A 32901-2025")</f>
        <v/>
      </c>
      <c r="AA35">
        <f>HYPERLINK("https://klasma.github.io/Logging_0482/klagomål/A 32901-2025 FSC-klagomål.docx", "A 32901-2025")</f>
        <v/>
      </c>
      <c r="AB35">
        <f>HYPERLINK("https://klasma.github.io/Logging_0482/klagomålsmail/A 32901-2025 FSC-klagomål mail.docx", "A 32901-2025")</f>
        <v/>
      </c>
      <c r="AC35">
        <f>HYPERLINK("https://klasma.github.io/Logging_0482/tillsyn/A 32901-2025 tillsynsbegäran.docx", "A 32901-2025")</f>
        <v/>
      </c>
      <c r="AD35">
        <f>HYPERLINK("https://klasma.github.io/Logging_0482/tillsynsmail/A 32901-2025 tillsynsbegäran mail.docx", "A 32901-2025")</f>
        <v/>
      </c>
      <c r="AE35">
        <f>HYPERLINK("https://klasma.github.io/Logging_0482/fåglar/A 32901-2025 prioriterade fågelarter.docx", "A 32901-2025")</f>
        <v/>
      </c>
    </row>
    <row r="36" ht="15" customHeight="1">
      <c r="A36" t="inlineStr">
        <is>
          <t>A 50343-2024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46274</v>
      </c>
      <c r="F36" t="inlineStr">
        <is>
          <t>SÖDERMANLANDS LÄN</t>
        </is>
      </c>
      <c r="G36" t="inlineStr">
        <is>
          <t>FLEN</t>
        </is>
      </c>
      <c r="H36" t="inlineStr">
        <is>
          <t>Övriga statliga verk och myndigheter</t>
        </is>
      </c>
      <c r="I36" t="n">
        <v>3.6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Svartöra
Tallticka
Blåsippa
Liljekonvalj
Vildkaprifol</t>
        </is>
      </c>
      <c r="W36">
        <f>HYPERLINK("https://klasma.github.io/Logging_0482/artfynd/A 50343-2024 artfynd.xlsx", "A 50343-2024")</f>
        <v/>
      </c>
      <c r="X36">
        <f>HYPERLINK("https://klasma.github.io/Logging_0482/kartor/A 50343-2024 karta.png", "A 50343-2024")</f>
        <v/>
      </c>
      <c r="Y36">
        <f>HYPERLINK("https://klasma.github.io/Logging_0482/kartor_geotiff/A 50343-2024 georefererad karta.tif", "A 50343-2024")</f>
        <v/>
      </c>
      <c r="AA36">
        <f>HYPERLINK("https://klasma.github.io/Logging_0482/klagomål/A 50343-2024 FSC-klagomål.docx", "A 50343-2024")</f>
        <v/>
      </c>
      <c r="AB36">
        <f>HYPERLINK("https://klasma.github.io/Logging_0482/klagomålsmail/A 50343-2024 FSC-klagomål mail.docx", "A 50343-2024")</f>
        <v/>
      </c>
      <c r="AC36">
        <f>HYPERLINK("https://klasma.github.io/Logging_0482/tillsyn/A 50343-2024 tillsynsbegäran.docx", "A 50343-2024")</f>
        <v/>
      </c>
      <c r="AD36">
        <f>HYPERLINK("https://klasma.github.io/Logging_0482/tillsynsmail/A 50343-2024 tillsynsbegäran mail.docx", "A 50343-2024")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46274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46274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46274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46274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46274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46274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46274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33225-2024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45518</v>
      </c>
      <c r="E44" s="1" t="n">
        <v>46274</v>
      </c>
      <c r="F44" t="inlineStr">
        <is>
          <t>SÖDERMANLANDS LÄN</t>
        </is>
      </c>
      <c r="G44" t="inlineStr">
        <is>
          <t>FLEN</t>
        </is>
      </c>
      <c r="I44" t="n">
        <v>0.1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Skogsklocka
Svinrot
Vippärt
Grönvit nattviol</t>
        </is>
      </c>
      <c r="W44">
        <f>HYPERLINK("https://klasma.github.io/Logging_0482/artfynd/A 33225-2024 artfynd.xlsx", "A 33225-2024")</f>
        <v/>
      </c>
      <c r="X44">
        <f>HYPERLINK("https://klasma.github.io/Logging_0482/kartor/A 33225-2024 karta.png", "A 33225-2024")</f>
        <v/>
      </c>
      <c r="Y44">
        <f>HYPERLINK("https://klasma.github.io/Logging_0482/kartor_geotiff/A 33225-2024 georefererad karta.tif", "A 33225-2024")</f>
        <v/>
      </c>
      <c r="AA44">
        <f>HYPERLINK("https://klasma.github.io/Logging_0482/klagomål/A 33225-2024 FSC-klagomål.docx", "A 33225-2024")</f>
        <v/>
      </c>
      <c r="AB44">
        <f>HYPERLINK("https://klasma.github.io/Logging_0482/klagomålsmail/A 33225-2024 FSC-klagomål mail.docx", "A 33225-2024")</f>
        <v/>
      </c>
      <c r="AC44">
        <f>HYPERLINK("https://klasma.github.io/Logging_0482/tillsyn/A 33225-2024 tillsynsbegäran.docx", "A 33225-2024")</f>
        <v/>
      </c>
      <c r="AD44">
        <f>HYPERLINK("https://klasma.github.io/Logging_0482/tillsynsmail/A 33225-2024 tillsynsbegäran mail.docx", "A 33225-2024")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46274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46274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46274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46274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46274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46274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46274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Skogsalm
Skogsbräsma
Svart trolldruva</t>
        </is>
      </c>
      <c r="W51">
        <f>HYPERLINK("https://klasma.github.io/Logging_0482/artfynd/A 50739-2025 artfynd.xlsx", "A 50739-2025")</f>
        <v/>
      </c>
      <c r="X51">
        <f>HYPERLINK("https://klasma.github.io/Logging_0482/kartor/A 50739-2025 karta.png", "A 50739-2025")</f>
        <v/>
      </c>
      <c r="Y51">
        <f>HYPERLINK("https://klasma.github.io/Logging_0482/kartor_geotiff/A 50739-2025 georefererad karta.tif", "A 50739-2025")</f>
        <v/>
      </c>
      <c r="AA51">
        <f>HYPERLINK("https://klasma.github.io/Logging_0482/klagomål/A 50739-2025 FSC-klagomål.docx", "A 50739-2025")</f>
        <v/>
      </c>
      <c r="AB51">
        <f>HYPERLINK("https://klasma.github.io/Logging_0482/klagomålsmail/A 50739-2025 FSC-klagomål mail.docx", "A 50739-2025")</f>
        <v/>
      </c>
      <c r="AC51">
        <f>HYPERLINK("https://klasma.github.io/Logging_0482/tillsyn/A 50739-2025 tillsynsbegäran.docx", "A 50739-2025")</f>
        <v/>
      </c>
      <c r="AD51">
        <f>HYPERLINK("https://klasma.github.io/Logging_0482/tillsynsmail/A 50739-2025 tillsynsbegäran mail.docx", "A 50739-2025")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46274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46274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46274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46274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46274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Gullklöver
Svinrot
Revlummer</t>
        </is>
      </c>
      <c r="W56">
        <f>HYPERLINK("https://klasma.github.io/Logging_0482/artfynd/A 29895-2026 artfynd.xlsx", "A 29895-2026")</f>
        <v/>
      </c>
      <c r="X56">
        <f>HYPERLINK("https://klasma.github.io/Logging_0482/kartor/A 29895-2026 karta.png", "A 29895-2026")</f>
        <v/>
      </c>
      <c r="Y56">
        <f>HYPERLINK("https://klasma.github.io/Logging_0482/kartor_geotiff/A 29895-2026 georefererad karta.tif", "A 29895-2026")</f>
        <v/>
      </c>
      <c r="AA56">
        <f>HYPERLINK("https://klasma.github.io/Logging_0482/klagomål/A 29895-2026 FSC-klagomål.docx", "A 29895-2026")</f>
        <v/>
      </c>
      <c r="AB56">
        <f>HYPERLINK("https://klasma.github.io/Logging_0482/klagomålsmail/A 29895-2026 FSC-klagomål mail.docx", "A 29895-2026")</f>
        <v/>
      </c>
      <c r="AC56">
        <f>HYPERLINK("https://klasma.github.io/Logging_0482/tillsyn/A 29895-2026 tillsynsbegäran.docx", "A 29895-2026")</f>
        <v/>
      </c>
      <c r="AD56">
        <f>HYPERLINK("https://klasma.github.io/Logging_0482/tillsynsmail/A 29895-2026 tillsynsbegäran mail.docx", "A 29895-2026")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46274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2203-2022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44578</v>
      </c>
      <c r="E58" s="1" t="n">
        <v>46274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2.9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Knärot
Grönpyrola
Revlummer</t>
        </is>
      </c>
      <c r="W58">
        <f>HYPERLINK("https://klasma.github.io/Logging_0482/artfynd/A 2203-2022 artfynd.xlsx", "A 2203-2022")</f>
        <v/>
      </c>
      <c r="X58">
        <f>HYPERLINK("https://klasma.github.io/Logging_0482/kartor/A 2203-2022 karta.png", "A 2203-2022")</f>
        <v/>
      </c>
      <c r="Y58">
        <f>HYPERLINK("https://klasma.github.io/Logging_0482/kartor_geotiff/A 2203-2022 georefererad karta.tif", "A 2203-2022")</f>
        <v/>
      </c>
      <c r="Z58">
        <f>HYPERLINK("https://klasma.github.io/Logging_0482/knärot/A 2203-2022 karta knärot.png", "A 2203-2022")</f>
        <v/>
      </c>
      <c r="AA58">
        <f>HYPERLINK("https://klasma.github.io/Logging_0482/klagomål/A 2203-2022 FSC-klagomål.docx", "A 2203-2022")</f>
        <v/>
      </c>
      <c r="AB58">
        <f>HYPERLINK("https://klasma.github.io/Logging_0482/klagomålsmail/A 2203-2022 FSC-klagomål mail.docx", "A 2203-2022")</f>
        <v/>
      </c>
      <c r="AC58">
        <f>HYPERLINK("https://klasma.github.io/Logging_0482/tillsyn/A 2203-2022 tillsynsbegäran.docx", "A 2203-2022")</f>
        <v/>
      </c>
      <c r="AD58">
        <f>HYPERLINK("https://klasma.github.io/Logging_0482/tillsynsmail/A 2203-2022 tillsynsbegäran mail.docx", "A 2203-2022")</f>
        <v/>
      </c>
    </row>
    <row r="59" ht="15" customHeight="1">
      <c r="A59" t="inlineStr">
        <is>
          <t>A 63185-2023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45272</v>
      </c>
      <c r="E59" s="1" t="n">
        <v>46274</v>
      </c>
      <c r="F59" t="inlineStr">
        <is>
          <t>SÖDERMANLANDS LÄN</t>
        </is>
      </c>
      <c r="G59" t="inlineStr">
        <is>
          <t>FLEN</t>
        </is>
      </c>
      <c r="I59" t="n">
        <v>2.8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Gullklöver
Majbräken
Sälg</t>
        </is>
      </c>
      <c r="W59">
        <f>HYPERLINK("https://klasma.github.io/Logging_0482/artfynd/A 63185-2023 artfynd.xlsx", "A 63185-2023")</f>
        <v/>
      </c>
      <c r="X59">
        <f>HYPERLINK("https://klasma.github.io/Logging_0482/kartor/A 63185-2023 karta.png", "A 63185-2023")</f>
        <v/>
      </c>
      <c r="Y59">
        <f>HYPERLINK("https://klasma.github.io/Logging_0482/kartor_geotiff/A 63185-2023 georefererad karta.tif", "A 63185-2023")</f>
        <v/>
      </c>
      <c r="AA59">
        <f>HYPERLINK("https://klasma.github.io/Logging_0482/klagomål/A 63185-2023 FSC-klagomål.docx", "A 63185-2023")</f>
        <v/>
      </c>
      <c r="AB59">
        <f>HYPERLINK("https://klasma.github.io/Logging_0482/klagomålsmail/A 63185-2023 FSC-klagomål mail.docx", "A 63185-2023")</f>
        <v/>
      </c>
      <c r="AC59">
        <f>HYPERLINK("https://klasma.github.io/Logging_0482/tillsyn/A 63185-2023 tillsynsbegäran.docx", "A 63185-2023")</f>
        <v/>
      </c>
      <c r="AD59">
        <f>HYPERLINK("https://klasma.github.io/Logging_0482/tillsynsmail/A 63185-2023 tillsynsbegäran mail.docx", "A 63185-2023")</f>
        <v/>
      </c>
    </row>
    <row r="60" ht="15" customHeight="1">
      <c r="A60" t="inlineStr">
        <is>
          <t>A 1149-2025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45666</v>
      </c>
      <c r="E60" s="1" t="n">
        <v>46274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5.1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Tallkötticka
Grönpyrola
Kamjordstjärna</t>
        </is>
      </c>
      <c r="W60">
        <f>HYPERLINK("https://klasma.github.io/Logging_0482/artfynd/A 1149-2025 artfynd.xlsx", "A 1149-2025")</f>
        <v/>
      </c>
      <c r="X60">
        <f>HYPERLINK("https://klasma.github.io/Logging_0482/kartor/A 1149-2025 karta.png", "A 1149-2025")</f>
        <v/>
      </c>
      <c r="Y60">
        <f>HYPERLINK("https://klasma.github.io/Logging_0482/kartor_geotiff/A 1149-2025 georefererad karta.tif", "A 1149-2025")</f>
        <v/>
      </c>
      <c r="AA60">
        <f>HYPERLINK("https://klasma.github.io/Logging_0482/klagomål/A 1149-2025 FSC-klagomål.docx", "A 1149-2025")</f>
        <v/>
      </c>
      <c r="AB60">
        <f>HYPERLINK("https://klasma.github.io/Logging_0482/klagomålsmail/A 1149-2025 FSC-klagomål mail.docx", "A 1149-2025")</f>
        <v/>
      </c>
      <c r="AC60">
        <f>HYPERLINK("https://klasma.github.io/Logging_0482/tillsyn/A 1149-2025 tillsynsbegäran.docx", "A 1149-2025")</f>
        <v/>
      </c>
      <c r="AD60">
        <f>HYPERLINK("https://klasma.github.io/Logging_0482/tillsynsmail/A 1149-2025 tillsynsbegäran mail.docx", "A 1149-2025")</f>
        <v/>
      </c>
    </row>
    <row r="61" ht="15" customHeight="1">
      <c r="A61" t="inlineStr">
        <is>
          <t>A 33853-2022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46274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1.9</v>
      </c>
      <c r="J61" t="n">
        <v>1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Gullklöver
Sädesärla
Svart trolldruva</t>
        </is>
      </c>
      <c r="W61">
        <f>HYPERLINK("https://klasma.github.io/Logging_0482/artfynd/A 33853-2022 artfynd.xlsx", "A 33853-2022")</f>
        <v/>
      </c>
      <c r="X61">
        <f>HYPERLINK("https://klasma.github.io/Logging_0482/kartor/A 33853-2022 karta.png", "A 33853-2022")</f>
        <v/>
      </c>
      <c r="Y61">
        <f>HYPERLINK("https://klasma.github.io/Logging_0482/kartor_geotiff/A 33853-2022 georefererad karta.tif", "A 33853-2022")</f>
        <v/>
      </c>
      <c r="AA61">
        <f>HYPERLINK("https://klasma.github.io/Logging_0482/klagomål/A 33853-2022 FSC-klagomål.docx", "A 33853-2022")</f>
        <v/>
      </c>
      <c r="AB61">
        <f>HYPERLINK("https://klasma.github.io/Logging_0482/klagomålsmail/A 33853-2022 FSC-klagomål mail.docx", "A 33853-2022")</f>
        <v/>
      </c>
      <c r="AC61">
        <f>HYPERLINK("https://klasma.github.io/Logging_0482/tillsyn/A 33853-2022 tillsynsbegäran.docx", "A 33853-2022")</f>
        <v/>
      </c>
      <c r="AD61">
        <f>HYPERLINK("https://klasma.github.io/Logging_0482/tillsynsmail/A 33853-2022 tillsynsbegäran mail.docx", "A 33853-2022")</f>
        <v/>
      </c>
      <c r="AE61">
        <f>HYPERLINK("https://klasma.github.io/Logging_0482/fåglar/A 33853-2022 prioriterade fågelarter.docx", "A 33853-2022")</f>
        <v/>
      </c>
    </row>
    <row r="62" ht="15" customHeight="1">
      <c r="A62" t="inlineStr">
        <is>
          <t>A 34985-2023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46274</v>
      </c>
      <c r="F62" t="inlineStr">
        <is>
          <t>SÖDERMANLANDS LÄN</t>
        </is>
      </c>
      <c r="G62" t="inlineStr">
        <is>
          <t>FLEN</t>
        </is>
      </c>
      <c r="H62" t="inlineStr">
        <is>
          <t>Övriga statliga verk och myndigheter</t>
        </is>
      </c>
      <c r="I62" t="n">
        <v>2.8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Grönpyrola
Revlummer</t>
        </is>
      </c>
      <c r="W62">
        <f>HYPERLINK("https://klasma.github.io/Logging_0482/artfynd/A 34985-2023 artfynd.xlsx", "A 34985-2023")</f>
        <v/>
      </c>
      <c r="X62">
        <f>HYPERLINK("https://klasma.github.io/Logging_0482/kartor/A 34985-2023 karta.png", "A 34985-2023")</f>
        <v/>
      </c>
      <c r="Y62">
        <f>HYPERLINK("https://klasma.github.io/Logging_0482/kartor_geotiff/A 34985-2023 georefererad karta.tif", "A 34985-2023")</f>
        <v/>
      </c>
      <c r="Z62">
        <f>HYPERLINK("https://klasma.github.io/Logging_0482/knärot/A 34985-2023 karta knärot.png", "A 34985-2023")</f>
        <v/>
      </c>
      <c r="AA62">
        <f>HYPERLINK("https://klasma.github.io/Logging_0482/klagomål/A 34985-2023 FSC-klagomål.docx", "A 34985-2023")</f>
        <v/>
      </c>
      <c r="AB62">
        <f>HYPERLINK("https://klasma.github.io/Logging_0482/klagomålsmail/A 34985-2023 FSC-klagomål mail.docx", "A 34985-2023")</f>
        <v/>
      </c>
      <c r="AC62">
        <f>HYPERLINK("https://klasma.github.io/Logging_0482/tillsyn/A 34985-2023 tillsynsbegäran.docx", "A 34985-2023")</f>
        <v/>
      </c>
      <c r="AD62">
        <f>HYPERLINK("https://klasma.github.io/Logging_0482/tillsynsmail/A 34985-2023 tillsynsbegäran mail.docx", "A 34985-2023")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46274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46274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46274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46274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46274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46274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46274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46274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52858-2023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46274</v>
      </c>
      <c r="F71" t="inlineStr">
        <is>
          <t>SÖDERMANLANDS LÄN</t>
        </is>
      </c>
      <c r="G71" t="inlineStr">
        <is>
          <t>FLEN</t>
        </is>
      </c>
      <c r="I71" t="n">
        <v>3.6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1</v>
      </c>
      <c r="V71" s="2" t="inlineStr">
        <is>
          <t>Mindre hackspett
Tallticka</t>
        </is>
      </c>
      <c r="W71">
        <f>HYPERLINK("https://klasma.github.io/Logging_0482/artfynd/A 52858-2023 artfynd.xlsx", "A 52858-2023")</f>
        <v/>
      </c>
      <c r="X71">
        <f>HYPERLINK("https://klasma.github.io/Logging_0482/kartor/A 52858-2023 karta.png", "A 52858-2023")</f>
        <v/>
      </c>
      <c r="Y71">
        <f>HYPERLINK("https://klasma.github.io/Logging_0482/kartor_geotiff/A 52858-2023 georefererad karta.tif", "A 52858-2023")</f>
        <v/>
      </c>
      <c r="AA71">
        <f>HYPERLINK("https://klasma.github.io/Logging_0482/klagomål/A 52858-2023 FSC-klagomål.docx", "A 52858-2023")</f>
        <v/>
      </c>
      <c r="AB71">
        <f>HYPERLINK("https://klasma.github.io/Logging_0482/klagomålsmail/A 52858-2023 FSC-klagomål mail.docx", "A 52858-2023")</f>
        <v/>
      </c>
      <c r="AC71">
        <f>HYPERLINK("https://klasma.github.io/Logging_0482/tillsyn/A 52858-2023 tillsynsbegäran.docx", "A 52858-2023")</f>
        <v/>
      </c>
      <c r="AD71">
        <f>HYPERLINK("https://klasma.github.io/Logging_0482/tillsynsmail/A 52858-2023 tillsynsbegäran mail.docx", "A 52858-2023")</f>
        <v/>
      </c>
      <c r="AE71">
        <f>HYPERLINK("https://klasma.github.io/Logging_0482/fåglar/A 52858-2023 prioriterade fågelarter.docx", "A 52858-2023")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46274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46274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46274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46274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46274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46274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32744-2025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45838</v>
      </c>
      <c r="E78" s="1" t="n">
        <v>46274</v>
      </c>
      <c r="F78" t="inlineStr">
        <is>
          <t>SÖDERMANLANDS LÄN</t>
        </is>
      </c>
      <c r="G78" t="inlineStr">
        <is>
          <t>FLEN</t>
        </is>
      </c>
      <c r="I78" t="n">
        <v>1.8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Ekticka
Klasefibbla</t>
        </is>
      </c>
      <c r="W78">
        <f>HYPERLINK("https://klasma.github.io/Logging_0482/artfynd/A 32744-2025 artfynd.xlsx", "A 32744-2025")</f>
        <v/>
      </c>
      <c r="X78">
        <f>HYPERLINK("https://klasma.github.io/Logging_0482/kartor/A 32744-2025 karta.png", "A 32744-2025")</f>
        <v/>
      </c>
      <c r="Y78">
        <f>HYPERLINK("https://klasma.github.io/Logging_0482/kartor_geotiff/A 32744-2025 georefererad karta.tif", "A 32744-2025")</f>
        <v/>
      </c>
      <c r="AA78">
        <f>HYPERLINK("https://klasma.github.io/Logging_0482/klagomål/A 32744-2025 FSC-klagomål.docx", "A 32744-2025")</f>
        <v/>
      </c>
      <c r="AB78">
        <f>HYPERLINK("https://klasma.github.io/Logging_0482/klagomålsmail/A 32744-2025 FSC-klagomål mail.docx", "A 32744-2025")</f>
        <v/>
      </c>
      <c r="AC78">
        <f>HYPERLINK("https://klasma.github.io/Logging_0482/tillsyn/A 32744-2025 tillsynsbegäran.docx", "A 32744-2025")</f>
        <v/>
      </c>
      <c r="AD78">
        <f>HYPERLINK("https://klasma.github.io/Logging_0482/tillsynsmail/A 32744-2025 tillsynsbegäran mail.docx", "A 32744-2025")</f>
        <v/>
      </c>
    </row>
    <row r="79" ht="15" customHeight="1">
      <c r="A79" t="inlineStr">
        <is>
          <t>A 15557-2026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46274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t="n">
        <v>0</v>
      </c>
      <c r="V79" s="2" t="inlineStr">
        <is>
          <t>Gullklöver
Svinrot</t>
        </is>
      </c>
      <c r="W79">
        <f>HYPERLINK("https://klasma.github.io/Logging_0482/artfynd/A 15557-2026 artfynd.xlsx", "A 15557-2026")</f>
        <v/>
      </c>
      <c r="X79">
        <f>HYPERLINK("https://klasma.github.io/Logging_0482/kartor/A 15557-2026 karta.png", "A 15557-2026")</f>
        <v/>
      </c>
      <c r="Y79">
        <f>HYPERLINK("https://klasma.github.io/Logging_0482/kartor_geotiff/A 15557-2026 georefererad karta.tif", "A 15557-2026")</f>
        <v/>
      </c>
      <c r="AA79">
        <f>HYPERLINK("https://klasma.github.io/Logging_0482/klagomål/A 15557-2026 FSC-klagomål.docx", "A 15557-2026")</f>
        <v/>
      </c>
      <c r="AB79">
        <f>HYPERLINK("https://klasma.github.io/Logging_0482/klagomålsmail/A 15557-2026 FSC-klagomål mail.docx", "A 15557-2026")</f>
        <v/>
      </c>
      <c r="AC79">
        <f>HYPERLINK("https://klasma.github.io/Logging_0482/tillsyn/A 15557-2026 tillsynsbegäran.docx", "A 15557-2026")</f>
        <v/>
      </c>
      <c r="AD79">
        <f>HYPERLINK("https://klasma.github.io/Logging_0482/tillsynsmail/A 15557-2026 tillsynsbegäran mail.docx", "A 15557-2026")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46274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8887-2026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46068</v>
      </c>
      <c r="E81" s="1" t="n">
        <v>46274</v>
      </c>
      <c r="F81" t="inlineStr">
        <is>
          <t>SÖDERMANLANDS LÄN</t>
        </is>
      </c>
      <c r="G81" t="inlineStr">
        <is>
          <t>FLEN</t>
        </is>
      </c>
      <c r="I81" t="n">
        <v>2.1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Större vattensalamander
Mindre vattensalamander</t>
        </is>
      </c>
      <c r="W81">
        <f>HYPERLINK("https://klasma.github.io/Logging_0482/artfynd/A 8887-2026 artfynd.xlsx", "A 8887-2026")</f>
        <v/>
      </c>
      <c r="X81">
        <f>HYPERLINK("https://klasma.github.io/Logging_0482/kartor/A 8887-2026 karta.png", "A 8887-2026")</f>
        <v/>
      </c>
      <c r="Y81">
        <f>HYPERLINK("https://klasma.github.io/Logging_0482/kartor_geotiff/A 8887-2026 georefererad karta.tif", "A 8887-2026")</f>
        <v/>
      </c>
      <c r="AA81">
        <f>HYPERLINK("https://klasma.github.io/Logging_0482/klagomål/A 8887-2026 FSC-klagomål.docx", "A 8887-2026")</f>
        <v/>
      </c>
      <c r="AB81">
        <f>HYPERLINK("https://klasma.github.io/Logging_0482/klagomålsmail/A 8887-2026 FSC-klagomål mail.docx", "A 8887-2026")</f>
        <v/>
      </c>
      <c r="AC81">
        <f>HYPERLINK("https://klasma.github.io/Logging_0482/tillsyn/A 8887-2026 tillsynsbegäran.docx", "A 8887-2026")</f>
        <v/>
      </c>
      <c r="AD81">
        <f>HYPERLINK("https://klasma.github.io/Logging_0482/tillsynsmail/A 8887-2026 tillsynsbegäran mail.docx", "A 8887-2026")</f>
        <v/>
      </c>
    </row>
    <row r="82" ht="15" customHeight="1">
      <c r="A82" t="inlineStr">
        <is>
          <t>A 34849-2026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46274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5</v>
      </c>
      <c r="U82" t="n">
        <v>0</v>
      </c>
      <c r="V82" s="2" t="inlineStr">
        <is>
          <t>Motaggsvamp
Vedskivlav</t>
        </is>
      </c>
      <c r="W82">
        <f>HYPERLINK("https://klasma.github.io/Logging_0482/artfynd/A 34849-2026 artfynd.xlsx", "A 34849-2026")</f>
        <v/>
      </c>
      <c r="X82">
        <f>HYPERLINK("https://klasma.github.io/Logging_0482/kartor/A 34849-2026 karta.png", "A 34849-2026")</f>
        <v/>
      </c>
      <c r="Y82">
        <f>HYPERLINK("https://klasma.github.io/Logging_0482/kartor_geotiff/A 34849-2026 georefererad karta.tif", "A 34849-2026")</f>
        <v/>
      </c>
      <c r="AA82">
        <f>HYPERLINK("https://klasma.github.io/Logging_0482/klagomål/A 34849-2026 FSC-klagomål.docx", "A 34849-2026")</f>
        <v/>
      </c>
      <c r="AB82">
        <f>HYPERLINK("https://klasma.github.io/Logging_0482/klagomålsmail/A 34849-2026 FSC-klagomål mail.docx", "A 34849-2026")</f>
        <v/>
      </c>
      <c r="AC82">
        <f>HYPERLINK("https://klasma.github.io/Logging_0482/tillsyn/A 34849-2026 tillsynsbegäran.docx", "A 34849-2026")</f>
        <v/>
      </c>
      <c r="AD82">
        <f>HYPERLINK("https://klasma.github.io/Logging_0482/tillsynsmail/A 34849-2026 tillsynsbegäran mail.docx", "A 34849-2026")</f>
        <v/>
      </c>
    </row>
    <row r="83" ht="15" customHeight="1">
      <c r="A83" t="inlineStr">
        <is>
          <t>A 49816-2023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46274</v>
      </c>
      <c r="F83" t="inlineStr">
        <is>
          <t>SÖDERMANLANDS LÄN</t>
        </is>
      </c>
      <c r="G83" t="inlineStr">
        <is>
          <t>FLEN</t>
        </is>
      </c>
      <c r="I83" t="n">
        <v>4.6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Reliktbock
Tallticka</t>
        </is>
      </c>
      <c r="W83">
        <f>HYPERLINK("https://klasma.github.io/Logging_0482/artfynd/A 49816-2023 artfynd.xlsx", "A 49816-2023")</f>
        <v/>
      </c>
      <c r="X83">
        <f>HYPERLINK("https://klasma.github.io/Logging_0482/kartor/A 49816-2023 karta.png", "A 49816-2023")</f>
        <v/>
      </c>
      <c r="Y83">
        <f>HYPERLINK("https://klasma.github.io/Logging_0482/kartor_geotiff/A 49816-2023 georefererad karta.tif", "A 49816-2023")</f>
        <v/>
      </c>
      <c r="AA83">
        <f>HYPERLINK("https://klasma.github.io/Logging_0482/klagomål/A 49816-2023 FSC-klagomål.docx", "A 49816-2023")</f>
        <v/>
      </c>
      <c r="AB83">
        <f>HYPERLINK("https://klasma.github.io/Logging_0482/klagomålsmail/A 49816-2023 FSC-klagomål mail.docx", "A 49816-2023")</f>
        <v/>
      </c>
      <c r="AC83">
        <f>HYPERLINK("https://klasma.github.io/Logging_0482/tillsyn/A 49816-2023 tillsynsbegäran.docx", "A 49816-2023")</f>
        <v/>
      </c>
      <c r="AD83">
        <f>HYPERLINK("https://klasma.github.io/Logging_0482/tillsynsmail/A 49816-2023 tillsynsbegäran mail.docx", "A 49816-2023")</f>
        <v/>
      </c>
    </row>
    <row r="84" ht="15" customHeight="1">
      <c r="A84" t="inlineStr">
        <is>
          <t>A 22101-2023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45068</v>
      </c>
      <c r="E84" s="1" t="n">
        <v>46274</v>
      </c>
      <c r="F84" t="inlineStr">
        <is>
          <t>SÖDERMANLANDS LÄN</t>
        </is>
      </c>
      <c r="G84" t="inlineStr">
        <is>
          <t>FLEN</t>
        </is>
      </c>
      <c r="I84" t="n">
        <v>2.7</v>
      </c>
      <c r="J84" t="n">
        <v>2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Bombmurkla
Blåsippa</t>
        </is>
      </c>
      <c r="W84">
        <f>HYPERLINK("https://klasma.github.io/Logging_0482/artfynd/A 22101-2023 artfynd.xlsx", "A 22101-2023")</f>
        <v/>
      </c>
      <c r="X84">
        <f>HYPERLINK("https://klasma.github.io/Logging_0482/kartor/A 22101-2023 karta.png", "A 22101-2023")</f>
        <v/>
      </c>
      <c r="Y84">
        <f>HYPERLINK("https://klasma.github.io/Logging_0482/kartor_geotiff/A 22101-2023 georefererad karta.tif", "A 22101-2023")</f>
        <v/>
      </c>
      <c r="AA84">
        <f>HYPERLINK("https://klasma.github.io/Logging_0482/klagomål/A 22101-2023 FSC-klagomål.docx", "A 22101-2023")</f>
        <v/>
      </c>
      <c r="AB84">
        <f>HYPERLINK("https://klasma.github.io/Logging_0482/klagomålsmail/A 22101-2023 FSC-klagomål mail.docx", "A 22101-2023")</f>
        <v/>
      </c>
      <c r="AC84">
        <f>HYPERLINK("https://klasma.github.io/Logging_0482/tillsyn/A 22101-2023 tillsynsbegäran.docx", "A 22101-2023")</f>
        <v/>
      </c>
      <c r="AD84">
        <f>HYPERLINK("https://klasma.github.io/Logging_0482/tillsynsmail/A 22101-2023 tillsynsbegäran mail.docx", "A 22101-2023")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46274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46274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39240-2023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46274</v>
      </c>
      <c r="F87" t="inlineStr">
        <is>
          <t>SÖDERMANLANDS LÄN</t>
        </is>
      </c>
      <c r="G87" t="inlineStr">
        <is>
          <t>FLEN</t>
        </is>
      </c>
      <c r="H87" t="inlineStr">
        <is>
          <t>Holmen skog AB</t>
        </is>
      </c>
      <c r="I87" t="n">
        <v>4.6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Motaggsvamp
Blodticka</t>
        </is>
      </c>
      <c r="W87">
        <f>HYPERLINK("https://klasma.github.io/Logging_0482/artfynd/A 39240-2023 artfynd.xlsx", "A 39240-2023")</f>
        <v/>
      </c>
      <c r="X87">
        <f>HYPERLINK("https://klasma.github.io/Logging_0482/kartor/A 39240-2023 karta.png", "A 39240-2023")</f>
        <v/>
      </c>
      <c r="Y87">
        <f>HYPERLINK("https://klasma.github.io/Logging_0482/kartor_geotiff/A 39240-2023 georefererad karta.tif", "A 39240-2023")</f>
        <v/>
      </c>
      <c r="AA87">
        <f>HYPERLINK("https://klasma.github.io/Logging_0482/klagomål/A 39240-2023 FSC-klagomål.docx", "A 39240-2023")</f>
        <v/>
      </c>
      <c r="AB87">
        <f>HYPERLINK("https://klasma.github.io/Logging_0482/klagomålsmail/A 39240-2023 FSC-klagomål mail.docx", "A 39240-2023")</f>
        <v/>
      </c>
      <c r="AC87">
        <f>HYPERLINK("https://klasma.github.io/Logging_0482/tillsyn/A 39240-2023 tillsynsbegäran.docx", "A 39240-2023")</f>
        <v/>
      </c>
      <c r="AD87">
        <f>HYPERLINK("https://klasma.github.io/Logging_0482/tillsynsmail/A 39240-2023 tillsynsbegäran mail.docx", "A 39240-2023")</f>
        <v/>
      </c>
    </row>
    <row r="88" ht="15" customHeight="1">
      <c r="A88" t="inlineStr">
        <is>
          <t>A 47194-2022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46274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Gullklöver
Svinrot</t>
        </is>
      </c>
      <c r="W88">
        <f>HYPERLINK("https://klasma.github.io/Logging_0482/artfynd/A 47194-2022 artfynd.xlsx", "A 47194-2022")</f>
        <v/>
      </c>
      <c r="X88">
        <f>HYPERLINK("https://klasma.github.io/Logging_0482/kartor/A 47194-2022 karta.png", "A 47194-2022")</f>
        <v/>
      </c>
      <c r="Y88">
        <f>HYPERLINK("https://klasma.github.io/Logging_0482/kartor_geotiff/A 47194-2022 georefererad karta.tif", "A 47194-2022")</f>
        <v/>
      </c>
      <c r="AA88">
        <f>HYPERLINK("https://klasma.github.io/Logging_0482/klagomål/A 47194-2022 FSC-klagomål.docx", "A 47194-2022")</f>
        <v/>
      </c>
      <c r="AB88">
        <f>HYPERLINK("https://klasma.github.io/Logging_0482/klagomålsmail/A 47194-2022 FSC-klagomål mail.docx", "A 47194-2022")</f>
        <v/>
      </c>
      <c r="AC88">
        <f>HYPERLINK("https://klasma.github.io/Logging_0482/tillsyn/A 47194-2022 tillsynsbegäran.docx", "A 47194-2022")</f>
        <v/>
      </c>
      <c r="AD88">
        <f>HYPERLINK("https://klasma.github.io/Logging_0482/tillsynsmail/A 47194-2022 tillsynsbegäran mail.docx", "A 47194-2022")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46274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46274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46274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46274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46274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46274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46274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46274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46274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46274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46274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46274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46274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46274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46274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37283-2024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45540</v>
      </c>
      <c r="E104" s="1" t="n">
        <v>46274</v>
      </c>
      <c r="F104" t="inlineStr">
        <is>
          <t>SÖDERMANLANDS LÄN</t>
        </is>
      </c>
      <c r="G104" t="inlineStr">
        <is>
          <t>FLEN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37283-2024 artfynd.xlsx", "A 37283-2024")</f>
        <v/>
      </c>
      <c r="X104">
        <f>HYPERLINK("https://klasma.github.io/Logging_0482/kartor/A 37283-2024 karta.png", "A 37283-2024")</f>
        <v/>
      </c>
      <c r="Y104">
        <f>HYPERLINK("https://klasma.github.io/Logging_0482/kartor_geotiff/A 37283-2024 georefererad karta.tif", "A 37283-2024")</f>
        <v/>
      </c>
      <c r="AA104">
        <f>HYPERLINK("https://klasma.github.io/Logging_0482/klagomål/A 37283-2024 FSC-klagomål.docx", "A 37283-2024")</f>
        <v/>
      </c>
      <c r="AB104">
        <f>HYPERLINK("https://klasma.github.io/Logging_0482/klagomålsmail/A 37283-2024 FSC-klagomål mail.docx", "A 37283-2024")</f>
        <v/>
      </c>
      <c r="AC104">
        <f>HYPERLINK("https://klasma.github.io/Logging_0482/tillsyn/A 37283-2024 tillsynsbegäran.docx", "A 37283-2024")</f>
        <v/>
      </c>
      <c r="AD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46274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46274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backsmörblomma</t>
        </is>
      </c>
      <c r="W106">
        <f>HYPERLINK("https://klasma.github.io/Logging_0482/artfynd/A 7525-2024 artfynd.xlsx", "A 7525-2024")</f>
        <v/>
      </c>
      <c r="X106">
        <f>HYPERLINK("https://klasma.github.io/Logging_0482/kartor/A 7525-2024 karta.png", "A 7525-2024")</f>
        <v/>
      </c>
      <c r="Y106">
        <f>HYPERLINK("https://klasma.github.io/Logging_0482/kartor_geotiff/A 7525-2024 georefererad karta.tif", "A 7525-2024")</f>
        <v/>
      </c>
      <c r="AA106">
        <f>HYPERLINK("https://klasma.github.io/Logging_0482/klagomål/A 7525-2024 FSC-klagomål.docx", "A 7525-2024")</f>
        <v/>
      </c>
      <c r="AB106">
        <f>HYPERLINK("https://klasma.github.io/Logging_0482/klagomålsmail/A 7525-2024 FSC-klagomål mail.docx", "A 7525-2024")</f>
        <v/>
      </c>
      <c r="AC106">
        <f>HYPERLINK("https://klasma.github.io/Logging_0482/tillsyn/A 7525-2024 tillsynsbegäran.docx", "A 7525-2024")</f>
        <v/>
      </c>
      <c r="AD106">
        <f>HYPERLINK("https://klasma.github.io/Logging_0482/tillsynsmail/A 7525-2024 tillsynsbegäran mail.docx", "A 7525-2024")</f>
        <v/>
      </c>
    </row>
    <row r="107" ht="15" customHeight="1">
      <c r="A107" t="inlineStr">
        <is>
          <t>A 14113-2025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46274</v>
      </c>
      <c r="F107" t="inlineStr">
        <is>
          <t>SÖDERMANLANDS LÄN</t>
        </is>
      </c>
      <c r="G107" t="inlineStr">
        <is>
          <t>FLEN</t>
        </is>
      </c>
      <c r="H107" t="inlineStr">
        <is>
          <t>Övriga statliga verk och myndigheter</t>
        </is>
      </c>
      <c r="I107" t="n">
        <v>3.6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14113-2025 artfynd.xlsx", "A 14113-2025")</f>
        <v/>
      </c>
      <c r="X107">
        <f>HYPERLINK("https://klasma.github.io/Logging_0482/kartor/A 14113-2025 karta.png", "A 14113-2025")</f>
        <v/>
      </c>
      <c r="Y107">
        <f>HYPERLINK("https://klasma.github.io/Logging_0482/kartor_geotiff/A 14113-2025 georefererad karta.tif", "A 14113-2025")</f>
        <v/>
      </c>
      <c r="AA107">
        <f>HYPERLINK("https://klasma.github.io/Logging_0482/klagomål/A 14113-2025 FSC-klagomål.docx", "A 14113-2025")</f>
        <v/>
      </c>
      <c r="AB107">
        <f>HYPERLINK("https://klasma.github.io/Logging_0482/klagomålsmail/A 14113-2025 FSC-klagomål mail.docx", "A 14113-2025")</f>
        <v/>
      </c>
      <c r="AC107">
        <f>HYPERLINK("https://klasma.github.io/Logging_0482/tillsyn/A 14113-2025 tillsynsbegäran.docx", "A 14113-2025")</f>
        <v/>
      </c>
      <c r="AD107">
        <f>HYPERLINK("https://klasma.github.io/Logging_0482/tillsynsmail/A 14113-2025 tillsynsbegäran mail.docx", "A 14113-2025")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46274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6982-2024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46274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HYPERLINK("https://klasma.github.io/Logging_0482/artfynd/A 6982-2024 artfynd.xlsx", "A 6982-2024")</f>
        <v/>
      </c>
      <c r="X109">
        <f>HYPERLINK("https://klasma.github.io/Logging_0482/kartor/A 6982-2024 karta.png", "A 6982-2024")</f>
        <v/>
      </c>
      <c r="Y109">
        <f>HYPERLINK("https://klasma.github.io/Logging_0482/kartor_geotiff/A 6982-2024 georefererad karta.tif", "A 6982-2024")</f>
        <v/>
      </c>
      <c r="AA109">
        <f>HYPERLINK("https://klasma.github.io/Logging_0482/klagomål/A 6982-2024 FSC-klagomål.docx", "A 6982-2024")</f>
        <v/>
      </c>
      <c r="AB109">
        <f>HYPERLINK("https://klasma.github.io/Logging_0482/klagomålsmail/A 6982-2024 FSC-klagomål mail.docx", "A 6982-2024")</f>
        <v/>
      </c>
      <c r="AC109">
        <f>HYPERLINK("https://klasma.github.io/Logging_0482/tillsyn/A 6982-2024 tillsynsbegäran.docx", "A 6982-2024")</f>
        <v/>
      </c>
      <c r="AD109">
        <f>HYPERLINK("https://klasma.github.io/Logging_0482/tillsynsmail/A 6982-2024 tillsynsbegäran mail.docx", "A 6982-2024")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46274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46274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46274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46274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24179-2026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46168</v>
      </c>
      <c r="E114" s="1" t="n">
        <v>46274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24179-2026 artfynd.xlsx", "A 24179-2026")</f>
        <v/>
      </c>
      <c r="X114">
        <f>HYPERLINK("https://klasma.github.io/Logging_0482/kartor/A 24179-2026 karta.png", "A 24179-2026")</f>
        <v/>
      </c>
      <c r="Y114">
        <f>HYPERLINK("https://klasma.github.io/Logging_0482/kartor_geotiff/A 24179-2026 georefererad karta.tif", "A 24179-2026")</f>
        <v/>
      </c>
      <c r="AA114">
        <f>HYPERLINK("https://klasma.github.io/Logging_0482/klagomål/A 24179-2026 FSC-klagomål.docx", "A 24179-2026")</f>
        <v/>
      </c>
      <c r="AB114">
        <f>HYPERLINK("https://klasma.github.io/Logging_0482/klagomålsmail/A 24179-2026 FSC-klagomål mail.docx", "A 24179-2026")</f>
        <v/>
      </c>
      <c r="AC114">
        <f>HYPERLINK("https://klasma.github.io/Logging_0482/tillsyn/A 24179-2026 tillsynsbegäran.docx", "A 24179-2026")</f>
        <v/>
      </c>
      <c r="AD114">
        <f>HYPERLINK("https://klasma.github.io/Logging_0482/tillsynsmail/A 24179-2026 tillsynsbegäran mail.docx", "A 24179-2026")</f>
        <v/>
      </c>
    </row>
    <row r="115" ht="15" customHeight="1">
      <c r="A115" t="inlineStr">
        <is>
          <t>A 34721-2023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46274</v>
      </c>
      <c r="F115" t="inlineStr">
        <is>
          <t>SÖDERMANLANDS LÄN</t>
        </is>
      </c>
      <c r="G115" t="inlineStr">
        <is>
          <t>FLEN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34721-2023 artfynd.xlsx", "A 34721-2023")</f>
        <v/>
      </c>
      <c r="X115">
        <f>HYPERLINK("https://klasma.github.io/Logging_0482/kartor/A 34721-2023 karta.png", "A 34721-2023")</f>
        <v/>
      </c>
      <c r="Y115">
        <f>HYPERLINK("https://klasma.github.io/Logging_0482/kartor_geotiff/A 34721-2023 georefererad karta.tif", "A 34721-2023")</f>
        <v/>
      </c>
      <c r="AA115">
        <f>HYPERLINK("https://klasma.github.io/Logging_0482/klagomål/A 34721-2023 FSC-klagomål.docx", "A 34721-2023")</f>
        <v/>
      </c>
      <c r="AB115">
        <f>HYPERLINK("https://klasma.github.io/Logging_0482/klagomålsmail/A 34721-2023 FSC-klagomål mail.docx", "A 34721-2023")</f>
        <v/>
      </c>
      <c r="AC115">
        <f>HYPERLINK("https://klasma.github.io/Logging_0482/tillsyn/A 34721-2023 tillsynsbegäran.docx", "A 34721-2023")</f>
        <v/>
      </c>
      <c r="AD115">
        <f>HYPERLINK("https://klasma.github.io/Logging_0482/tillsynsmail/A 34721-2023 tillsynsbegäran mail.docx", "A 34721-2023")</f>
        <v/>
      </c>
    </row>
    <row r="116" ht="15" customHeight="1">
      <c r="A116" t="inlineStr">
        <is>
          <t>A 66230-2021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44518</v>
      </c>
      <c r="E116" s="1" t="n">
        <v>46274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66230-2021 artfynd.xlsx", "A 66230-2021")</f>
        <v/>
      </c>
      <c r="X116">
        <f>HYPERLINK("https://klasma.github.io/Logging_0482/kartor/A 66230-2021 karta.png", "A 66230-2021")</f>
        <v/>
      </c>
      <c r="Y116">
        <f>HYPERLINK("https://klasma.github.io/Logging_0482/kartor_geotiff/A 66230-2021 georefererad karta.tif", "A 66230-2021")</f>
        <v/>
      </c>
      <c r="AA116">
        <f>HYPERLINK("https://klasma.github.io/Logging_0482/klagomål/A 66230-2021 FSC-klagomål.docx", "A 66230-2021")</f>
        <v/>
      </c>
      <c r="AB116">
        <f>HYPERLINK("https://klasma.github.io/Logging_0482/klagomålsmail/A 66230-2021 FSC-klagomål mail.docx", "A 66230-2021")</f>
        <v/>
      </c>
      <c r="AC116">
        <f>HYPERLINK("https://klasma.github.io/Logging_0482/tillsyn/A 66230-2021 tillsynsbegäran.docx", "A 66230-2021")</f>
        <v/>
      </c>
      <c r="AD116">
        <f>HYPERLINK("https://klasma.github.io/Logging_0482/tillsynsmail/A 66230-2021 tillsynsbegäran mail.docx", "A 66230-2021")</f>
        <v/>
      </c>
    </row>
    <row r="117" ht="15" customHeight="1">
      <c r="A117" t="inlineStr">
        <is>
          <t>A 1242-2022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46274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Slåtterfibbla</t>
        </is>
      </c>
      <c r="W117">
        <f>HYPERLINK("https://klasma.github.io/Logging_0482/artfynd/A 1242-2022 artfynd.xlsx", "A 1242-2022")</f>
        <v/>
      </c>
      <c r="X117">
        <f>HYPERLINK("https://klasma.github.io/Logging_0482/kartor/A 1242-2022 karta.png", "A 1242-2022")</f>
        <v/>
      </c>
      <c r="Y117">
        <f>HYPERLINK("https://klasma.github.io/Logging_0482/kartor_geotiff/A 1242-2022 georefererad karta.tif", "A 1242-2022")</f>
        <v/>
      </c>
      <c r="AA117">
        <f>HYPERLINK("https://klasma.github.io/Logging_0482/klagomål/A 1242-2022 FSC-klagomål.docx", "A 1242-2022")</f>
        <v/>
      </c>
      <c r="AB117">
        <f>HYPERLINK("https://klasma.github.io/Logging_0482/klagomålsmail/A 1242-2022 FSC-klagomål mail.docx", "A 1242-2022")</f>
        <v/>
      </c>
      <c r="AC117">
        <f>HYPERLINK("https://klasma.github.io/Logging_0482/tillsyn/A 1242-2022 tillsynsbegäran.docx", "A 1242-2022")</f>
        <v/>
      </c>
      <c r="AD117">
        <f>HYPERLINK("https://klasma.github.io/Logging_0482/tillsynsmail/A 1242-2022 tillsynsbegäran mail.docx", "A 1242-2022")</f>
        <v/>
      </c>
    </row>
    <row r="118" ht="15" customHeight="1">
      <c r="A118" t="inlineStr">
        <is>
          <t>A 14101-2025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46274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HYPERLINK("https://klasma.github.io/Logging_0482/artfynd/A 14101-2025 artfynd.xlsx", "A 14101-2025")</f>
        <v/>
      </c>
      <c r="X118">
        <f>HYPERLINK("https://klasma.github.io/Logging_0482/kartor/A 14101-2025 karta.png", "A 14101-2025")</f>
        <v/>
      </c>
      <c r="Y118">
        <f>HYPERLINK("https://klasma.github.io/Logging_0482/kartor_geotiff/A 14101-2025 georefererad karta.tif", "A 14101-2025")</f>
        <v/>
      </c>
      <c r="AA118">
        <f>HYPERLINK("https://klasma.github.io/Logging_0482/klagomål/A 14101-2025 FSC-klagomål.docx", "A 14101-2025")</f>
        <v/>
      </c>
      <c r="AB118">
        <f>HYPERLINK("https://klasma.github.io/Logging_0482/klagomålsmail/A 14101-2025 FSC-klagomål mail.docx", "A 14101-2025")</f>
        <v/>
      </c>
      <c r="AC118">
        <f>HYPERLINK("https://klasma.github.io/Logging_0482/tillsyn/A 14101-2025 tillsynsbegäran.docx", "A 14101-2025")</f>
        <v/>
      </c>
      <c r="AD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26310-2026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46274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HYPERLINK("https://klasma.github.io/Logging_0482/artfynd/A 26310-2026 artfynd.xlsx", "A 26310-2026")</f>
        <v/>
      </c>
      <c r="X119">
        <f>HYPERLINK("https://klasma.github.io/Logging_0482/kartor/A 26310-2026 karta.png", "A 26310-2026")</f>
        <v/>
      </c>
      <c r="Y119">
        <f>HYPERLINK("https://klasma.github.io/Logging_0482/kartor_geotiff/A 26310-2026 georefererad karta.tif", "A 26310-2026")</f>
        <v/>
      </c>
      <c r="AA119">
        <f>HYPERLINK("https://klasma.github.io/Logging_0482/klagomål/A 26310-2026 FSC-klagomål.docx", "A 26310-2026")</f>
        <v/>
      </c>
      <c r="AB119">
        <f>HYPERLINK("https://klasma.github.io/Logging_0482/klagomålsmail/A 26310-2026 FSC-klagomål mail.docx", "A 26310-2026")</f>
        <v/>
      </c>
      <c r="AC119">
        <f>HYPERLINK("https://klasma.github.io/Logging_0482/tillsyn/A 26310-2026 tillsynsbegäran.docx", "A 26310-2026")</f>
        <v/>
      </c>
      <c r="AD119">
        <f>HYPERLINK("https://klasma.github.io/Logging_0482/tillsynsmail/A 26310-2026 tillsynsbegäran mail.docx", "A 26310-2026")</f>
        <v/>
      </c>
      <c r="AE119">
        <f>HYPERLINK("https://klasma.github.io/Logging_0482/fåglar/A 26310-2026 prioriterade fågelarter.docx", "A 26310-2026")</f>
        <v/>
      </c>
    </row>
    <row r="120" ht="15" customHeight="1">
      <c r="A120" t="inlineStr">
        <is>
          <t>A 37317-2023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45156</v>
      </c>
      <c r="E120" s="1" t="n">
        <v>46274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5.1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Svavelriska</t>
        </is>
      </c>
      <c r="W120">
        <f>HYPERLINK("https://klasma.github.io/Logging_0482/artfynd/A 37317-2023 artfynd.xlsx", "A 37317-2023")</f>
        <v/>
      </c>
      <c r="X120">
        <f>HYPERLINK("https://klasma.github.io/Logging_0482/kartor/A 37317-2023 karta.png", "A 37317-2023")</f>
        <v/>
      </c>
      <c r="Y120">
        <f>HYPERLINK("https://klasma.github.io/Logging_0482/kartor_geotiff/A 37317-2023 georefererad karta.tif", "A 37317-2023")</f>
        <v/>
      </c>
      <c r="AA120">
        <f>HYPERLINK("https://klasma.github.io/Logging_0482/klagomål/A 37317-2023 FSC-klagomål.docx", "A 37317-2023")</f>
        <v/>
      </c>
      <c r="AB120">
        <f>HYPERLINK("https://klasma.github.io/Logging_0482/klagomålsmail/A 37317-2023 FSC-klagomål mail.docx", "A 37317-2023")</f>
        <v/>
      </c>
      <c r="AC120">
        <f>HYPERLINK("https://klasma.github.io/Logging_0482/tillsyn/A 37317-2023 tillsynsbegäran.docx", "A 37317-2023")</f>
        <v/>
      </c>
      <c r="AD120">
        <f>HYPERLINK("https://klasma.github.io/Logging_0482/tillsynsmail/A 37317-2023 tillsynsbegäran mail.docx", "A 37317-2023")</f>
        <v/>
      </c>
    </row>
    <row r="121" ht="15" customHeight="1">
      <c r="A121" t="inlineStr">
        <is>
          <t>A 26052-2026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46274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HYPERLINK("https://klasma.github.io/Logging_0482/artfynd/A 26052-2026 artfynd.xlsx", "A 26052-2026")</f>
        <v/>
      </c>
      <c r="X121">
        <f>HYPERLINK("https://klasma.github.io/Logging_0482/kartor/A 26052-2026 karta.png", "A 26052-2026")</f>
        <v/>
      </c>
      <c r="Y121">
        <f>HYPERLINK("https://klasma.github.io/Logging_0482/kartor_geotiff/A 26052-2026 georefererad karta.tif", "A 26052-2026")</f>
        <v/>
      </c>
      <c r="AA121">
        <f>HYPERLINK("https://klasma.github.io/Logging_0482/klagomål/A 26052-2026 FSC-klagomål.docx", "A 26052-2026")</f>
        <v/>
      </c>
      <c r="AB121">
        <f>HYPERLINK("https://klasma.github.io/Logging_0482/klagomålsmail/A 26052-2026 FSC-klagomål mail.docx", "A 26052-2026")</f>
        <v/>
      </c>
      <c r="AC121">
        <f>HYPERLINK("https://klasma.github.io/Logging_0482/tillsyn/A 26052-2026 tillsynsbegäran.docx", "A 26052-2026")</f>
        <v/>
      </c>
      <c r="AD121">
        <f>HYPERLINK("https://klasma.github.io/Logging_0482/tillsynsmail/A 26052-2026 tillsynsbegäran mail.docx", "A 26052-2026")</f>
        <v/>
      </c>
    </row>
    <row r="122" ht="15" customHeight="1">
      <c r="A122" t="inlineStr">
        <is>
          <t>A 60529-2024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46274</v>
      </c>
      <c r="F122" t="inlineStr">
        <is>
          <t>SÖDERMANLANDS LÄN</t>
        </is>
      </c>
      <c r="G122" t="inlineStr">
        <is>
          <t>FLEN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Skarp dropptaggsvamp</t>
        </is>
      </c>
      <c r="W122">
        <f>HYPERLINK("https://klasma.github.io/Logging_0482/artfynd/A 60529-2024 artfynd.xlsx", "A 60529-2024")</f>
        <v/>
      </c>
      <c r="X122">
        <f>HYPERLINK("https://klasma.github.io/Logging_0482/kartor/A 60529-2024 karta.png", "A 60529-2024")</f>
        <v/>
      </c>
      <c r="Y122">
        <f>HYPERLINK("https://klasma.github.io/Logging_0482/kartor_geotiff/A 60529-2024 georefererad karta.tif", "A 60529-2024")</f>
        <v/>
      </c>
      <c r="AA122">
        <f>HYPERLINK("https://klasma.github.io/Logging_0482/klagomål/A 60529-2024 FSC-klagomål.docx", "A 60529-2024")</f>
        <v/>
      </c>
      <c r="AB122">
        <f>HYPERLINK("https://klasma.github.io/Logging_0482/klagomålsmail/A 60529-2024 FSC-klagomål mail.docx", "A 60529-2024")</f>
        <v/>
      </c>
      <c r="AC122">
        <f>HYPERLINK("https://klasma.github.io/Logging_0482/tillsyn/A 60529-2024 tillsynsbegäran.docx", "A 60529-2024")</f>
        <v/>
      </c>
      <c r="AD122">
        <f>HYPERLINK("https://klasma.github.io/Logging_0482/tillsynsmail/A 60529-2024 tillsynsbegäran mail.docx", "A 60529-2024")</f>
        <v/>
      </c>
    </row>
    <row r="123" ht="15" customHeight="1">
      <c r="A123" t="inlineStr">
        <is>
          <t>A 53339-2023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46274</v>
      </c>
      <c r="F123" t="inlineStr">
        <is>
          <t>SÖDERMANLANDS LÄN</t>
        </is>
      </c>
      <c r="G123" t="inlineStr">
        <is>
          <t>FLEN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Blåsippa</t>
        </is>
      </c>
      <c r="W123">
        <f>HYPERLINK("https://klasma.github.io/Logging_0482/artfynd/A 53339-2023 artfynd.xlsx", "A 53339-2023")</f>
        <v/>
      </c>
      <c r="X123">
        <f>HYPERLINK("https://klasma.github.io/Logging_0482/kartor/A 53339-2023 karta.png", "A 53339-2023")</f>
        <v/>
      </c>
      <c r="Y123">
        <f>HYPERLINK("https://klasma.github.io/Logging_0482/kartor_geotiff/A 53339-2023 georefererad karta.tif", "A 53339-2023")</f>
        <v/>
      </c>
      <c r="AA123">
        <f>HYPERLINK("https://klasma.github.io/Logging_0482/klagomål/A 53339-2023 FSC-klagomål.docx", "A 53339-2023")</f>
        <v/>
      </c>
      <c r="AB123">
        <f>HYPERLINK("https://klasma.github.io/Logging_0482/klagomålsmail/A 53339-2023 FSC-klagomål mail.docx", "A 53339-2023")</f>
        <v/>
      </c>
      <c r="AC123">
        <f>HYPERLINK("https://klasma.github.io/Logging_0482/tillsyn/A 53339-2023 tillsynsbegäran.docx", "A 53339-2023")</f>
        <v/>
      </c>
      <c r="AD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46274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2036-2026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46274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Knärot</t>
        </is>
      </c>
      <c r="W125">
        <f>HYPERLINK("https://klasma.github.io/Logging_0482/artfynd/A 2036-2026 artfynd.xlsx", "A 2036-2026")</f>
        <v/>
      </c>
      <c r="X125">
        <f>HYPERLINK("https://klasma.github.io/Logging_0482/kartor/A 2036-2026 karta.png", "A 2036-2026")</f>
        <v/>
      </c>
      <c r="Y125">
        <f>HYPERLINK("https://klasma.github.io/Logging_0482/kartor_geotiff/A 2036-2026 georefererad karta.tif", "A 2036-2026")</f>
        <v/>
      </c>
      <c r="Z125">
        <f>HYPERLINK("https://klasma.github.io/Logging_0482/knärot/A 2036-2026 karta knärot.png", "A 2036-2026")</f>
        <v/>
      </c>
      <c r="AA125">
        <f>HYPERLINK("https://klasma.github.io/Logging_0482/klagomål/A 2036-2026 FSC-klagomål.docx", "A 2036-2026")</f>
        <v/>
      </c>
      <c r="AB125">
        <f>HYPERLINK("https://klasma.github.io/Logging_0482/klagomålsmail/A 2036-2026 FSC-klagomål mail.docx", "A 2036-2026")</f>
        <v/>
      </c>
      <c r="AC125">
        <f>HYPERLINK("https://klasma.github.io/Logging_0482/tillsyn/A 2036-2026 tillsynsbegäran.docx", "A 2036-2026")</f>
        <v/>
      </c>
      <c r="AD125">
        <f>HYPERLINK("https://klasma.github.io/Logging_0482/tillsynsmail/A 2036-2026 tillsynsbegäran mail.docx", "A 2036-2026")</f>
        <v/>
      </c>
    </row>
    <row r="126" ht="15" customHeight="1">
      <c r="A126" t="inlineStr">
        <is>
          <t>A 6714-2026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46274</v>
      </c>
      <c r="F126" t="inlineStr">
        <is>
          <t>SÖDERMANLANDS LÄN</t>
        </is>
      </c>
      <c r="G126" t="inlineStr">
        <is>
          <t>FLEN</t>
        </is>
      </c>
      <c r="I126" t="n">
        <v>4.6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6714-2026 artfynd.xlsx", "A 6714-2026")</f>
        <v/>
      </c>
      <c r="X126">
        <f>HYPERLINK("https://klasma.github.io/Logging_0482/kartor/A 6714-2026 karta.png", "A 6714-2026")</f>
        <v/>
      </c>
      <c r="Y126">
        <f>HYPERLINK("https://klasma.github.io/Logging_0482/kartor_geotiff/A 6714-2026 georefererad karta.tif", "A 6714-2026")</f>
        <v/>
      </c>
      <c r="AA126">
        <f>HYPERLINK("https://klasma.github.io/Logging_0482/klagomål/A 6714-2026 FSC-klagomål.docx", "A 6714-2026")</f>
        <v/>
      </c>
      <c r="AB126">
        <f>HYPERLINK("https://klasma.github.io/Logging_0482/klagomålsmail/A 6714-2026 FSC-klagomål mail.docx", "A 6714-2026")</f>
        <v/>
      </c>
      <c r="AC126">
        <f>HYPERLINK("https://klasma.github.io/Logging_0482/tillsyn/A 6714-2026 tillsynsbegäran.docx", "A 6714-2026")</f>
        <v/>
      </c>
      <c r="AD126">
        <f>HYPERLINK("https://klasma.github.io/Logging_0482/tillsynsmail/A 6714-2026 tillsynsbegäran mail.docx", "A 6714-2026")</f>
        <v/>
      </c>
    </row>
    <row r="127" ht="15" customHeight="1">
      <c r="A127" t="inlineStr">
        <is>
          <t>A 30406-2026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46209</v>
      </c>
      <c r="E127" s="1" t="n">
        <v>46274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HYPERLINK("https://klasma.github.io/Logging_0482/artfynd/A 30406-2026 artfynd.xlsx", "A 30406-2026")</f>
        <v/>
      </c>
      <c r="X127">
        <f>HYPERLINK("https://klasma.github.io/Logging_0482/kartor/A 30406-2026 karta.png", "A 30406-2026")</f>
        <v/>
      </c>
      <c r="Y127">
        <f>HYPERLINK("https://klasma.github.io/Logging_0482/kartor_geotiff/A 30406-2026 georefererad karta.tif", "A 30406-2026")</f>
        <v/>
      </c>
      <c r="AA127">
        <f>HYPERLINK("https://klasma.github.io/Logging_0482/klagomål/A 30406-2026 FSC-klagomål.docx", "A 30406-2026")</f>
        <v/>
      </c>
      <c r="AB127">
        <f>HYPERLINK("https://klasma.github.io/Logging_0482/klagomålsmail/A 30406-2026 FSC-klagomål mail.docx", "A 30406-2026")</f>
        <v/>
      </c>
      <c r="AC127">
        <f>HYPERLINK("https://klasma.github.io/Logging_0482/tillsyn/A 30406-2026 tillsynsbegäran.docx", "A 30406-2026")</f>
        <v/>
      </c>
      <c r="AD127">
        <f>HYPERLINK("https://klasma.github.io/Logging_0482/tillsynsmail/A 30406-2026 tillsynsbegäran mail.docx", "A 30406-2026")</f>
        <v/>
      </c>
    </row>
    <row r="128" ht="15" customHeight="1">
      <c r="A128" t="inlineStr">
        <is>
          <t>A 9446-2026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46274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9446-2026 artfynd.xlsx", "A 9446-2026")</f>
        <v/>
      </c>
      <c r="X128">
        <f>HYPERLINK("https://klasma.github.io/Logging_0482/kartor/A 9446-2026 karta.png", "A 9446-2026")</f>
        <v/>
      </c>
      <c r="Y128">
        <f>HYPERLINK("https://klasma.github.io/Logging_0482/kartor_geotiff/A 9446-2026 georefererad karta.tif", "A 9446-2026")</f>
        <v/>
      </c>
      <c r="AA128">
        <f>HYPERLINK("https://klasma.github.io/Logging_0482/klagomål/A 9446-2026 FSC-klagomål.docx", "A 9446-2026")</f>
        <v/>
      </c>
      <c r="AB128">
        <f>HYPERLINK("https://klasma.github.io/Logging_0482/klagomålsmail/A 9446-2026 FSC-klagomål mail.docx", "A 9446-2026")</f>
        <v/>
      </c>
      <c r="AC128">
        <f>HYPERLINK("https://klasma.github.io/Logging_0482/tillsyn/A 9446-2026 tillsynsbegäran.docx", "A 9446-2026")</f>
        <v/>
      </c>
      <c r="AD128">
        <f>HYPERLINK("https://klasma.github.io/Logging_0482/tillsynsmail/A 9446-2026 tillsynsbegäran mail.docx", "A 9446-2026")</f>
        <v/>
      </c>
    </row>
    <row r="129" ht="15" customHeight="1">
      <c r="A129" t="inlineStr">
        <is>
          <t>A 10999-2026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46274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3.6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HYPERLINK("https://klasma.github.io/Logging_0482/artfynd/A 10999-2026 artfynd.xlsx", "A 10999-2026")</f>
        <v/>
      </c>
      <c r="X129">
        <f>HYPERLINK("https://klasma.github.io/Logging_0482/kartor/A 10999-2026 karta.png", "A 10999-2026")</f>
        <v/>
      </c>
      <c r="Y129">
        <f>HYPERLINK("https://klasma.github.io/Logging_0482/kartor_geotiff/A 10999-2026 georefererad karta.tif", "A 10999-2026")</f>
        <v/>
      </c>
      <c r="AA129">
        <f>HYPERLINK("https://klasma.github.io/Logging_0482/klagomål/A 10999-2026 FSC-klagomål.docx", "A 10999-2026")</f>
        <v/>
      </c>
      <c r="AB129">
        <f>HYPERLINK("https://klasma.github.io/Logging_0482/klagomålsmail/A 10999-2026 FSC-klagomål mail.docx", "A 10999-2026")</f>
        <v/>
      </c>
      <c r="AC129">
        <f>HYPERLINK("https://klasma.github.io/Logging_0482/tillsyn/A 10999-2026 tillsynsbegäran.docx", "A 10999-2026")</f>
        <v/>
      </c>
      <c r="AD129">
        <f>HYPERLINK("https://klasma.github.io/Logging_0482/tillsynsmail/A 10999-2026 tillsynsbegäran mail.docx", "A 10999-2026")</f>
        <v/>
      </c>
    </row>
    <row r="130" ht="15" customHeight="1">
      <c r="A130" t="inlineStr">
        <is>
          <t>A 52546-2021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44463</v>
      </c>
      <c r="E130" s="1" t="n">
        <v>46274</v>
      </c>
      <c r="F130" t="inlineStr">
        <is>
          <t>SÖDERMANLANDS LÄN</t>
        </is>
      </c>
      <c r="G130" t="inlineStr">
        <is>
          <t>FLEN</t>
        </is>
      </c>
      <c r="I130" t="n">
        <v>6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Mindre bastardsvärmare</t>
        </is>
      </c>
      <c r="W130">
        <f>HYPERLINK("https://klasma.github.io/Logging_0482/artfynd/A 52546-2021 artfynd.xlsx", "A 52546-2021")</f>
        <v/>
      </c>
      <c r="X130">
        <f>HYPERLINK("https://klasma.github.io/Logging_0482/kartor/A 52546-2021 karta.png", "A 52546-2021")</f>
        <v/>
      </c>
      <c r="Y130">
        <f>HYPERLINK("https://klasma.github.io/Logging_0482/kartor_geotiff/A 52546-2021 georefererad karta.tif", "A 52546-2021")</f>
        <v/>
      </c>
      <c r="AA130">
        <f>HYPERLINK("https://klasma.github.io/Logging_0482/klagomål/A 52546-2021 FSC-klagomål.docx", "A 52546-2021")</f>
        <v/>
      </c>
      <c r="AB130">
        <f>HYPERLINK("https://klasma.github.io/Logging_0482/klagomålsmail/A 52546-2021 FSC-klagomål mail.docx", "A 52546-2021")</f>
        <v/>
      </c>
      <c r="AC130">
        <f>HYPERLINK("https://klasma.github.io/Logging_0482/tillsyn/A 52546-2021 tillsynsbegäran.docx", "A 52546-2021")</f>
        <v/>
      </c>
      <c r="AD130">
        <f>HYPERLINK("https://klasma.github.io/Logging_0482/tillsynsmail/A 52546-2021 tillsynsbegäran mail.docx", "A 52546-2021")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46274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10770-2022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44624</v>
      </c>
      <c r="E132" s="1" t="n">
        <v>46274</v>
      </c>
      <c r="F132" t="inlineStr">
        <is>
          <t>SÖDERMANLANDS LÄN</t>
        </is>
      </c>
      <c r="G132" t="inlineStr">
        <is>
          <t>FLEN</t>
        </is>
      </c>
      <c r="I132" t="n">
        <v>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HYPERLINK("https://klasma.github.io/Logging_0482/artfynd/A 10770-2022 artfynd.xlsx", "A 10770-2022")</f>
        <v/>
      </c>
      <c r="X132">
        <f>HYPERLINK("https://klasma.github.io/Logging_0482/kartor/A 10770-2022 karta.png", "A 10770-2022")</f>
        <v/>
      </c>
      <c r="Y132">
        <f>HYPERLINK("https://klasma.github.io/Logging_0482/kartor_geotiff/A 10770-2022 georefererad karta.tif", "A 10770-2022")</f>
        <v/>
      </c>
      <c r="AA132">
        <f>HYPERLINK("https://klasma.github.io/Logging_0482/klagomål/A 10770-2022 FSC-klagomål.docx", "A 10770-2022")</f>
        <v/>
      </c>
      <c r="AB132">
        <f>HYPERLINK("https://klasma.github.io/Logging_0482/klagomålsmail/A 10770-2022 FSC-klagomål mail.docx", "A 10770-2022")</f>
        <v/>
      </c>
      <c r="AC132">
        <f>HYPERLINK("https://klasma.github.io/Logging_0482/tillsyn/A 10770-2022 tillsynsbegäran.docx", "A 10770-2022")</f>
        <v/>
      </c>
      <c r="AD132">
        <f>HYPERLINK("https://klasma.github.io/Logging_0482/tillsynsmail/A 10770-2022 tillsynsbegäran mail.docx", "A 10770-2022")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46274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12371-2022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46274</v>
      </c>
      <c r="F134" t="inlineStr">
        <is>
          <t>SÖDERMANLANDS LÄN</t>
        </is>
      </c>
      <c r="G134" t="inlineStr">
        <is>
          <t>FLEN</t>
        </is>
      </c>
      <c r="H134" t="inlineStr">
        <is>
          <t>Kommuner</t>
        </is>
      </c>
      <c r="I134" t="n">
        <v>2.1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12371-2022 artfynd.xlsx", "A 12371-2022")</f>
        <v/>
      </c>
      <c r="X134">
        <f>HYPERLINK("https://klasma.github.io/Logging_0482/kartor/A 12371-2022 karta.png", "A 12371-2022")</f>
        <v/>
      </c>
      <c r="Y134">
        <f>HYPERLINK("https://klasma.github.io/Logging_0482/kartor_geotiff/A 12371-2022 georefererad karta.tif", "A 12371-2022")</f>
        <v/>
      </c>
      <c r="AA134">
        <f>HYPERLINK("https://klasma.github.io/Logging_0482/klagomål/A 12371-2022 FSC-klagomål.docx", "A 12371-2022")</f>
        <v/>
      </c>
      <c r="AB134">
        <f>HYPERLINK("https://klasma.github.io/Logging_0482/klagomålsmail/A 12371-2022 FSC-klagomål mail.docx", "A 12371-2022")</f>
        <v/>
      </c>
      <c r="AC134">
        <f>HYPERLINK("https://klasma.github.io/Logging_0482/tillsyn/A 12371-2022 tillsynsbegäran.docx", "A 12371-2022")</f>
        <v/>
      </c>
      <c r="AD134">
        <f>HYPERLINK("https://klasma.github.io/Logging_0482/tillsynsmail/A 12371-2022 tillsynsbegäran mail.docx", "A 12371-2022")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46274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4259-2023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44953</v>
      </c>
      <c r="E136" s="1" t="n">
        <v>46274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HYPERLINK("https://klasma.github.io/Logging_0482/artfynd/A 4259-2023 artfynd.xlsx", "A 4259-2023")</f>
        <v/>
      </c>
      <c r="X136">
        <f>HYPERLINK("https://klasma.github.io/Logging_0482/kartor/A 4259-2023 karta.png", "A 4259-2023")</f>
        <v/>
      </c>
      <c r="Y136">
        <f>HYPERLINK("https://klasma.github.io/Logging_0482/kartor_geotiff/A 4259-2023 georefererad karta.tif", "A 4259-2023")</f>
        <v/>
      </c>
      <c r="AA136">
        <f>HYPERLINK("https://klasma.github.io/Logging_0482/klagomål/A 4259-2023 FSC-klagomål.docx", "A 4259-2023")</f>
        <v/>
      </c>
      <c r="AB136">
        <f>HYPERLINK("https://klasma.github.io/Logging_0482/klagomålsmail/A 4259-2023 FSC-klagomål mail.docx", "A 4259-2023")</f>
        <v/>
      </c>
      <c r="AC136">
        <f>HYPERLINK("https://klasma.github.io/Logging_0482/tillsyn/A 4259-2023 tillsynsbegäran.docx", "A 4259-2023")</f>
        <v/>
      </c>
      <c r="AD136">
        <f>HYPERLINK("https://klasma.github.io/Logging_0482/tillsynsmail/A 4259-2023 tillsynsbegäran mail.docx", "A 4259-2023")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46274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Järnsparv</t>
        </is>
      </c>
      <c r="W137">
        <f>HYPERLINK("https://klasma.github.io/Logging_0482/artfynd/A 12306-2022 artfynd.xlsx", "A 12306-2022")</f>
        <v/>
      </c>
      <c r="X137">
        <f>HYPERLINK("https://klasma.github.io/Logging_0482/kartor/A 12306-2022 karta.png", "A 12306-2022")</f>
        <v/>
      </c>
      <c r="Y137">
        <f>HYPERLINK("https://klasma.github.io/Logging_0482/kartor_geotiff/A 12306-2022 georefererad karta.tif", "A 12306-2022")</f>
        <v/>
      </c>
      <c r="AA137">
        <f>HYPERLINK("https://klasma.github.io/Logging_0482/klagomål/A 12306-2022 FSC-klagomål.docx", "A 12306-2022")</f>
        <v/>
      </c>
      <c r="AB137">
        <f>HYPERLINK("https://klasma.github.io/Logging_0482/klagomålsmail/A 12306-2022 FSC-klagomål mail.docx", "A 12306-2022")</f>
        <v/>
      </c>
      <c r="AC137">
        <f>HYPERLINK("https://klasma.github.io/Logging_0482/tillsyn/A 12306-2022 tillsynsbegäran.docx", "A 12306-2022")</f>
        <v/>
      </c>
      <c r="AD137">
        <f>HYPERLINK("https://klasma.github.io/Logging_0482/tillsynsmail/A 12306-2022 tillsynsbegäran mail.docx", "A 12306-2022")</f>
        <v/>
      </c>
      <c r="AE137">
        <f>HYPERLINK("https://klasma.github.io/Logging_0482/fåglar/A 12306-2022 prioriterade fågelarter.docx", "A 12306-2022")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46274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60562-2021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44495</v>
      </c>
      <c r="E139" s="1" t="n">
        <v>46274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Gullklöver</t>
        </is>
      </c>
      <c r="W139">
        <f>HYPERLINK("https://klasma.github.io/Logging_0482/artfynd/A 60562-2021 artfynd.xlsx", "A 60562-2021")</f>
        <v/>
      </c>
      <c r="X139">
        <f>HYPERLINK("https://klasma.github.io/Logging_0482/kartor/A 60562-2021 karta.png", "A 60562-2021")</f>
        <v/>
      </c>
      <c r="Y139">
        <f>HYPERLINK("https://klasma.github.io/Logging_0482/kartor_geotiff/A 60562-2021 georefererad karta.tif", "A 60562-2021")</f>
        <v/>
      </c>
      <c r="AA139">
        <f>HYPERLINK("https://klasma.github.io/Logging_0482/klagomål/A 60562-2021 FSC-klagomål.docx", "A 60562-2021")</f>
        <v/>
      </c>
      <c r="AB139">
        <f>HYPERLINK("https://klasma.github.io/Logging_0482/klagomålsmail/A 60562-2021 FSC-klagomål mail.docx", "A 60562-2021")</f>
        <v/>
      </c>
      <c r="AC139">
        <f>HYPERLINK("https://klasma.github.io/Logging_0482/tillsyn/A 60562-2021 tillsynsbegäran.docx", "A 60562-2021")</f>
        <v/>
      </c>
      <c r="AD139">
        <f>HYPERLINK("https://klasma.github.io/Logging_0482/tillsynsmail/A 60562-2021 tillsynsbegäran mail.docx", "A 60562-2021")</f>
        <v/>
      </c>
    </row>
    <row r="140" ht="15" customHeight="1">
      <c r="A140" t="inlineStr">
        <is>
          <t>A 50202-2022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46274</v>
      </c>
      <c r="F140" t="inlineStr">
        <is>
          <t>SÖDERMANLANDS LÄN</t>
        </is>
      </c>
      <c r="G140" t="inlineStr">
        <is>
          <t>FLEN</t>
        </is>
      </c>
      <c r="H140" t="inlineStr">
        <is>
          <t>Kyrkan</t>
        </is>
      </c>
      <c r="I140" t="n">
        <v>5.8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50202-2022 artfynd.xlsx", "A 50202-2022")</f>
        <v/>
      </c>
      <c r="X140">
        <f>HYPERLINK("https://klasma.github.io/Logging_0482/kartor/A 50202-2022 karta.png", "A 50202-2022")</f>
        <v/>
      </c>
      <c r="Y140">
        <f>HYPERLINK("https://klasma.github.io/Logging_0482/kartor_geotiff/A 50202-2022 georefererad karta.tif", "A 50202-2022")</f>
        <v/>
      </c>
      <c r="AA140">
        <f>HYPERLINK("https://klasma.github.io/Logging_0482/klagomål/A 50202-2022 FSC-klagomål.docx", "A 50202-2022")</f>
        <v/>
      </c>
      <c r="AB140">
        <f>HYPERLINK("https://klasma.github.io/Logging_0482/klagomålsmail/A 50202-2022 FSC-klagomål mail.docx", "A 50202-2022")</f>
        <v/>
      </c>
      <c r="AC140">
        <f>HYPERLINK("https://klasma.github.io/Logging_0482/tillsyn/A 50202-2022 tillsynsbegäran.docx", "A 50202-2022")</f>
        <v/>
      </c>
      <c r="AD140">
        <f>HYPERLINK("https://klasma.github.io/Logging_0482/tillsynsmail/A 50202-2022 tillsynsbegäran mail.docx", "A 50202-2022")</f>
        <v/>
      </c>
    </row>
    <row r="141" ht="15" customHeight="1">
      <c r="A141" t="inlineStr">
        <is>
          <t>A 7973-2024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46274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Vippärt</t>
        </is>
      </c>
      <c r="W141">
        <f>HYPERLINK("https://klasma.github.io/Logging_0482/artfynd/A 7973-2024 artfynd.xlsx", "A 7973-2024")</f>
        <v/>
      </c>
      <c r="X141">
        <f>HYPERLINK("https://klasma.github.io/Logging_0482/kartor/A 7973-2024 karta.png", "A 7973-2024")</f>
        <v/>
      </c>
      <c r="Y141">
        <f>HYPERLINK("https://klasma.github.io/Logging_0482/kartor_geotiff/A 7973-2024 georefererad karta.tif", "A 7973-2024")</f>
        <v/>
      </c>
      <c r="AA141">
        <f>HYPERLINK("https://klasma.github.io/Logging_0482/klagomål/A 7973-2024 FSC-klagomål.docx", "A 7973-2024")</f>
        <v/>
      </c>
      <c r="AB141">
        <f>HYPERLINK("https://klasma.github.io/Logging_0482/klagomålsmail/A 7973-2024 FSC-klagomål mail.docx", "A 7973-2024")</f>
        <v/>
      </c>
      <c r="AC141">
        <f>HYPERLINK("https://klasma.github.io/Logging_0482/tillsyn/A 7973-2024 tillsynsbegäran.docx", "A 7973-2024")</f>
        <v/>
      </c>
      <c r="AD141">
        <f>HYPERLINK("https://klasma.github.io/Logging_0482/tillsynsmail/A 7973-2024 tillsynsbegäran mail.docx", "A 7973-2024")</f>
        <v/>
      </c>
    </row>
    <row r="142" ht="15" customHeight="1">
      <c r="A142" t="inlineStr">
        <is>
          <t>A 12056-2024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46274</v>
      </c>
      <c r="F142" t="inlineStr">
        <is>
          <t>SÖDERMANLANDS LÄN</t>
        </is>
      </c>
      <c r="G142" t="inlineStr">
        <is>
          <t>FLEN</t>
        </is>
      </c>
      <c r="I142" t="n">
        <v>8.4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Fjällig taggsvamp s.str.</t>
        </is>
      </c>
      <c r="W142">
        <f>HYPERLINK("https://klasma.github.io/Logging_0482/artfynd/A 12056-2024 artfynd.xlsx", "A 12056-2024")</f>
        <v/>
      </c>
      <c r="X142">
        <f>HYPERLINK("https://klasma.github.io/Logging_0482/kartor/A 12056-2024 karta.png", "A 12056-2024")</f>
        <v/>
      </c>
      <c r="Y142">
        <f>HYPERLINK("https://klasma.github.io/Logging_0482/kartor_geotiff/A 12056-2024 georefererad karta.tif", "A 12056-2024")</f>
        <v/>
      </c>
      <c r="AA142">
        <f>HYPERLINK("https://klasma.github.io/Logging_0482/klagomål/A 12056-2024 FSC-klagomål.docx", "A 12056-2024")</f>
        <v/>
      </c>
      <c r="AB142">
        <f>HYPERLINK("https://klasma.github.io/Logging_0482/klagomålsmail/A 12056-2024 FSC-klagomål mail.docx", "A 12056-2024")</f>
        <v/>
      </c>
      <c r="AC142">
        <f>HYPERLINK("https://klasma.github.io/Logging_0482/tillsyn/A 12056-2024 tillsynsbegäran.docx", "A 12056-2024")</f>
        <v/>
      </c>
      <c r="AD142">
        <f>HYPERLINK("https://klasma.github.io/Logging_0482/tillsynsmail/A 12056-2024 tillsynsbegäran mail.docx", "A 12056-2024")</f>
        <v/>
      </c>
    </row>
    <row r="143" ht="15" customHeight="1">
      <c r="A143" t="inlineStr">
        <is>
          <t>A 47756-2022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44854</v>
      </c>
      <c r="E143" s="1" t="n">
        <v>46274</v>
      </c>
      <c r="F143" t="inlineStr">
        <is>
          <t>SÖDERMANLANDS LÄN</t>
        </is>
      </c>
      <c r="G143" t="inlineStr">
        <is>
          <t>FLEN</t>
        </is>
      </c>
      <c r="I143" t="n">
        <v>2.4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Svinrot</t>
        </is>
      </c>
      <c r="W143">
        <f>HYPERLINK("https://klasma.github.io/Logging_0482/artfynd/A 47756-2022 artfynd.xlsx", "A 47756-2022")</f>
        <v/>
      </c>
      <c r="X143">
        <f>HYPERLINK("https://klasma.github.io/Logging_0482/kartor/A 47756-2022 karta.png", "A 47756-2022")</f>
        <v/>
      </c>
      <c r="Y143">
        <f>HYPERLINK("https://klasma.github.io/Logging_0482/kartor_geotiff/A 47756-2022 georefererad karta.tif", "A 47756-2022")</f>
        <v/>
      </c>
      <c r="AA143">
        <f>HYPERLINK("https://klasma.github.io/Logging_0482/klagomål/A 47756-2022 FSC-klagomål.docx", "A 47756-2022")</f>
        <v/>
      </c>
      <c r="AB143">
        <f>HYPERLINK("https://klasma.github.io/Logging_0482/klagomålsmail/A 47756-2022 FSC-klagomål mail.docx", "A 47756-2022")</f>
        <v/>
      </c>
      <c r="AC143">
        <f>HYPERLINK("https://klasma.github.io/Logging_0482/tillsyn/A 47756-2022 tillsynsbegäran.docx", "A 47756-2022")</f>
        <v/>
      </c>
      <c r="AD143">
        <f>HYPERLINK("https://klasma.github.io/Logging_0482/tillsynsmail/A 47756-2022 tillsynsbegäran mail.docx", "A 47756-2022")</f>
        <v/>
      </c>
    </row>
    <row r="144" ht="15" customHeight="1">
      <c r="A144" t="inlineStr">
        <is>
          <t>A 62535-2021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46274</v>
      </c>
      <c r="F144" t="inlineStr">
        <is>
          <t>SÖDERMANLANDS LÄN</t>
        </is>
      </c>
      <c r="G144" t="inlineStr">
        <is>
          <t>FLEN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HYPERLINK("https://klasma.github.io/Logging_0482/artfynd/A 62535-2021 artfynd.xlsx", "A 62535-2021")</f>
        <v/>
      </c>
      <c r="X144">
        <f>HYPERLINK("https://klasma.github.io/Logging_0482/kartor/A 62535-2021 karta.png", "A 62535-2021")</f>
        <v/>
      </c>
      <c r="Y144">
        <f>HYPERLINK("https://klasma.github.io/Logging_0482/kartor_geotiff/A 62535-2021 georefererad karta.tif", "A 62535-2021")</f>
        <v/>
      </c>
      <c r="AA144">
        <f>HYPERLINK("https://klasma.github.io/Logging_0482/klagomål/A 62535-2021 FSC-klagomål.docx", "A 62535-2021")</f>
        <v/>
      </c>
      <c r="AB144">
        <f>HYPERLINK("https://klasma.github.io/Logging_0482/klagomålsmail/A 62535-2021 FSC-klagomål mail.docx", "A 62535-2021")</f>
        <v/>
      </c>
      <c r="AC144">
        <f>HYPERLINK("https://klasma.github.io/Logging_0482/tillsyn/A 62535-2021 tillsynsbegäran.docx", "A 62535-2021")</f>
        <v/>
      </c>
      <c r="AD144">
        <f>HYPERLINK("https://klasma.github.io/Logging_0482/tillsynsmail/A 62535-2021 tillsynsbegäran mail.docx", "A 62535-2021")</f>
        <v/>
      </c>
    </row>
    <row r="145" ht="15" customHeight="1">
      <c r="A145" t="inlineStr">
        <is>
          <t>A 14273-2025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46274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Vedskivlav</t>
        </is>
      </c>
      <c r="W145">
        <f>HYPERLINK("https://klasma.github.io/Logging_0482/artfynd/A 14273-2025 artfynd.xlsx", "A 14273-2025")</f>
        <v/>
      </c>
      <c r="X145">
        <f>HYPERLINK("https://klasma.github.io/Logging_0482/kartor/A 14273-2025 karta.png", "A 14273-2025")</f>
        <v/>
      </c>
      <c r="Y145">
        <f>HYPERLINK("https://klasma.github.io/Logging_0482/kartor_geotiff/A 14273-2025 georefererad karta.tif", "A 14273-2025")</f>
        <v/>
      </c>
      <c r="AA145">
        <f>HYPERLINK("https://klasma.github.io/Logging_0482/klagomål/A 14273-2025 FSC-klagomål.docx", "A 14273-2025")</f>
        <v/>
      </c>
      <c r="AB145">
        <f>HYPERLINK("https://klasma.github.io/Logging_0482/klagomålsmail/A 14273-2025 FSC-klagomål mail.docx", "A 14273-2025")</f>
        <v/>
      </c>
      <c r="AC145">
        <f>HYPERLINK("https://klasma.github.io/Logging_0482/tillsyn/A 14273-2025 tillsynsbegäran.docx", "A 14273-2025")</f>
        <v/>
      </c>
      <c r="AD145">
        <f>HYPERLINK("https://klasma.github.io/Logging_0482/tillsynsmail/A 14273-2025 tillsynsbegäran mail.docx", "A 14273-2025")</f>
        <v/>
      </c>
    </row>
    <row r="146" ht="15" customHeight="1">
      <c r="A146" t="inlineStr">
        <is>
          <t>A 49820-2023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46274</v>
      </c>
      <c r="F146" t="inlineStr">
        <is>
          <t>SÖDERMANLANDS LÄN</t>
        </is>
      </c>
      <c r="G146" t="inlineStr">
        <is>
          <t>FLEN</t>
        </is>
      </c>
      <c r="I146" t="n">
        <v>3.2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Gullviva</t>
        </is>
      </c>
      <c r="W146">
        <f>HYPERLINK("https://klasma.github.io/Logging_0482/artfynd/A 49820-2023 artfynd.xlsx", "A 49820-2023")</f>
        <v/>
      </c>
      <c r="X146">
        <f>HYPERLINK("https://klasma.github.io/Logging_0482/kartor/A 49820-2023 karta.png", "A 49820-2023")</f>
        <v/>
      </c>
      <c r="Y146">
        <f>HYPERLINK("https://klasma.github.io/Logging_0482/kartor_geotiff/A 49820-2023 georefererad karta.tif", "A 49820-2023")</f>
        <v/>
      </c>
      <c r="AA146">
        <f>HYPERLINK("https://klasma.github.io/Logging_0482/klagomål/A 49820-2023 FSC-klagomål.docx", "A 49820-2023")</f>
        <v/>
      </c>
      <c r="AB146">
        <f>HYPERLINK("https://klasma.github.io/Logging_0482/klagomålsmail/A 49820-2023 FSC-klagomål mail.docx", "A 49820-2023")</f>
        <v/>
      </c>
      <c r="AC146">
        <f>HYPERLINK("https://klasma.github.io/Logging_0482/tillsyn/A 49820-2023 tillsynsbegäran.docx", "A 49820-2023")</f>
        <v/>
      </c>
      <c r="AD146">
        <f>HYPERLINK("https://klasma.github.io/Logging_0482/tillsynsmail/A 49820-2023 tillsynsbegäran mail.docx", "A 49820-2023")</f>
        <v/>
      </c>
    </row>
    <row r="147" ht="15" customHeight="1">
      <c r="A147" t="inlineStr">
        <is>
          <t>A 45107-2023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46274</v>
      </c>
      <c r="F147" t="inlineStr">
        <is>
          <t>SÖDERMANLANDS LÄN</t>
        </is>
      </c>
      <c r="G147" t="inlineStr">
        <is>
          <t>FLEN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Brudborste</t>
        </is>
      </c>
      <c r="W147">
        <f>HYPERLINK("https://klasma.github.io/Logging_0482/artfynd/A 45107-2023 artfynd.xlsx", "A 45107-2023")</f>
        <v/>
      </c>
      <c r="X147">
        <f>HYPERLINK("https://klasma.github.io/Logging_0482/kartor/A 45107-2023 karta.png", "A 45107-2023")</f>
        <v/>
      </c>
      <c r="Y147">
        <f>HYPERLINK("https://klasma.github.io/Logging_0482/kartor_geotiff/A 45107-2023 georefererad karta.tif", "A 45107-2023")</f>
        <v/>
      </c>
      <c r="AA147">
        <f>HYPERLINK("https://klasma.github.io/Logging_0482/klagomål/A 45107-2023 FSC-klagomål.docx", "A 45107-2023")</f>
        <v/>
      </c>
      <c r="AB147">
        <f>HYPERLINK("https://klasma.github.io/Logging_0482/klagomålsmail/A 45107-2023 FSC-klagomål mail.docx", "A 45107-2023")</f>
        <v/>
      </c>
      <c r="AC147">
        <f>HYPERLINK("https://klasma.github.io/Logging_0482/tillsyn/A 45107-2023 tillsynsbegäran.docx", "A 45107-2023")</f>
        <v/>
      </c>
      <c r="AD147">
        <f>HYPERLINK("https://klasma.github.io/Logging_0482/tillsynsmail/A 45107-2023 tillsynsbegäran mail.docx", "A 45107-2023")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46274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46274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46274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46274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46274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46274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46274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46274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46274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46274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46274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46274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46274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46274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46274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46274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46274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46274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46274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46274</v>
      </c>
      <c r="F167" t="inlineStr">
        <is>
          <t>SÖDERMANLANDS LÄN</t>
        </is>
      </c>
      <c r="G167" t="inlineStr">
        <is>
          <t>FLEN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46274</v>
      </c>
      <c r="F168" t="inlineStr">
        <is>
          <t>SÖDERMANLANDS LÄN</t>
        </is>
      </c>
      <c r="G168" t="inlineStr">
        <is>
          <t>FLEN</t>
        </is>
      </c>
      <c r="H168" t="inlineStr">
        <is>
          <t>Holmen skog AB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46274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46274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46274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46274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46274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46274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46274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46274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46274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46274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46274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46274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46274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46274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46274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46274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46274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46274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46274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46274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46274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46274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46274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46274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46274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46274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46274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46274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46274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46274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46274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46274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46274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46274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46274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46274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46274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46274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46274</v>
      </c>
      <c r="F207" t="inlineStr">
        <is>
          <t>SÖDERMANLANDS LÄN</t>
        </is>
      </c>
      <c r="G207" t="inlineStr">
        <is>
          <t>FLEN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46274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46274</v>
      </c>
      <c r="F209" t="inlineStr">
        <is>
          <t>SÖDERMANLANDS LÄN</t>
        </is>
      </c>
      <c r="G209" t="inlineStr">
        <is>
          <t>FLEN</t>
        </is>
      </c>
      <c r="H209" t="inlineStr">
        <is>
          <t>Holmen skog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45531</v>
      </c>
      <c r="E210" s="1" t="n">
        <v>46274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69588-2021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44531</v>
      </c>
      <c r="E211" s="1" t="n">
        <v>46274</v>
      </c>
      <c r="F211" t="inlineStr">
        <is>
          <t>SÖDERMANLANDS LÄN</t>
        </is>
      </c>
      <c r="G211" t="inlineStr">
        <is>
          <t>FLEN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46274</v>
      </c>
      <c r="F212" t="inlineStr">
        <is>
          <t>SÖDERMANLANDS LÄN</t>
        </is>
      </c>
      <c r="G212" t="inlineStr">
        <is>
          <t>FLEN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65869-2021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46274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44785</v>
      </c>
      <c r="E214" s="1" t="n">
        <v>46274</v>
      </c>
      <c r="F214" t="inlineStr">
        <is>
          <t>SÖDERMANLANDS LÄN</t>
        </is>
      </c>
      <c r="G214" t="inlineStr">
        <is>
          <t>FLEN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44914</v>
      </c>
      <c r="E215" s="1" t="n">
        <v>46274</v>
      </c>
      <c r="F215" t="inlineStr">
        <is>
          <t>SÖDERMANLANDS LÄN</t>
        </is>
      </c>
      <c r="G215" t="inlineStr">
        <is>
          <t>FLEN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46274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46274</v>
      </c>
      <c r="F217" t="inlineStr">
        <is>
          <t>SÖDERMANLANDS LÄN</t>
        </is>
      </c>
      <c r="G217" t="inlineStr">
        <is>
          <t>FLEN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72314-2021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46274</v>
      </c>
      <c r="F218" t="inlineStr">
        <is>
          <t>SÖDERMANLANDS LÄN</t>
        </is>
      </c>
      <c r="G218" t="inlineStr">
        <is>
          <t>FLEN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46274</v>
      </c>
      <c r="F219" t="inlineStr">
        <is>
          <t>SÖDERMANLANDS LÄN</t>
        </is>
      </c>
      <c r="G219" t="inlineStr">
        <is>
          <t>FLEN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45636</v>
      </c>
      <c r="E220" s="1" t="n">
        <v>46274</v>
      </c>
      <c r="F220" t="inlineStr">
        <is>
          <t>SÖDERMANLANDS LÄN</t>
        </is>
      </c>
      <c r="G220" t="inlineStr">
        <is>
          <t>FLEN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46274</v>
      </c>
      <c r="F221" t="inlineStr">
        <is>
          <t>SÖDERMANLANDS LÄN</t>
        </is>
      </c>
      <c r="G221" t="inlineStr">
        <is>
          <t>FLEN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46274</v>
      </c>
      <c r="F222" t="inlineStr">
        <is>
          <t>SÖDERMANLANDS LÄN</t>
        </is>
      </c>
      <c r="G222" t="inlineStr">
        <is>
          <t>FLEN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47604-2021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44448</v>
      </c>
      <c r="E223" s="1" t="n">
        <v>46274</v>
      </c>
      <c r="F223" t="inlineStr">
        <is>
          <t>SÖDERMANLANDS LÄN</t>
        </is>
      </c>
      <c r="G223" t="inlineStr">
        <is>
          <t>FLEN</t>
        </is>
      </c>
      <c r="I223" t="n">
        <v>11.5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46274</v>
      </c>
      <c r="F224" t="inlineStr">
        <is>
          <t>SÖDERMANLANDS LÄN</t>
        </is>
      </c>
      <c r="G224" t="inlineStr">
        <is>
          <t>FLEN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45239</v>
      </c>
      <c r="E225" s="1" t="n">
        <v>46274</v>
      </c>
      <c r="F225" t="inlineStr">
        <is>
          <t>SÖDERMANLANDS LÄN</t>
        </is>
      </c>
      <c r="G225" t="inlineStr">
        <is>
          <t>FLEN</t>
        </is>
      </c>
      <c r="H225" t="inlineStr">
        <is>
          <t>Övriga statliga verk och myndigheter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45597</v>
      </c>
      <c r="E226" s="1" t="n">
        <v>46274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46274</v>
      </c>
      <c r="F227" t="inlineStr">
        <is>
          <t>SÖDERMANLANDS LÄN</t>
        </is>
      </c>
      <c r="G227" t="inlineStr">
        <is>
          <t>FLEN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45482</v>
      </c>
      <c r="E228" s="1" t="n">
        <v>46274</v>
      </c>
      <c r="F228" t="inlineStr">
        <is>
          <t>SÖDERMANLANDS LÄN</t>
        </is>
      </c>
      <c r="G228" t="inlineStr">
        <is>
          <t>FLEN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45226</v>
      </c>
      <c r="E229" s="1" t="n">
        <v>46274</v>
      </c>
      <c r="F229" t="inlineStr">
        <is>
          <t>SÖDERMANLANDS LÄN</t>
        </is>
      </c>
      <c r="G229" t="inlineStr">
        <is>
          <t>FLEN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46274</v>
      </c>
      <c r="F230" t="inlineStr">
        <is>
          <t>SÖDERMANLANDS LÄN</t>
        </is>
      </c>
      <c r="G230" t="inlineStr">
        <is>
          <t>FLEN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46274</v>
      </c>
      <c r="F231" t="inlineStr">
        <is>
          <t>SÖDERMANLANDS LÄN</t>
        </is>
      </c>
      <c r="G231" t="inlineStr">
        <is>
          <t>FLEN</t>
        </is>
      </c>
      <c r="H231" t="inlineStr">
        <is>
          <t>Kyrkan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46274</v>
      </c>
      <c r="F232" t="inlineStr">
        <is>
          <t>SÖDERMANLANDS LÄN</t>
        </is>
      </c>
      <c r="G232" t="inlineStr">
        <is>
          <t>FLEN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45270</v>
      </c>
      <c r="E233" s="1" t="n">
        <v>46274</v>
      </c>
      <c r="F233" t="inlineStr">
        <is>
          <t>SÖDERMANLANDS LÄN</t>
        </is>
      </c>
      <c r="G233" t="inlineStr">
        <is>
          <t>FLEN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44970</v>
      </c>
      <c r="E234" s="1" t="n">
        <v>46274</v>
      </c>
      <c r="F234" t="inlineStr">
        <is>
          <t>SÖDERMANLANDS LÄN</t>
        </is>
      </c>
      <c r="G234" t="inlineStr">
        <is>
          <t>FLEN</t>
        </is>
      </c>
      <c r="H234" t="inlineStr">
        <is>
          <t>Kommuner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44733</v>
      </c>
      <c r="E235" s="1" t="n">
        <v>46274</v>
      </c>
      <c r="F235" t="inlineStr">
        <is>
          <t>SÖDERMANLANDS LÄN</t>
        </is>
      </c>
      <c r="G235" t="inlineStr">
        <is>
          <t>FLEN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46274</v>
      </c>
      <c r="F236" t="inlineStr">
        <is>
          <t>SÖDERMANLANDS LÄN</t>
        </is>
      </c>
      <c r="G236" t="inlineStr">
        <is>
          <t>FLEN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66867-2021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44522</v>
      </c>
      <c r="E237" s="1" t="n">
        <v>46274</v>
      </c>
      <c r="F237" t="inlineStr">
        <is>
          <t>SÖDERMANLANDS LÄN</t>
        </is>
      </c>
      <c r="G237" t="inlineStr">
        <is>
          <t>FLEN</t>
        </is>
      </c>
      <c r="H237" t="inlineStr">
        <is>
          <t>Kyrkan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44931</v>
      </c>
      <c r="E238" s="1" t="n">
        <v>46274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46274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45147</v>
      </c>
      <c r="E240" s="1" t="n">
        <v>46274</v>
      </c>
      <c r="F240" t="inlineStr">
        <is>
          <t>SÖDERMANLANDS LÄN</t>
        </is>
      </c>
      <c r="G240" t="inlineStr">
        <is>
          <t>FLEN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46274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46274</v>
      </c>
      <c r="F242" t="inlineStr">
        <is>
          <t>SÖDERMANLANDS LÄN</t>
        </is>
      </c>
      <c r="G242" t="inlineStr">
        <is>
          <t>FLEN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44624</v>
      </c>
      <c r="E243" s="1" t="n">
        <v>46274</v>
      </c>
      <c r="F243" t="inlineStr">
        <is>
          <t>SÖDERMANLANDS LÄN</t>
        </is>
      </c>
      <c r="G243" t="inlineStr">
        <is>
          <t>FLEN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46274</v>
      </c>
      <c r="F244" t="inlineStr">
        <is>
          <t>SÖDERMANLANDS LÄN</t>
        </is>
      </c>
      <c r="G244" t="inlineStr">
        <is>
          <t>FLEN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14106-2025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45740</v>
      </c>
      <c r="E245" s="1" t="n">
        <v>46274</v>
      </c>
      <c r="F245" t="inlineStr">
        <is>
          <t>SÖDERMANLANDS LÄN</t>
        </is>
      </c>
      <c r="G245" t="inlineStr">
        <is>
          <t>FLEN</t>
        </is>
      </c>
      <c r="H245" t="inlineStr">
        <is>
          <t>Övriga statliga verk och myndigheter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45311</v>
      </c>
      <c r="E246" s="1" t="n">
        <v>46274</v>
      </c>
      <c r="F246" t="inlineStr">
        <is>
          <t>SÖDERMANLANDS LÄN</t>
        </is>
      </c>
      <c r="G246" t="inlineStr">
        <is>
          <t>FLEN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44588</v>
      </c>
      <c r="E247" s="1" t="n">
        <v>46274</v>
      </c>
      <c r="F247" t="inlineStr">
        <is>
          <t>SÖDERMANLANDS LÄN</t>
        </is>
      </c>
      <c r="G247" t="inlineStr">
        <is>
          <t>FLEN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45299</v>
      </c>
      <c r="E248" s="1" t="n">
        <v>46274</v>
      </c>
      <c r="F248" t="inlineStr">
        <is>
          <t>SÖDERMANLANDS LÄN</t>
        </is>
      </c>
      <c r="G248" t="inlineStr">
        <is>
          <t>FLEN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51872-2022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44872</v>
      </c>
      <c r="E249" s="1" t="n">
        <v>46274</v>
      </c>
      <c r="F249" t="inlineStr">
        <is>
          <t>SÖDERMANLANDS LÄN</t>
        </is>
      </c>
      <c r="G249" t="inlineStr">
        <is>
          <t>FLEN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44896</v>
      </c>
      <c r="E250" s="1" t="n">
        <v>46274</v>
      </c>
      <c r="F250" t="inlineStr">
        <is>
          <t>SÖDERMANLANDS LÄN</t>
        </is>
      </c>
      <c r="G250" t="inlineStr">
        <is>
          <t>FLEN</t>
        </is>
      </c>
      <c r="H250" t="inlineStr">
        <is>
          <t>Övriga statliga verk och myndigheter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44859</v>
      </c>
      <c r="E251" s="1" t="n">
        <v>46274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45057</v>
      </c>
      <c r="E252" s="1" t="n">
        <v>46274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45228</v>
      </c>
      <c r="E253" s="1" t="n">
        <v>46274</v>
      </c>
      <c r="F253" t="inlineStr">
        <is>
          <t>SÖDERMANLANDS LÄN</t>
        </is>
      </c>
      <c r="G253" t="inlineStr">
        <is>
          <t>FLEN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46274</v>
      </c>
      <c r="F254" t="inlineStr">
        <is>
          <t>SÖDERMANLANDS LÄN</t>
        </is>
      </c>
      <c r="G254" t="inlineStr">
        <is>
          <t>FLEN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6725-2022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44602</v>
      </c>
      <c r="E255" s="1" t="n">
        <v>46274</v>
      </c>
      <c r="F255" t="inlineStr">
        <is>
          <t>SÖDERMANLANDS LÄN</t>
        </is>
      </c>
      <c r="G255" t="inlineStr">
        <is>
          <t>FLEN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44899</v>
      </c>
      <c r="E256" s="1" t="n">
        <v>46274</v>
      </c>
      <c r="F256" t="inlineStr">
        <is>
          <t>SÖDERMANLANDS LÄN</t>
        </is>
      </c>
      <c r="G256" t="inlineStr">
        <is>
          <t>FLEN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46274</v>
      </c>
      <c r="F257" t="inlineStr">
        <is>
          <t>SÖDERMANLANDS LÄN</t>
        </is>
      </c>
      <c r="G257" t="inlineStr">
        <is>
          <t>FLEN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19618-2026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46274</v>
      </c>
      <c r="F258" t="inlineStr">
        <is>
          <t>SÖDERMANLANDS LÄN</t>
        </is>
      </c>
      <c r="G258" t="inlineStr">
        <is>
          <t>FLEN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46274</v>
      </c>
      <c r="F259" t="inlineStr">
        <is>
          <t>SÖDERMANLANDS LÄN</t>
        </is>
      </c>
      <c r="G259" t="inlineStr">
        <is>
          <t>FLEN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46274</v>
      </c>
      <c r="F260" t="inlineStr">
        <is>
          <t>SÖDERMANLANDS LÄN</t>
        </is>
      </c>
      <c r="G260" t="inlineStr">
        <is>
          <t>FLEN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45888</v>
      </c>
      <c r="E261" s="1" t="n">
        <v>46274</v>
      </c>
      <c r="F261" t="inlineStr">
        <is>
          <t>SÖDERMANLANDS LÄN</t>
        </is>
      </c>
      <c r="G261" t="inlineStr">
        <is>
          <t>FLEN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45805</v>
      </c>
      <c r="E262" s="1" t="n">
        <v>46274</v>
      </c>
      <c r="F262" t="inlineStr">
        <is>
          <t>SÖDERMANLANDS LÄN</t>
        </is>
      </c>
      <c r="G262" t="inlineStr">
        <is>
          <t>FLEN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44761</v>
      </c>
      <c r="E263" s="1" t="n">
        <v>46274</v>
      </c>
      <c r="F263" t="inlineStr">
        <is>
          <t>SÖDERMANLANDS LÄN</t>
        </is>
      </c>
      <c r="G263" t="inlineStr">
        <is>
          <t>FLEN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45718</v>
      </c>
      <c r="E264" s="1" t="n">
        <v>46274</v>
      </c>
      <c r="F264" t="inlineStr">
        <is>
          <t>SÖDERMANLANDS LÄN</t>
        </is>
      </c>
      <c r="G264" t="inlineStr">
        <is>
          <t>FLEN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42731-2024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45566</v>
      </c>
      <c r="E265" s="1" t="n">
        <v>46274</v>
      </c>
      <c r="F265" t="inlineStr">
        <is>
          <t>SÖDERMANLANDS LÄN</t>
        </is>
      </c>
      <c r="G265" t="inlineStr">
        <is>
          <t>FLEN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46274</v>
      </c>
      <c r="F266" t="inlineStr">
        <is>
          <t>SÖDERMANLANDS LÄN</t>
        </is>
      </c>
      <c r="G266" t="inlineStr">
        <is>
          <t>FLEN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60613-2023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45260</v>
      </c>
      <c r="E267" s="1" t="n">
        <v>46274</v>
      </c>
      <c r="F267" t="inlineStr">
        <is>
          <t>SÖDERMANLANDS LÄN</t>
        </is>
      </c>
      <c r="G267" t="inlineStr">
        <is>
          <t>FLEN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44838</v>
      </c>
      <c r="E268" s="1" t="n">
        <v>46274</v>
      </c>
      <c r="F268" t="inlineStr">
        <is>
          <t>SÖDERMANLANDS LÄN</t>
        </is>
      </c>
      <c r="G268" t="inlineStr">
        <is>
          <t>FLEN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46274</v>
      </c>
      <c r="F269" t="inlineStr">
        <is>
          <t>SÖDERMANLANDS LÄN</t>
        </is>
      </c>
      <c r="G269" t="inlineStr">
        <is>
          <t>FLEN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45358</v>
      </c>
      <c r="E270" s="1" t="n">
        <v>46274</v>
      </c>
      <c r="F270" t="inlineStr">
        <is>
          <t>SÖDERMANLANDS LÄN</t>
        </is>
      </c>
      <c r="G270" t="inlineStr">
        <is>
          <t>FLEN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46274</v>
      </c>
      <c r="F271" t="inlineStr">
        <is>
          <t>SÖDERMANLANDS LÄN</t>
        </is>
      </c>
      <c r="G271" t="inlineStr">
        <is>
          <t>FLEN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46274</v>
      </c>
      <c r="F272" t="inlineStr">
        <is>
          <t>SÖDERMANLANDS LÄN</t>
        </is>
      </c>
      <c r="G272" t="inlineStr">
        <is>
          <t>FLEN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46274</v>
      </c>
      <c r="F273" t="inlineStr">
        <is>
          <t>SÖDERMANLANDS LÄN</t>
        </is>
      </c>
      <c r="G273" t="inlineStr">
        <is>
          <t>FLEN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44722</v>
      </c>
      <c r="E274" s="1" t="n">
        <v>46274</v>
      </c>
      <c r="F274" t="inlineStr">
        <is>
          <t>SÖDERMANLANDS LÄN</t>
        </is>
      </c>
      <c r="G274" t="inlineStr">
        <is>
          <t>FLEN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46274</v>
      </c>
      <c r="F275" t="inlineStr">
        <is>
          <t>SÖDERMANLANDS LÄN</t>
        </is>
      </c>
      <c r="G275" t="inlineStr">
        <is>
          <t>FLEN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33103-2022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44785</v>
      </c>
      <c r="E276" s="1" t="n">
        <v>46274</v>
      </c>
      <c r="F276" t="inlineStr">
        <is>
          <t>SÖDERMANLANDS LÄN</t>
        </is>
      </c>
      <c r="G276" t="inlineStr">
        <is>
          <t>FLEN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9431-2022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44616</v>
      </c>
      <c r="E277" s="1" t="n">
        <v>46274</v>
      </c>
      <c r="F277" t="inlineStr">
        <is>
          <t>SÖDERMANLANDS LÄN</t>
        </is>
      </c>
      <c r="G277" t="inlineStr">
        <is>
          <t>FLEN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52692-2021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44466</v>
      </c>
      <c r="E278" s="1" t="n">
        <v>46274</v>
      </c>
      <c r="F278" t="inlineStr">
        <is>
          <t>SÖDERMANLANDS LÄN</t>
        </is>
      </c>
      <c r="G278" t="inlineStr">
        <is>
          <t>FLEN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39821-2024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46274</v>
      </c>
      <c r="F279" t="inlineStr">
        <is>
          <t>SÖDERMANLANDS LÄN</t>
        </is>
      </c>
      <c r="G279" t="inlineStr">
        <is>
          <t>FLEN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46274</v>
      </c>
      <c r="F280" t="inlineStr">
        <is>
          <t>SÖDERMANLANDS LÄN</t>
        </is>
      </c>
      <c r="G280" t="inlineStr">
        <is>
          <t>FLEN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46274</v>
      </c>
      <c r="F281" t="inlineStr">
        <is>
          <t>SÖDERMANLANDS LÄN</t>
        </is>
      </c>
      <c r="G281" t="inlineStr">
        <is>
          <t>FLEN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45869</v>
      </c>
      <c r="E282" s="1" t="n">
        <v>46274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44807</v>
      </c>
      <c r="E283" s="1" t="n">
        <v>46274</v>
      </c>
      <c r="F283" t="inlineStr">
        <is>
          <t>SÖDERMANLANDS LÄN</t>
        </is>
      </c>
      <c r="G283" t="inlineStr">
        <is>
          <t>FLEN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45213</v>
      </c>
      <c r="E284" s="1" t="n">
        <v>46274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23216-2025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46274</v>
      </c>
      <c r="F285" t="inlineStr">
        <is>
          <t>SÖDERMANLANDS LÄN</t>
        </is>
      </c>
      <c r="G285" t="inlineStr">
        <is>
          <t>FLEN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46274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46274</v>
      </c>
      <c r="F287" t="inlineStr">
        <is>
          <t>SÖDERMANLANDS LÄN</t>
        </is>
      </c>
      <c r="G287" t="inlineStr">
        <is>
          <t>FLEN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46274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46274</v>
      </c>
      <c r="F289" t="inlineStr">
        <is>
          <t>SÖDERMANLANDS LÄN</t>
        </is>
      </c>
      <c r="G289" t="inlineStr">
        <is>
          <t>FLEN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46274</v>
      </c>
      <c r="F290" t="inlineStr">
        <is>
          <t>SÖDERMANLANDS LÄN</t>
        </is>
      </c>
      <c r="G290" t="inlineStr">
        <is>
          <t>FLEN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64480-2023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46274</v>
      </c>
      <c r="F291" t="inlineStr">
        <is>
          <t>SÖDERMANLANDS LÄN</t>
        </is>
      </c>
      <c r="G291" t="inlineStr">
        <is>
          <t>FLEN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46274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46274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49828-2022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44862</v>
      </c>
      <c r="E294" s="1" t="n">
        <v>46274</v>
      </c>
      <c r="F294" t="inlineStr">
        <is>
          <t>SÖDERMANLANDS LÄN</t>
        </is>
      </c>
      <c r="G294" t="inlineStr">
        <is>
          <t>FLEN</t>
        </is>
      </c>
      <c r="H294" t="inlineStr">
        <is>
          <t>Kyrkan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67464-2021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44524</v>
      </c>
      <c r="E295" s="1" t="n">
        <v>46274</v>
      </c>
      <c r="F295" t="inlineStr">
        <is>
          <t>SÖDERMANLANDS LÄN</t>
        </is>
      </c>
      <c r="G295" t="inlineStr">
        <is>
          <t>FLEN</t>
        </is>
      </c>
      <c r="I295" t="n">
        <v>7.7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66979-2021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44522</v>
      </c>
      <c r="E296" s="1" t="n">
        <v>46274</v>
      </c>
      <c r="F296" t="inlineStr">
        <is>
          <t>SÖDERMANLANDS LÄN</t>
        </is>
      </c>
      <c r="G296" t="inlineStr">
        <is>
          <t>FLEN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16908-2024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45411</v>
      </c>
      <c r="E297" s="1" t="n">
        <v>46274</v>
      </c>
      <c r="F297" t="inlineStr">
        <is>
          <t>SÖDERMANLANDS LÄN</t>
        </is>
      </c>
      <c r="G297" t="inlineStr">
        <is>
          <t>FLEN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46274</v>
      </c>
      <c r="F298" t="inlineStr">
        <is>
          <t>SÖDERMANLANDS LÄN</t>
        </is>
      </c>
      <c r="G298" t="inlineStr">
        <is>
          <t>FLEN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45555</v>
      </c>
      <c r="E299" s="1" t="n">
        <v>46274</v>
      </c>
      <c r="F299" t="inlineStr">
        <is>
          <t>SÖDERMANLANDS LÄN</t>
        </is>
      </c>
      <c r="G299" t="inlineStr">
        <is>
          <t>FLEN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46274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46274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25467-2023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45081</v>
      </c>
      <c r="E302" s="1" t="n">
        <v>46274</v>
      </c>
      <c r="F302" t="inlineStr">
        <is>
          <t>SÖDERMANLANDS LÄN</t>
        </is>
      </c>
      <c r="G302" t="inlineStr">
        <is>
          <t>FLEN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45081</v>
      </c>
      <c r="E303" s="1" t="n">
        <v>46274</v>
      </c>
      <c r="F303" t="inlineStr">
        <is>
          <t>SÖDERMANLANDS LÄN</t>
        </is>
      </c>
      <c r="G303" t="inlineStr">
        <is>
          <t>FLEN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46274</v>
      </c>
      <c r="F304" t="inlineStr">
        <is>
          <t>SÖDERMANLANDS LÄN</t>
        </is>
      </c>
      <c r="G304" t="inlineStr">
        <is>
          <t>FLEN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44988</v>
      </c>
      <c r="E305" s="1" t="n">
        <v>46274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46274</v>
      </c>
      <c r="F306" t="inlineStr">
        <is>
          <t>SÖDERMANLANDS LÄN</t>
        </is>
      </c>
      <c r="G306" t="inlineStr">
        <is>
          <t>FLEN</t>
        </is>
      </c>
      <c r="H306" t="inlineStr">
        <is>
          <t>Kyrkan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53119-2023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45228</v>
      </c>
      <c r="E307" s="1" t="n">
        <v>46274</v>
      </c>
      <c r="F307" t="inlineStr">
        <is>
          <t>SÖDERMANLANDS LÄN</t>
        </is>
      </c>
      <c r="G307" t="inlineStr">
        <is>
          <t>FLEN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45022</v>
      </c>
      <c r="E308" s="1" t="n">
        <v>46274</v>
      </c>
      <c r="F308" t="inlineStr">
        <is>
          <t>SÖDERMANLANDS LÄN</t>
        </is>
      </c>
      <c r="G308" t="inlineStr">
        <is>
          <t>FLEN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46274</v>
      </c>
      <c r="F309" t="inlineStr">
        <is>
          <t>SÖDERMANLANDS LÄN</t>
        </is>
      </c>
      <c r="G309" t="inlineStr">
        <is>
          <t>FLEN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45022</v>
      </c>
      <c r="E310" s="1" t="n">
        <v>46274</v>
      </c>
      <c r="F310" t="inlineStr">
        <is>
          <t>SÖDERMANLANDS LÄN</t>
        </is>
      </c>
      <c r="G310" t="inlineStr">
        <is>
          <t>FLEN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54283-2025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45964</v>
      </c>
      <c r="E311" s="1" t="n">
        <v>46274</v>
      </c>
      <c r="F311" t="inlineStr">
        <is>
          <t>SÖDERMANLANDS LÄN</t>
        </is>
      </c>
      <c r="G311" t="inlineStr">
        <is>
          <t>FLEN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54282-2025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45964</v>
      </c>
      <c r="E312" s="1" t="n">
        <v>46274</v>
      </c>
      <c r="F312" t="inlineStr">
        <is>
          <t>SÖDERMANLANDS LÄN</t>
        </is>
      </c>
      <c r="G312" t="inlineStr">
        <is>
          <t>FLEN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44897</v>
      </c>
      <c r="E313" s="1" t="n">
        <v>46274</v>
      </c>
      <c r="F313" t="inlineStr">
        <is>
          <t>SÖDERMANLANDS LÄN</t>
        </is>
      </c>
      <c r="G313" t="inlineStr">
        <is>
          <t>FLEN</t>
        </is>
      </c>
      <c r="H313" t="inlineStr">
        <is>
          <t>Övriga statliga verk och myndigheter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46274</v>
      </c>
      <c r="F314" t="inlineStr">
        <is>
          <t>SÖDERMANLANDS LÄN</t>
        </is>
      </c>
      <c r="G314" t="inlineStr">
        <is>
          <t>FLEN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32023-2022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46274</v>
      </c>
      <c r="F315" t="inlineStr">
        <is>
          <t>SÖDERMANLANDS LÄN</t>
        </is>
      </c>
      <c r="G315" t="inlineStr">
        <is>
          <t>FLEN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46168</v>
      </c>
      <c r="E316" s="1" t="n">
        <v>46274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52541-2021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44463</v>
      </c>
      <c r="E317" s="1" t="n">
        <v>46274</v>
      </c>
      <c r="F317" t="inlineStr">
        <is>
          <t>SÖDERMANLANDS LÄN</t>
        </is>
      </c>
      <c r="G317" t="inlineStr">
        <is>
          <t>FLEN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46274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45331</v>
      </c>
      <c r="E319" s="1" t="n">
        <v>46274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45066</v>
      </c>
      <c r="E320" s="1" t="n">
        <v>46274</v>
      </c>
      <c r="F320" t="inlineStr">
        <is>
          <t>SÖDERMANLANDS LÄN</t>
        </is>
      </c>
      <c r="G320" t="inlineStr">
        <is>
          <t>FLEN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46274</v>
      </c>
      <c r="F321" t="inlineStr">
        <is>
          <t>SÖDERMANLANDS LÄN</t>
        </is>
      </c>
      <c r="G321" t="inlineStr">
        <is>
          <t>FLEN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44979</v>
      </c>
      <c r="E322" s="1" t="n">
        <v>46274</v>
      </c>
      <c r="F322" t="inlineStr">
        <is>
          <t>SÖDERMANLANDS LÄN</t>
        </is>
      </c>
      <c r="G322" t="inlineStr">
        <is>
          <t>FLEN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46274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46274</v>
      </c>
      <c r="F324" t="inlineStr">
        <is>
          <t>SÖDERMANLANDS LÄN</t>
        </is>
      </c>
      <c r="G324" t="inlineStr">
        <is>
          <t>FLEN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46274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46274</v>
      </c>
      <c r="F326" t="inlineStr">
        <is>
          <t>SÖDERMANLANDS LÄN</t>
        </is>
      </c>
      <c r="G326" t="inlineStr">
        <is>
          <t>FLEN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46274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  <c r="Z327">
        <f>HYPERLINK("https://klasma.github.io/Logging_0482/knärot/A 24450-2026 karta knärot.png", "A 24450-2026")</f>
        <v/>
      </c>
      <c r="AA327">
        <f>HYPERLINK("https://klasma.github.io/Logging_0482/klagomål/A 24450-2026 FSC-klagomål.docx", "A 24450-2026")</f>
        <v/>
      </c>
      <c r="AB327">
        <f>HYPERLINK("https://klasma.github.io/Logging_0482/klagomålsmail/A 24450-2026 FSC-klagomål mail.docx", "A 24450-2026")</f>
        <v/>
      </c>
      <c r="AC327">
        <f>HYPERLINK("https://klasma.github.io/Logging_0482/tillsyn/A 24450-2026 tillsynsbegäran.docx", "A 24450-2026")</f>
        <v/>
      </c>
      <c r="AD327">
        <f>HYPERLINK("https://klasma.github.io/Logging_0482/tillsynsmail/A 24450-2026 tillsynsbegäran mail.docx", "A 24450-2026")</f>
        <v/>
      </c>
    </row>
    <row r="328" ht="15" customHeight="1">
      <c r="A328" t="inlineStr">
        <is>
          <t>A 56573-2025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45974</v>
      </c>
      <c r="E328" s="1" t="n">
        <v>46274</v>
      </c>
      <c r="F328" t="inlineStr">
        <is>
          <t>SÖDERMANLANDS LÄN</t>
        </is>
      </c>
      <c r="G328" t="inlineStr">
        <is>
          <t>FLEN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46274</v>
      </c>
      <c r="F329" t="inlineStr">
        <is>
          <t>SÖDERMANLANDS LÄN</t>
        </is>
      </c>
      <c r="G329" t="inlineStr">
        <is>
          <t>FLEN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45330</v>
      </c>
      <c r="E330" s="1" t="n">
        <v>46274</v>
      </c>
      <c r="F330" t="inlineStr">
        <is>
          <t>SÖDERMANLANDS LÄN</t>
        </is>
      </c>
      <c r="G330" t="inlineStr">
        <is>
          <t>FLEN</t>
        </is>
      </c>
      <c r="H330" t="inlineStr">
        <is>
          <t>Övriga statliga verk och myndigheter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54781-2024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45618</v>
      </c>
      <c r="E331" s="1" t="n">
        <v>46274</v>
      </c>
      <c r="F331" t="inlineStr">
        <is>
          <t>SÖDERMANLANDS LÄN</t>
        </is>
      </c>
      <c r="G331" t="inlineStr">
        <is>
          <t>FLEN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44864</v>
      </c>
      <c r="E332" s="1" t="n">
        <v>46274</v>
      </c>
      <c r="F332" t="inlineStr">
        <is>
          <t>SÖDERMANLANDS LÄN</t>
        </is>
      </c>
      <c r="G332" t="inlineStr">
        <is>
          <t>FLEN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44855</v>
      </c>
      <c r="E333" s="1" t="n">
        <v>46274</v>
      </c>
      <c r="F333" t="inlineStr">
        <is>
          <t>SÖDERMANLANDS LÄN</t>
        </is>
      </c>
      <c r="G333" t="inlineStr">
        <is>
          <t>FLEN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45250</v>
      </c>
      <c r="E334" s="1" t="n">
        <v>46274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46274</v>
      </c>
      <c r="F335" t="inlineStr">
        <is>
          <t>SÖDERMANLANDS LÄN</t>
        </is>
      </c>
      <c r="G335" t="inlineStr">
        <is>
          <t>FLEN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44855</v>
      </c>
      <c r="E336" s="1" t="n">
        <v>46274</v>
      </c>
      <c r="F336" t="inlineStr">
        <is>
          <t>SÖDERMANLANDS LÄN</t>
        </is>
      </c>
      <c r="G336" t="inlineStr">
        <is>
          <t>FLEN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47872-2025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45932</v>
      </c>
      <c r="E337" s="1" t="n">
        <v>46274</v>
      </c>
      <c r="F337" t="inlineStr">
        <is>
          <t>SÖDERMANLANDS LÄN</t>
        </is>
      </c>
      <c r="G337" t="inlineStr">
        <is>
          <t>FLEN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46274</v>
      </c>
      <c r="F338" t="inlineStr">
        <is>
          <t>SÖDERMANLANDS LÄN</t>
        </is>
      </c>
      <c r="G338" t="inlineStr">
        <is>
          <t>FLEN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46175</v>
      </c>
      <c r="E339" s="1" t="n">
        <v>46274</v>
      </c>
      <c r="F339" t="inlineStr">
        <is>
          <t>SÖDERMANLANDS LÄN</t>
        </is>
      </c>
      <c r="G339" t="inlineStr">
        <is>
          <t>FLEN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46176</v>
      </c>
      <c r="E340" s="1" t="n">
        <v>46274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26318-2026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46274</v>
      </c>
      <c r="F341" t="inlineStr">
        <is>
          <t>SÖDERMANLANDS LÄN</t>
        </is>
      </c>
      <c r="G341" t="inlineStr">
        <is>
          <t>FLEN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46274</v>
      </c>
      <c r="F342" t="inlineStr">
        <is>
          <t>SÖDERMANLANDS LÄN</t>
        </is>
      </c>
      <c r="G342" t="inlineStr">
        <is>
          <t>FLEN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45528</v>
      </c>
      <c r="E343" s="1" t="n">
        <v>46274</v>
      </c>
      <c r="F343" t="inlineStr">
        <is>
          <t>SÖDERMANLANDS LÄN</t>
        </is>
      </c>
      <c r="G343" t="inlineStr">
        <is>
          <t>FLEN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46274</v>
      </c>
      <c r="F344" t="inlineStr">
        <is>
          <t>SÖDERMANLANDS LÄN</t>
        </is>
      </c>
      <c r="G344" t="inlineStr">
        <is>
          <t>FLEN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45993</v>
      </c>
      <c r="E345" s="1" t="n">
        <v>46274</v>
      </c>
      <c r="F345" t="inlineStr">
        <is>
          <t>SÖDERMANLANDS LÄN</t>
        </is>
      </c>
      <c r="G345" t="inlineStr">
        <is>
          <t>FLEN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46274</v>
      </c>
      <c r="F346" t="inlineStr">
        <is>
          <t>SÖDERMANLANDS LÄN</t>
        </is>
      </c>
      <c r="G346" t="inlineStr">
        <is>
          <t>FLEN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46274</v>
      </c>
      <c r="F347" t="inlineStr">
        <is>
          <t>SÖDERMANLANDS LÄN</t>
        </is>
      </c>
      <c r="G347" t="inlineStr">
        <is>
          <t>FLEN</t>
        </is>
      </c>
      <c r="H347" t="inlineStr">
        <is>
          <t>Kyrkan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45306</v>
      </c>
      <c r="E348" s="1" t="n">
        <v>46274</v>
      </c>
      <c r="F348" t="inlineStr">
        <is>
          <t>SÖDERMANLANDS LÄN</t>
        </is>
      </c>
      <c r="G348" t="inlineStr">
        <is>
          <t>FLEN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60401-2025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45995</v>
      </c>
      <c r="E349" s="1" t="n">
        <v>46274</v>
      </c>
      <c r="F349" t="inlineStr">
        <is>
          <t>SÖDERMANLANDS LÄN</t>
        </is>
      </c>
      <c r="G349" t="inlineStr">
        <is>
          <t>FLEN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60382-2025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46274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46274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60206-2025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46274</v>
      </c>
      <c r="F352" t="inlineStr">
        <is>
          <t>SÖDERMANLANDS LÄN</t>
        </is>
      </c>
      <c r="G352" t="inlineStr">
        <is>
          <t>FLEN</t>
        </is>
      </c>
      <c r="H352" t="inlineStr">
        <is>
          <t>Kyrkan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57353-2022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44896</v>
      </c>
      <c r="E353" s="1" t="n">
        <v>46274</v>
      </c>
      <c r="F353" t="inlineStr">
        <is>
          <t>SÖDERMANLANDS LÄN</t>
        </is>
      </c>
      <c r="G353" t="inlineStr">
        <is>
          <t>FLEN</t>
        </is>
      </c>
      <c r="H353" t="inlineStr">
        <is>
          <t>Övriga statliga verk och myndigheter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46170</v>
      </c>
      <c r="E354" s="1" t="n">
        <v>46274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46274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46274</v>
      </c>
      <c r="F356" t="inlineStr">
        <is>
          <t>SÖDERMANLANDS LÄN</t>
        </is>
      </c>
      <c r="G356" t="inlineStr">
        <is>
          <t>FLEN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46274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46185</v>
      </c>
      <c r="E358" s="1" t="n">
        <v>46274</v>
      </c>
      <c r="F358" t="inlineStr">
        <is>
          <t>SÖDERMANLANDS LÄN</t>
        </is>
      </c>
      <c r="G358" t="inlineStr">
        <is>
          <t>FLEN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46274</v>
      </c>
      <c r="F359" t="inlineStr">
        <is>
          <t>SÖDERMANLANDS LÄN</t>
        </is>
      </c>
      <c r="G359" t="inlineStr">
        <is>
          <t>FLEN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46274</v>
      </c>
      <c r="F360" t="inlineStr">
        <is>
          <t>SÖDERMANLANDS LÄN</t>
        </is>
      </c>
      <c r="G360" t="inlineStr">
        <is>
          <t>FLEN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46274</v>
      </c>
      <c r="F361" t="inlineStr">
        <is>
          <t>SÖDERMANLANDS LÄN</t>
        </is>
      </c>
      <c r="G361" t="inlineStr">
        <is>
          <t>FLEN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44970</v>
      </c>
      <c r="E362" s="1" t="n">
        <v>46274</v>
      </c>
      <c r="F362" t="inlineStr">
        <is>
          <t>SÖDERMANLANDS LÄN</t>
        </is>
      </c>
      <c r="G362" t="inlineStr">
        <is>
          <t>FLEN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48497-2021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44449</v>
      </c>
      <c r="E363" s="1" t="n">
        <v>46274</v>
      </c>
      <c r="F363" t="inlineStr">
        <is>
          <t>SÖDERMANLANDS LÄN</t>
        </is>
      </c>
      <c r="G363" t="inlineStr">
        <is>
          <t>FLEN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46274</v>
      </c>
      <c r="F364" t="inlineStr">
        <is>
          <t>SÖDERMANLANDS LÄN</t>
        </is>
      </c>
      <c r="G364" t="inlineStr">
        <is>
          <t>FLEN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46274</v>
      </c>
      <c r="F365" t="inlineStr">
        <is>
          <t>SÖDERMANLANDS LÄN</t>
        </is>
      </c>
      <c r="G365" t="inlineStr">
        <is>
          <t>FLEN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46274</v>
      </c>
      <c r="F366" t="inlineStr">
        <is>
          <t>SÖDERMANLANDS LÄN</t>
        </is>
      </c>
      <c r="G366" t="inlineStr">
        <is>
          <t>FLEN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46240</v>
      </c>
      <c r="E367" s="1" t="n">
        <v>46274</v>
      </c>
      <c r="F367" t="inlineStr">
        <is>
          <t>SÖDERMANLANDS LÄN</t>
        </is>
      </c>
      <c r="G367" t="inlineStr">
        <is>
          <t>FLEN</t>
        </is>
      </c>
      <c r="I367" t="n">
        <v>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44957</v>
      </c>
      <c r="E368" s="1" t="n">
        <v>46274</v>
      </c>
      <c r="F368" t="inlineStr">
        <is>
          <t>SÖDERMANLANDS LÄN</t>
        </is>
      </c>
      <c r="G368" t="inlineStr">
        <is>
          <t>FLEN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45209</v>
      </c>
      <c r="E369" s="1" t="n">
        <v>46274</v>
      </c>
      <c r="F369" t="inlineStr">
        <is>
          <t>SÖDERMANLANDS LÄN</t>
        </is>
      </c>
      <c r="G369" t="inlineStr">
        <is>
          <t>FLEN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46274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57044-2023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45244</v>
      </c>
      <c r="E371" s="1" t="n">
        <v>46274</v>
      </c>
      <c r="F371" t="inlineStr">
        <is>
          <t>SÖDERMANLANDS LÄN</t>
        </is>
      </c>
      <c r="G371" t="inlineStr">
        <is>
          <t>FLEN</t>
        </is>
      </c>
      <c r="H371" t="inlineStr">
        <is>
          <t>Övriga statliga verk och myndigheter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33000-2026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46244</v>
      </c>
      <c r="E372" s="1" t="n">
        <v>46274</v>
      </c>
      <c r="F372" t="inlineStr">
        <is>
          <t>SÖDERMANLANDS LÄN</t>
        </is>
      </c>
      <c r="G372" t="inlineStr">
        <is>
          <t>FLEN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44991</v>
      </c>
      <c r="E373" s="1" t="n">
        <v>46274</v>
      </c>
      <c r="F373" t="inlineStr">
        <is>
          <t>SÖDERMANLANDS LÄN</t>
        </is>
      </c>
      <c r="G373" t="inlineStr">
        <is>
          <t>FLEN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46274</v>
      </c>
      <c r="F374" t="inlineStr">
        <is>
          <t>SÖDERMANLANDS LÄN</t>
        </is>
      </c>
      <c r="G374" t="inlineStr">
        <is>
          <t>FLEN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45048</v>
      </c>
      <c r="E375" s="1" t="n">
        <v>46274</v>
      </c>
      <c r="F375" t="inlineStr">
        <is>
          <t>SÖDERMANLANDS LÄN</t>
        </is>
      </c>
      <c r="G375" t="inlineStr">
        <is>
          <t>FLEN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45056</v>
      </c>
      <c r="E376" s="1" t="n">
        <v>46274</v>
      </c>
      <c r="F376" t="inlineStr">
        <is>
          <t>SÖDERMANLANDS LÄN</t>
        </is>
      </c>
      <c r="G376" t="inlineStr">
        <is>
          <t>FLEN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45574</v>
      </c>
      <c r="E377" s="1" t="n">
        <v>46274</v>
      </c>
      <c r="F377" t="inlineStr">
        <is>
          <t>SÖDERMANLANDS LÄN</t>
        </is>
      </c>
      <c r="G377" t="inlineStr">
        <is>
          <t>FLEN</t>
        </is>
      </c>
      <c r="H377" t="inlineStr">
        <is>
          <t>Övriga statliga verk och myndigheter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45230</v>
      </c>
      <c r="E378" s="1" t="n">
        <v>46274</v>
      </c>
      <c r="F378" t="inlineStr">
        <is>
          <t>SÖDERMANLANDS LÄN</t>
        </is>
      </c>
      <c r="G378" t="inlineStr">
        <is>
          <t>FLEN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45119</v>
      </c>
      <c r="E379" s="1" t="n">
        <v>46274</v>
      </c>
      <c r="F379" t="inlineStr">
        <is>
          <t>SÖDERMANLANDS LÄN</t>
        </is>
      </c>
      <c r="G379" t="inlineStr">
        <is>
          <t>FLEN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44566</v>
      </c>
      <c r="E380" s="1" t="n">
        <v>46274</v>
      </c>
      <c r="F380" t="inlineStr">
        <is>
          <t>SÖDERMANLANDS LÄN</t>
        </is>
      </c>
      <c r="G380" t="inlineStr">
        <is>
          <t>FLEN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46274</v>
      </c>
      <c r="F381" t="inlineStr">
        <is>
          <t>SÖDERMANLANDS LÄN</t>
        </is>
      </c>
      <c r="G381" t="inlineStr">
        <is>
          <t>FLEN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46251</v>
      </c>
      <c r="E382" s="1" t="n">
        <v>46274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46274</v>
      </c>
      <c r="F383" t="inlineStr">
        <is>
          <t>SÖDERMANLANDS LÄN</t>
        </is>
      </c>
      <c r="G383" t="inlineStr">
        <is>
          <t>FLEN</t>
        </is>
      </c>
      <c r="H383" t="inlineStr">
        <is>
          <t>Övriga statliga verk och myndigheter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33727-2026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46274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46251</v>
      </c>
      <c r="E385" s="1" t="n">
        <v>46274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46274</v>
      </c>
      <c r="F386" t="inlineStr">
        <is>
          <t>SÖDERMANLANDS LÄN</t>
        </is>
      </c>
      <c r="G386" t="inlineStr">
        <is>
          <t>FLEN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10828-2022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44624</v>
      </c>
      <c r="E387" s="1" t="n">
        <v>46274</v>
      </c>
      <c r="F387" t="inlineStr">
        <is>
          <t>SÖDERMANLANDS LÄN</t>
        </is>
      </c>
      <c r="G387" t="inlineStr">
        <is>
          <t>FLEN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33936-2026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46250</v>
      </c>
      <c r="E388" s="1" t="n">
        <v>46274</v>
      </c>
      <c r="F388" t="inlineStr">
        <is>
          <t>SÖDERMANLANDS LÄN</t>
        </is>
      </c>
      <c r="G388" t="inlineStr">
        <is>
          <t>FLEN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46274</v>
      </c>
      <c r="F389" t="inlineStr">
        <is>
          <t>SÖDERMANLANDS LÄN</t>
        </is>
      </c>
      <c r="G389" t="inlineStr">
        <is>
          <t>FLEN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46274</v>
      </c>
      <c r="F390" t="inlineStr">
        <is>
          <t>SÖDERMANLANDS LÄN</t>
        </is>
      </c>
      <c r="G390" t="inlineStr">
        <is>
          <t>FLEN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46274</v>
      </c>
      <c r="F391" t="inlineStr">
        <is>
          <t>SÖDERMANLANDS LÄN</t>
        </is>
      </c>
      <c r="G391" t="inlineStr">
        <is>
          <t>FLEN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46274</v>
      </c>
      <c r="F392" t="inlineStr">
        <is>
          <t>SÖDERMANLANDS LÄN</t>
        </is>
      </c>
      <c r="G392" t="inlineStr">
        <is>
          <t>FLEN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18511-2023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45041</v>
      </c>
      <c r="E393" s="1" t="n">
        <v>46274</v>
      </c>
      <c r="F393" t="inlineStr">
        <is>
          <t>SÖDERMANLANDS LÄN</t>
        </is>
      </c>
      <c r="G393" t="inlineStr">
        <is>
          <t>FLEN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46274</v>
      </c>
      <c r="F394" t="inlineStr">
        <is>
          <t>SÖDERMANLANDS LÄN</t>
        </is>
      </c>
      <c r="G394" t="inlineStr">
        <is>
          <t>FLEN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46274</v>
      </c>
      <c r="F395" t="inlineStr">
        <is>
          <t>SÖDERMANLANDS LÄN</t>
        </is>
      </c>
      <c r="G395" t="inlineStr">
        <is>
          <t>FLEN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46274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34851-2026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46258</v>
      </c>
      <c r="E397" s="1" t="n">
        <v>46274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46077</v>
      </c>
      <c r="E398" s="1" t="n">
        <v>46274</v>
      </c>
      <c r="F398" t="inlineStr">
        <is>
          <t>SÖDERMANLANDS LÄN</t>
        </is>
      </c>
      <c r="G398" t="inlineStr">
        <is>
          <t>FLEN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44701</v>
      </c>
      <c r="E399" s="1" t="n">
        <v>46274</v>
      </c>
      <c r="F399" t="inlineStr">
        <is>
          <t>SÖDERMANLANDS LÄN</t>
        </is>
      </c>
      <c r="G399" t="inlineStr">
        <is>
          <t>FLEN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46080</v>
      </c>
      <c r="E400" s="1" t="n">
        <v>46274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46080</v>
      </c>
      <c r="E401" s="1" t="n">
        <v>46274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46274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11105-2026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46079</v>
      </c>
      <c r="E403" s="1" t="n">
        <v>46274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45740</v>
      </c>
      <c r="E404" s="1" t="n">
        <v>46274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11098-2026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46274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46080</v>
      </c>
      <c r="E406" s="1" t="n">
        <v>46274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11339-2026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46082</v>
      </c>
      <c r="E407" s="1" t="n">
        <v>46274</v>
      </c>
      <c r="F407" t="inlineStr">
        <is>
          <t>SÖDERMANLANDS LÄN</t>
        </is>
      </c>
      <c r="G407" t="inlineStr">
        <is>
          <t>FLEN</t>
        </is>
      </c>
      <c r="I407" t="n">
        <v>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46083</v>
      </c>
      <c r="E408" s="1" t="n">
        <v>46274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60150-2022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46274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45518</v>
      </c>
      <c r="E410" s="1" t="n">
        <v>46274</v>
      </c>
      <c r="F410" t="inlineStr">
        <is>
          <t>SÖDERMANLANDS LÄN</t>
        </is>
      </c>
      <c r="G410" t="inlineStr">
        <is>
          <t>FLEN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62763-2023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45271</v>
      </c>
      <c r="E411" s="1" t="n">
        <v>46274</v>
      </c>
      <c r="F411" t="inlineStr">
        <is>
          <t>SÖDERMANLANDS LÄN</t>
        </is>
      </c>
      <c r="G411" t="inlineStr">
        <is>
          <t>FLEN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46258</v>
      </c>
      <c r="E412" s="1" t="n">
        <v>46274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46252</v>
      </c>
      <c r="E413" s="1" t="n">
        <v>46274</v>
      </c>
      <c r="F413" t="inlineStr">
        <is>
          <t>SÖDERMANLANDS LÄN</t>
        </is>
      </c>
      <c r="G413" t="inlineStr">
        <is>
          <t>FLEN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46274</v>
      </c>
      <c r="F414" t="inlineStr">
        <is>
          <t>SÖDERMANLANDS LÄN</t>
        </is>
      </c>
      <c r="G414" t="inlineStr">
        <is>
          <t>FLEN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46274</v>
      </c>
      <c r="F415" t="inlineStr">
        <is>
          <t>SÖDERMANLANDS LÄN</t>
        </is>
      </c>
      <c r="G415" t="inlineStr">
        <is>
          <t>FLEN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46252</v>
      </c>
      <c r="E416" s="1" t="n">
        <v>46274</v>
      </c>
      <c r="F416" t="inlineStr">
        <is>
          <t>SÖDERMANLANDS LÄN</t>
        </is>
      </c>
      <c r="G416" t="inlineStr">
        <is>
          <t>FLEN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34055-2026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46252</v>
      </c>
      <c r="E417" s="1" t="n">
        <v>46274</v>
      </c>
      <c r="F417" t="inlineStr">
        <is>
          <t>SÖDERMANLANDS LÄN</t>
        </is>
      </c>
      <c r="G417" t="inlineStr">
        <is>
          <t>FLEN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12712-2026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46091</v>
      </c>
      <c r="E418" s="1" t="n">
        <v>46274</v>
      </c>
      <c r="F418" t="inlineStr">
        <is>
          <t>SÖDERMANLANDS LÄN</t>
        </is>
      </c>
      <c r="G418" t="inlineStr">
        <is>
          <t>FLEN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45315</v>
      </c>
      <c r="E419" s="1" t="n">
        <v>46274</v>
      </c>
      <c r="F419" t="inlineStr">
        <is>
          <t>SÖDERMANLANDS LÄN</t>
        </is>
      </c>
      <c r="G419" t="inlineStr">
        <is>
          <t>FLEN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46274</v>
      </c>
      <c r="F420" t="inlineStr">
        <is>
          <t>SÖDERMANLANDS LÄN</t>
        </is>
      </c>
      <c r="G420" t="inlineStr">
        <is>
          <t>FLEN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16937-2022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44676</v>
      </c>
      <c r="E421" s="1" t="n">
        <v>46274</v>
      </c>
      <c r="F421" t="inlineStr">
        <is>
          <t>SÖDERMANLANDS LÄN</t>
        </is>
      </c>
      <c r="G421" t="inlineStr">
        <is>
          <t>FLEN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46274</v>
      </c>
      <c r="F422" t="inlineStr">
        <is>
          <t>SÖDERMANLANDS LÄN</t>
        </is>
      </c>
      <c r="G422" t="inlineStr">
        <is>
          <t>FLEN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46266</v>
      </c>
      <c r="E423" s="1" t="n">
        <v>46274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46267</v>
      </c>
      <c r="E424" s="1" t="n">
        <v>46274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46267</v>
      </c>
      <c r="E425" s="1" t="n">
        <v>46274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46274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14599-2023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45013</v>
      </c>
      <c r="E427" s="1" t="n">
        <v>46274</v>
      </c>
      <c r="F427" t="inlineStr">
        <is>
          <t>SÖDERMANLANDS LÄN</t>
        </is>
      </c>
      <c r="G427" t="inlineStr">
        <is>
          <t>FLEN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46274</v>
      </c>
      <c r="F428" t="inlineStr">
        <is>
          <t>SÖDERMANLANDS LÄN</t>
        </is>
      </c>
      <c r="G428" t="inlineStr">
        <is>
          <t>FLEN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45230</v>
      </c>
      <c r="E429" s="1" t="n">
        <v>46274</v>
      </c>
      <c r="F429" t="inlineStr">
        <is>
          <t>SÖDERMANLANDS LÄN</t>
        </is>
      </c>
      <c r="G429" t="inlineStr">
        <is>
          <t>FLEN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16052-2026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46108</v>
      </c>
      <c r="E430" s="1" t="n">
        <v>46274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46249</v>
      </c>
      <c r="E431" s="1" t="n">
        <v>46274</v>
      </c>
      <c r="F431" t="inlineStr">
        <is>
          <t>SÖDERMANLANDS LÄN</t>
        </is>
      </c>
      <c r="G431" t="inlineStr">
        <is>
          <t>FLEN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46274</v>
      </c>
      <c r="F432" t="inlineStr">
        <is>
          <t>SÖDERMANLANDS LÄN</t>
        </is>
      </c>
      <c r="G432" t="inlineStr">
        <is>
          <t>FLEN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46274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46274</v>
      </c>
      <c r="F434" t="inlineStr">
        <is>
          <t>SÖDERMANLANDS LÄN</t>
        </is>
      </c>
      <c r="G434" t="inlineStr">
        <is>
          <t>FLEN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50796-2021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44459</v>
      </c>
      <c r="E435" s="1" t="n">
        <v>46274</v>
      </c>
      <c r="F435" t="inlineStr">
        <is>
          <t>SÖDERMANLANDS LÄN</t>
        </is>
      </c>
      <c r="G435" t="inlineStr">
        <is>
          <t>FLEN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46274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46229</v>
      </c>
      <c r="E437" s="1" t="n">
        <v>46274</v>
      </c>
      <c r="F437" t="inlineStr">
        <is>
          <t>SÖDERMANLANDS LÄN</t>
        </is>
      </c>
      <c r="G437" t="inlineStr">
        <is>
          <t>FLEN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46274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46126</v>
      </c>
      <c r="E439" s="1" t="n">
        <v>46274</v>
      </c>
      <c r="F439" t="inlineStr">
        <is>
          <t>SÖDERMANLANDS LÄN</t>
        </is>
      </c>
      <c r="G439" t="inlineStr">
        <is>
          <t>FLEN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46274</v>
      </c>
      <c r="F440" t="inlineStr">
        <is>
          <t>SÖDERMANLANDS LÄN</t>
        </is>
      </c>
      <c r="G440" t="inlineStr">
        <is>
          <t>FLEN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18000-2026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46125</v>
      </c>
      <c r="E441" s="1" t="n">
        <v>46274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46126</v>
      </c>
      <c r="E442" s="1" t="n">
        <v>46274</v>
      </c>
      <c r="F442" t="inlineStr">
        <is>
          <t>SÖDERMANLANDS LÄN</t>
        </is>
      </c>
      <c r="G442" t="inlineStr">
        <is>
          <t>FLEN</t>
        </is>
      </c>
      <c r="I442" t="n">
        <v>7.9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46274</v>
      </c>
      <c r="F443" t="inlineStr">
        <is>
          <t>SÖDERMANLANDS LÄN</t>
        </is>
      </c>
      <c r="G443" t="inlineStr">
        <is>
          <t>FLEN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46274</v>
      </c>
      <c r="F444" t="inlineStr">
        <is>
          <t>SÖDERMANLANDS LÄN</t>
        </is>
      </c>
      <c r="G444" t="inlineStr">
        <is>
          <t>FLEN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46274</v>
      </c>
      <c r="F445" t="inlineStr">
        <is>
          <t>SÖDERMANLANDS LÄN</t>
        </is>
      </c>
      <c r="G445" t="inlineStr">
        <is>
          <t>FLEN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46121</v>
      </c>
      <c r="E446" s="1" t="n">
        <v>46274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39053-2023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45163</v>
      </c>
      <c r="E447" s="1" t="n">
        <v>46274</v>
      </c>
      <c r="F447" t="inlineStr">
        <is>
          <t>SÖDERMANLANDS LÄN</t>
        </is>
      </c>
      <c r="G447" t="inlineStr">
        <is>
          <t>FLEN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46274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44741</v>
      </c>
      <c r="E449" s="1" t="n">
        <v>46274</v>
      </c>
      <c r="F449" t="inlineStr">
        <is>
          <t>SÖDERMANLANDS LÄN</t>
        </is>
      </c>
      <c r="G449" t="inlineStr">
        <is>
          <t>FLEN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12172-2022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44636</v>
      </c>
      <c r="E450" s="1" t="n">
        <v>46274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19102-2026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46274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44887</v>
      </c>
      <c r="E452" s="1" t="n">
        <v>46274</v>
      </c>
      <c r="F452" t="inlineStr">
        <is>
          <t>SÖDERMANLANDS LÄN</t>
        </is>
      </c>
      <c r="G452" t="inlineStr">
        <is>
          <t>FLEN</t>
        </is>
      </c>
      <c r="I452" t="n">
        <v>11.3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38331-2023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45161</v>
      </c>
      <c r="E453" s="1" t="n">
        <v>46274</v>
      </c>
      <c r="F453" t="inlineStr">
        <is>
          <t>SÖDERMANLANDS LÄN</t>
        </is>
      </c>
      <c r="G453" t="inlineStr">
        <is>
          <t>FLEN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60609-2022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44911</v>
      </c>
      <c r="E454" s="1" t="n">
        <v>46274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45114</v>
      </c>
      <c r="E455" s="1" t="n">
        <v>46274</v>
      </c>
      <c r="F455" t="inlineStr">
        <is>
          <t>SÖDERMANLANDS LÄN</t>
        </is>
      </c>
      <c r="G455" t="inlineStr">
        <is>
          <t>FLEN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46274</v>
      </c>
      <c r="F456" t="inlineStr">
        <is>
          <t>SÖDERMANLANDS LÄN</t>
        </is>
      </c>
      <c r="G456" t="inlineStr">
        <is>
          <t>FLEN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45012</v>
      </c>
      <c r="E457" s="1" t="n">
        <v>46274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56497-2022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44887</v>
      </c>
      <c r="E458" s="1" t="n">
        <v>46274</v>
      </c>
      <c r="F458" t="inlineStr">
        <is>
          <t>SÖDERMANLANDS LÄN</t>
        </is>
      </c>
      <c r="G458" t="inlineStr">
        <is>
          <t>FLEN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44958</v>
      </c>
      <c r="E459" s="1" t="n">
        <v>46274</v>
      </c>
      <c r="F459" t="inlineStr">
        <is>
          <t>SÖDERMANLANDS LÄN</t>
        </is>
      </c>
      <c r="G459" t="inlineStr">
        <is>
          <t>FLEN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59599-2022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44907</v>
      </c>
      <c r="E460" s="1" t="n">
        <v>46274</v>
      </c>
      <c r="F460" t="inlineStr">
        <is>
          <t>SÖDERMANLANDS LÄN</t>
        </is>
      </c>
      <c r="G460" t="inlineStr">
        <is>
          <t>FLEN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59817-2022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44900</v>
      </c>
      <c r="E461" s="1" t="n">
        <v>46274</v>
      </c>
      <c r="F461" t="inlineStr">
        <is>
          <t>SÖDERMANLANDS LÄN</t>
        </is>
      </c>
      <c r="G461" t="inlineStr">
        <is>
          <t>FLEN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22957-2023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46274</v>
      </c>
      <c r="F462" t="inlineStr">
        <is>
          <t>SÖDERMANLANDS LÄN</t>
        </is>
      </c>
      <c r="G462" t="inlineStr">
        <is>
          <t>FLEN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45217</v>
      </c>
      <c r="E463" s="1" t="n">
        <v>46274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46274</v>
      </c>
      <c r="F464" t="inlineStr">
        <is>
          <t>SÖDERMANLANDS LÄN</t>
        </is>
      </c>
      <c r="G464" t="inlineStr">
        <is>
          <t>FLEN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45299</v>
      </c>
      <c r="E465" s="1" t="n">
        <v>46274</v>
      </c>
      <c r="F465" t="inlineStr">
        <is>
          <t>SÖDERMANLANDS LÄN</t>
        </is>
      </c>
      <c r="G465" t="inlineStr">
        <is>
          <t>FLEN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45189</v>
      </c>
      <c r="E466" s="1" t="n">
        <v>46274</v>
      </c>
      <c r="F466" t="inlineStr">
        <is>
          <t>SÖDERMANLANDS LÄN</t>
        </is>
      </c>
      <c r="G466" t="inlineStr">
        <is>
          <t>FLEN</t>
        </is>
      </c>
      <c r="H466" t="inlineStr">
        <is>
          <t>Övriga statliga verk och myndigheter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46274</v>
      </c>
      <c r="F467" t="inlineStr">
        <is>
          <t>SÖDERMANLANDS LÄN</t>
        </is>
      </c>
      <c r="G467" t="inlineStr">
        <is>
          <t>FLEN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16580-2023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45030</v>
      </c>
      <c r="E468" s="1" t="n">
        <v>46274</v>
      </c>
      <c r="F468" t="inlineStr">
        <is>
          <t>SÖDERMANLANDS LÄN</t>
        </is>
      </c>
      <c r="G468" t="inlineStr">
        <is>
          <t>FLEN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44887</v>
      </c>
      <c r="E469" s="1" t="n">
        <v>46274</v>
      </c>
      <c r="F469" t="inlineStr">
        <is>
          <t>SÖDERMANLANDS LÄN</t>
        </is>
      </c>
      <c r="G469" t="inlineStr">
        <is>
          <t>FLEN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40286-2023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45169</v>
      </c>
      <c r="E470" s="1" t="n">
        <v>46274</v>
      </c>
      <c r="F470" t="inlineStr">
        <is>
          <t>SÖDERMANLANDS LÄN</t>
        </is>
      </c>
      <c r="G470" t="inlineStr">
        <is>
          <t>FLEN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45225</v>
      </c>
      <c r="E471" s="1" t="n">
        <v>46274</v>
      </c>
      <c r="F471" t="inlineStr">
        <is>
          <t>SÖDERMANLANDS LÄN</t>
        </is>
      </c>
      <c r="G471" t="inlineStr">
        <is>
          <t>FLEN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31028-2024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45501</v>
      </c>
      <c r="E472" s="1" t="n">
        <v>46274</v>
      </c>
      <c r="F472" t="inlineStr">
        <is>
          <t>SÖDERMANLANDS LÄN</t>
        </is>
      </c>
      <c r="G472" t="inlineStr">
        <is>
          <t>FLEN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40420-2024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45555</v>
      </c>
      <c r="E473" s="1" t="n">
        <v>46274</v>
      </c>
      <c r="F473" t="inlineStr">
        <is>
          <t>SÖDERMANLANDS LÄN</t>
        </is>
      </c>
      <c r="G473" t="inlineStr">
        <is>
          <t>FLEN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46401-2022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44846</v>
      </c>
      <c r="E474" s="1" t="n">
        <v>46274</v>
      </c>
      <c r="F474" t="inlineStr">
        <is>
          <t>SÖDERMANLANDS LÄN</t>
        </is>
      </c>
      <c r="G474" t="inlineStr">
        <is>
          <t>FLEN</t>
        </is>
      </c>
      <c r="H474" t="inlineStr">
        <is>
          <t>Kyrkan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45161</v>
      </c>
      <c r="E475" s="1" t="n">
        <v>46274</v>
      </c>
      <c r="F475" t="inlineStr">
        <is>
          <t>SÖDERMANLANDS LÄN</t>
        </is>
      </c>
      <c r="G475" t="inlineStr">
        <is>
          <t>FLEN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58267-2023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46274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14.7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49811-2023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46274</v>
      </c>
      <c r="F477" t="inlineStr">
        <is>
          <t>SÖDERMANLANDS LÄN</t>
        </is>
      </c>
      <c r="G477" t="inlineStr">
        <is>
          <t>FLEN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52481-2023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45225</v>
      </c>
      <c r="E478" s="1" t="n">
        <v>46274</v>
      </c>
      <c r="F478" t="inlineStr">
        <is>
          <t>SÖDERMANLANDS LÄN</t>
        </is>
      </c>
      <c r="G478" t="inlineStr">
        <is>
          <t>FLEN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47187-2022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44848</v>
      </c>
      <c r="E479" s="1" t="n">
        <v>46274</v>
      </c>
      <c r="F479" t="inlineStr">
        <is>
          <t>SÖDERMANLANDS LÄN</t>
        </is>
      </c>
      <c r="G479" t="inlineStr">
        <is>
          <t>FLEN</t>
        </is>
      </c>
      <c r="H479" t="inlineStr">
        <is>
          <t>Övriga statliga verk och myndigheter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21476-2024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45441</v>
      </c>
      <c r="E480" s="1" t="n">
        <v>46274</v>
      </c>
      <c r="F480" t="inlineStr">
        <is>
          <t>SÖDERMANLANDS LÄN</t>
        </is>
      </c>
      <c r="G480" t="inlineStr">
        <is>
          <t>FLEN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8903-2022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44614</v>
      </c>
      <c r="E481" s="1" t="n">
        <v>46274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45720</v>
      </c>
      <c r="E482" s="1" t="n">
        <v>46274</v>
      </c>
      <c r="F482" t="inlineStr">
        <is>
          <t>SÖDERMANLANDS LÄN</t>
        </is>
      </c>
      <c r="G482" t="inlineStr">
        <is>
          <t>FLEN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45230</v>
      </c>
      <c r="E483" s="1" t="n">
        <v>46274</v>
      </c>
      <c r="F483" t="inlineStr">
        <is>
          <t>SÖDERMANLANDS LÄN</t>
        </is>
      </c>
      <c r="G483" t="inlineStr">
        <is>
          <t>FLEN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37286-2024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45540</v>
      </c>
      <c r="E484" s="1" t="n">
        <v>46274</v>
      </c>
      <c r="F484" t="inlineStr">
        <is>
          <t>SÖDERMANLANDS LÄN</t>
        </is>
      </c>
      <c r="G484" t="inlineStr">
        <is>
          <t>FLEN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8793-2022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44614</v>
      </c>
      <c r="E485" s="1" t="n">
        <v>46274</v>
      </c>
      <c r="F485" t="inlineStr">
        <is>
          <t>SÖDERMANLANDS LÄN</t>
        </is>
      </c>
      <c r="G485" t="inlineStr">
        <is>
          <t>FLEN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44909</v>
      </c>
      <c r="E486" s="1" t="n">
        <v>46274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46274</v>
      </c>
      <c r="F487" t="inlineStr">
        <is>
          <t>SÖDERMANLANDS LÄN</t>
        </is>
      </c>
      <c r="G487" t="inlineStr">
        <is>
          <t>FLEN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45001</v>
      </c>
      <c r="E488" s="1" t="n">
        <v>46274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73923-2021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46274</v>
      </c>
      <c r="F489" t="inlineStr">
        <is>
          <t>SÖDERMANLANDS LÄN</t>
        </is>
      </c>
      <c r="G489" t="inlineStr">
        <is>
          <t>FLEN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46274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46274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46274</v>
      </c>
      <c r="F492" t="inlineStr">
        <is>
          <t>SÖDERMANLANDS LÄN</t>
        </is>
      </c>
      <c r="G492" t="inlineStr">
        <is>
          <t>FLEN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46274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46274</v>
      </c>
      <c r="F494" t="inlineStr">
        <is>
          <t>SÖDERMANLANDS LÄN</t>
        </is>
      </c>
      <c r="G494" t="inlineStr">
        <is>
          <t>FLEN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9074-2025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45713</v>
      </c>
      <c r="E495" s="1" t="n">
        <v>46274</v>
      </c>
      <c r="F495" t="inlineStr">
        <is>
          <t>SÖDERMANLANDS LÄN</t>
        </is>
      </c>
      <c r="G495" t="inlineStr">
        <is>
          <t>FLEN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44580</v>
      </c>
      <c r="E496" s="1" t="n">
        <v>46274</v>
      </c>
      <c r="F496" t="inlineStr">
        <is>
          <t>SÖDERMANLANDS LÄN</t>
        </is>
      </c>
      <c r="G496" t="inlineStr">
        <is>
          <t>FLEN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34612-2023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45140</v>
      </c>
      <c r="E497" s="1" t="n">
        <v>46274</v>
      </c>
      <c r="F497" t="inlineStr">
        <is>
          <t>SÖDERMANLANDS LÄN</t>
        </is>
      </c>
      <c r="G497" t="inlineStr">
        <is>
          <t>FLEN</t>
        </is>
      </c>
      <c r="H497" t="inlineStr">
        <is>
          <t>Kyrkan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39891-2022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46274</v>
      </c>
      <c r="F498" t="inlineStr">
        <is>
          <t>SÖDERMANLANDS LÄN</t>
        </is>
      </c>
      <c r="G498" t="inlineStr">
        <is>
          <t>FLEN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31083-2022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44769</v>
      </c>
      <c r="E499" s="1" t="n">
        <v>46274</v>
      </c>
      <c r="F499" t="inlineStr">
        <is>
          <t>SÖDERMANLANDS LÄN</t>
        </is>
      </c>
      <c r="G499" t="inlineStr">
        <is>
          <t>FLEN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46274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58926-2023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45250</v>
      </c>
      <c r="E501" s="1" t="n">
        <v>46274</v>
      </c>
      <c r="F501" t="inlineStr">
        <is>
          <t>SÖDERMANLANDS LÄN</t>
        </is>
      </c>
      <c r="G501" t="inlineStr">
        <is>
          <t>FLEN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38135-2023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46274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44960</v>
      </c>
      <c r="E503" s="1" t="n">
        <v>46274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57046-2023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45244</v>
      </c>
      <c r="E504" s="1" t="n">
        <v>46274</v>
      </c>
      <c r="F504" t="inlineStr">
        <is>
          <t>SÖDERMANLANDS LÄN</t>
        </is>
      </c>
      <c r="G504" t="inlineStr">
        <is>
          <t>FLEN</t>
        </is>
      </c>
      <c r="H504" t="inlineStr">
        <is>
          <t>Övriga statliga verk och myndigheter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46274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41630-2023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45175</v>
      </c>
      <c r="E506" s="1" t="n">
        <v>46274</v>
      </c>
      <c r="F506" t="inlineStr">
        <is>
          <t>SÖDERMANLANDS LÄN</t>
        </is>
      </c>
      <c r="G506" t="inlineStr">
        <is>
          <t>FLEN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45036</v>
      </c>
      <c r="E507" s="1" t="n">
        <v>46274</v>
      </c>
      <c r="F507" t="inlineStr">
        <is>
          <t>SÖDERMANLANDS LÄN</t>
        </is>
      </c>
      <c r="G507" t="inlineStr">
        <is>
          <t>FLEN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59439-2022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44907</v>
      </c>
      <c r="E508" s="1" t="n">
        <v>46274</v>
      </c>
      <c r="F508" t="inlineStr">
        <is>
          <t>SÖDERMANLANDS LÄN</t>
        </is>
      </c>
      <c r="G508" t="inlineStr">
        <is>
          <t>FLEN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45365</v>
      </c>
      <c r="E509" s="1" t="n">
        <v>46274</v>
      </c>
      <c r="F509" t="inlineStr">
        <is>
          <t>SÖDERMANLANDS LÄN</t>
        </is>
      </c>
      <c r="G509" t="inlineStr">
        <is>
          <t>FLEN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45244</v>
      </c>
      <c r="E510" s="1" t="n">
        <v>46274</v>
      </c>
      <c r="F510" t="inlineStr">
        <is>
          <t>SÖDERMANLANDS LÄN</t>
        </is>
      </c>
      <c r="G510" t="inlineStr">
        <is>
          <t>FLEN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11747-2022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44634</v>
      </c>
      <c r="E511" s="1" t="n">
        <v>46274</v>
      </c>
      <c r="F511" t="inlineStr">
        <is>
          <t>SÖDERMANLANDS LÄN</t>
        </is>
      </c>
      <c r="G511" t="inlineStr">
        <is>
          <t>FLEN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45176</v>
      </c>
      <c r="E512" s="1" t="n">
        <v>46274</v>
      </c>
      <c r="F512" t="inlineStr">
        <is>
          <t>SÖDERMANLANDS LÄN</t>
        </is>
      </c>
      <c r="G512" t="inlineStr">
        <is>
          <t>FLEN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45216</v>
      </c>
      <c r="E513" s="1" t="n">
        <v>46274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45180</v>
      </c>
      <c r="E514" s="1" t="n">
        <v>46274</v>
      </c>
      <c r="F514" t="inlineStr">
        <is>
          <t>SÖDERMANLANDS LÄN</t>
        </is>
      </c>
      <c r="G514" t="inlineStr">
        <is>
          <t>FLEN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59690-2023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45256</v>
      </c>
      <c r="E515" s="1" t="n">
        <v>46274</v>
      </c>
      <c r="F515" t="inlineStr">
        <is>
          <t>SÖDERMANLANDS LÄN</t>
        </is>
      </c>
      <c r="G515" t="inlineStr">
        <is>
          <t>FLEN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45007</v>
      </c>
      <c r="E516" s="1" t="n">
        <v>46274</v>
      </c>
      <c r="F516" t="inlineStr">
        <is>
          <t>SÖDERMANLANDS LÄN</t>
        </is>
      </c>
      <c r="G516" t="inlineStr">
        <is>
          <t>FLEN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22827-2024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45448</v>
      </c>
      <c r="E517" s="1" t="n">
        <v>46274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13233-2024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45386</v>
      </c>
      <c r="E518" s="1" t="n">
        <v>46274</v>
      </c>
      <c r="F518" t="inlineStr">
        <is>
          <t>SÖDERMANLANDS LÄN</t>
        </is>
      </c>
      <c r="G518" t="inlineStr">
        <is>
          <t>FLEN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8293-2022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44610</v>
      </c>
      <c r="E519" s="1" t="n">
        <v>46274</v>
      </c>
      <c r="F519" t="inlineStr">
        <is>
          <t>SÖDERMANLANDS LÄN</t>
        </is>
      </c>
      <c r="G519" t="inlineStr">
        <is>
          <t>FLEN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45014</v>
      </c>
      <c r="E520" s="1" t="n">
        <v>46274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45671</v>
      </c>
      <c r="E521" s="1" t="n">
        <v>46274</v>
      </c>
      <c r="F521" t="inlineStr">
        <is>
          <t>SÖDERMANLANDS LÄN</t>
        </is>
      </c>
      <c r="G521" t="inlineStr">
        <is>
          <t>FLEN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46274</v>
      </c>
      <c r="F522" t="inlineStr">
        <is>
          <t>SÖDERMANLANDS LÄN</t>
        </is>
      </c>
      <c r="G522" t="inlineStr">
        <is>
          <t>FLEN</t>
        </is>
      </c>
      <c r="I522" t="n">
        <v>7.9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4899-2023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44958</v>
      </c>
      <c r="E523" s="1" t="n">
        <v>46274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45777</v>
      </c>
      <c r="E524" s="1" t="n">
        <v>46274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46274</v>
      </c>
      <c r="F525" t="inlineStr">
        <is>
          <t>SÖDERMANLANDS LÄN</t>
        </is>
      </c>
      <c r="G525" t="inlineStr">
        <is>
          <t>FLEN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59051-2023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45252</v>
      </c>
      <c r="E526" s="1" t="n">
        <v>46274</v>
      </c>
      <c r="F526" t="inlineStr">
        <is>
          <t>SÖDERMANLANDS LÄN</t>
        </is>
      </c>
      <c r="G526" t="inlineStr">
        <is>
          <t>FLEN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7960-2024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45350</v>
      </c>
      <c r="E527" s="1" t="n">
        <v>46274</v>
      </c>
      <c r="F527" t="inlineStr">
        <is>
          <t>SÖDERMANLANDS LÄN</t>
        </is>
      </c>
      <c r="G527" t="inlineStr">
        <is>
          <t>FLEN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44883</v>
      </c>
      <c r="E528" s="1" t="n">
        <v>46274</v>
      </c>
      <c r="F528" t="inlineStr">
        <is>
          <t>SÖDERMANLANDS LÄN</t>
        </is>
      </c>
      <c r="G528" t="inlineStr">
        <is>
          <t>FLEN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44852</v>
      </c>
      <c r="E529" s="1" t="n">
        <v>46274</v>
      </c>
      <c r="F529" t="inlineStr">
        <is>
          <t>SÖDERMANLANDS LÄN</t>
        </is>
      </c>
      <c r="G529" t="inlineStr">
        <is>
          <t>FLEN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13909-2023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45008</v>
      </c>
      <c r="E530" s="1" t="n">
        <v>46274</v>
      </c>
      <c r="F530" t="inlineStr">
        <is>
          <t>SÖDERMANLANDS LÄN</t>
        </is>
      </c>
      <c r="G530" t="inlineStr">
        <is>
          <t>FLEN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46274</v>
      </c>
      <c r="F531" t="inlineStr">
        <is>
          <t>SÖDERMANLANDS LÄN</t>
        </is>
      </c>
      <c r="G531" t="inlineStr">
        <is>
          <t>FLEN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46274</v>
      </c>
      <c r="F532" t="inlineStr">
        <is>
          <t>SÖDERMANLANDS LÄN</t>
        </is>
      </c>
      <c r="G532" t="inlineStr">
        <is>
          <t>FLEN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46274</v>
      </c>
      <c r="F533" t="inlineStr">
        <is>
          <t>SÖDERMANLANDS LÄN</t>
        </is>
      </c>
      <c r="G533" t="inlineStr">
        <is>
          <t>FLEN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52775-2024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46274</v>
      </c>
      <c r="F534" t="inlineStr">
        <is>
          <t>SÖDERMANLANDS LÄN</t>
        </is>
      </c>
      <c r="G534" t="inlineStr">
        <is>
          <t>FLEN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40412-2024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46274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24414-2025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45797</v>
      </c>
      <c r="E536" s="1" t="n">
        <v>46274</v>
      </c>
      <c r="F536" t="inlineStr">
        <is>
          <t>SÖDERMANLANDS LÄN</t>
        </is>
      </c>
      <c r="G536" t="inlineStr">
        <is>
          <t>FLEN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46274</v>
      </c>
      <c r="F537" t="inlineStr">
        <is>
          <t>SÖDERMANLANDS LÄN</t>
        </is>
      </c>
      <c r="G537" t="inlineStr">
        <is>
          <t>FLEN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46274</v>
      </c>
      <c r="F538" t="inlineStr">
        <is>
          <t>SÖDERMANLANDS LÄN</t>
        </is>
      </c>
      <c r="G538" t="inlineStr">
        <is>
          <t>FLEN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46274</v>
      </c>
      <c r="F539" t="inlineStr">
        <is>
          <t>SÖDERMANLANDS LÄN</t>
        </is>
      </c>
      <c r="G539" t="inlineStr">
        <is>
          <t>FLEN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24526-2025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45798</v>
      </c>
      <c r="E540" s="1" t="n">
        <v>46274</v>
      </c>
      <c r="F540" t="inlineStr">
        <is>
          <t>SÖDERMANLANDS LÄN</t>
        </is>
      </c>
      <c r="G540" t="inlineStr">
        <is>
          <t>FLEN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45798</v>
      </c>
      <c r="E541" s="1" t="n">
        <v>46274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45684</v>
      </c>
      <c r="E542" s="1" t="n">
        <v>46274</v>
      </c>
      <c r="F542" t="inlineStr">
        <is>
          <t>SÖDERMANLANDS LÄN</t>
        </is>
      </c>
      <c r="G542" t="inlineStr">
        <is>
          <t>FLEN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27827-2025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45817</v>
      </c>
      <c r="E543" s="1" t="n">
        <v>46274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30494-2025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45830</v>
      </c>
      <c r="E544" s="1" t="n">
        <v>46274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30493-2025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45830</v>
      </c>
      <c r="E545" s="1" t="n">
        <v>46274</v>
      </c>
      <c r="F545" t="inlineStr">
        <is>
          <t>SÖDERMANLANDS LÄN</t>
        </is>
      </c>
      <c r="G545" t="inlineStr">
        <is>
          <t>FLEN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7312-2025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46274</v>
      </c>
      <c r="F546" t="inlineStr">
        <is>
          <t>SÖDERMANLANDS LÄN</t>
        </is>
      </c>
      <c r="G546" t="inlineStr">
        <is>
          <t>FLEN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45729</v>
      </c>
      <c r="E547" s="1" t="n">
        <v>46274</v>
      </c>
      <c r="F547" t="inlineStr">
        <is>
          <t>SÖDERMANLANDS LÄN</t>
        </is>
      </c>
      <c r="G547" t="inlineStr">
        <is>
          <t>FLEN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458-2023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44964</v>
      </c>
      <c r="E548" s="1" t="n">
        <v>46274</v>
      </c>
      <c r="F548" t="inlineStr">
        <is>
          <t>SÖDERMANLANDS LÄN</t>
        </is>
      </c>
      <c r="G548" t="inlineStr">
        <is>
          <t>FLEN</t>
        </is>
      </c>
      <c r="H548" t="inlineStr">
        <is>
          <t>Kyrkan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292-2025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45686</v>
      </c>
      <c r="E549" s="1" t="n">
        <v>46274</v>
      </c>
      <c r="F549" t="inlineStr">
        <is>
          <t>SÖDERMANLANDS LÄN</t>
        </is>
      </c>
      <c r="G549" t="inlineStr">
        <is>
          <t>FLEN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3723-2022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44742</v>
      </c>
      <c r="E550" s="1" t="n">
        <v>46274</v>
      </c>
      <c r="F550" t="inlineStr">
        <is>
          <t>SÖDERMANLANDS LÄN</t>
        </is>
      </c>
      <c r="G550" t="inlineStr">
        <is>
          <t>FLEN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482-2022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44588</v>
      </c>
      <c r="E551" s="1" t="n">
        <v>46274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2321-2022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44685</v>
      </c>
      <c r="E552" s="1" t="n">
        <v>46274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1976-2024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45446</v>
      </c>
      <c r="E553" s="1" t="n">
        <v>46274</v>
      </c>
      <c r="F553" t="inlineStr">
        <is>
          <t>SÖDERMANLANDS LÄN</t>
        </is>
      </c>
      <c r="G553" t="inlineStr">
        <is>
          <t>FLEN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1287-2024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45403</v>
      </c>
      <c r="E554" s="1" t="n">
        <v>46274</v>
      </c>
      <c r="F554" t="inlineStr">
        <is>
          <t>SÖDERMANLANDS LÄN</t>
        </is>
      </c>
      <c r="G554" t="inlineStr">
        <is>
          <t>FLEN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>
      <c r="A555" t="inlineStr">
        <is>
          <t>S 1528-2026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46164</v>
      </c>
      <c r="E555" s="1" t="n">
        <v>46274</v>
      </c>
      <c r="F555" t="inlineStr">
        <is>
          <t>SÖDERMANLANDS LÄN</t>
        </is>
      </c>
      <c r="G555" t="inlineStr">
        <is>
          <t>FLEN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2026-09-09T02:09:32Z</dcterms:created>
  <dcterms:modified xmlns:dcterms="http://purl.org/dc/terms/" xmlns:xsi="http://www.w3.org/2001/XMLSchema-instance" xsi:type="dcterms:W3CDTF">2026-09-09T02:09:33Z</dcterms:modified>
</cp:coreProperties>
</file>