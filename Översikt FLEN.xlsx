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28433-2024</t>
        </is>
      </c>
      <c r="B2" s="1" t="n">
        <v>45477</v>
      </c>
      <c r="C2" s="1" t="n">
        <v>46203</v>
      </c>
      <c r="D2" t="inlineStr">
        <is>
          <t>SÖDERMANLANDS LÄN</t>
        </is>
      </c>
      <c r="E2" t="inlineStr">
        <is>
          <t>FLEN</t>
        </is>
      </c>
      <c r="F2" t="inlineStr">
        <is>
          <t>Kyrkan</t>
        </is>
      </c>
      <c r="G2" t="n">
        <v>10.7</v>
      </c>
      <c r="H2" t="n">
        <v>3</v>
      </c>
      <c r="I2" t="n">
        <v>7</v>
      </c>
      <c r="J2" t="n">
        <v>9</v>
      </c>
      <c r="K2" t="n">
        <v>2</v>
      </c>
      <c r="L2" t="n">
        <v>0</v>
      </c>
      <c r="M2" t="n">
        <v>0</v>
      </c>
      <c r="N2" t="n">
        <v>0</v>
      </c>
      <c r="O2" t="n">
        <v>11</v>
      </c>
      <c r="P2" t="n">
        <v>2</v>
      </c>
      <c r="Q2" t="n">
        <v>19</v>
      </c>
      <c r="R2" s="2" t="inlineStr">
        <is>
          <t>Igelkott
Ostticka
Dropptaggsvamp
Fyrflikig jordstjärna
Motaggsvamp
Rynkskinn
Skogshare
Svinrot
Såpfingersvamp
Talltita
Ullticka
Blåmossa
Brandticka
Bronshjon
Grön sköldmossa
Grönpyrola
Kamjordstjärna
Mindre märgborre
Spillkråka</t>
        </is>
      </c>
      <c r="S2">
        <f>HYPERLINK("https://klasma.github.io/Logging_0482/artfynd/A 28433-2024 artfynd.xlsx", "A 28433-2024")</f>
        <v/>
      </c>
      <c r="T2">
        <f>HYPERLINK("https://klasma.github.io/Logging_0482/kartor/A 28433-2024 karta.png", "A 28433-2024")</f>
        <v/>
      </c>
      <c r="V2">
        <f>HYPERLINK("https://klasma.github.io/Logging_0482/klagomål/A 28433-2024 FSC-klagomål.docx", "A 28433-2024")</f>
        <v/>
      </c>
      <c r="W2">
        <f>HYPERLINK("https://klasma.github.io/Logging_0482/klagomålsmail/A 28433-2024 FSC-klagomål mail.docx", "A 28433-2024")</f>
        <v/>
      </c>
      <c r="X2">
        <f>HYPERLINK("https://klasma.github.io/Logging_0482/tillsyn/A 28433-2024 tillsynsbegäran.docx", "A 28433-2024")</f>
        <v/>
      </c>
      <c r="Y2">
        <f>HYPERLINK("https://klasma.github.io/Logging_0482/tillsynsmail/A 28433-2024 tillsynsbegäran mail.docx", "A 28433-2024")</f>
        <v/>
      </c>
      <c r="Z2">
        <f>HYPERLINK("https://klasma.github.io/Logging_0482/fåglar/A 28433-2024 prioriterade fågelarter.docx", "A 28433-2024")</f>
        <v/>
      </c>
    </row>
    <row r="3" ht="15" customHeight="1">
      <c r="A3" t="inlineStr">
        <is>
          <t>A 4724-2024</t>
        </is>
      </c>
      <c r="B3" s="1" t="n">
        <v>45328</v>
      </c>
      <c r="C3" s="1" t="n">
        <v>46203</v>
      </c>
      <c r="D3" t="inlineStr">
        <is>
          <t>SÖDERMANLANDS LÄN</t>
        </is>
      </c>
      <c r="E3" t="inlineStr">
        <is>
          <t>FLEN</t>
        </is>
      </c>
      <c r="G3" t="n">
        <v>2.2</v>
      </c>
      <c r="H3" t="n">
        <v>17</v>
      </c>
      <c r="I3" t="n">
        <v>0</v>
      </c>
      <c r="J3" t="n">
        <v>4</v>
      </c>
      <c r="K3" t="n">
        <v>4</v>
      </c>
      <c r="L3" t="n">
        <v>0</v>
      </c>
      <c r="M3" t="n">
        <v>0</v>
      </c>
      <c r="N3" t="n">
        <v>0</v>
      </c>
      <c r="O3" t="n">
        <v>8</v>
      </c>
      <c r="P3" t="n">
        <v>4</v>
      </c>
      <c r="Q3" t="n">
        <v>18</v>
      </c>
      <c r="R3" s="2" t="inlineStr">
        <is>
          <t>Grönfink
Igelkott
Stare
Tornseglare
Entita
Gulsparv
Sädesärla
Talltita
Bergfink
Gröngöling
Grönsiska
Kråka
Röd glada
Svartvit flugsnappare
Trana
Trädlärka
Törnskata
Ärtsångare</t>
        </is>
      </c>
      <c r="S3">
        <f>HYPERLINK("https://klasma.github.io/Logging_0482/artfynd/A 4724-2024 artfynd.xlsx", "A 4724-2024")</f>
        <v/>
      </c>
      <c r="T3">
        <f>HYPERLINK("https://klasma.github.io/Logging_0482/kartor/A 4724-2024 karta.png", "A 4724-2024")</f>
        <v/>
      </c>
      <c r="V3">
        <f>HYPERLINK("https://klasma.github.io/Logging_0482/klagomål/A 4724-2024 FSC-klagomål.docx", "A 4724-2024")</f>
        <v/>
      </c>
      <c r="W3">
        <f>HYPERLINK("https://klasma.github.io/Logging_0482/klagomålsmail/A 4724-2024 FSC-klagomål mail.docx", "A 4724-2024")</f>
        <v/>
      </c>
      <c r="X3">
        <f>HYPERLINK("https://klasma.github.io/Logging_0482/tillsyn/A 4724-2024 tillsynsbegäran.docx", "A 4724-2024")</f>
        <v/>
      </c>
      <c r="Y3">
        <f>HYPERLINK("https://klasma.github.io/Logging_0482/tillsynsmail/A 4724-2024 tillsynsbegäran mail.docx", "A 4724-2024")</f>
        <v/>
      </c>
      <c r="Z3">
        <f>HYPERLINK("https://klasma.github.io/Logging_0482/fåglar/A 4724-2024 prioriterade fågelarter.docx", "A 4724-2024")</f>
        <v/>
      </c>
    </row>
    <row r="4" ht="15" customHeight="1">
      <c r="A4" t="inlineStr">
        <is>
          <t>A 54631-2022</t>
        </is>
      </c>
      <c r="B4" s="1" t="n">
        <v>44883</v>
      </c>
      <c r="C4" s="1" t="n">
        <v>46203</v>
      </c>
      <c r="D4" t="inlineStr">
        <is>
          <t>SÖDERMANLANDS LÄN</t>
        </is>
      </c>
      <c r="E4" t="inlineStr">
        <is>
          <t>FLEN</t>
        </is>
      </c>
      <c r="G4" t="n">
        <v>3.9</v>
      </c>
      <c r="H4" t="n">
        <v>4</v>
      </c>
      <c r="I4" t="n">
        <v>8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16</v>
      </c>
      <c r="R4" s="2" t="inlineStr">
        <is>
          <t>Bombmurkla
Grangråticka
Kopparspindling
Fjällig taggsvamp s.str.
Fyrflikig jordstjärna
Skarp dropptaggsvamp
Brandticka
Flagellkvastmossa
Grön sköldmossa
Guldkremla
Kamjordstjärna
Rävticka
Västlig hakmossa
Zontaggsvamp
Blåsippa
Åkergroda</t>
        </is>
      </c>
      <c r="S4">
        <f>HYPERLINK("https://klasma.github.io/Logging_0482/artfynd/A 54631-2022 artfynd.xlsx", "A 54631-2022")</f>
        <v/>
      </c>
      <c r="T4">
        <f>HYPERLINK("https://klasma.github.io/Logging_0482/kartor/A 54631-2022 karta.png", "A 54631-2022")</f>
        <v/>
      </c>
      <c r="V4">
        <f>HYPERLINK("https://klasma.github.io/Logging_0482/klagomål/A 54631-2022 FSC-klagomål.docx", "A 54631-2022")</f>
        <v/>
      </c>
      <c r="W4">
        <f>HYPERLINK("https://klasma.github.io/Logging_0482/klagomålsmail/A 54631-2022 FSC-klagomål mail.docx", "A 54631-2022")</f>
        <v/>
      </c>
      <c r="X4">
        <f>HYPERLINK("https://klasma.github.io/Logging_0482/tillsyn/A 54631-2022 tillsynsbegäran.docx", "A 54631-2022")</f>
        <v/>
      </c>
      <c r="Y4">
        <f>HYPERLINK("https://klasma.github.io/Logging_0482/tillsynsmail/A 54631-2022 tillsynsbegäran mail.docx", "A 54631-2022")</f>
        <v/>
      </c>
    </row>
    <row r="5" ht="15" customHeight="1">
      <c r="A5" t="inlineStr">
        <is>
          <t>A 32606-2024</t>
        </is>
      </c>
      <c r="B5" s="1" t="n">
        <v>45513</v>
      </c>
      <c r="C5" s="1" t="n">
        <v>46203</v>
      </c>
      <c r="D5" t="inlineStr">
        <is>
          <t>SÖDERMANLANDS LÄN</t>
        </is>
      </c>
      <c r="E5" t="inlineStr">
        <is>
          <t>FLEN</t>
        </is>
      </c>
      <c r="F5" t="inlineStr">
        <is>
          <t>Kommuner</t>
        </is>
      </c>
      <c r="G5" t="n">
        <v>9.300000000000001</v>
      </c>
      <c r="H5" t="n">
        <v>4</v>
      </c>
      <c r="I5" t="n">
        <v>6</v>
      </c>
      <c r="J5" t="n">
        <v>4</v>
      </c>
      <c r="K5" t="n">
        <v>1</v>
      </c>
      <c r="L5" t="n">
        <v>3</v>
      </c>
      <c r="M5" t="n">
        <v>0</v>
      </c>
      <c r="N5" t="n">
        <v>0</v>
      </c>
      <c r="O5" t="n">
        <v>8</v>
      </c>
      <c r="P5" t="n">
        <v>4</v>
      </c>
      <c r="Q5" t="n">
        <v>16</v>
      </c>
      <c r="R5" s="2" t="inlineStr">
        <is>
          <t>Bombmurkla
Koppartaggsvamp
Raggtaggsvamp
Grangråticka
Fjällig taggsvamp s.str.
Kandelabersvamp
Skarp dropptaggsvamp
Ullticka
Fällmossa
Granbarkgnagare
Grön sköldmossa
Svavelriska
Toppvaxing
Zontaggsvamp
Blåsippa
Spillkråka</t>
        </is>
      </c>
      <c r="S5">
        <f>HYPERLINK("https://klasma.github.io/Logging_0482/artfynd/A 32606-2024 artfynd.xlsx", "A 32606-2024")</f>
        <v/>
      </c>
      <c r="T5">
        <f>HYPERLINK("https://klasma.github.io/Logging_0482/kartor/A 32606-2024 karta.png", "A 32606-2024")</f>
        <v/>
      </c>
      <c r="V5">
        <f>HYPERLINK("https://klasma.github.io/Logging_0482/klagomål/A 32606-2024 FSC-klagomål.docx", "A 32606-2024")</f>
        <v/>
      </c>
      <c r="W5">
        <f>HYPERLINK("https://klasma.github.io/Logging_0482/klagomålsmail/A 32606-2024 FSC-klagomål mail.docx", "A 32606-2024")</f>
        <v/>
      </c>
      <c r="X5">
        <f>HYPERLINK("https://klasma.github.io/Logging_0482/tillsyn/A 32606-2024 tillsynsbegäran.docx", "A 32606-2024")</f>
        <v/>
      </c>
      <c r="Y5">
        <f>HYPERLINK("https://klasma.github.io/Logging_0482/tillsynsmail/A 32606-2024 tillsynsbegäran mail.docx", "A 32606-2024")</f>
        <v/>
      </c>
      <c r="Z5">
        <f>HYPERLINK("https://klasma.github.io/Logging_0482/fåglar/A 32606-2024 prioriterade fågelarter.docx", "A 32606-2024")</f>
        <v/>
      </c>
    </row>
    <row r="6" ht="15" customHeight="1">
      <c r="A6" t="inlineStr">
        <is>
          <t>A 25118-2026</t>
        </is>
      </c>
      <c r="B6" s="1" t="n">
        <v>46175</v>
      </c>
      <c r="C6" s="1" t="n">
        <v>46203</v>
      </c>
      <c r="D6" t="inlineStr">
        <is>
          <t>SÖDERMANLANDS LÄN</t>
        </is>
      </c>
      <c r="E6" t="inlineStr">
        <is>
          <t>FLEN</t>
        </is>
      </c>
      <c r="G6" t="n">
        <v>11.5</v>
      </c>
      <c r="H6" t="n">
        <v>4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15</v>
      </c>
      <c r="R6" s="2" t="inlineStr">
        <is>
          <t>Knärot
Talltita
Vedskivlav
Grönpyrola
Blåbär
Ekbräken
Ekorrbär
Hultbräken
Missne
Sälg
Timmerticka
Vitsippa
Ängskovall
Fläcknycklar
Revlummer</t>
        </is>
      </c>
      <c r="S6">
        <f>HYPERLINK("https://klasma.github.io/Logging_0482/artfynd/A 25118-2026 artfynd.xlsx", "A 25118-2026")</f>
        <v/>
      </c>
      <c r="T6">
        <f>HYPERLINK("https://klasma.github.io/Logging_0482/kartor/A 25118-2026 karta.png", "A 25118-2026")</f>
        <v/>
      </c>
      <c r="U6">
        <f>HYPERLINK("https://klasma.github.io/Logging_0482/knärot/A 25118-2026 karta knärot.png", "A 25118-2026")</f>
        <v/>
      </c>
      <c r="V6">
        <f>HYPERLINK("https://klasma.github.io/Logging_0482/klagomål/A 25118-2026 FSC-klagomål.docx", "A 25118-2026")</f>
        <v/>
      </c>
      <c r="W6">
        <f>HYPERLINK("https://klasma.github.io/Logging_0482/klagomålsmail/A 25118-2026 FSC-klagomål mail.docx", "A 25118-2026")</f>
        <v/>
      </c>
      <c r="X6">
        <f>HYPERLINK("https://klasma.github.io/Logging_0482/tillsyn/A 25118-2026 tillsynsbegäran.docx", "A 25118-2026")</f>
        <v/>
      </c>
      <c r="Y6">
        <f>HYPERLINK("https://klasma.github.io/Logging_0482/tillsynsmail/A 25118-2026 tillsynsbegäran mail.docx", "A 25118-2026")</f>
        <v/>
      </c>
      <c r="Z6">
        <f>HYPERLINK("https://klasma.github.io/Logging_0482/fåglar/A 25118-2026 prioriterade fågelarter.docx", "A 25118-2026")</f>
        <v/>
      </c>
    </row>
    <row r="7" ht="15" customHeight="1">
      <c r="A7" t="inlineStr">
        <is>
          <t>A 33872-2021</t>
        </is>
      </c>
      <c r="B7" s="1" t="n">
        <v>44378</v>
      </c>
      <c r="C7" s="1" t="n">
        <v>46203</v>
      </c>
      <c r="D7" t="inlineStr">
        <is>
          <t>SÖDERMANLANDS LÄN</t>
        </is>
      </c>
      <c r="E7" t="inlineStr">
        <is>
          <t>FLEN</t>
        </is>
      </c>
      <c r="G7" t="n">
        <v>9.800000000000001</v>
      </c>
      <c r="H7" t="n">
        <v>3</v>
      </c>
      <c r="I7" t="n">
        <v>6</v>
      </c>
      <c r="J7" t="n">
        <v>5</v>
      </c>
      <c r="K7" t="n">
        <v>1</v>
      </c>
      <c r="L7" t="n">
        <v>1</v>
      </c>
      <c r="M7" t="n">
        <v>0</v>
      </c>
      <c r="N7" t="n">
        <v>0</v>
      </c>
      <c r="O7" t="n">
        <v>7</v>
      </c>
      <c r="P7" t="n">
        <v>2</v>
      </c>
      <c r="Q7" t="n">
        <v>13</v>
      </c>
      <c r="R7" s="2" t="inlineStr">
        <is>
          <t>Bombmurkla
Knärot
Fjällig taggsvamp s.str.
Fyrflikig jordstjärna
Skarp dropptaggsvamp
Svinrot
Vanlig backsmörblomma
Blåmossa
Grovticka
Grön sköldmossa
Grönpyrola
Jättesvampmal
Kamjordstjärna</t>
        </is>
      </c>
      <c r="S7">
        <f>HYPERLINK("https://klasma.github.io/Logging_0482/artfynd/A 33872-2021 artfynd.xlsx", "A 33872-2021")</f>
        <v/>
      </c>
      <c r="T7">
        <f>HYPERLINK("https://klasma.github.io/Logging_0482/kartor/A 33872-2021 karta.png", "A 33872-2021")</f>
        <v/>
      </c>
      <c r="U7">
        <f>HYPERLINK("https://klasma.github.io/Logging_0482/knärot/A 33872-2021 karta knärot.png", "A 33872-2021")</f>
        <v/>
      </c>
      <c r="V7">
        <f>HYPERLINK("https://klasma.github.io/Logging_0482/klagomål/A 33872-2021 FSC-klagomål.docx", "A 33872-2021")</f>
        <v/>
      </c>
      <c r="W7">
        <f>HYPERLINK("https://klasma.github.io/Logging_0482/klagomålsmail/A 33872-2021 FSC-klagomål mail.docx", "A 33872-2021")</f>
        <v/>
      </c>
      <c r="X7">
        <f>HYPERLINK("https://klasma.github.io/Logging_0482/tillsyn/A 33872-2021 tillsynsbegäran.docx", "A 33872-2021")</f>
        <v/>
      </c>
      <c r="Y7">
        <f>HYPERLINK("https://klasma.github.io/Logging_0482/tillsynsmail/A 33872-2021 tillsynsbegäran mail.docx", "A 33872-2021")</f>
        <v/>
      </c>
    </row>
    <row r="8" ht="15" customHeight="1">
      <c r="A8" t="inlineStr">
        <is>
          <t>A 9066-2025</t>
        </is>
      </c>
      <c r="B8" s="1" t="n">
        <v>45713</v>
      </c>
      <c r="C8" s="1" t="n">
        <v>46203</v>
      </c>
      <c r="D8" t="inlineStr">
        <is>
          <t>SÖDERMANLANDS LÄN</t>
        </is>
      </c>
      <c r="E8" t="inlineStr">
        <is>
          <t>FLEN</t>
        </is>
      </c>
      <c r="G8" t="n">
        <v>4.5</v>
      </c>
      <c r="H8" t="n">
        <v>0</v>
      </c>
      <c r="I8" t="n">
        <v>0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13</v>
      </c>
      <c r="R8" s="2" t="inlineStr">
        <is>
          <t>Gullklöver
Jungfrulin
Svinrot
Vanlig backsmörblomma
Vårstarr
Bergsslok
Blåbär
Getrams
Humleblomster
Liljekonvalj
Sälg
Vitsippa
Ängskovall</t>
        </is>
      </c>
      <c r="S8">
        <f>HYPERLINK("https://klasma.github.io/Logging_0482/artfynd/A 9066-2025 artfynd.xlsx", "A 9066-2025")</f>
        <v/>
      </c>
      <c r="T8">
        <f>HYPERLINK("https://klasma.github.io/Logging_0482/kartor/A 9066-2025 karta.png", "A 9066-2025")</f>
        <v/>
      </c>
      <c r="V8">
        <f>HYPERLINK("https://klasma.github.io/Logging_0482/klagomål/A 9066-2025 FSC-klagomål.docx", "A 9066-2025")</f>
        <v/>
      </c>
      <c r="W8">
        <f>HYPERLINK("https://klasma.github.io/Logging_0482/klagomålsmail/A 9066-2025 FSC-klagomål mail.docx", "A 9066-2025")</f>
        <v/>
      </c>
      <c r="X8">
        <f>HYPERLINK("https://klasma.github.io/Logging_0482/tillsyn/A 9066-2025 tillsynsbegäran.docx", "A 9066-2025")</f>
        <v/>
      </c>
      <c r="Y8">
        <f>HYPERLINK("https://klasma.github.io/Logging_0482/tillsynsmail/A 9066-2025 tillsynsbegäran mail.docx", "A 9066-2025")</f>
        <v/>
      </c>
    </row>
    <row r="9" ht="15" customHeight="1">
      <c r="A9" t="inlineStr">
        <is>
          <t>A 37425-2023</t>
        </is>
      </c>
      <c r="B9" s="1" t="n">
        <v>45156</v>
      </c>
      <c r="C9" s="1" t="n">
        <v>46203</v>
      </c>
      <c r="D9" t="inlineStr">
        <is>
          <t>SÖDERMANLANDS LÄN</t>
        </is>
      </c>
      <c r="E9" t="inlineStr">
        <is>
          <t>FLEN</t>
        </is>
      </c>
      <c r="G9" t="n">
        <v>3.1</v>
      </c>
      <c r="H9" t="n">
        <v>4</v>
      </c>
      <c r="I9" t="n">
        <v>1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12</v>
      </c>
      <c r="R9" s="2" t="inlineStr">
        <is>
          <t>Sexfläckig bastardsvärmare
Björktrast
Fyrflikig jordstjärna
Gullklöver
Jungfrulin
Svedjenäva
Vanlig backsmörblomma
Grönpyrola
Kattfot
Havsörn
Kråka
Kungsfågel</t>
        </is>
      </c>
      <c r="S9">
        <f>HYPERLINK("https://klasma.github.io/Logging_0482/artfynd/A 37425-2023 artfynd.xlsx", "A 37425-2023")</f>
        <v/>
      </c>
      <c r="T9">
        <f>HYPERLINK("https://klasma.github.io/Logging_0482/kartor/A 37425-2023 karta.png", "A 37425-2023")</f>
        <v/>
      </c>
      <c r="V9">
        <f>HYPERLINK("https://klasma.github.io/Logging_0482/klagomål/A 37425-2023 FSC-klagomål.docx", "A 37425-2023")</f>
        <v/>
      </c>
      <c r="W9">
        <f>HYPERLINK("https://klasma.github.io/Logging_0482/klagomålsmail/A 37425-2023 FSC-klagomål mail.docx", "A 37425-2023")</f>
        <v/>
      </c>
      <c r="X9">
        <f>HYPERLINK("https://klasma.github.io/Logging_0482/tillsyn/A 37425-2023 tillsynsbegäran.docx", "A 37425-2023")</f>
        <v/>
      </c>
      <c r="Y9">
        <f>HYPERLINK("https://klasma.github.io/Logging_0482/tillsynsmail/A 37425-2023 tillsynsbegäran mail.docx", "A 37425-2023")</f>
        <v/>
      </c>
      <c r="Z9">
        <f>HYPERLINK("https://klasma.github.io/Logging_0482/fåglar/A 37425-2023 prioriterade fågelarter.docx", "A 37425-2023")</f>
        <v/>
      </c>
    </row>
    <row r="10" ht="15" customHeight="1">
      <c r="A10" t="inlineStr">
        <is>
          <t>A 34095-2022</t>
        </is>
      </c>
      <c r="B10" s="1" t="n">
        <v>44791</v>
      </c>
      <c r="C10" s="1" t="n">
        <v>46203</v>
      </c>
      <c r="D10" t="inlineStr">
        <is>
          <t>SÖDERMANLANDS LÄN</t>
        </is>
      </c>
      <c r="E10" t="inlineStr">
        <is>
          <t>FLEN</t>
        </is>
      </c>
      <c r="G10" t="n">
        <v>3.6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11</v>
      </c>
      <c r="R10" s="2" t="inlineStr">
        <is>
          <t>Svinrot
Vanlig backsmörblomma
Bergsslok
Blåbär
Blåsippa
Liljekonvalj
Ormbär
Sälg
Vitsippa
Ängskovall
Gullviva</t>
        </is>
      </c>
      <c r="S10">
        <f>HYPERLINK("https://klasma.github.io/Logging_0482/artfynd/A 34095-2022 artfynd.xlsx", "A 34095-2022")</f>
        <v/>
      </c>
      <c r="T10">
        <f>HYPERLINK("https://klasma.github.io/Logging_0482/kartor/A 34095-2022 karta.png", "A 34095-2022")</f>
        <v/>
      </c>
      <c r="V10">
        <f>HYPERLINK("https://klasma.github.io/Logging_0482/klagomål/A 34095-2022 FSC-klagomål.docx", "A 34095-2022")</f>
        <v/>
      </c>
      <c r="W10">
        <f>HYPERLINK("https://klasma.github.io/Logging_0482/klagomålsmail/A 34095-2022 FSC-klagomål mail.docx", "A 34095-2022")</f>
        <v/>
      </c>
      <c r="X10">
        <f>HYPERLINK("https://klasma.github.io/Logging_0482/tillsyn/A 34095-2022 tillsynsbegäran.docx", "A 34095-2022")</f>
        <v/>
      </c>
      <c r="Y10">
        <f>HYPERLINK("https://klasma.github.io/Logging_0482/tillsynsmail/A 34095-2022 tillsynsbegäran mail.docx", "A 34095-2022")</f>
        <v/>
      </c>
    </row>
    <row r="11" ht="15" customHeight="1">
      <c r="A11" t="inlineStr">
        <is>
          <t>A 12419-2023</t>
        </is>
      </c>
      <c r="B11" s="1" t="n">
        <v>44998</v>
      </c>
      <c r="C11" s="1" t="n">
        <v>46203</v>
      </c>
      <c r="D11" t="inlineStr">
        <is>
          <t>SÖDERMANLANDS LÄN</t>
        </is>
      </c>
      <c r="E11" t="inlineStr">
        <is>
          <t>FLEN</t>
        </is>
      </c>
      <c r="G11" t="n">
        <v>6.3</v>
      </c>
      <c r="H11" t="n">
        <v>3</v>
      </c>
      <c r="I11" t="n">
        <v>1</v>
      </c>
      <c r="J11" t="n">
        <v>7</v>
      </c>
      <c r="K11" t="n">
        <v>0</v>
      </c>
      <c r="L11" t="n">
        <v>0</v>
      </c>
      <c r="M11" t="n">
        <v>0</v>
      </c>
      <c r="N11" t="n">
        <v>0</v>
      </c>
      <c r="O11" t="n">
        <v>7</v>
      </c>
      <c r="P11" t="n">
        <v>0</v>
      </c>
      <c r="Q11" t="n">
        <v>10</v>
      </c>
      <c r="R11" s="2" t="inlineStr">
        <is>
          <t>Gullklöver
Gulsparv
Kandelabersvamp
Krusfrö
Skogsklocka
Svinrot
Veckticka
Barkticka
Havsörn
Röd glada</t>
        </is>
      </c>
      <c r="S11">
        <f>HYPERLINK("https://klasma.github.io/Logging_0482/artfynd/A 12419-2023 artfynd.xlsx", "A 12419-2023")</f>
        <v/>
      </c>
      <c r="T11">
        <f>HYPERLINK("https://klasma.github.io/Logging_0482/kartor/A 12419-2023 karta.png", "A 12419-2023")</f>
        <v/>
      </c>
      <c r="V11">
        <f>HYPERLINK("https://klasma.github.io/Logging_0482/klagomål/A 12419-2023 FSC-klagomål.docx", "A 12419-2023")</f>
        <v/>
      </c>
      <c r="W11">
        <f>HYPERLINK("https://klasma.github.io/Logging_0482/klagomålsmail/A 12419-2023 FSC-klagomål mail.docx", "A 12419-2023")</f>
        <v/>
      </c>
      <c r="X11">
        <f>HYPERLINK("https://klasma.github.io/Logging_0482/tillsyn/A 12419-2023 tillsynsbegäran.docx", "A 12419-2023")</f>
        <v/>
      </c>
      <c r="Y11">
        <f>HYPERLINK("https://klasma.github.io/Logging_0482/tillsynsmail/A 12419-2023 tillsynsbegäran mail.docx", "A 12419-2023")</f>
        <v/>
      </c>
      <c r="Z11">
        <f>HYPERLINK("https://klasma.github.io/Logging_0482/fåglar/A 12419-2023 prioriterade fågelarter.docx", "A 12419-2023")</f>
        <v/>
      </c>
    </row>
    <row r="12" ht="15" customHeight="1">
      <c r="A12" t="inlineStr">
        <is>
          <t>A 10745-2022</t>
        </is>
      </c>
      <c r="B12" s="1" t="n">
        <v>44624</v>
      </c>
      <c r="C12" s="1" t="n">
        <v>46203</v>
      </c>
      <c r="D12" t="inlineStr">
        <is>
          <t>SÖDERMANLANDS LÄN</t>
        </is>
      </c>
      <c r="E12" t="inlineStr">
        <is>
          <t>FLEN</t>
        </is>
      </c>
      <c r="G12" t="n">
        <v>4.2</v>
      </c>
      <c r="H12" t="n">
        <v>5</v>
      </c>
      <c r="I12" t="n">
        <v>0</v>
      </c>
      <c r="J12" t="n">
        <v>4</v>
      </c>
      <c r="K12" t="n">
        <v>2</v>
      </c>
      <c r="L12" t="n">
        <v>0</v>
      </c>
      <c r="M12" t="n">
        <v>0</v>
      </c>
      <c r="N12" t="n">
        <v>0</v>
      </c>
      <c r="O12" t="n">
        <v>6</v>
      </c>
      <c r="P12" t="n">
        <v>2</v>
      </c>
      <c r="Q12" t="n">
        <v>8</v>
      </c>
      <c r="R12" s="2" t="inlineStr">
        <is>
          <t>Mindre bastardsvärmare
Stare
Gulsparv
Mindre hackspett
Mindre tåtelsmygare
Svinrot
Grönsiska
Kråka</t>
        </is>
      </c>
      <c r="S12">
        <f>HYPERLINK("https://klasma.github.io/Logging_0482/artfynd/A 10745-2022 artfynd.xlsx", "A 10745-2022")</f>
        <v/>
      </c>
      <c r="T12">
        <f>HYPERLINK("https://klasma.github.io/Logging_0482/kartor/A 10745-2022 karta.png", "A 10745-2022")</f>
        <v/>
      </c>
      <c r="V12">
        <f>HYPERLINK("https://klasma.github.io/Logging_0482/klagomål/A 10745-2022 FSC-klagomål.docx", "A 10745-2022")</f>
        <v/>
      </c>
      <c r="W12">
        <f>HYPERLINK("https://klasma.github.io/Logging_0482/klagomålsmail/A 10745-2022 FSC-klagomål mail.docx", "A 10745-2022")</f>
        <v/>
      </c>
      <c r="X12">
        <f>HYPERLINK("https://klasma.github.io/Logging_0482/tillsyn/A 10745-2022 tillsynsbegäran.docx", "A 10745-2022")</f>
        <v/>
      </c>
      <c r="Y12">
        <f>HYPERLINK("https://klasma.github.io/Logging_0482/tillsynsmail/A 10745-2022 tillsynsbegäran mail.docx", "A 10745-2022")</f>
        <v/>
      </c>
      <c r="Z12">
        <f>HYPERLINK("https://klasma.github.io/Logging_0482/fåglar/A 10745-2022 prioriterade fågelarter.docx", "A 10745-2022")</f>
        <v/>
      </c>
    </row>
    <row r="13" ht="15" customHeight="1">
      <c r="A13" t="inlineStr">
        <is>
          <t>A 4155-2024</t>
        </is>
      </c>
      <c r="B13" s="1" t="n">
        <v>45323</v>
      </c>
      <c r="C13" s="1" t="n">
        <v>46203</v>
      </c>
      <c r="D13" t="inlineStr">
        <is>
          <t>SÖDERMANLANDS LÄN</t>
        </is>
      </c>
      <c r="E13" t="inlineStr">
        <is>
          <t>FLEN</t>
        </is>
      </c>
      <c r="G13" t="n">
        <v>2.1</v>
      </c>
      <c r="H13" t="n">
        <v>5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7</v>
      </c>
      <c r="R13" s="2" t="inlineStr">
        <is>
          <t>Knärot
Scharlakansskål
Svart trolldruva
Blåsippa
Spillkråka
Grönvit nattviol
Gullviva</t>
        </is>
      </c>
      <c r="S13">
        <f>HYPERLINK("https://klasma.github.io/Logging_0482/artfynd/A 4155-2024 artfynd.xlsx", "A 4155-2024")</f>
        <v/>
      </c>
      <c r="T13">
        <f>HYPERLINK("https://klasma.github.io/Logging_0482/kartor/A 4155-2024 karta.png", "A 4155-2024")</f>
        <v/>
      </c>
      <c r="U13">
        <f>HYPERLINK("https://klasma.github.io/Logging_0482/knärot/A 4155-2024 karta knärot.png", "A 4155-2024")</f>
        <v/>
      </c>
      <c r="V13">
        <f>HYPERLINK("https://klasma.github.io/Logging_0482/klagomål/A 4155-2024 FSC-klagomål.docx", "A 4155-2024")</f>
        <v/>
      </c>
      <c r="W13">
        <f>HYPERLINK("https://klasma.github.io/Logging_0482/klagomålsmail/A 4155-2024 FSC-klagomål mail.docx", "A 4155-2024")</f>
        <v/>
      </c>
      <c r="X13">
        <f>HYPERLINK("https://klasma.github.io/Logging_0482/tillsyn/A 4155-2024 tillsynsbegäran.docx", "A 4155-2024")</f>
        <v/>
      </c>
      <c r="Y13">
        <f>HYPERLINK("https://klasma.github.io/Logging_0482/tillsynsmail/A 4155-2024 tillsynsbegäran mail.docx", "A 4155-2024")</f>
        <v/>
      </c>
      <c r="Z13">
        <f>HYPERLINK("https://klasma.github.io/Logging_0482/fåglar/A 4155-2024 prioriterade fågelarter.docx", "A 4155-2024")</f>
        <v/>
      </c>
    </row>
    <row r="14" ht="15" customHeight="1">
      <c r="A14" t="inlineStr">
        <is>
          <t>A 1148-2025</t>
        </is>
      </c>
      <c r="B14" s="1" t="n">
        <v>45666</v>
      </c>
      <c r="C14" s="1" t="n">
        <v>46203</v>
      </c>
      <c r="D14" t="inlineStr">
        <is>
          <t>SÖDERMANLANDS LÄN</t>
        </is>
      </c>
      <c r="E14" t="inlineStr">
        <is>
          <t>FLEN</t>
        </is>
      </c>
      <c r="F14" t="inlineStr">
        <is>
          <t>Övriga statliga verk och myndigheter</t>
        </is>
      </c>
      <c r="G14" t="n">
        <v>3</v>
      </c>
      <c r="H14" t="n">
        <v>3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7</v>
      </c>
      <c r="R14" s="2" t="inlineStr">
        <is>
          <t>Jungfrulin
Svedjenäva
Svinrot
Älg
Mattlummer
Huggorm
Grönvit nattviol</t>
        </is>
      </c>
      <c r="S14">
        <f>HYPERLINK("https://klasma.github.io/Logging_0482/artfynd/A 1148-2025 artfynd.xlsx", "A 1148-2025")</f>
        <v/>
      </c>
      <c r="T14">
        <f>HYPERLINK("https://klasma.github.io/Logging_0482/kartor/A 1148-2025 karta.png", "A 1148-2025")</f>
        <v/>
      </c>
      <c r="V14">
        <f>HYPERLINK("https://klasma.github.io/Logging_0482/klagomål/A 1148-2025 FSC-klagomål.docx", "A 1148-2025")</f>
        <v/>
      </c>
      <c r="W14">
        <f>HYPERLINK("https://klasma.github.io/Logging_0482/klagomålsmail/A 1148-2025 FSC-klagomål mail.docx", "A 1148-2025")</f>
        <v/>
      </c>
      <c r="X14">
        <f>HYPERLINK("https://klasma.github.io/Logging_0482/tillsyn/A 1148-2025 tillsynsbegäran.docx", "A 1148-2025")</f>
        <v/>
      </c>
      <c r="Y14">
        <f>HYPERLINK("https://klasma.github.io/Logging_0482/tillsynsmail/A 1148-2025 tillsynsbegäran mail.docx", "A 1148-2025")</f>
        <v/>
      </c>
    </row>
    <row r="15" ht="15" customHeight="1">
      <c r="A15" t="inlineStr">
        <is>
          <t>A 18078-2023</t>
        </is>
      </c>
      <c r="B15" s="1" t="n">
        <v>45039</v>
      </c>
      <c r="C15" s="1" t="n">
        <v>46203</v>
      </c>
      <c r="D15" t="inlineStr">
        <is>
          <t>SÖDERMANLANDS LÄN</t>
        </is>
      </c>
      <c r="E15" t="inlineStr">
        <is>
          <t>FLEN</t>
        </is>
      </c>
      <c r="G15" t="n">
        <v>8.9</v>
      </c>
      <c r="H15" t="n">
        <v>1</v>
      </c>
      <c r="I15" t="n">
        <v>4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7</v>
      </c>
      <c r="R15" s="2" t="inlineStr">
        <is>
          <t>Gullklöver
Svinrot
Aspvedgnagare
Gulnål
Kornig nållav
Rävticka
Nattviol</t>
        </is>
      </c>
      <c r="S15">
        <f>HYPERLINK("https://klasma.github.io/Logging_0482/artfynd/A 18078-2023 artfynd.xlsx", "A 18078-2023")</f>
        <v/>
      </c>
      <c r="T15">
        <f>HYPERLINK("https://klasma.github.io/Logging_0482/kartor/A 18078-2023 karta.png", "A 18078-2023")</f>
        <v/>
      </c>
      <c r="V15">
        <f>HYPERLINK("https://klasma.github.io/Logging_0482/klagomål/A 18078-2023 FSC-klagomål.docx", "A 18078-2023")</f>
        <v/>
      </c>
      <c r="W15">
        <f>HYPERLINK("https://klasma.github.io/Logging_0482/klagomålsmail/A 18078-2023 FSC-klagomål mail.docx", "A 18078-2023")</f>
        <v/>
      </c>
      <c r="X15">
        <f>HYPERLINK("https://klasma.github.io/Logging_0482/tillsyn/A 18078-2023 tillsynsbegäran.docx", "A 18078-2023")</f>
        <v/>
      </c>
      <c r="Y15">
        <f>HYPERLINK("https://klasma.github.io/Logging_0482/tillsynsmail/A 18078-2023 tillsynsbegäran mail.docx", "A 18078-2023")</f>
        <v/>
      </c>
    </row>
    <row r="16" ht="15" customHeight="1">
      <c r="A16" t="inlineStr">
        <is>
          <t>A 60251-2021</t>
        </is>
      </c>
      <c r="B16" s="1" t="n">
        <v>44495</v>
      </c>
      <c r="C16" s="1" t="n">
        <v>46203</v>
      </c>
      <c r="D16" t="inlineStr">
        <is>
          <t>SÖDERMANLANDS LÄN</t>
        </is>
      </c>
      <c r="E16" t="inlineStr">
        <is>
          <t>FLEN</t>
        </is>
      </c>
      <c r="G16" t="n">
        <v>2.7</v>
      </c>
      <c r="H16" t="n">
        <v>1</v>
      </c>
      <c r="I16" t="n">
        <v>1</v>
      </c>
      <c r="J16" t="n">
        <v>3</v>
      </c>
      <c r="K16" t="n">
        <v>3</v>
      </c>
      <c r="L16" t="n">
        <v>0</v>
      </c>
      <c r="M16" t="n">
        <v>0</v>
      </c>
      <c r="N16" t="n">
        <v>0</v>
      </c>
      <c r="O16" t="n">
        <v>6</v>
      </c>
      <c r="P16" t="n">
        <v>3</v>
      </c>
      <c r="Q16" t="n">
        <v>7</v>
      </c>
      <c r="R16" s="2" t="inlineStr">
        <is>
          <t>Knärot
Ryl
Slåttergubbe
Fjällig taggsvamp s.str.
Klasefibbla
Orange taggsvamp
Grönpyrola</t>
        </is>
      </c>
      <c r="S16">
        <f>HYPERLINK("https://klasma.github.io/Logging_0482/artfynd/A 60251-2021 artfynd.xlsx", "A 60251-2021")</f>
        <v/>
      </c>
      <c r="T16">
        <f>HYPERLINK("https://klasma.github.io/Logging_0482/kartor/A 60251-2021 karta.png", "A 60251-2021")</f>
        <v/>
      </c>
      <c r="U16">
        <f>HYPERLINK("https://klasma.github.io/Logging_0482/knärot/A 60251-2021 karta knärot.png", "A 60251-2021")</f>
        <v/>
      </c>
      <c r="V16">
        <f>HYPERLINK("https://klasma.github.io/Logging_0482/klagomål/A 60251-2021 FSC-klagomål.docx", "A 60251-2021")</f>
        <v/>
      </c>
      <c r="W16">
        <f>HYPERLINK("https://klasma.github.io/Logging_0482/klagomålsmail/A 60251-2021 FSC-klagomål mail.docx", "A 60251-2021")</f>
        <v/>
      </c>
      <c r="X16">
        <f>HYPERLINK("https://klasma.github.io/Logging_0482/tillsyn/A 60251-2021 tillsynsbegäran.docx", "A 60251-2021")</f>
        <v/>
      </c>
      <c r="Y16">
        <f>HYPERLINK("https://klasma.github.io/Logging_0482/tillsynsmail/A 60251-2021 tillsynsbegäran mail.docx", "A 60251-2021")</f>
        <v/>
      </c>
    </row>
    <row r="17" ht="15" customHeight="1">
      <c r="A17" t="inlineStr">
        <is>
          <t>A 11065-2026</t>
        </is>
      </c>
      <c r="B17" s="1" t="n">
        <v>46079</v>
      </c>
      <c r="C17" s="1" t="n">
        <v>46203</v>
      </c>
      <c r="D17" t="inlineStr">
        <is>
          <t>SÖDERMANLANDS LÄN</t>
        </is>
      </c>
      <c r="E17" t="inlineStr">
        <is>
          <t>FLEN</t>
        </is>
      </c>
      <c r="F17" t="inlineStr">
        <is>
          <t>Holmen skog AB</t>
        </is>
      </c>
      <c r="G17" t="n">
        <v>4.6</v>
      </c>
      <c r="H17" t="n">
        <v>2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6</v>
      </c>
      <c r="R17" s="2" t="inlineStr">
        <is>
          <t>Gullklöver
Jungfrulin
Svinrot
Asphättemossa
Blåsippa
Gullviva</t>
        </is>
      </c>
      <c r="S17">
        <f>HYPERLINK("https://klasma.github.io/Logging_0482/artfynd/A 11065-2026 artfynd.xlsx", "A 11065-2026")</f>
        <v/>
      </c>
      <c r="T17">
        <f>HYPERLINK("https://klasma.github.io/Logging_0482/kartor/A 11065-2026 karta.png", "A 11065-2026")</f>
        <v/>
      </c>
      <c r="V17">
        <f>HYPERLINK("https://klasma.github.io/Logging_0482/klagomål/A 11065-2026 FSC-klagomål.docx", "A 11065-2026")</f>
        <v/>
      </c>
      <c r="W17">
        <f>HYPERLINK("https://klasma.github.io/Logging_0482/klagomålsmail/A 11065-2026 FSC-klagomål mail.docx", "A 11065-2026")</f>
        <v/>
      </c>
      <c r="X17">
        <f>HYPERLINK("https://klasma.github.io/Logging_0482/tillsyn/A 11065-2026 tillsynsbegäran.docx", "A 11065-2026")</f>
        <v/>
      </c>
      <c r="Y17">
        <f>HYPERLINK("https://klasma.github.io/Logging_0482/tillsynsmail/A 11065-2026 tillsynsbegäran mail.docx", "A 11065-2026")</f>
        <v/>
      </c>
    </row>
    <row r="18" ht="15" customHeight="1">
      <c r="A18" t="inlineStr">
        <is>
          <t>A 48790-2021</t>
        </is>
      </c>
      <c r="B18" s="1" t="n">
        <v>44452</v>
      </c>
      <c r="C18" s="1" t="n">
        <v>46203</v>
      </c>
      <c r="D18" t="inlineStr">
        <is>
          <t>SÖDERMANLANDS LÄN</t>
        </is>
      </c>
      <c r="E18" t="inlineStr">
        <is>
          <t>FLEN</t>
        </is>
      </c>
      <c r="F18" t="inlineStr">
        <is>
          <t>Holmen skog AB</t>
        </is>
      </c>
      <c r="G18" t="n">
        <v>1.8</v>
      </c>
      <c r="H18" t="n">
        <v>0</v>
      </c>
      <c r="I18" t="n">
        <v>1</v>
      </c>
      <c r="J18" t="n">
        <v>3</v>
      </c>
      <c r="K18" t="n">
        <v>0</v>
      </c>
      <c r="L18" t="n">
        <v>1</v>
      </c>
      <c r="M18" t="n">
        <v>0</v>
      </c>
      <c r="N18" t="n">
        <v>0</v>
      </c>
      <c r="O18" t="n">
        <v>4</v>
      </c>
      <c r="P18" t="n">
        <v>1</v>
      </c>
      <c r="Q18" t="n">
        <v>5</v>
      </c>
      <c r="R18" s="2" t="inlineStr">
        <is>
          <t>Ask
Skogsklocka
Vippärt
Ängsskära
Underviol</t>
        </is>
      </c>
      <c r="S18">
        <f>HYPERLINK("https://klasma.github.io/Logging_0482/artfynd/A 48790-2021 artfynd.xlsx", "A 48790-2021")</f>
        <v/>
      </c>
      <c r="T18">
        <f>HYPERLINK("https://klasma.github.io/Logging_0482/kartor/A 48790-2021 karta.png", "A 48790-2021")</f>
        <v/>
      </c>
      <c r="V18">
        <f>HYPERLINK("https://klasma.github.io/Logging_0482/klagomål/A 48790-2021 FSC-klagomål.docx", "A 48790-2021")</f>
        <v/>
      </c>
      <c r="W18">
        <f>HYPERLINK("https://klasma.github.io/Logging_0482/klagomålsmail/A 48790-2021 FSC-klagomål mail.docx", "A 48790-2021")</f>
        <v/>
      </c>
      <c r="X18">
        <f>HYPERLINK("https://klasma.github.io/Logging_0482/tillsyn/A 48790-2021 tillsynsbegäran.docx", "A 48790-2021")</f>
        <v/>
      </c>
      <c r="Y18">
        <f>HYPERLINK("https://klasma.github.io/Logging_0482/tillsynsmail/A 48790-2021 tillsynsbegäran mail.docx", "A 48790-2021")</f>
        <v/>
      </c>
    </row>
    <row r="19" ht="15" customHeight="1">
      <c r="A19" t="inlineStr">
        <is>
          <t>A 38832-2022</t>
        </is>
      </c>
      <c r="B19" s="1" t="n">
        <v>44814</v>
      </c>
      <c r="C19" s="1" t="n">
        <v>46203</v>
      </c>
      <c r="D19" t="inlineStr">
        <is>
          <t>SÖDERMANLANDS LÄN</t>
        </is>
      </c>
      <c r="E19" t="inlineStr">
        <is>
          <t>FLEN</t>
        </is>
      </c>
      <c r="G19" t="n">
        <v>1.8</v>
      </c>
      <c r="H19" t="n">
        <v>2</v>
      </c>
      <c r="I19" t="n">
        <v>0</v>
      </c>
      <c r="J19" t="n">
        <v>2</v>
      </c>
      <c r="K19" t="n">
        <v>1</v>
      </c>
      <c r="L19" t="n">
        <v>1</v>
      </c>
      <c r="M19" t="n">
        <v>0</v>
      </c>
      <c r="N19" t="n">
        <v>0</v>
      </c>
      <c r="O19" t="n">
        <v>4</v>
      </c>
      <c r="P19" t="n">
        <v>2</v>
      </c>
      <c r="Q19" t="n">
        <v>5</v>
      </c>
      <c r="R19" s="2" t="inlineStr">
        <is>
          <t>Ask
Gulvit blekspik
Gulsparv
Tallticka
Skogsödla</t>
        </is>
      </c>
      <c r="S19">
        <f>HYPERLINK("https://klasma.github.io/Logging_0482/artfynd/A 38832-2022 artfynd.xlsx", "A 38832-2022")</f>
        <v/>
      </c>
      <c r="T19">
        <f>HYPERLINK("https://klasma.github.io/Logging_0482/kartor/A 38832-2022 karta.png", "A 38832-2022")</f>
        <v/>
      </c>
      <c r="V19">
        <f>HYPERLINK("https://klasma.github.io/Logging_0482/klagomål/A 38832-2022 FSC-klagomål.docx", "A 38832-2022")</f>
        <v/>
      </c>
      <c r="W19">
        <f>HYPERLINK("https://klasma.github.io/Logging_0482/klagomålsmail/A 38832-2022 FSC-klagomål mail.docx", "A 38832-2022")</f>
        <v/>
      </c>
      <c r="X19">
        <f>HYPERLINK("https://klasma.github.io/Logging_0482/tillsyn/A 38832-2022 tillsynsbegäran.docx", "A 38832-2022")</f>
        <v/>
      </c>
      <c r="Y19">
        <f>HYPERLINK("https://klasma.github.io/Logging_0482/tillsynsmail/A 38832-2022 tillsynsbegäran mail.docx", "A 38832-2022")</f>
        <v/>
      </c>
      <c r="Z19">
        <f>HYPERLINK("https://klasma.github.io/Logging_0482/fåglar/A 38832-2022 prioriterade fågelarter.docx", "A 38832-2022")</f>
        <v/>
      </c>
    </row>
    <row r="20" ht="15" customHeight="1">
      <c r="A20" t="inlineStr">
        <is>
          <t>A 32901-2025</t>
        </is>
      </c>
      <c r="B20" s="1" t="n">
        <v>45839</v>
      </c>
      <c r="C20" s="1" t="n">
        <v>46203</v>
      </c>
      <c r="D20" t="inlineStr">
        <is>
          <t>SÖDERMANLANDS LÄN</t>
        </is>
      </c>
      <c r="E20" t="inlineStr">
        <is>
          <t>FLEN</t>
        </is>
      </c>
      <c r="G20" t="n">
        <v>2.6</v>
      </c>
      <c r="H20" t="n">
        <v>1</v>
      </c>
      <c r="I20" t="n">
        <v>2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Motaggsvamp
Ullticka
Blomkålssvamp
Flagellkvastmossa
Spillkråka</t>
        </is>
      </c>
      <c r="S20">
        <f>HYPERLINK("https://klasma.github.io/Logging_0482/artfynd/A 32901-2025 artfynd.xlsx", "A 32901-2025")</f>
        <v/>
      </c>
      <c r="T20">
        <f>HYPERLINK("https://klasma.github.io/Logging_0482/kartor/A 32901-2025 karta.png", "A 32901-2025")</f>
        <v/>
      </c>
      <c r="V20">
        <f>HYPERLINK("https://klasma.github.io/Logging_0482/klagomål/A 32901-2025 FSC-klagomål.docx", "A 32901-2025")</f>
        <v/>
      </c>
      <c r="W20">
        <f>HYPERLINK("https://klasma.github.io/Logging_0482/klagomålsmail/A 32901-2025 FSC-klagomål mail.docx", "A 32901-2025")</f>
        <v/>
      </c>
      <c r="X20">
        <f>HYPERLINK("https://klasma.github.io/Logging_0482/tillsyn/A 32901-2025 tillsynsbegäran.docx", "A 32901-2025")</f>
        <v/>
      </c>
      <c r="Y20">
        <f>HYPERLINK("https://klasma.github.io/Logging_0482/tillsynsmail/A 32901-2025 tillsynsbegäran mail.docx", "A 32901-2025")</f>
        <v/>
      </c>
      <c r="Z20">
        <f>HYPERLINK("https://klasma.github.io/Logging_0482/fåglar/A 32901-2025 prioriterade fågelarter.docx", "A 32901-2025")</f>
        <v/>
      </c>
    </row>
    <row r="21" ht="15" customHeight="1">
      <c r="A21" t="inlineStr">
        <is>
          <t>A 70039-2021</t>
        </is>
      </c>
      <c r="B21" s="1" t="n">
        <v>44533</v>
      </c>
      <c r="C21" s="1" t="n">
        <v>46203</v>
      </c>
      <c r="D21" t="inlineStr">
        <is>
          <t>SÖDERMANLANDS LÄN</t>
        </is>
      </c>
      <c r="E21" t="inlineStr">
        <is>
          <t>FLEN</t>
        </is>
      </c>
      <c r="G21" t="n">
        <v>6.7</v>
      </c>
      <c r="H21" t="n">
        <v>1</v>
      </c>
      <c r="I21" t="n">
        <v>0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Gullklöver
Slåtterfibbla
Svedjenäva
Svinrot
Blåsippa</t>
        </is>
      </c>
      <c r="S21">
        <f>HYPERLINK("https://klasma.github.io/Logging_0482/artfynd/A 70039-2021 artfynd.xlsx", "A 70039-2021")</f>
        <v/>
      </c>
      <c r="T21">
        <f>HYPERLINK("https://klasma.github.io/Logging_0482/kartor/A 70039-2021 karta.png", "A 70039-2021")</f>
        <v/>
      </c>
      <c r="V21">
        <f>HYPERLINK("https://klasma.github.io/Logging_0482/klagomål/A 70039-2021 FSC-klagomål.docx", "A 70039-2021")</f>
        <v/>
      </c>
      <c r="W21">
        <f>HYPERLINK("https://klasma.github.io/Logging_0482/klagomålsmail/A 70039-2021 FSC-klagomål mail.docx", "A 70039-2021")</f>
        <v/>
      </c>
      <c r="X21">
        <f>HYPERLINK("https://klasma.github.io/Logging_0482/tillsyn/A 70039-2021 tillsynsbegäran.docx", "A 70039-2021")</f>
        <v/>
      </c>
      <c r="Y21">
        <f>HYPERLINK("https://klasma.github.io/Logging_0482/tillsynsmail/A 70039-2021 tillsynsbegäran mail.docx", "A 70039-2021")</f>
        <v/>
      </c>
    </row>
    <row r="22" ht="15" customHeight="1">
      <c r="A22" t="inlineStr">
        <is>
          <t>A 33219-2024</t>
        </is>
      </c>
      <c r="B22" s="1" t="n">
        <v>45518</v>
      </c>
      <c r="C22" s="1" t="n">
        <v>46203</v>
      </c>
      <c r="D22" t="inlineStr">
        <is>
          <t>SÖDERMANLANDS LÄN</t>
        </is>
      </c>
      <c r="E22" t="inlineStr">
        <is>
          <t>FLEN</t>
        </is>
      </c>
      <c r="G22" t="n">
        <v>2.5</v>
      </c>
      <c r="H22" t="n">
        <v>3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5</v>
      </c>
      <c r="R22" s="2" t="inlineStr">
        <is>
          <t>Knärot
Svinrot
Zontaggsvamp
Blåsippa
Mattlummer</t>
        </is>
      </c>
      <c r="S22">
        <f>HYPERLINK("https://klasma.github.io/Logging_0482/artfynd/A 33219-2024 artfynd.xlsx", "A 33219-2024")</f>
        <v/>
      </c>
      <c r="T22">
        <f>HYPERLINK("https://klasma.github.io/Logging_0482/kartor/A 33219-2024 karta.png", "A 33219-2024")</f>
        <v/>
      </c>
      <c r="U22">
        <f>HYPERLINK("https://klasma.github.io/Logging_0482/knärot/A 33219-2024 karta knärot.png", "A 33219-2024")</f>
        <v/>
      </c>
      <c r="V22">
        <f>HYPERLINK("https://klasma.github.io/Logging_0482/klagomål/A 33219-2024 FSC-klagomål.docx", "A 33219-2024")</f>
        <v/>
      </c>
      <c r="W22">
        <f>HYPERLINK("https://klasma.github.io/Logging_0482/klagomålsmail/A 33219-2024 FSC-klagomål mail.docx", "A 33219-2024")</f>
        <v/>
      </c>
      <c r="X22">
        <f>HYPERLINK("https://klasma.github.io/Logging_0482/tillsyn/A 33219-2024 tillsynsbegäran.docx", "A 33219-2024")</f>
        <v/>
      </c>
      <c r="Y22">
        <f>HYPERLINK("https://klasma.github.io/Logging_0482/tillsynsmail/A 33219-2024 tillsynsbegäran mail.docx", "A 33219-2024")</f>
        <v/>
      </c>
    </row>
    <row r="23" ht="15" customHeight="1">
      <c r="A23" t="inlineStr">
        <is>
          <t>A 13755-2026</t>
        </is>
      </c>
      <c r="B23" s="1" t="n">
        <v>46097</v>
      </c>
      <c r="C23" s="1" t="n">
        <v>46203</v>
      </c>
      <c r="D23" t="inlineStr">
        <is>
          <t>SÖDERMANLANDS LÄN</t>
        </is>
      </c>
      <c r="E23" t="inlineStr">
        <is>
          <t>FLEN</t>
        </is>
      </c>
      <c r="G23" t="n">
        <v>2.9</v>
      </c>
      <c r="H23" t="n">
        <v>2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5</v>
      </c>
      <c r="R23" s="2" t="inlineStr">
        <is>
          <t>Åkerrättika
Jungfrulin
Svart trolldruva
Blåsippa
Grönvit nattviol</t>
        </is>
      </c>
      <c r="S23">
        <f>HYPERLINK("https://klasma.github.io/Logging_0482/artfynd/A 13755-2026 artfynd.xlsx", "A 13755-2026")</f>
        <v/>
      </c>
      <c r="T23">
        <f>HYPERLINK("https://klasma.github.io/Logging_0482/kartor/A 13755-2026 karta.png", "A 13755-2026")</f>
        <v/>
      </c>
      <c r="V23">
        <f>HYPERLINK("https://klasma.github.io/Logging_0482/klagomål/A 13755-2026 FSC-klagomål.docx", "A 13755-2026")</f>
        <v/>
      </c>
      <c r="W23">
        <f>HYPERLINK("https://klasma.github.io/Logging_0482/klagomålsmail/A 13755-2026 FSC-klagomål mail.docx", "A 13755-2026")</f>
        <v/>
      </c>
      <c r="X23">
        <f>HYPERLINK("https://klasma.github.io/Logging_0482/tillsyn/A 13755-2026 tillsynsbegäran.docx", "A 13755-2026")</f>
        <v/>
      </c>
      <c r="Y23">
        <f>HYPERLINK("https://klasma.github.io/Logging_0482/tillsynsmail/A 13755-2026 tillsynsbegäran mail.docx", "A 13755-2026")</f>
        <v/>
      </c>
    </row>
    <row r="24" ht="15" customHeight="1">
      <c r="A24" t="inlineStr">
        <is>
          <t>A 17508-2026</t>
        </is>
      </c>
      <c r="B24" s="1" t="n">
        <v>46119</v>
      </c>
      <c r="C24" s="1" t="n">
        <v>46203</v>
      </c>
      <c r="D24" t="inlineStr">
        <is>
          <t>SÖDERMANLANDS LÄN</t>
        </is>
      </c>
      <c r="E24" t="inlineStr">
        <is>
          <t>FLEN</t>
        </is>
      </c>
      <c r="G24" t="n">
        <v>2.2</v>
      </c>
      <c r="H24" t="n">
        <v>2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5</v>
      </c>
      <c r="R24" s="2" t="inlineStr">
        <is>
          <t>Gulvaxing
Ekbräken
Spillkråka
Sälg
Gröngöling</t>
        </is>
      </c>
      <c r="S24">
        <f>HYPERLINK("https://klasma.github.io/Logging_0482/artfynd/A 17508-2026 artfynd.xlsx", "A 17508-2026")</f>
        <v/>
      </c>
      <c r="T24">
        <f>HYPERLINK("https://klasma.github.io/Logging_0482/kartor/A 17508-2026 karta.png", "A 17508-2026")</f>
        <v/>
      </c>
      <c r="V24">
        <f>HYPERLINK("https://klasma.github.io/Logging_0482/klagomål/A 17508-2026 FSC-klagomål.docx", "A 17508-2026")</f>
        <v/>
      </c>
      <c r="W24">
        <f>HYPERLINK("https://klasma.github.io/Logging_0482/klagomålsmail/A 17508-2026 FSC-klagomål mail.docx", "A 17508-2026")</f>
        <v/>
      </c>
      <c r="X24">
        <f>HYPERLINK("https://klasma.github.io/Logging_0482/tillsyn/A 17508-2026 tillsynsbegäran.docx", "A 17508-2026")</f>
        <v/>
      </c>
      <c r="Y24">
        <f>HYPERLINK("https://klasma.github.io/Logging_0482/tillsynsmail/A 17508-2026 tillsynsbegäran mail.docx", "A 17508-2026")</f>
        <v/>
      </c>
      <c r="Z24">
        <f>HYPERLINK("https://klasma.github.io/Logging_0482/fåglar/A 17508-2026 prioriterade fågelarter.docx", "A 17508-2026")</f>
        <v/>
      </c>
    </row>
    <row r="25" ht="15" customHeight="1">
      <c r="A25" t="inlineStr">
        <is>
          <t>A 4551-2023</t>
        </is>
      </c>
      <c r="B25" s="1" t="n">
        <v>44956</v>
      </c>
      <c r="C25" s="1" t="n">
        <v>46203</v>
      </c>
      <c r="D25" t="inlineStr">
        <is>
          <t>SÖDERMANLANDS LÄN</t>
        </is>
      </c>
      <c r="E25" t="inlineStr">
        <is>
          <t>FLEN</t>
        </is>
      </c>
      <c r="G25" t="n">
        <v>6.6</v>
      </c>
      <c r="H25" t="n">
        <v>1</v>
      </c>
      <c r="I25" t="n">
        <v>0</v>
      </c>
      <c r="J25" t="n">
        <v>3</v>
      </c>
      <c r="K25" t="n">
        <v>0</v>
      </c>
      <c r="L25" t="n">
        <v>1</v>
      </c>
      <c r="M25" t="n">
        <v>0</v>
      </c>
      <c r="N25" t="n">
        <v>0</v>
      </c>
      <c r="O25" t="n">
        <v>4</v>
      </c>
      <c r="P25" t="n">
        <v>1</v>
      </c>
      <c r="Q25" t="n">
        <v>5</v>
      </c>
      <c r="R25" s="2" t="inlineStr">
        <is>
          <t>Ask
Krusfrö
Svinrot
Älg
Större vattensalamander</t>
        </is>
      </c>
      <c r="S25">
        <f>HYPERLINK("https://klasma.github.io/Logging_0482/artfynd/A 4551-2023 artfynd.xlsx", "A 4551-2023")</f>
        <v/>
      </c>
      <c r="T25">
        <f>HYPERLINK("https://klasma.github.io/Logging_0482/kartor/A 4551-2023 karta.png", "A 4551-2023")</f>
        <v/>
      </c>
      <c r="V25">
        <f>HYPERLINK("https://klasma.github.io/Logging_0482/klagomål/A 4551-2023 FSC-klagomål.docx", "A 4551-2023")</f>
        <v/>
      </c>
      <c r="W25">
        <f>HYPERLINK("https://klasma.github.io/Logging_0482/klagomålsmail/A 4551-2023 FSC-klagomål mail.docx", "A 4551-2023")</f>
        <v/>
      </c>
      <c r="X25">
        <f>HYPERLINK("https://klasma.github.io/Logging_0482/tillsyn/A 4551-2023 tillsynsbegäran.docx", "A 4551-2023")</f>
        <v/>
      </c>
      <c r="Y25">
        <f>HYPERLINK("https://klasma.github.io/Logging_0482/tillsynsmail/A 4551-2023 tillsynsbegäran mail.docx", "A 4551-2023")</f>
        <v/>
      </c>
    </row>
    <row r="26" ht="15" customHeight="1">
      <c r="A26" t="inlineStr">
        <is>
          <t>A 48952-2023</t>
        </is>
      </c>
      <c r="B26" s="1" t="n">
        <v>45209</v>
      </c>
      <c r="C26" s="1" t="n">
        <v>46203</v>
      </c>
      <c r="D26" t="inlineStr">
        <is>
          <t>SÖDERMANLANDS LÄN</t>
        </is>
      </c>
      <c r="E26" t="inlineStr">
        <is>
          <t>FLEN</t>
        </is>
      </c>
      <c r="F26" t="inlineStr">
        <is>
          <t>Holmen skog AB</t>
        </is>
      </c>
      <c r="G26" t="n">
        <v>12.8</v>
      </c>
      <c r="H26" t="n">
        <v>0</v>
      </c>
      <c r="I26" t="n">
        <v>2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5</v>
      </c>
      <c r="R26" s="2" t="inlineStr">
        <is>
          <t>Dropptaggsvamp
Tallticka
Vedskivlav
Blåmossa
Grovticka</t>
        </is>
      </c>
      <c r="S26">
        <f>HYPERLINK("https://klasma.github.io/Logging_0482/artfynd/A 48952-2023 artfynd.xlsx", "A 48952-2023")</f>
        <v/>
      </c>
      <c r="T26">
        <f>HYPERLINK("https://klasma.github.io/Logging_0482/kartor/A 48952-2023 karta.png", "A 48952-2023")</f>
        <v/>
      </c>
      <c r="V26">
        <f>HYPERLINK("https://klasma.github.io/Logging_0482/klagomål/A 48952-2023 FSC-klagomål.docx", "A 48952-2023")</f>
        <v/>
      </c>
      <c r="W26">
        <f>HYPERLINK("https://klasma.github.io/Logging_0482/klagomålsmail/A 48952-2023 FSC-klagomål mail.docx", "A 48952-2023")</f>
        <v/>
      </c>
      <c r="X26">
        <f>HYPERLINK("https://klasma.github.io/Logging_0482/tillsyn/A 48952-2023 tillsynsbegäran.docx", "A 48952-2023")</f>
        <v/>
      </c>
      <c r="Y26">
        <f>HYPERLINK("https://klasma.github.io/Logging_0482/tillsynsmail/A 48952-2023 tillsynsbegäran mail.docx", "A 48952-2023")</f>
        <v/>
      </c>
    </row>
    <row r="27" ht="15" customHeight="1">
      <c r="A27" t="inlineStr">
        <is>
          <t>A 5859-2022</t>
        </is>
      </c>
      <c r="B27" s="1" t="n">
        <v>44596</v>
      </c>
      <c r="C27" s="1" t="n">
        <v>46203</v>
      </c>
      <c r="D27" t="inlineStr">
        <is>
          <t>SÖDERMANLANDS LÄN</t>
        </is>
      </c>
      <c r="E27" t="inlineStr">
        <is>
          <t>FLEN</t>
        </is>
      </c>
      <c r="G27" t="n">
        <v>0.6</v>
      </c>
      <c r="H27" t="n">
        <v>1</v>
      </c>
      <c r="I27" t="n">
        <v>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s="2" t="inlineStr">
        <is>
          <t>Fällmossa
Granbarkgnagare
Svart trolldruva
Blåsippa</t>
        </is>
      </c>
      <c r="S27">
        <f>HYPERLINK("https://klasma.github.io/Logging_0482/artfynd/A 5859-2022 artfynd.xlsx", "A 5859-2022")</f>
        <v/>
      </c>
      <c r="T27">
        <f>HYPERLINK("https://klasma.github.io/Logging_0482/kartor/A 5859-2022 karta.png", "A 5859-2022")</f>
        <v/>
      </c>
      <c r="V27">
        <f>HYPERLINK("https://klasma.github.io/Logging_0482/klagomål/A 5859-2022 FSC-klagomål.docx", "A 5859-2022")</f>
        <v/>
      </c>
      <c r="W27">
        <f>HYPERLINK("https://klasma.github.io/Logging_0482/klagomålsmail/A 5859-2022 FSC-klagomål mail.docx", "A 5859-2022")</f>
        <v/>
      </c>
      <c r="X27">
        <f>HYPERLINK("https://klasma.github.io/Logging_0482/tillsyn/A 5859-2022 tillsynsbegäran.docx", "A 5859-2022")</f>
        <v/>
      </c>
      <c r="Y27">
        <f>HYPERLINK("https://klasma.github.io/Logging_0482/tillsynsmail/A 5859-2022 tillsynsbegäran mail.docx", "A 5859-2022")</f>
        <v/>
      </c>
    </row>
    <row r="28" ht="15" customHeight="1">
      <c r="A28" t="inlineStr">
        <is>
          <t>A 54325-2021</t>
        </is>
      </c>
      <c r="B28" s="1" t="n">
        <v>44472</v>
      </c>
      <c r="C28" s="1" t="n">
        <v>46203</v>
      </c>
      <c r="D28" t="inlineStr">
        <is>
          <t>SÖDERMANLANDS LÄN</t>
        </is>
      </c>
      <c r="E28" t="inlineStr">
        <is>
          <t>FLEN</t>
        </is>
      </c>
      <c r="G28" t="n">
        <v>1.6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4</v>
      </c>
      <c r="R28" s="2" t="inlineStr">
        <is>
          <t>Gullklöver
Jungfrulin
Humleblomster
Ängskovall</t>
        </is>
      </c>
      <c r="S28">
        <f>HYPERLINK("https://klasma.github.io/Logging_0482/artfynd/A 54325-2021 artfynd.xlsx", "A 54325-2021")</f>
        <v/>
      </c>
      <c r="T28">
        <f>HYPERLINK("https://klasma.github.io/Logging_0482/kartor/A 54325-2021 karta.png", "A 54325-2021")</f>
        <v/>
      </c>
      <c r="V28">
        <f>HYPERLINK("https://klasma.github.io/Logging_0482/klagomål/A 54325-2021 FSC-klagomål.docx", "A 54325-2021")</f>
        <v/>
      </c>
      <c r="W28">
        <f>HYPERLINK("https://klasma.github.io/Logging_0482/klagomålsmail/A 54325-2021 FSC-klagomål mail.docx", "A 54325-2021")</f>
        <v/>
      </c>
      <c r="X28">
        <f>HYPERLINK("https://klasma.github.io/Logging_0482/tillsyn/A 54325-2021 tillsynsbegäran.docx", "A 54325-2021")</f>
        <v/>
      </c>
      <c r="Y28">
        <f>HYPERLINK("https://klasma.github.io/Logging_0482/tillsynsmail/A 54325-2021 tillsynsbegäran mail.docx", "A 54325-2021")</f>
        <v/>
      </c>
    </row>
    <row r="29" ht="15" customHeight="1">
      <c r="A29" t="inlineStr">
        <is>
          <t>A 21004-2025</t>
        </is>
      </c>
      <c r="B29" s="1" t="n">
        <v>45777</v>
      </c>
      <c r="C29" s="1" t="n">
        <v>46203</v>
      </c>
      <c r="D29" t="inlineStr">
        <is>
          <t>SÖDERMANLANDS LÄN</t>
        </is>
      </c>
      <c r="E29" t="inlineStr">
        <is>
          <t>FLEN</t>
        </is>
      </c>
      <c r="F29" t="inlineStr">
        <is>
          <t>Holmen skog AB</t>
        </is>
      </c>
      <c r="G29" t="n">
        <v>1.8</v>
      </c>
      <c r="H29" t="n">
        <v>0</v>
      </c>
      <c r="I29" t="n">
        <v>1</v>
      </c>
      <c r="J29" t="n">
        <v>2</v>
      </c>
      <c r="K29" t="n">
        <v>0</v>
      </c>
      <c r="L29" t="n">
        <v>1</v>
      </c>
      <c r="M29" t="n">
        <v>0</v>
      </c>
      <c r="N29" t="n">
        <v>0</v>
      </c>
      <c r="O29" t="n">
        <v>3</v>
      </c>
      <c r="P29" t="n">
        <v>1</v>
      </c>
      <c r="Q29" t="n">
        <v>4</v>
      </c>
      <c r="R29" s="2" t="inlineStr">
        <is>
          <t>Ask
Parknål
Tallticka
Brun nållav</t>
        </is>
      </c>
      <c r="S29">
        <f>HYPERLINK("https://klasma.github.io/Logging_0482/artfynd/A 21004-2025 artfynd.xlsx", "A 21004-2025")</f>
        <v/>
      </c>
      <c r="T29">
        <f>HYPERLINK("https://klasma.github.io/Logging_0482/kartor/A 21004-2025 karta.png", "A 21004-2025")</f>
        <v/>
      </c>
      <c r="V29">
        <f>HYPERLINK("https://klasma.github.io/Logging_0482/klagomål/A 21004-2025 FSC-klagomål.docx", "A 21004-2025")</f>
        <v/>
      </c>
      <c r="W29">
        <f>HYPERLINK("https://klasma.github.io/Logging_0482/klagomålsmail/A 21004-2025 FSC-klagomål mail.docx", "A 21004-2025")</f>
        <v/>
      </c>
      <c r="X29">
        <f>HYPERLINK("https://klasma.github.io/Logging_0482/tillsyn/A 21004-2025 tillsynsbegäran.docx", "A 21004-2025")</f>
        <v/>
      </c>
      <c r="Y29">
        <f>HYPERLINK("https://klasma.github.io/Logging_0482/tillsynsmail/A 21004-2025 tillsynsbegäran mail.docx", "A 21004-2025")</f>
        <v/>
      </c>
    </row>
    <row r="30" ht="15" customHeight="1">
      <c r="A30" t="inlineStr">
        <is>
          <t>A 50343-2024</t>
        </is>
      </c>
      <c r="B30" s="1" t="n">
        <v>45600</v>
      </c>
      <c r="C30" s="1" t="n">
        <v>46203</v>
      </c>
      <c r="D30" t="inlineStr">
        <is>
          <t>SÖDERMANLANDS LÄN</t>
        </is>
      </c>
      <c r="E30" t="inlineStr">
        <is>
          <t>FLEN</t>
        </is>
      </c>
      <c r="F30" t="inlineStr">
        <is>
          <t>Övriga statliga verk och myndigheter</t>
        </is>
      </c>
      <c r="G30" t="n">
        <v>3.6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4</v>
      </c>
      <c r="R30" s="2" t="inlineStr">
        <is>
          <t>Svartöra
Tallticka
Blåsippa
Vildkaprifol</t>
        </is>
      </c>
      <c r="S30">
        <f>HYPERLINK("https://klasma.github.io/Logging_0482/artfynd/A 50343-2024 artfynd.xlsx", "A 50343-2024")</f>
        <v/>
      </c>
      <c r="T30">
        <f>HYPERLINK("https://klasma.github.io/Logging_0482/kartor/A 50343-2024 karta.png", "A 50343-2024")</f>
        <v/>
      </c>
      <c r="V30">
        <f>HYPERLINK("https://klasma.github.io/Logging_0482/klagomål/A 50343-2024 FSC-klagomål.docx", "A 50343-2024")</f>
        <v/>
      </c>
      <c r="W30">
        <f>HYPERLINK("https://klasma.github.io/Logging_0482/klagomålsmail/A 50343-2024 FSC-klagomål mail.docx", "A 50343-2024")</f>
        <v/>
      </c>
      <c r="X30">
        <f>HYPERLINK("https://klasma.github.io/Logging_0482/tillsyn/A 50343-2024 tillsynsbegäran.docx", "A 50343-2024")</f>
        <v/>
      </c>
      <c r="Y30">
        <f>HYPERLINK("https://klasma.github.io/Logging_0482/tillsynsmail/A 50343-2024 tillsynsbegäran mail.docx", "A 50343-2024")</f>
        <v/>
      </c>
    </row>
    <row r="31" ht="15" customHeight="1">
      <c r="A31" t="inlineStr">
        <is>
          <t>A 4290-2026</t>
        </is>
      </c>
      <c r="B31" s="1" t="n">
        <v>46044</v>
      </c>
      <c r="C31" s="1" t="n">
        <v>46203</v>
      </c>
      <c r="D31" t="inlineStr">
        <is>
          <t>SÖDERMANLANDS LÄN</t>
        </is>
      </c>
      <c r="E31" t="inlineStr">
        <is>
          <t>FLEN</t>
        </is>
      </c>
      <c r="F31" t="inlineStr">
        <is>
          <t>Övriga statliga verk och myndigheter</t>
        </is>
      </c>
      <c r="G31" t="n">
        <v>3.4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4</v>
      </c>
      <c r="R31" s="2" t="inlineStr">
        <is>
          <t>Jungfrulin
Vanlig backsmörblomma
Mindre vattensalamander
Gullviva</t>
        </is>
      </c>
      <c r="S31">
        <f>HYPERLINK("https://klasma.github.io/Logging_0482/artfynd/A 4290-2026 artfynd.xlsx", "A 4290-2026")</f>
        <v/>
      </c>
      <c r="T31">
        <f>HYPERLINK("https://klasma.github.io/Logging_0482/kartor/A 4290-2026 karta.png", "A 4290-2026")</f>
        <v/>
      </c>
      <c r="V31">
        <f>HYPERLINK("https://klasma.github.io/Logging_0482/klagomål/A 4290-2026 FSC-klagomål.docx", "A 4290-2026")</f>
        <v/>
      </c>
      <c r="W31">
        <f>HYPERLINK("https://klasma.github.io/Logging_0482/klagomålsmail/A 4290-2026 FSC-klagomål mail.docx", "A 4290-2026")</f>
        <v/>
      </c>
      <c r="X31">
        <f>HYPERLINK("https://klasma.github.io/Logging_0482/tillsyn/A 4290-2026 tillsynsbegäran.docx", "A 4290-2026")</f>
        <v/>
      </c>
      <c r="Y31">
        <f>HYPERLINK("https://klasma.github.io/Logging_0482/tillsynsmail/A 4290-2026 tillsynsbegäran mail.docx", "A 4290-2026")</f>
        <v/>
      </c>
    </row>
    <row r="32" ht="15" customHeight="1">
      <c r="A32" t="inlineStr">
        <is>
          <t>A 11115-2026</t>
        </is>
      </c>
      <c r="B32" s="1" t="n">
        <v>46079</v>
      </c>
      <c r="C32" s="1" t="n">
        <v>46203</v>
      </c>
      <c r="D32" t="inlineStr">
        <is>
          <t>SÖDERMANLANDS LÄN</t>
        </is>
      </c>
      <c r="E32" t="inlineStr">
        <is>
          <t>FLEN</t>
        </is>
      </c>
      <c r="F32" t="inlineStr">
        <is>
          <t>Holmen skog AB</t>
        </is>
      </c>
      <c r="G32" t="n">
        <v>7.8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4</v>
      </c>
      <c r="R32" s="2" t="inlineStr">
        <is>
          <t>Dropptaggsvamp
Fönsterlav
Grå renlav
Gulvit renlav</t>
        </is>
      </c>
      <c r="S32">
        <f>HYPERLINK("https://klasma.github.io/Logging_0482/artfynd/A 11115-2026 artfynd.xlsx", "A 11115-2026")</f>
        <v/>
      </c>
      <c r="T32">
        <f>HYPERLINK("https://klasma.github.io/Logging_0482/kartor/A 11115-2026 karta.png", "A 11115-2026")</f>
        <v/>
      </c>
      <c r="V32">
        <f>HYPERLINK("https://klasma.github.io/Logging_0482/klagomål/A 11115-2026 FSC-klagomål.docx", "A 11115-2026")</f>
        <v/>
      </c>
      <c r="W32">
        <f>HYPERLINK("https://klasma.github.io/Logging_0482/klagomålsmail/A 11115-2026 FSC-klagomål mail.docx", "A 11115-2026")</f>
        <v/>
      </c>
      <c r="X32">
        <f>HYPERLINK("https://klasma.github.io/Logging_0482/tillsyn/A 11115-2026 tillsynsbegäran.docx", "A 11115-2026")</f>
        <v/>
      </c>
      <c r="Y32">
        <f>HYPERLINK("https://klasma.github.io/Logging_0482/tillsynsmail/A 11115-2026 tillsynsbegäran mail.docx", "A 11115-2026")</f>
        <v/>
      </c>
    </row>
    <row r="33" ht="15" customHeight="1">
      <c r="A33" t="inlineStr">
        <is>
          <t>A 33225-2024</t>
        </is>
      </c>
      <c r="B33" s="1" t="n">
        <v>45518</v>
      </c>
      <c r="C33" s="1" t="n">
        <v>46203</v>
      </c>
      <c r="D33" t="inlineStr">
        <is>
          <t>SÖDERMANLANDS LÄN</t>
        </is>
      </c>
      <c r="E33" t="inlineStr">
        <is>
          <t>FLEN</t>
        </is>
      </c>
      <c r="G33" t="n">
        <v>0.1</v>
      </c>
      <c r="H33" t="n">
        <v>1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Skogsklocka
Svinrot
Vippärt
Grönvit nattviol</t>
        </is>
      </c>
      <c r="S33">
        <f>HYPERLINK("https://klasma.github.io/Logging_0482/artfynd/A 33225-2024 artfynd.xlsx", "A 33225-2024")</f>
        <v/>
      </c>
      <c r="T33">
        <f>HYPERLINK("https://klasma.github.io/Logging_0482/kartor/A 33225-2024 karta.png", "A 33225-2024")</f>
        <v/>
      </c>
      <c r="V33">
        <f>HYPERLINK("https://klasma.github.io/Logging_0482/klagomål/A 33225-2024 FSC-klagomål.docx", "A 33225-2024")</f>
        <v/>
      </c>
      <c r="W33">
        <f>HYPERLINK("https://klasma.github.io/Logging_0482/klagomålsmail/A 33225-2024 FSC-klagomål mail.docx", "A 33225-2024")</f>
        <v/>
      </c>
      <c r="X33">
        <f>HYPERLINK("https://klasma.github.io/Logging_0482/tillsyn/A 33225-2024 tillsynsbegäran.docx", "A 33225-2024")</f>
        <v/>
      </c>
      <c r="Y33">
        <f>HYPERLINK("https://klasma.github.io/Logging_0482/tillsynsmail/A 33225-2024 tillsynsbegäran mail.docx", "A 33225-2024")</f>
        <v/>
      </c>
    </row>
    <row r="34" ht="15" customHeight="1">
      <c r="A34" t="inlineStr">
        <is>
          <t>A 13230-2023</t>
        </is>
      </c>
      <c r="B34" s="1" t="n">
        <v>45002</v>
      </c>
      <c r="C34" s="1" t="n">
        <v>46203</v>
      </c>
      <c r="D34" t="inlineStr">
        <is>
          <t>SÖDERMANLANDS LÄN</t>
        </is>
      </c>
      <c r="E34" t="inlineStr">
        <is>
          <t>FLEN</t>
        </is>
      </c>
      <c r="F34" t="inlineStr">
        <is>
          <t>Kommuner</t>
        </is>
      </c>
      <c r="G34" t="n">
        <v>7.8</v>
      </c>
      <c r="H34" t="n">
        <v>1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4</v>
      </c>
      <c r="R34" s="2" t="inlineStr">
        <is>
          <t>Källpraktmossa
Stor aspticka
Blåsippa
Glansfläck</t>
        </is>
      </c>
      <c r="S34">
        <f>HYPERLINK("https://klasma.github.io/Logging_0482/artfynd/A 13230-2023 artfynd.xlsx", "A 13230-2023")</f>
        <v/>
      </c>
      <c r="T34">
        <f>HYPERLINK("https://klasma.github.io/Logging_0482/kartor/A 13230-2023 karta.png", "A 13230-2023")</f>
        <v/>
      </c>
      <c r="V34">
        <f>HYPERLINK("https://klasma.github.io/Logging_0482/klagomål/A 13230-2023 FSC-klagomål.docx", "A 13230-2023")</f>
        <v/>
      </c>
      <c r="W34">
        <f>HYPERLINK("https://klasma.github.io/Logging_0482/klagomålsmail/A 13230-2023 FSC-klagomål mail.docx", "A 13230-2023")</f>
        <v/>
      </c>
      <c r="X34">
        <f>HYPERLINK("https://klasma.github.io/Logging_0482/tillsyn/A 13230-2023 tillsynsbegäran.docx", "A 13230-2023")</f>
        <v/>
      </c>
      <c r="Y34">
        <f>HYPERLINK("https://klasma.github.io/Logging_0482/tillsynsmail/A 13230-2023 tillsynsbegäran mail.docx", "A 13230-2023")</f>
        <v/>
      </c>
    </row>
    <row r="35" ht="15" customHeight="1">
      <c r="A35" t="inlineStr">
        <is>
          <t>A 49808-2023</t>
        </is>
      </c>
      <c r="B35" s="1" t="n">
        <v>45212</v>
      </c>
      <c r="C35" s="1" t="n">
        <v>46203</v>
      </c>
      <c r="D35" t="inlineStr">
        <is>
          <t>SÖDERMANLANDS LÄN</t>
        </is>
      </c>
      <c r="E35" t="inlineStr">
        <is>
          <t>FLEN</t>
        </is>
      </c>
      <c r="F35" t="inlineStr">
        <is>
          <t>Holmen skog AB</t>
        </is>
      </c>
      <c r="G35" t="n">
        <v>12.3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4</v>
      </c>
      <c r="R35" s="2" t="inlineStr">
        <is>
          <t>Svedjenäva
Svinrot
Mattlummer
Fläcknycklar</t>
        </is>
      </c>
      <c r="S35">
        <f>HYPERLINK("https://klasma.github.io/Logging_0482/artfynd/A 49808-2023 artfynd.xlsx", "A 49808-2023")</f>
        <v/>
      </c>
      <c r="T35">
        <f>HYPERLINK("https://klasma.github.io/Logging_0482/kartor/A 49808-2023 karta.png", "A 49808-2023")</f>
        <v/>
      </c>
      <c r="V35">
        <f>HYPERLINK("https://klasma.github.io/Logging_0482/klagomål/A 49808-2023 FSC-klagomål.docx", "A 49808-2023")</f>
        <v/>
      </c>
      <c r="W35">
        <f>HYPERLINK("https://klasma.github.io/Logging_0482/klagomålsmail/A 49808-2023 FSC-klagomål mail.docx", "A 49808-2023")</f>
        <v/>
      </c>
      <c r="X35">
        <f>HYPERLINK("https://klasma.github.io/Logging_0482/tillsyn/A 49808-2023 tillsynsbegäran.docx", "A 49808-2023")</f>
        <v/>
      </c>
      <c r="Y35">
        <f>HYPERLINK("https://klasma.github.io/Logging_0482/tillsynsmail/A 49808-2023 tillsynsbegäran mail.docx", "A 49808-2023")</f>
        <v/>
      </c>
    </row>
    <row r="36" ht="15" customHeight="1">
      <c r="A36" t="inlineStr">
        <is>
          <t>A 10107-2023</t>
        </is>
      </c>
      <c r="B36" s="1" t="n">
        <v>44986</v>
      </c>
      <c r="C36" s="1" t="n">
        <v>46203</v>
      </c>
      <c r="D36" t="inlineStr">
        <is>
          <t>SÖDERMANLANDS LÄN</t>
        </is>
      </c>
      <c r="E36" t="inlineStr">
        <is>
          <t>FLEN</t>
        </is>
      </c>
      <c r="G36" t="n">
        <v>21.1</v>
      </c>
      <c r="H36" t="n">
        <v>2</v>
      </c>
      <c r="I36" t="n">
        <v>1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2</v>
      </c>
      <c r="P36" t="n">
        <v>1</v>
      </c>
      <c r="Q36" t="n">
        <v>4</v>
      </c>
      <c r="R36" s="2" t="inlineStr">
        <is>
          <t>Bombmurkla
Svedjenäva
Blåmossa
Mattlummer</t>
        </is>
      </c>
      <c r="S36">
        <f>HYPERLINK("https://klasma.github.io/Logging_0482/artfynd/A 10107-2023 artfynd.xlsx", "A 10107-2023")</f>
        <v/>
      </c>
      <c r="T36">
        <f>HYPERLINK("https://klasma.github.io/Logging_0482/kartor/A 10107-2023 karta.png", "A 10107-2023")</f>
        <v/>
      </c>
      <c r="V36">
        <f>HYPERLINK("https://klasma.github.io/Logging_0482/klagomål/A 10107-2023 FSC-klagomål.docx", "A 10107-2023")</f>
        <v/>
      </c>
      <c r="W36">
        <f>HYPERLINK("https://klasma.github.io/Logging_0482/klagomålsmail/A 10107-2023 FSC-klagomål mail.docx", "A 10107-2023")</f>
        <v/>
      </c>
      <c r="X36">
        <f>HYPERLINK("https://klasma.github.io/Logging_0482/tillsyn/A 10107-2023 tillsynsbegäran.docx", "A 10107-2023")</f>
        <v/>
      </c>
      <c r="Y36">
        <f>HYPERLINK("https://klasma.github.io/Logging_0482/tillsynsmail/A 10107-2023 tillsynsbegäran mail.docx", "A 10107-2023")</f>
        <v/>
      </c>
    </row>
    <row r="37" ht="15" customHeight="1">
      <c r="A37" t="inlineStr">
        <is>
          <t>A 48520-2021</t>
        </is>
      </c>
      <c r="B37" s="1" t="n">
        <v>44449</v>
      </c>
      <c r="C37" s="1" t="n">
        <v>46203</v>
      </c>
      <c r="D37" t="inlineStr">
        <is>
          <t>SÖDERMANLANDS LÄN</t>
        </is>
      </c>
      <c r="E37" t="inlineStr">
        <is>
          <t>FLEN</t>
        </is>
      </c>
      <c r="G37" t="n">
        <v>9.1</v>
      </c>
      <c r="H37" t="n">
        <v>2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3</v>
      </c>
      <c r="R37" s="2" t="inlineStr">
        <is>
          <t>Blåmossa
Tjäder
Fjällvråk</t>
        </is>
      </c>
      <c r="S37">
        <f>HYPERLINK("https://klasma.github.io/Logging_0482/artfynd/A 48520-2021 artfynd.xlsx", "A 48520-2021")</f>
        <v/>
      </c>
      <c r="T37">
        <f>HYPERLINK("https://klasma.github.io/Logging_0482/kartor/A 48520-2021 karta.png", "A 48520-2021")</f>
        <v/>
      </c>
      <c r="V37">
        <f>HYPERLINK("https://klasma.github.io/Logging_0482/klagomål/A 48520-2021 FSC-klagomål.docx", "A 48520-2021")</f>
        <v/>
      </c>
      <c r="W37">
        <f>HYPERLINK("https://klasma.github.io/Logging_0482/klagomålsmail/A 48520-2021 FSC-klagomål mail.docx", "A 48520-2021")</f>
        <v/>
      </c>
      <c r="X37">
        <f>HYPERLINK("https://klasma.github.io/Logging_0482/tillsyn/A 48520-2021 tillsynsbegäran.docx", "A 48520-2021")</f>
        <v/>
      </c>
      <c r="Y37">
        <f>HYPERLINK("https://klasma.github.io/Logging_0482/tillsynsmail/A 48520-2021 tillsynsbegäran mail.docx", "A 48520-2021")</f>
        <v/>
      </c>
      <c r="Z37">
        <f>HYPERLINK("https://klasma.github.io/Logging_0482/fåglar/A 48520-2021 prioriterade fågelarter.docx", "A 48520-2021")</f>
        <v/>
      </c>
    </row>
    <row r="38" ht="15" customHeight="1">
      <c r="A38" t="inlineStr">
        <is>
          <t>A 38465-2025</t>
        </is>
      </c>
      <c r="B38" s="1" t="n">
        <v>45883</v>
      </c>
      <c r="C38" s="1" t="n">
        <v>46203</v>
      </c>
      <c r="D38" t="inlineStr">
        <is>
          <t>SÖDERMANLANDS LÄN</t>
        </is>
      </c>
      <c r="E38" t="inlineStr">
        <is>
          <t>FLEN</t>
        </is>
      </c>
      <c r="G38" t="n">
        <v>4.1</v>
      </c>
      <c r="H38" t="n">
        <v>1</v>
      </c>
      <c r="I38" t="n">
        <v>0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Skogsalm
Gullklöver
Nattviol</t>
        </is>
      </c>
      <c r="S38">
        <f>HYPERLINK("https://klasma.github.io/Logging_0482/artfynd/A 38465-2025 artfynd.xlsx", "A 38465-2025")</f>
        <v/>
      </c>
      <c r="T38">
        <f>HYPERLINK("https://klasma.github.io/Logging_0482/kartor/A 38465-2025 karta.png", "A 38465-2025")</f>
        <v/>
      </c>
      <c r="V38">
        <f>HYPERLINK("https://klasma.github.io/Logging_0482/klagomål/A 38465-2025 FSC-klagomål.docx", "A 38465-2025")</f>
        <v/>
      </c>
      <c r="W38">
        <f>HYPERLINK("https://klasma.github.io/Logging_0482/klagomålsmail/A 38465-2025 FSC-klagomål mail.docx", "A 38465-2025")</f>
        <v/>
      </c>
      <c r="X38">
        <f>HYPERLINK("https://klasma.github.io/Logging_0482/tillsyn/A 38465-2025 tillsynsbegäran.docx", "A 38465-2025")</f>
        <v/>
      </c>
      <c r="Y38">
        <f>HYPERLINK("https://klasma.github.io/Logging_0482/tillsynsmail/A 38465-2025 tillsynsbegäran mail.docx", "A 38465-2025")</f>
        <v/>
      </c>
    </row>
    <row r="39" ht="15" customHeight="1">
      <c r="A39" t="inlineStr">
        <is>
          <t>A 38466-2025</t>
        </is>
      </c>
      <c r="B39" s="1" t="n">
        <v>45883</v>
      </c>
      <c r="C39" s="1" t="n">
        <v>46203</v>
      </c>
      <c r="D39" t="inlineStr">
        <is>
          <t>SÖDERMANLANDS LÄN</t>
        </is>
      </c>
      <c r="E39" t="inlineStr">
        <is>
          <t>FLEN</t>
        </is>
      </c>
      <c r="G39" t="n">
        <v>5.4</v>
      </c>
      <c r="H39" t="n">
        <v>2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Svinrot
Blåsippa
Gullviva</t>
        </is>
      </c>
      <c r="S39">
        <f>HYPERLINK("https://klasma.github.io/Logging_0482/artfynd/A 38466-2025 artfynd.xlsx", "A 38466-2025")</f>
        <v/>
      </c>
      <c r="T39">
        <f>HYPERLINK("https://klasma.github.io/Logging_0482/kartor/A 38466-2025 karta.png", "A 38466-2025")</f>
        <v/>
      </c>
      <c r="V39">
        <f>HYPERLINK("https://klasma.github.io/Logging_0482/klagomål/A 38466-2025 FSC-klagomål.docx", "A 38466-2025")</f>
        <v/>
      </c>
      <c r="W39">
        <f>HYPERLINK("https://klasma.github.io/Logging_0482/klagomålsmail/A 38466-2025 FSC-klagomål mail.docx", "A 38466-2025")</f>
        <v/>
      </c>
      <c r="X39">
        <f>HYPERLINK("https://klasma.github.io/Logging_0482/tillsyn/A 38466-2025 tillsynsbegäran.docx", "A 38466-2025")</f>
        <v/>
      </c>
      <c r="Y39">
        <f>HYPERLINK("https://klasma.github.io/Logging_0482/tillsynsmail/A 38466-2025 tillsynsbegäran mail.docx", "A 38466-2025")</f>
        <v/>
      </c>
    </row>
    <row r="40" ht="15" customHeight="1">
      <c r="A40" t="inlineStr">
        <is>
          <t>A 50739-2025</t>
        </is>
      </c>
      <c r="B40" s="1" t="n">
        <v>45946</v>
      </c>
      <c r="C40" s="1" t="n">
        <v>46203</v>
      </c>
      <c r="D40" t="inlineStr">
        <is>
          <t>SÖDERMANLANDS LÄN</t>
        </is>
      </c>
      <c r="E40" t="inlineStr">
        <is>
          <t>FLEN</t>
        </is>
      </c>
      <c r="F40" t="inlineStr">
        <is>
          <t>Holmen skog AB</t>
        </is>
      </c>
      <c r="G40" t="n">
        <v>4.4</v>
      </c>
      <c r="H40" t="n">
        <v>0</v>
      </c>
      <c r="I40" t="n">
        <v>2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3</v>
      </c>
      <c r="R40" s="2" t="inlineStr">
        <is>
          <t>Skogsalm
Skogsbräsma
Svart trolldruva</t>
        </is>
      </c>
      <c r="S40">
        <f>HYPERLINK("https://klasma.github.io/Logging_0482/artfynd/A 50739-2025 artfynd.xlsx", "A 50739-2025")</f>
        <v/>
      </c>
      <c r="T40">
        <f>HYPERLINK("https://klasma.github.io/Logging_0482/kartor/A 50739-2025 karta.png", "A 50739-2025")</f>
        <v/>
      </c>
      <c r="V40">
        <f>HYPERLINK("https://klasma.github.io/Logging_0482/klagomål/A 50739-2025 FSC-klagomål.docx", "A 50739-2025")</f>
        <v/>
      </c>
      <c r="W40">
        <f>HYPERLINK("https://klasma.github.io/Logging_0482/klagomålsmail/A 50739-2025 FSC-klagomål mail.docx", "A 50739-2025")</f>
        <v/>
      </c>
      <c r="X40">
        <f>HYPERLINK("https://klasma.github.io/Logging_0482/tillsyn/A 50739-2025 tillsynsbegäran.docx", "A 50739-2025")</f>
        <v/>
      </c>
      <c r="Y40">
        <f>HYPERLINK("https://klasma.github.io/Logging_0482/tillsynsmail/A 50739-2025 tillsynsbegäran mail.docx", "A 50739-2025")</f>
        <v/>
      </c>
    </row>
    <row r="41" ht="15" customHeight="1">
      <c r="A41" t="inlineStr">
        <is>
          <t>A 9512-2026</t>
        </is>
      </c>
      <c r="B41" s="1" t="n">
        <v>46071</v>
      </c>
      <c r="C41" s="1" t="n">
        <v>46203</v>
      </c>
      <c r="D41" t="inlineStr">
        <is>
          <t>SÖDERMANLANDS LÄN</t>
        </is>
      </c>
      <c r="E41" t="inlineStr">
        <is>
          <t>FLEN</t>
        </is>
      </c>
      <c r="G41" t="n">
        <v>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Gullpudra
Bäckbräsma
Hultbräken</t>
        </is>
      </c>
      <c r="S41">
        <f>HYPERLINK("https://klasma.github.io/Logging_0482/artfynd/A 9512-2026 artfynd.xlsx", "A 9512-2026")</f>
        <v/>
      </c>
      <c r="T41">
        <f>HYPERLINK("https://klasma.github.io/Logging_0482/kartor/A 9512-2026 karta.png", "A 9512-2026")</f>
        <v/>
      </c>
      <c r="V41">
        <f>HYPERLINK("https://klasma.github.io/Logging_0482/klagomål/A 9512-2026 FSC-klagomål.docx", "A 9512-2026")</f>
        <v/>
      </c>
      <c r="W41">
        <f>HYPERLINK("https://klasma.github.io/Logging_0482/klagomålsmail/A 9512-2026 FSC-klagomål mail.docx", "A 9512-2026")</f>
        <v/>
      </c>
      <c r="X41">
        <f>HYPERLINK("https://klasma.github.io/Logging_0482/tillsyn/A 9512-2026 tillsynsbegäran.docx", "A 9512-2026")</f>
        <v/>
      </c>
      <c r="Y41">
        <f>HYPERLINK("https://klasma.github.io/Logging_0482/tillsynsmail/A 9512-2026 tillsynsbegäran mail.docx", "A 9512-2026")</f>
        <v/>
      </c>
    </row>
    <row r="42" ht="15" customHeight="1">
      <c r="A42" t="inlineStr">
        <is>
          <t>A 9530-2026</t>
        </is>
      </c>
      <c r="B42" s="1" t="n">
        <v>46071</v>
      </c>
      <c r="C42" s="1" t="n">
        <v>46203</v>
      </c>
      <c r="D42" t="inlineStr">
        <is>
          <t>SÖDERMANLANDS LÄN</t>
        </is>
      </c>
      <c r="E42" t="inlineStr">
        <is>
          <t>FLEN</t>
        </is>
      </c>
      <c r="G42" t="n">
        <v>7.4</v>
      </c>
      <c r="H42" t="n">
        <v>1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3</v>
      </c>
      <c r="R42" s="2" t="inlineStr">
        <is>
          <t>Blåmossa
Flagellkvastmossa
Tjäder</t>
        </is>
      </c>
      <c r="S42">
        <f>HYPERLINK("https://klasma.github.io/Logging_0482/artfynd/A 9530-2026 artfynd.xlsx", "A 9530-2026")</f>
        <v/>
      </c>
      <c r="T42">
        <f>HYPERLINK("https://klasma.github.io/Logging_0482/kartor/A 9530-2026 karta.png", "A 9530-2026")</f>
        <v/>
      </c>
      <c r="V42">
        <f>HYPERLINK("https://klasma.github.io/Logging_0482/klagomål/A 9530-2026 FSC-klagomål.docx", "A 9530-2026")</f>
        <v/>
      </c>
      <c r="W42">
        <f>HYPERLINK("https://klasma.github.io/Logging_0482/klagomålsmail/A 9530-2026 FSC-klagomål mail.docx", "A 9530-2026")</f>
        <v/>
      </c>
      <c r="X42">
        <f>HYPERLINK("https://klasma.github.io/Logging_0482/tillsyn/A 9530-2026 tillsynsbegäran.docx", "A 9530-2026")</f>
        <v/>
      </c>
      <c r="Y42">
        <f>HYPERLINK("https://klasma.github.io/Logging_0482/tillsynsmail/A 9530-2026 tillsynsbegäran mail.docx", "A 9530-2026")</f>
        <v/>
      </c>
      <c r="Z42">
        <f>HYPERLINK("https://klasma.github.io/Logging_0482/fåglar/A 9530-2026 prioriterade fågelarter.docx", "A 9530-2026")</f>
        <v/>
      </c>
    </row>
    <row r="43" ht="15" customHeight="1">
      <c r="A43" t="inlineStr">
        <is>
          <t>A 9539-2026</t>
        </is>
      </c>
      <c r="B43" s="1" t="n">
        <v>46071</v>
      </c>
      <c r="C43" s="1" t="n">
        <v>46203</v>
      </c>
      <c r="D43" t="inlineStr">
        <is>
          <t>SÖDERMANLANDS LÄN</t>
        </is>
      </c>
      <c r="E43" t="inlineStr">
        <is>
          <t>FLEN</t>
        </is>
      </c>
      <c r="G43" t="n">
        <v>7.6</v>
      </c>
      <c r="H43" t="n">
        <v>1</v>
      </c>
      <c r="I43" t="n">
        <v>0</v>
      </c>
      <c r="J43" t="n">
        <v>1</v>
      </c>
      <c r="K43" t="n">
        <v>0</v>
      </c>
      <c r="L43" t="n">
        <v>1</v>
      </c>
      <c r="M43" t="n">
        <v>0</v>
      </c>
      <c r="N43" t="n">
        <v>0</v>
      </c>
      <c r="O43" t="n">
        <v>2</v>
      </c>
      <c r="P43" t="n">
        <v>1</v>
      </c>
      <c r="Q43" t="n">
        <v>3</v>
      </c>
      <c r="R43" s="2" t="inlineStr">
        <is>
          <t>Ask
Slåtterfibbla
Blåsippa</t>
        </is>
      </c>
      <c r="S43">
        <f>HYPERLINK("https://klasma.github.io/Logging_0482/artfynd/A 9539-2026 artfynd.xlsx", "A 9539-2026")</f>
        <v/>
      </c>
      <c r="T43">
        <f>HYPERLINK("https://klasma.github.io/Logging_0482/kartor/A 9539-2026 karta.png", "A 9539-2026")</f>
        <v/>
      </c>
      <c r="V43">
        <f>HYPERLINK("https://klasma.github.io/Logging_0482/klagomål/A 9539-2026 FSC-klagomål.docx", "A 9539-2026")</f>
        <v/>
      </c>
      <c r="W43">
        <f>HYPERLINK("https://klasma.github.io/Logging_0482/klagomålsmail/A 9539-2026 FSC-klagomål mail.docx", "A 9539-2026")</f>
        <v/>
      </c>
      <c r="X43">
        <f>HYPERLINK("https://klasma.github.io/Logging_0482/tillsyn/A 9539-2026 tillsynsbegäran.docx", "A 9539-2026")</f>
        <v/>
      </c>
      <c r="Y43">
        <f>HYPERLINK("https://klasma.github.io/Logging_0482/tillsynsmail/A 9539-2026 tillsynsbegäran mail.docx", "A 9539-2026")</f>
        <v/>
      </c>
    </row>
    <row r="44" ht="15" customHeight="1">
      <c r="A44" t="inlineStr">
        <is>
          <t>A 16503-2026</t>
        </is>
      </c>
      <c r="B44" s="1" t="n">
        <v>46112</v>
      </c>
      <c r="C44" s="1" t="n">
        <v>46203</v>
      </c>
      <c r="D44" t="inlineStr">
        <is>
          <t>SÖDERMANLANDS LÄN</t>
        </is>
      </c>
      <c r="E44" t="inlineStr">
        <is>
          <t>FLEN</t>
        </is>
      </c>
      <c r="G44" t="n">
        <v>0.6</v>
      </c>
      <c r="H44" t="n">
        <v>0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3</v>
      </c>
      <c r="R44" s="2" t="inlineStr">
        <is>
          <t>Gullklöver
Jungfrulin
Svinrot</t>
        </is>
      </c>
      <c r="S44">
        <f>HYPERLINK("https://klasma.github.io/Logging_0482/artfynd/A 16503-2026 artfynd.xlsx", "A 16503-2026")</f>
        <v/>
      </c>
      <c r="T44">
        <f>HYPERLINK("https://klasma.github.io/Logging_0482/kartor/A 16503-2026 karta.png", "A 16503-2026")</f>
        <v/>
      </c>
      <c r="V44">
        <f>HYPERLINK("https://klasma.github.io/Logging_0482/klagomål/A 16503-2026 FSC-klagomål.docx", "A 16503-2026")</f>
        <v/>
      </c>
      <c r="W44">
        <f>HYPERLINK("https://klasma.github.io/Logging_0482/klagomålsmail/A 16503-2026 FSC-klagomål mail.docx", "A 16503-2026")</f>
        <v/>
      </c>
      <c r="X44">
        <f>HYPERLINK("https://klasma.github.io/Logging_0482/tillsyn/A 16503-2026 tillsynsbegäran.docx", "A 16503-2026")</f>
        <v/>
      </c>
      <c r="Y44">
        <f>HYPERLINK("https://klasma.github.io/Logging_0482/tillsynsmail/A 16503-2026 tillsynsbegäran mail.docx", "A 16503-2026")</f>
        <v/>
      </c>
    </row>
    <row r="45" ht="15" customHeight="1">
      <c r="A45" t="inlineStr">
        <is>
          <t>A 1149-2025</t>
        </is>
      </c>
      <c r="B45" s="1" t="n">
        <v>45666</v>
      </c>
      <c r="C45" s="1" t="n">
        <v>46203</v>
      </c>
      <c r="D45" t="inlineStr">
        <is>
          <t>SÖDERMANLANDS LÄN</t>
        </is>
      </c>
      <c r="E45" t="inlineStr">
        <is>
          <t>FLEN</t>
        </is>
      </c>
      <c r="F45" t="inlineStr">
        <is>
          <t>Övriga statliga verk och myndigheter</t>
        </is>
      </c>
      <c r="G45" t="n">
        <v>5.1</v>
      </c>
      <c r="H45" t="n">
        <v>0</v>
      </c>
      <c r="I45" t="n">
        <v>2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Tallkötticka
Grönpyrola
Kamjordstjärna</t>
        </is>
      </c>
      <c r="S45">
        <f>HYPERLINK("https://klasma.github.io/Logging_0482/artfynd/A 1149-2025 artfynd.xlsx", "A 1149-2025")</f>
        <v/>
      </c>
      <c r="T45">
        <f>HYPERLINK("https://klasma.github.io/Logging_0482/kartor/A 1149-2025 karta.png", "A 1149-2025")</f>
        <v/>
      </c>
      <c r="V45">
        <f>HYPERLINK("https://klasma.github.io/Logging_0482/klagomål/A 1149-2025 FSC-klagomål.docx", "A 1149-2025")</f>
        <v/>
      </c>
      <c r="W45">
        <f>HYPERLINK("https://klasma.github.io/Logging_0482/klagomålsmail/A 1149-2025 FSC-klagomål mail.docx", "A 1149-2025")</f>
        <v/>
      </c>
      <c r="X45">
        <f>HYPERLINK("https://klasma.github.io/Logging_0482/tillsyn/A 1149-2025 tillsynsbegäran.docx", "A 1149-2025")</f>
        <v/>
      </c>
      <c r="Y45">
        <f>HYPERLINK("https://klasma.github.io/Logging_0482/tillsynsmail/A 1149-2025 tillsynsbegäran mail.docx", "A 1149-2025")</f>
        <v/>
      </c>
    </row>
    <row r="46" ht="15" customHeight="1">
      <c r="A46" t="inlineStr">
        <is>
          <t>A 17512-2026</t>
        </is>
      </c>
      <c r="B46" s="1" t="n">
        <v>46119</v>
      </c>
      <c r="C46" s="1" t="n">
        <v>46203</v>
      </c>
      <c r="D46" t="inlineStr">
        <is>
          <t>SÖDERMANLANDS LÄN</t>
        </is>
      </c>
      <c r="E46" t="inlineStr">
        <is>
          <t>FLEN</t>
        </is>
      </c>
      <c r="G46" t="n">
        <v>1.7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3</v>
      </c>
      <c r="R46" s="2" t="inlineStr">
        <is>
          <t>Tallticka
Majbräken
Sälg</t>
        </is>
      </c>
      <c r="S46">
        <f>HYPERLINK("https://klasma.github.io/Logging_0482/artfynd/A 17512-2026 artfynd.xlsx", "A 17512-2026")</f>
        <v/>
      </c>
      <c r="T46">
        <f>HYPERLINK("https://klasma.github.io/Logging_0482/kartor/A 17512-2026 karta.png", "A 17512-2026")</f>
        <v/>
      </c>
      <c r="V46">
        <f>HYPERLINK("https://klasma.github.io/Logging_0482/klagomål/A 17512-2026 FSC-klagomål.docx", "A 17512-2026")</f>
        <v/>
      </c>
      <c r="W46">
        <f>HYPERLINK("https://klasma.github.io/Logging_0482/klagomålsmail/A 17512-2026 FSC-klagomål mail.docx", "A 17512-2026")</f>
        <v/>
      </c>
      <c r="X46">
        <f>HYPERLINK("https://klasma.github.io/Logging_0482/tillsyn/A 17512-2026 tillsynsbegäran.docx", "A 17512-2026")</f>
        <v/>
      </c>
      <c r="Y46">
        <f>HYPERLINK("https://klasma.github.io/Logging_0482/tillsynsmail/A 17512-2026 tillsynsbegäran mail.docx", "A 17512-2026")</f>
        <v/>
      </c>
    </row>
    <row r="47" ht="15" customHeight="1">
      <c r="A47" t="inlineStr">
        <is>
          <t>A 2203-2022</t>
        </is>
      </c>
      <c r="B47" s="1" t="n">
        <v>44578</v>
      </c>
      <c r="C47" s="1" t="n">
        <v>46203</v>
      </c>
      <c r="D47" t="inlineStr">
        <is>
          <t>SÖDERMANLANDS LÄN</t>
        </is>
      </c>
      <c r="E47" t="inlineStr">
        <is>
          <t>FLEN</t>
        </is>
      </c>
      <c r="F47" t="inlineStr">
        <is>
          <t>Övriga statliga verk och myndigheter</t>
        </is>
      </c>
      <c r="G47" t="n">
        <v>2.9</v>
      </c>
      <c r="H47" t="n">
        <v>2</v>
      </c>
      <c r="I47" t="n">
        <v>1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3</v>
      </c>
      <c r="R47" s="2" t="inlineStr">
        <is>
          <t>Knärot
Grönpyrola
Revlummer</t>
        </is>
      </c>
      <c r="S47">
        <f>HYPERLINK("https://klasma.github.io/Logging_0482/artfynd/A 2203-2022 artfynd.xlsx", "A 2203-2022")</f>
        <v/>
      </c>
      <c r="T47">
        <f>HYPERLINK("https://klasma.github.io/Logging_0482/kartor/A 2203-2022 karta.png", "A 2203-2022")</f>
        <v/>
      </c>
      <c r="U47">
        <f>HYPERLINK("https://klasma.github.io/Logging_0482/knärot/A 2203-2022 karta knärot.png", "A 2203-2022")</f>
        <v/>
      </c>
      <c r="V47">
        <f>HYPERLINK("https://klasma.github.io/Logging_0482/klagomål/A 2203-2022 FSC-klagomål.docx", "A 2203-2022")</f>
        <v/>
      </c>
      <c r="W47">
        <f>HYPERLINK("https://klasma.github.io/Logging_0482/klagomålsmail/A 2203-2022 FSC-klagomål mail.docx", "A 2203-2022")</f>
        <v/>
      </c>
      <c r="X47">
        <f>HYPERLINK("https://klasma.github.io/Logging_0482/tillsyn/A 2203-2022 tillsynsbegäran.docx", "A 2203-2022")</f>
        <v/>
      </c>
      <c r="Y47">
        <f>HYPERLINK("https://klasma.github.io/Logging_0482/tillsynsmail/A 2203-2022 tillsynsbegäran mail.docx", "A 2203-2022")</f>
        <v/>
      </c>
    </row>
    <row r="48" ht="15" customHeight="1">
      <c r="A48" t="inlineStr">
        <is>
          <t>A 31238-2022</t>
        </is>
      </c>
      <c r="B48" s="1" t="n">
        <v>44771</v>
      </c>
      <c r="C48" s="1" t="n">
        <v>46203</v>
      </c>
      <c r="D48" t="inlineStr">
        <is>
          <t>SÖDERMANLANDS LÄN</t>
        </is>
      </c>
      <c r="E48" t="inlineStr">
        <is>
          <t>FLEN</t>
        </is>
      </c>
      <c r="G48" t="n">
        <v>7.5</v>
      </c>
      <c r="H48" t="n">
        <v>0</v>
      </c>
      <c r="I48" t="n">
        <v>1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Svedjenäva
Svinrot
Skogsbräsma</t>
        </is>
      </c>
      <c r="S48">
        <f>HYPERLINK("https://klasma.github.io/Logging_0482/artfynd/A 31238-2022 artfynd.xlsx", "A 31238-2022")</f>
        <v/>
      </c>
      <c r="T48">
        <f>HYPERLINK("https://klasma.github.io/Logging_0482/kartor/A 31238-2022 karta.png", "A 31238-2022")</f>
        <v/>
      </c>
      <c r="V48">
        <f>HYPERLINK("https://klasma.github.io/Logging_0482/klagomål/A 31238-2022 FSC-klagomål.docx", "A 31238-2022")</f>
        <v/>
      </c>
      <c r="W48">
        <f>HYPERLINK("https://klasma.github.io/Logging_0482/klagomålsmail/A 31238-2022 FSC-klagomål mail.docx", "A 31238-2022")</f>
        <v/>
      </c>
      <c r="X48">
        <f>HYPERLINK("https://klasma.github.io/Logging_0482/tillsyn/A 31238-2022 tillsynsbegäran.docx", "A 31238-2022")</f>
        <v/>
      </c>
      <c r="Y48">
        <f>HYPERLINK("https://klasma.github.io/Logging_0482/tillsynsmail/A 31238-2022 tillsynsbegäran mail.docx", "A 31238-2022")</f>
        <v/>
      </c>
    </row>
    <row r="49" ht="15" customHeight="1">
      <c r="A49" t="inlineStr">
        <is>
          <t>A 33853-2022</t>
        </is>
      </c>
      <c r="B49" s="1" t="n">
        <v>44790</v>
      </c>
      <c r="C49" s="1" t="n">
        <v>46203</v>
      </c>
      <c r="D49" t="inlineStr">
        <is>
          <t>SÖDERMANLANDS LÄN</t>
        </is>
      </c>
      <c r="E49" t="inlineStr">
        <is>
          <t>FLEN</t>
        </is>
      </c>
      <c r="F49" t="inlineStr">
        <is>
          <t>Övriga statliga verk och myndigheter</t>
        </is>
      </c>
      <c r="G49" t="n">
        <v>1.9</v>
      </c>
      <c r="H49" t="n">
        <v>1</v>
      </c>
      <c r="I49" t="n">
        <v>1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3</v>
      </c>
      <c r="R49" s="2" t="inlineStr">
        <is>
          <t>Gullklöver
Sädesärla
Svart trolldruva</t>
        </is>
      </c>
      <c r="S49">
        <f>HYPERLINK("https://klasma.github.io/Logging_0482/artfynd/A 33853-2022 artfynd.xlsx", "A 33853-2022")</f>
        <v/>
      </c>
      <c r="T49">
        <f>HYPERLINK("https://klasma.github.io/Logging_0482/kartor/A 33853-2022 karta.png", "A 33853-2022")</f>
        <v/>
      </c>
      <c r="V49">
        <f>HYPERLINK("https://klasma.github.io/Logging_0482/klagomål/A 33853-2022 FSC-klagomål.docx", "A 33853-2022")</f>
        <v/>
      </c>
      <c r="W49">
        <f>HYPERLINK("https://klasma.github.io/Logging_0482/klagomålsmail/A 33853-2022 FSC-klagomål mail.docx", "A 33853-2022")</f>
        <v/>
      </c>
      <c r="X49">
        <f>HYPERLINK("https://klasma.github.io/Logging_0482/tillsyn/A 33853-2022 tillsynsbegäran.docx", "A 33853-2022")</f>
        <v/>
      </c>
      <c r="Y49">
        <f>HYPERLINK("https://klasma.github.io/Logging_0482/tillsynsmail/A 33853-2022 tillsynsbegäran mail.docx", "A 33853-2022")</f>
        <v/>
      </c>
      <c r="Z49">
        <f>HYPERLINK("https://klasma.github.io/Logging_0482/fåglar/A 33853-2022 prioriterade fågelarter.docx", "A 33853-2022")</f>
        <v/>
      </c>
    </row>
    <row r="50" ht="15" customHeight="1">
      <c r="A50" t="inlineStr">
        <is>
          <t>A 34985-2023</t>
        </is>
      </c>
      <c r="B50" s="1" t="n">
        <v>45142</v>
      </c>
      <c r="C50" s="1" t="n">
        <v>46203</v>
      </c>
      <c r="D50" t="inlineStr">
        <is>
          <t>SÖDERMANLANDS LÄN</t>
        </is>
      </c>
      <c r="E50" t="inlineStr">
        <is>
          <t>FLEN</t>
        </is>
      </c>
      <c r="F50" t="inlineStr">
        <is>
          <t>Övriga statliga verk och myndigheter</t>
        </is>
      </c>
      <c r="G50" t="n">
        <v>2.8</v>
      </c>
      <c r="H50" t="n">
        <v>2</v>
      </c>
      <c r="I50" t="n">
        <v>1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3</v>
      </c>
      <c r="R50" s="2" t="inlineStr">
        <is>
          <t>Knärot
Grönpyrola
Revlummer</t>
        </is>
      </c>
      <c r="S50">
        <f>HYPERLINK("https://klasma.github.io/Logging_0482/artfynd/A 34985-2023 artfynd.xlsx", "A 34985-2023")</f>
        <v/>
      </c>
      <c r="T50">
        <f>HYPERLINK("https://klasma.github.io/Logging_0482/kartor/A 34985-2023 karta.png", "A 34985-2023")</f>
        <v/>
      </c>
      <c r="U50">
        <f>HYPERLINK("https://klasma.github.io/Logging_0482/knärot/A 34985-2023 karta knärot.png", "A 34985-2023")</f>
        <v/>
      </c>
      <c r="V50">
        <f>HYPERLINK("https://klasma.github.io/Logging_0482/klagomål/A 34985-2023 FSC-klagomål.docx", "A 34985-2023")</f>
        <v/>
      </c>
      <c r="W50">
        <f>HYPERLINK("https://klasma.github.io/Logging_0482/klagomålsmail/A 34985-2023 FSC-klagomål mail.docx", "A 34985-2023")</f>
        <v/>
      </c>
      <c r="X50">
        <f>HYPERLINK("https://klasma.github.io/Logging_0482/tillsyn/A 34985-2023 tillsynsbegäran.docx", "A 34985-2023")</f>
        <v/>
      </c>
      <c r="Y50">
        <f>HYPERLINK("https://klasma.github.io/Logging_0482/tillsynsmail/A 34985-2023 tillsynsbegäran mail.docx", "A 34985-2023")</f>
        <v/>
      </c>
    </row>
    <row r="51" ht="15" customHeight="1">
      <c r="A51" t="inlineStr">
        <is>
          <t>A 12303-2022</t>
        </is>
      </c>
      <c r="B51" s="1" t="n">
        <v>44637</v>
      </c>
      <c r="C51" s="1" t="n">
        <v>46203</v>
      </c>
      <c r="D51" t="inlineStr">
        <is>
          <t>SÖDERMANLANDS LÄN</t>
        </is>
      </c>
      <c r="E51" t="inlineStr">
        <is>
          <t>FLEN</t>
        </is>
      </c>
      <c r="G51" t="n">
        <v>1.4</v>
      </c>
      <c r="H51" t="n">
        <v>2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Röd glada
Trädlärka</t>
        </is>
      </c>
      <c r="S51">
        <f>HYPERLINK("https://klasma.github.io/Logging_0482/artfynd/A 12303-2022 artfynd.xlsx", "A 12303-2022")</f>
        <v/>
      </c>
      <c r="T51">
        <f>HYPERLINK("https://klasma.github.io/Logging_0482/kartor/A 12303-2022 karta.png", "A 12303-2022")</f>
        <v/>
      </c>
      <c r="V51">
        <f>HYPERLINK("https://klasma.github.io/Logging_0482/klagomål/A 12303-2022 FSC-klagomål.docx", "A 12303-2022")</f>
        <v/>
      </c>
      <c r="W51">
        <f>HYPERLINK("https://klasma.github.io/Logging_0482/klagomålsmail/A 12303-2022 FSC-klagomål mail.docx", "A 12303-2022")</f>
        <v/>
      </c>
      <c r="X51">
        <f>HYPERLINK("https://klasma.github.io/Logging_0482/tillsyn/A 12303-2022 tillsynsbegäran.docx", "A 12303-2022")</f>
        <v/>
      </c>
      <c r="Y51">
        <f>HYPERLINK("https://klasma.github.io/Logging_0482/tillsynsmail/A 12303-2022 tillsynsbegäran mail.docx", "A 12303-2022")</f>
        <v/>
      </c>
      <c r="Z51">
        <f>HYPERLINK("https://klasma.github.io/Logging_0482/fåglar/A 12303-2022 prioriterade fågelarter.docx", "A 12303-2022")</f>
        <v/>
      </c>
    </row>
    <row r="52" ht="15" customHeight="1">
      <c r="A52" t="inlineStr">
        <is>
          <t>A 44359-2021</t>
        </is>
      </c>
      <c r="B52" s="1" t="n">
        <v>44435</v>
      </c>
      <c r="C52" s="1" t="n">
        <v>46203</v>
      </c>
      <c r="D52" t="inlineStr">
        <is>
          <t>SÖDERMANLANDS LÄN</t>
        </is>
      </c>
      <c r="E52" t="inlineStr">
        <is>
          <t>FLEN</t>
        </is>
      </c>
      <c r="G52" t="n">
        <v>0.4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Ängsskära
Strimspindling</t>
        </is>
      </c>
      <c r="S52">
        <f>HYPERLINK("https://klasma.github.io/Logging_0482/artfynd/A 44359-2021 artfynd.xlsx", "A 44359-2021")</f>
        <v/>
      </c>
      <c r="T52">
        <f>HYPERLINK("https://klasma.github.io/Logging_0482/kartor/A 44359-2021 karta.png", "A 44359-2021")</f>
        <v/>
      </c>
      <c r="V52">
        <f>HYPERLINK("https://klasma.github.io/Logging_0482/klagomål/A 44359-2021 FSC-klagomål.docx", "A 44359-2021")</f>
        <v/>
      </c>
      <c r="W52">
        <f>HYPERLINK("https://klasma.github.io/Logging_0482/klagomålsmail/A 44359-2021 FSC-klagomål mail.docx", "A 44359-2021")</f>
        <v/>
      </c>
      <c r="X52">
        <f>HYPERLINK("https://klasma.github.io/Logging_0482/tillsyn/A 44359-2021 tillsynsbegäran.docx", "A 44359-2021")</f>
        <v/>
      </c>
      <c r="Y52">
        <f>HYPERLINK("https://klasma.github.io/Logging_0482/tillsynsmail/A 44359-2021 tillsynsbegäran mail.docx", "A 44359-2021")</f>
        <v/>
      </c>
    </row>
    <row r="53" ht="15" customHeight="1">
      <c r="A53" t="inlineStr">
        <is>
          <t>A 10789-2022</t>
        </is>
      </c>
      <c r="B53" s="1" t="n">
        <v>44624</v>
      </c>
      <c r="C53" s="1" t="n">
        <v>46203</v>
      </c>
      <c r="D53" t="inlineStr">
        <is>
          <t>SÖDERMANLANDS LÄN</t>
        </is>
      </c>
      <c r="E53" t="inlineStr">
        <is>
          <t>FLEN</t>
        </is>
      </c>
      <c r="G53" t="n">
        <v>1.1</v>
      </c>
      <c r="H53" t="n">
        <v>1</v>
      </c>
      <c r="I53" t="n">
        <v>1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Bombmurkla
Blåmossa</t>
        </is>
      </c>
      <c r="S53">
        <f>HYPERLINK("https://klasma.github.io/Logging_0482/artfynd/A 10789-2022 artfynd.xlsx", "A 10789-2022")</f>
        <v/>
      </c>
      <c r="T53">
        <f>HYPERLINK("https://klasma.github.io/Logging_0482/kartor/A 10789-2022 karta.png", "A 10789-2022")</f>
        <v/>
      </c>
      <c r="V53">
        <f>HYPERLINK("https://klasma.github.io/Logging_0482/klagomål/A 10789-2022 FSC-klagomål.docx", "A 10789-2022")</f>
        <v/>
      </c>
      <c r="W53">
        <f>HYPERLINK("https://klasma.github.io/Logging_0482/klagomålsmail/A 10789-2022 FSC-klagomål mail.docx", "A 10789-2022")</f>
        <v/>
      </c>
      <c r="X53">
        <f>HYPERLINK("https://klasma.github.io/Logging_0482/tillsyn/A 10789-2022 tillsynsbegäran.docx", "A 10789-2022")</f>
        <v/>
      </c>
      <c r="Y53">
        <f>HYPERLINK("https://klasma.github.io/Logging_0482/tillsynsmail/A 10789-2022 tillsynsbegäran mail.docx", "A 10789-2022")</f>
        <v/>
      </c>
    </row>
    <row r="54" ht="15" customHeight="1">
      <c r="A54" t="inlineStr">
        <is>
          <t>A 22883-2022</t>
        </is>
      </c>
      <c r="B54" s="1" t="n">
        <v>44715</v>
      </c>
      <c r="C54" s="1" t="n">
        <v>46203</v>
      </c>
      <c r="D54" t="inlineStr">
        <is>
          <t>SÖDERMANLANDS LÄN</t>
        </is>
      </c>
      <c r="E54" t="inlineStr">
        <is>
          <t>FLEN</t>
        </is>
      </c>
      <c r="F54" t="inlineStr">
        <is>
          <t>Holmen skog AB</t>
        </is>
      </c>
      <c r="G54" t="n">
        <v>2.7</v>
      </c>
      <c r="H54" t="n">
        <v>0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Gullklöver
Vippärt</t>
        </is>
      </c>
      <c r="S54">
        <f>HYPERLINK("https://klasma.github.io/Logging_0482/artfynd/A 22883-2022 artfynd.xlsx", "A 22883-2022")</f>
        <v/>
      </c>
      <c r="T54">
        <f>HYPERLINK("https://klasma.github.io/Logging_0482/kartor/A 22883-2022 karta.png", "A 22883-2022")</f>
        <v/>
      </c>
      <c r="V54">
        <f>HYPERLINK("https://klasma.github.io/Logging_0482/klagomål/A 22883-2022 FSC-klagomål.docx", "A 22883-2022")</f>
        <v/>
      </c>
      <c r="W54">
        <f>HYPERLINK("https://klasma.github.io/Logging_0482/klagomålsmail/A 22883-2022 FSC-klagomål mail.docx", "A 22883-2022")</f>
        <v/>
      </c>
      <c r="X54">
        <f>HYPERLINK("https://klasma.github.io/Logging_0482/tillsyn/A 22883-2022 tillsynsbegäran.docx", "A 22883-2022")</f>
        <v/>
      </c>
      <c r="Y54">
        <f>HYPERLINK("https://klasma.github.io/Logging_0482/tillsynsmail/A 22883-2022 tillsynsbegäran mail.docx", "A 22883-2022")</f>
        <v/>
      </c>
    </row>
    <row r="55" ht="15" customHeight="1">
      <c r="A55" t="inlineStr">
        <is>
          <t>A 49323-2021</t>
        </is>
      </c>
      <c r="B55" s="1" t="n">
        <v>44453</v>
      </c>
      <c r="C55" s="1" t="n">
        <v>46203</v>
      </c>
      <c r="D55" t="inlineStr">
        <is>
          <t>SÖDERMANLANDS LÄN</t>
        </is>
      </c>
      <c r="E55" t="inlineStr">
        <is>
          <t>FLEN</t>
        </is>
      </c>
      <c r="G55" t="n">
        <v>1</v>
      </c>
      <c r="H55" t="n">
        <v>2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Vanlig padda
Grönvit nattviol</t>
        </is>
      </c>
      <c r="S55">
        <f>HYPERLINK("https://klasma.github.io/Logging_0482/artfynd/A 49323-2021 artfynd.xlsx", "A 49323-2021")</f>
        <v/>
      </c>
      <c r="T55">
        <f>HYPERLINK("https://klasma.github.io/Logging_0482/kartor/A 49323-2021 karta.png", "A 49323-2021")</f>
        <v/>
      </c>
      <c r="V55">
        <f>HYPERLINK("https://klasma.github.io/Logging_0482/klagomål/A 49323-2021 FSC-klagomål.docx", "A 49323-2021")</f>
        <v/>
      </c>
      <c r="W55">
        <f>HYPERLINK("https://klasma.github.io/Logging_0482/klagomålsmail/A 49323-2021 FSC-klagomål mail.docx", "A 49323-2021")</f>
        <v/>
      </c>
      <c r="X55">
        <f>HYPERLINK("https://klasma.github.io/Logging_0482/tillsyn/A 49323-2021 tillsynsbegäran.docx", "A 49323-2021")</f>
        <v/>
      </c>
      <c r="Y55">
        <f>HYPERLINK("https://klasma.github.io/Logging_0482/tillsynsmail/A 49323-2021 tillsynsbegäran mail.docx", "A 49323-2021")</f>
        <v/>
      </c>
    </row>
    <row r="56" ht="15" customHeight="1">
      <c r="A56" t="inlineStr">
        <is>
          <t>A 50215-2022</t>
        </is>
      </c>
      <c r="B56" s="1" t="n">
        <v>44865</v>
      </c>
      <c r="C56" s="1" t="n">
        <v>46203</v>
      </c>
      <c r="D56" t="inlineStr">
        <is>
          <t>SÖDERMANLANDS LÄN</t>
        </is>
      </c>
      <c r="E56" t="inlineStr">
        <is>
          <t>FLEN</t>
        </is>
      </c>
      <c r="F56" t="inlineStr">
        <is>
          <t>Kyrkan</t>
        </is>
      </c>
      <c r="G56" t="n">
        <v>2.2</v>
      </c>
      <c r="H56" t="n">
        <v>2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2</v>
      </c>
      <c r="R56" s="2" t="inlineStr">
        <is>
          <t>Knärot
Äkta lopplummer</t>
        </is>
      </c>
      <c r="S56">
        <f>HYPERLINK("https://klasma.github.io/Logging_0482/artfynd/A 50215-2022 artfynd.xlsx", "A 50215-2022")</f>
        <v/>
      </c>
      <c r="T56">
        <f>HYPERLINK("https://klasma.github.io/Logging_0482/kartor/A 50215-2022 karta.png", "A 50215-2022")</f>
        <v/>
      </c>
      <c r="U56">
        <f>HYPERLINK("https://klasma.github.io/Logging_0482/knärot/A 50215-2022 karta knärot.png", "A 50215-2022")</f>
        <v/>
      </c>
      <c r="V56">
        <f>HYPERLINK("https://klasma.github.io/Logging_0482/klagomål/A 50215-2022 FSC-klagomål.docx", "A 50215-2022")</f>
        <v/>
      </c>
      <c r="W56">
        <f>HYPERLINK("https://klasma.github.io/Logging_0482/klagomålsmail/A 50215-2022 FSC-klagomål mail.docx", "A 50215-2022")</f>
        <v/>
      </c>
      <c r="X56">
        <f>HYPERLINK("https://klasma.github.io/Logging_0482/tillsyn/A 50215-2022 tillsynsbegäran.docx", "A 50215-2022")</f>
        <v/>
      </c>
      <c r="Y56">
        <f>HYPERLINK("https://klasma.github.io/Logging_0482/tillsynsmail/A 50215-2022 tillsynsbegäran mail.docx", "A 50215-2022")</f>
        <v/>
      </c>
    </row>
    <row r="57" ht="15" customHeight="1">
      <c r="A57" t="inlineStr">
        <is>
          <t>A 15452-2024</t>
        </is>
      </c>
      <c r="B57" s="1" t="n">
        <v>45400</v>
      </c>
      <c r="C57" s="1" t="n">
        <v>46203</v>
      </c>
      <c r="D57" t="inlineStr">
        <is>
          <t>SÖDERMANLANDS LÄN</t>
        </is>
      </c>
      <c r="E57" t="inlineStr">
        <is>
          <t>FLEN</t>
        </is>
      </c>
      <c r="G57" t="n">
        <v>3.5</v>
      </c>
      <c r="H57" t="n">
        <v>0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Svinrot
Älg</t>
        </is>
      </c>
      <c r="S57">
        <f>HYPERLINK("https://klasma.github.io/Logging_0482/artfynd/A 15452-2024 artfynd.xlsx", "A 15452-2024")</f>
        <v/>
      </c>
      <c r="T57">
        <f>HYPERLINK("https://klasma.github.io/Logging_0482/kartor/A 15452-2024 karta.png", "A 15452-2024")</f>
        <v/>
      </c>
      <c r="V57">
        <f>HYPERLINK("https://klasma.github.io/Logging_0482/klagomål/A 15452-2024 FSC-klagomål.docx", "A 15452-2024")</f>
        <v/>
      </c>
      <c r="W57">
        <f>HYPERLINK("https://klasma.github.io/Logging_0482/klagomålsmail/A 15452-2024 FSC-klagomål mail.docx", "A 15452-2024")</f>
        <v/>
      </c>
      <c r="X57">
        <f>HYPERLINK("https://klasma.github.io/Logging_0482/tillsyn/A 15452-2024 tillsynsbegäran.docx", "A 15452-2024")</f>
        <v/>
      </c>
      <c r="Y57">
        <f>HYPERLINK("https://klasma.github.io/Logging_0482/tillsynsmail/A 15452-2024 tillsynsbegäran mail.docx", "A 15452-2024")</f>
        <v/>
      </c>
    </row>
    <row r="58" ht="15" customHeight="1">
      <c r="A58" t="inlineStr">
        <is>
          <t>A 32744-2025</t>
        </is>
      </c>
      <c r="B58" s="1" t="n">
        <v>45838</v>
      </c>
      <c r="C58" s="1" t="n">
        <v>46203</v>
      </c>
      <c r="D58" t="inlineStr">
        <is>
          <t>SÖDERMANLANDS LÄN</t>
        </is>
      </c>
      <c r="E58" t="inlineStr">
        <is>
          <t>FLEN</t>
        </is>
      </c>
      <c r="G58" t="n">
        <v>1.8</v>
      </c>
      <c r="H58" t="n">
        <v>0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Ekticka
Klasefibbla</t>
        </is>
      </c>
      <c r="S58">
        <f>HYPERLINK("https://klasma.github.io/Logging_0482/artfynd/A 32744-2025 artfynd.xlsx", "A 32744-2025")</f>
        <v/>
      </c>
      <c r="T58">
        <f>HYPERLINK("https://klasma.github.io/Logging_0482/kartor/A 32744-2025 karta.png", "A 32744-2025")</f>
        <v/>
      </c>
      <c r="V58">
        <f>HYPERLINK("https://klasma.github.io/Logging_0482/klagomål/A 32744-2025 FSC-klagomål.docx", "A 32744-2025")</f>
        <v/>
      </c>
      <c r="W58">
        <f>HYPERLINK("https://klasma.github.io/Logging_0482/klagomålsmail/A 32744-2025 FSC-klagomål mail.docx", "A 32744-2025")</f>
        <v/>
      </c>
      <c r="X58">
        <f>HYPERLINK("https://klasma.github.io/Logging_0482/tillsyn/A 32744-2025 tillsynsbegäran.docx", "A 32744-2025")</f>
        <v/>
      </c>
      <c r="Y58">
        <f>HYPERLINK("https://klasma.github.io/Logging_0482/tillsynsmail/A 32744-2025 tillsynsbegäran mail.docx", "A 32744-2025")</f>
        <v/>
      </c>
    </row>
    <row r="59" ht="15" customHeight="1">
      <c r="A59" t="inlineStr">
        <is>
          <t>A 24464-2025</t>
        </is>
      </c>
      <c r="B59" s="1" t="n">
        <v>45798</v>
      </c>
      <c r="C59" s="1" t="n">
        <v>46203</v>
      </c>
      <c r="D59" t="inlineStr">
        <is>
          <t>SÖDERMANLANDS LÄN</t>
        </is>
      </c>
      <c r="E59" t="inlineStr">
        <is>
          <t>FLEN</t>
        </is>
      </c>
      <c r="F59" t="inlineStr">
        <is>
          <t>Holmen skog AB</t>
        </is>
      </c>
      <c r="G59" t="n">
        <v>1.1</v>
      </c>
      <c r="H59" t="n">
        <v>0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Motaggsvamp
Vedskivlav</t>
        </is>
      </c>
      <c r="S59">
        <f>HYPERLINK("https://klasma.github.io/Logging_0482/artfynd/A 24464-2025 artfynd.xlsx", "A 24464-2025")</f>
        <v/>
      </c>
      <c r="T59">
        <f>HYPERLINK("https://klasma.github.io/Logging_0482/kartor/A 24464-2025 karta.png", "A 24464-2025")</f>
        <v/>
      </c>
      <c r="V59">
        <f>HYPERLINK("https://klasma.github.io/Logging_0482/klagomål/A 24464-2025 FSC-klagomål.docx", "A 24464-2025")</f>
        <v/>
      </c>
      <c r="W59">
        <f>HYPERLINK("https://klasma.github.io/Logging_0482/klagomålsmail/A 24464-2025 FSC-klagomål mail.docx", "A 24464-2025")</f>
        <v/>
      </c>
      <c r="X59">
        <f>HYPERLINK("https://klasma.github.io/Logging_0482/tillsyn/A 24464-2025 tillsynsbegäran.docx", "A 24464-2025")</f>
        <v/>
      </c>
      <c r="Y59">
        <f>HYPERLINK("https://klasma.github.io/Logging_0482/tillsynsmail/A 24464-2025 tillsynsbegäran mail.docx", "A 24464-2025")</f>
        <v/>
      </c>
    </row>
    <row r="60" ht="15" customHeight="1">
      <c r="A60" t="inlineStr">
        <is>
          <t>A 20868-2024</t>
        </is>
      </c>
      <c r="B60" s="1" t="n">
        <v>45439</v>
      </c>
      <c r="C60" s="1" t="n">
        <v>46203</v>
      </c>
      <c r="D60" t="inlineStr">
        <is>
          <t>SÖDERMANLANDS LÄN</t>
        </is>
      </c>
      <c r="E60" t="inlineStr">
        <is>
          <t>FLEN</t>
        </is>
      </c>
      <c r="F60" t="inlineStr">
        <is>
          <t>Holmen skog AB</t>
        </is>
      </c>
      <c r="G60" t="n">
        <v>5.2</v>
      </c>
      <c r="H60" t="n">
        <v>2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Plattlummer
Mattlummer</t>
        </is>
      </c>
      <c r="S60">
        <f>HYPERLINK("https://klasma.github.io/Logging_0482/artfynd/A 20868-2024 artfynd.xlsx", "A 20868-2024")</f>
        <v/>
      </c>
      <c r="T60">
        <f>HYPERLINK("https://klasma.github.io/Logging_0482/kartor/A 20868-2024 karta.png", "A 20868-2024")</f>
        <v/>
      </c>
      <c r="V60">
        <f>HYPERLINK("https://klasma.github.io/Logging_0482/klagomål/A 20868-2024 FSC-klagomål.docx", "A 20868-2024")</f>
        <v/>
      </c>
      <c r="W60">
        <f>HYPERLINK("https://klasma.github.io/Logging_0482/klagomålsmail/A 20868-2024 FSC-klagomål mail.docx", "A 20868-2024")</f>
        <v/>
      </c>
      <c r="X60">
        <f>HYPERLINK("https://klasma.github.io/Logging_0482/tillsyn/A 20868-2024 tillsynsbegäran.docx", "A 20868-2024")</f>
        <v/>
      </c>
      <c r="Y60">
        <f>HYPERLINK("https://klasma.github.io/Logging_0482/tillsynsmail/A 20868-2024 tillsynsbegäran mail.docx", "A 20868-2024")</f>
        <v/>
      </c>
    </row>
    <row r="61" ht="15" customHeight="1">
      <c r="A61" t="inlineStr">
        <is>
          <t>A 57939-2025</t>
        </is>
      </c>
      <c r="B61" s="1" t="n">
        <v>45982</v>
      </c>
      <c r="C61" s="1" t="n">
        <v>46203</v>
      </c>
      <c r="D61" t="inlineStr">
        <is>
          <t>SÖDERMANLANDS LÄN</t>
        </is>
      </c>
      <c r="E61" t="inlineStr">
        <is>
          <t>FLEN</t>
        </is>
      </c>
      <c r="F61" t="inlineStr">
        <is>
          <t>Holmen skog AB</t>
        </is>
      </c>
      <c r="G61" t="n">
        <v>1.2</v>
      </c>
      <c r="H61" t="n">
        <v>2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Mattlummer
Spillkråka</t>
        </is>
      </c>
      <c r="S61">
        <f>HYPERLINK("https://klasma.github.io/Logging_0482/artfynd/A 57939-2025 artfynd.xlsx", "A 57939-2025")</f>
        <v/>
      </c>
      <c r="T61">
        <f>HYPERLINK("https://klasma.github.io/Logging_0482/kartor/A 57939-2025 karta.png", "A 57939-2025")</f>
        <v/>
      </c>
      <c r="V61">
        <f>HYPERLINK("https://klasma.github.io/Logging_0482/klagomål/A 57939-2025 FSC-klagomål.docx", "A 57939-2025")</f>
        <v/>
      </c>
      <c r="W61">
        <f>HYPERLINK("https://klasma.github.io/Logging_0482/klagomålsmail/A 57939-2025 FSC-klagomål mail.docx", "A 57939-2025")</f>
        <v/>
      </c>
      <c r="X61">
        <f>HYPERLINK("https://klasma.github.io/Logging_0482/tillsyn/A 57939-2025 tillsynsbegäran.docx", "A 57939-2025")</f>
        <v/>
      </c>
      <c r="Y61">
        <f>HYPERLINK("https://klasma.github.io/Logging_0482/tillsynsmail/A 57939-2025 tillsynsbegäran mail.docx", "A 57939-2025")</f>
        <v/>
      </c>
      <c r="Z61">
        <f>HYPERLINK("https://klasma.github.io/Logging_0482/fåglar/A 57939-2025 prioriterade fågelarter.docx", "A 57939-2025")</f>
        <v/>
      </c>
    </row>
    <row r="62" ht="15" customHeight="1">
      <c r="A62" t="inlineStr">
        <is>
          <t>A 38882-2021</t>
        </is>
      </c>
      <c r="B62" s="1" t="n">
        <v>44411</v>
      </c>
      <c r="C62" s="1" t="n">
        <v>46203</v>
      </c>
      <c r="D62" t="inlineStr">
        <is>
          <t>SÖDERMANLANDS LÄN</t>
        </is>
      </c>
      <c r="E62" t="inlineStr">
        <is>
          <t>FLEN</t>
        </is>
      </c>
      <c r="G62" t="n">
        <v>3.4</v>
      </c>
      <c r="H62" t="n">
        <v>1</v>
      </c>
      <c r="I62" t="n">
        <v>1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2</v>
      </c>
      <c r="R62" s="2" t="inlineStr">
        <is>
          <t>Knärot
Grönpyrola</t>
        </is>
      </c>
      <c r="S62">
        <f>HYPERLINK("https://klasma.github.io/Logging_0482/artfynd/A 38882-2021 artfynd.xlsx", "A 38882-2021")</f>
        <v/>
      </c>
      <c r="T62">
        <f>HYPERLINK("https://klasma.github.io/Logging_0482/kartor/A 38882-2021 karta.png", "A 38882-2021")</f>
        <v/>
      </c>
      <c r="U62">
        <f>HYPERLINK("https://klasma.github.io/Logging_0482/knärot/A 38882-2021 karta knärot.png", "A 38882-2021")</f>
        <v/>
      </c>
      <c r="V62">
        <f>HYPERLINK("https://klasma.github.io/Logging_0482/klagomål/A 38882-2021 FSC-klagomål.docx", "A 38882-2021")</f>
        <v/>
      </c>
      <c r="W62">
        <f>HYPERLINK("https://klasma.github.io/Logging_0482/klagomålsmail/A 38882-2021 FSC-klagomål mail.docx", "A 38882-2021")</f>
        <v/>
      </c>
      <c r="X62">
        <f>HYPERLINK("https://klasma.github.io/Logging_0482/tillsyn/A 38882-2021 tillsynsbegäran.docx", "A 38882-2021")</f>
        <v/>
      </c>
      <c r="Y62">
        <f>HYPERLINK("https://klasma.github.io/Logging_0482/tillsynsmail/A 38882-2021 tillsynsbegäran mail.docx", "A 38882-2021")</f>
        <v/>
      </c>
    </row>
    <row r="63" ht="15" customHeight="1">
      <c r="A63" t="inlineStr">
        <is>
          <t>A 4330-2026</t>
        </is>
      </c>
      <c r="B63" s="1" t="n">
        <v>46044</v>
      </c>
      <c r="C63" s="1" t="n">
        <v>46203</v>
      </c>
      <c r="D63" t="inlineStr">
        <is>
          <t>SÖDERMANLANDS LÄN</t>
        </is>
      </c>
      <c r="E63" t="inlineStr">
        <is>
          <t>FLEN</t>
        </is>
      </c>
      <c r="F63" t="inlineStr">
        <is>
          <t>Övriga statliga verk och myndigheter</t>
        </is>
      </c>
      <c r="G63" t="n">
        <v>4.9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Backstarr
Blåsippa</t>
        </is>
      </c>
      <c r="S63">
        <f>HYPERLINK("https://klasma.github.io/Logging_0482/artfynd/A 4330-2026 artfynd.xlsx", "A 4330-2026")</f>
        <v/>
      </c>
      <c r="T63">
        <f>HYPERLINK("https://klasma.github.io/Logging_0482/kartor/A 4330-2026 karta.png", "A 4330-2026")</f>
        <v/>
      </c>
      <c r="V63">
        <f>HYPERLINK("https://klasma.github.io/Logging_0482/klagomål/A 4330-2026 FSC-klagomål.docx", "A 4330-2026")</f>
        <v/>
      </c>
      <c r="W63">
        <f>HYPERLINK("https://klasma.github.io/Logging_0482/klagomålsmail/A 4330-2026 FSC-klagomål mail.docx", "A 4330-2026")</f>
        <v/>
      </c>
      <c r="X63">
        <f>HYPERLINK("https://klasma.github.io/Logging_0482/tillsyn/A 4330-2026 tillsynsbegäran.docx", "A 4330-2026")</f>
        <v/>
      </c>
      <c r="Y63">
        <f>HYPERLINK("https://klasma.github.io/Logging_0482/tillsynsmail/A 4330-2026 tillsynsbegäran mail.docx", "A 4330-2026")</f>
        <v/>
      </c>
    </row>
    <row r="64" ht="15" customHeight="1">
      <c r="A64" t="inlineStr">
        <is>
          <t>A 49816-2023</t>
        </is>
      </c>
      <c r="B64" s="1" t="n">
        <v>45211</v>
      </c>
      <c r="C64" s="1" t="n">
        <v>46203</v>
      </c>
      <c r="D64" t="inlineStr">
        <is>
          <t>SÖDERMANLANDS LÄN</t>
        </is>
      </c>
      <c r="E64" t="inlineStr">
        <is>
          <t>FLEN</t>
        </is>
      </c>
      <c r="G64" t="n">
        <v>4.6</v>
      </c>
      <c r="H64" t="n">
        <v>0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Reliktbock
Tallticka</t>
        </is>
      </c>
      <c r="S64">
        <f>HYPERLINK("https://klasma.github.io/Logging_0482/artfynd/A 49816-2023 artfynd.xlsx", "A 49816-2023")</f>
        <v/>
      </c>
      <c r="T64">
        <f>HYPERLINK("https://klasma.github.io/Logging_0482/kartor/A 49816-2023 karta.png", "A 49816-2023")</f>
        <v/>
      </c>
      <c r="V64">
        <f>HYPERLINK("https://klasma.github.io/Logging_0482/klagomål/A 49816-2023 FSC-klagomål.docx", "A 49816-2023")</f>
        <v/>
      </c>
      <c r="W64">
        <f>HYPERLINK("https://klasma.github.io/Logging_0482/klagomålsmail/A 49816-2023 FSC-klagomål mail.docx", "A 49816-2023")</f>
        <v/>
      </c>
      <c r="X64">
        <f>HYPERLINK("https://klasma.github.io/Logging_0482/tillsyn/A 49816-2023 tillsynsbegäran.docx", "A 49816-2023")</f>
        <v/>
      </c>
      <c r="Y64">
        <f>HYPERLINK("https://klasma.github.io/Logging_0482/tillsynsmail/A 49816-2023 tillsynsbegäran mail.docx", "A 49816-2023")</f>
        <v/>
      </c>
    </row>
    <row r="65" ht="15" customHeight="1">
      <c r="A65" t="inlineStr">
        <is>
          <t>A 8887-2026</t>
        </is>
      </c>
      <c r="B65" s="1" t="n">
        <v>46068</v>
      </c>
      <c r="C65" s="1" t="n">
        <v>46203</v>
      </c>
      <c r="D65" t="inlineStr">
        <is>
          <t>SÖDERMANLANDS LÄN</t>
        </is>
      </c>
      <c r="E65" t="inlineStr">
        <is>
          <t>FLEN</t>
        </is>
      </c>
      <c r="G65" t="n">
        <v>2.1</v>
      </c>
      <c r="H65" t="n">
        <v>2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Större vattensalamander
Mindre vattensalamander</t>
        </is>
      </c>
      <c r="S65">
        <f>HYPERLINK("https://klasma.github.io/Logging_0482/artfynd/A 8887-2026 artfynd.xlsx", "A 8887-2026")</f>
        <v/>
      </c>
      <c r="T65">
        <f>HYPERLINK("https://klasma.github.io/Logging_0482/kartor/A 8887-2026 karta.png", "A 8887-2026")</f>
        <v/>
      </c>
      <c r="V65">
        <f>HYPERLINK("https://klasma.github.io/Logging_0482/klagomål/A 8887-2026 FSC-klagomål.docx", "A 8887-2026")</f>
        <v/>
      </c>
      <c r="W65">
        <f>HYPERLINK("https://klasma.github.io/Logging_0482/klagomålsmail/A 8887-2026 FSC-klagomål mail.docx", "A 8887-2026")</f>
        <v/>
      </c>
      <c r="X65">
        <f>HYPERLINK("https://klasma.github.io/Logging_0482/tillsyn/A 8887-2026 tillsynsbegäran.docx", "A 8887-2026")</f>
        <v/>
      </c>
      <c r="Y65">
        <f>HYPERLINK("https://klasma.github.io/Logging_0482/tillsynsmail/A 8887-2026 tillsynsbegäran mail.docx", "A 8887-2026")</f>
        <v/>
      </c>
    </row>
    <row r="66" ht="15" customHeight="1">
      <c r="A66" t="inlineStr">
        <is>
          <t>A 15557-2026</t>
        </is>
      </c>
      <c r="B66" s="1" t="n">
        <v>46106</v>
      </c>
      <c r="C66" s="1" t="n">
        <v>46203</v>
      </c>
      <c r="D66" t="inlineStr">
        <is>
          <t>SÖDERMANLANDS LÄN</t>
        </is>
      </c>
      <c r="E66" t="inlineStr">
        <is>
          <t>FLEN</t>
        </is>
      </c>
      <c r="G66" t="n">
        <v>2.3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Gullklöver
Svinrot</t>
        </is>
      </c>
      <c r="S66">
        <f>HYPERLINK("https://klasma.github.io/Logging_0482/artfynd/A 15557-2026 artfynd.xlsx", "A 15557-2026")</f>
        <v/>
      </c>
      <c r="T66">
        <f>HYPERLINK("https://klasma.github.io/Logging_0482/kartor/A 15557-2026 karta.png", "A 15557-2026")</f>
        <v/>
      </c>
      <c r="V66">
        <f>HYPERLINK("https://klasma.github.io/Logging_0482/klagomål/A 15557-2026 FSC-klagomål.docx", "A 15557-2026")</f>
        <v/>
      </c>
      <c r="W66">
        <f>HYPERLINK("https://klasma.github.io/Logging_0482/klagomålsmail/A 15557-2026 FSC-klagomål mail.docx", "A 15557-2026")</f>
        <v/>
      </c>
      <c r="X66">
        <f>HYPERLINK("https://klasma.github.io/Logging_0482/tillsyn/A 15557-2026 tillsynsbegäran.docx", "A 15557-2026")</f>
        <v/>
      </c>
      <c r="Y66">
        <f>HYPERLINK("https://klasma.github.io/Logging_0482/tillsynsmail/A 15557-2026 tillsynsbegäran mail.docx", "A 15557-2026")</f>
        <v/>
      </c>
    </row>
    <row r="67" ht="15" customHeight="1">
      <c r="A67" t="inlineStr">
        <is>
          <t>A 35278-2022</t>
        </is>
      </c>
      <c r="B67" s="1" t="n">
        <v>44798</v>
      </c>
      <c r="C67" s="1" t="n">
        <v>46203</v>
      </c>
      <c r="D67" t="inlineStr">
        <is>
          <t>SÖDERMANLANDS LÄN</t>
        </is>
      </c>
      <c r="E67" t="inlineStr">
        <is>
          <t>FLEN</t>
        </is>
      </c>
      <c r="G67" t="n">
        <v>2.3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2</v>
      </c>
      <c r="R67" s="2" t="inlineStr">
        <is>
          <t>Igelkott
Grönvit nattviol</t>
        </is>
      </c>
      <c r="S67">
        <f>HYPERLINK("https://klasma.github.io/Logging_0482/artfynd/A 35278-2022 artfynd.xlsx", "A 35278-2022")</f>
        <v/>
      </c>
      <c r="T67">
        <f>HYPERLINK("https://klasma.github.io/Logging_0482/kartor/A 35278-2022 karta.png", "A 35278-2022")</f>
        <v/>
      </c>
      <c r="V67">
        <f>HYPERLINK("https://klasma.github.io/Logging_0482/klagomål/A 35278-2022 FSC-klagomål.docx", "A 35278-2022")</f>
        <v/>
      </c>
      <c r="W67">
        <f>HYPERLINK("https://klasma.github.io/Logging_0482/klagomålsmail/A 35278-2022 FSC-klagomål mail.docx", "A 35278-2022")</f>
        <v/>
      </c>
      <c r="X67">
        <f>HYPERLINK("https://klasma.github.io/Logging_0482/tillsyn/A 35278-2022 tillsynsbegäran.docx", "A 35278-2022")</f>
        <v/>
      </c>
      <c r="Y67">
        <f>HYPERLINK("https://klasma.github.io/Logging_0482/tillsynsmail/A 35278-2022 tillsynsbegäran mail.docx", "A 35278-2022")</f>
        <v/>
      </c>
    </row>
    <row r="68" ht="15" customHeight="1">
      <c r="A68" t="inlineStr">
        <is>
          <t>A 52858-2023</t>
        </is>
      </c>
      <c r="B68" s="1" t="n">
        <v>45219</v>
      </c>
      <c r="C68" s="1" t="n">
        <v>46203</v>
      </c>
      <c r="D68" t="inlineStr">
        <is>
          <t>SÖDERMANLANDS LÄN</t>
        </is>
      </c>
      <c r="E68" t="inlineStr">
        <is>
          <t>FLEN</t>
        </is>
      </c>
      <c r="G68" t="n">
        <v>3.6</v>
      </c>
      <c r="H68" t="n">
        <v>1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Mindre hackspett
Tallticka</t>
        </is>
      </c>
      <c r="S68">
        <f>HYPERLINK("https://klasma.github.io/Logging_0482/artfynd/A 52858-2023 artfynd.xlsx", "A 52858-2023")</f>
        <v/>
      </c>
      <c r="T68">
        <f>HYPERLINK("https://klasma.github.io/Logging_0482/kartor/A 52858-2023 karta.png", "A 52858-2023")</f>
        <v/>
      </c>
      <c r="V68">
        <f>HYPERLINK("https://klasma.github.io/Logging_0482/klagomål/A 52858-2023 FSC-klagomål.docx", "A 52858-2023")</f>
        <v/>
      </c>
      <c r="W68">
        <f>HYPERLINK("https://klasma.github.io/Logging_0482/klagomålsmail/A 52858-2023 FSC-klagomål mail.docx", "A 52858-2023")</f>
        <v/>
      </c>
      <c r="X68">
        <f>HYPERLINK("https://klasma.github.io/Logging_0482/tillsyn/A 52858-2023 tillsynsbegäran.docx", "A 52858-2023")</f>
        <v/>
      </c>
      <c r="Y68">
        <f>HYPERLINK("https://klasma.github.io/Logging_0482/tillsynsmail/A 52858-2023 tillsynsbegäran mail.docx", "A 52858-2023")</f>
        <v/>
      </c>
      <c r="Z68">
        <f>HYPERLINK("https://klasma.github.io/Logging_0482/fåglar/A 52858-2023 prioriterade fågelarter.docx", "A 52858-2023")</f>
        <v/>
      </c>
    </row>
    <row r="69" ht="15" customHeight="1">
      <c r="A69" t="inlineStr">
        <is>
          <t>A 19389-2025</t>
        </is>
      </c>
      <c r="B69" s="1" t="n">
        <v>45769</v>
      </c>
      <c r="C69" s="1" t="n">
        <v>46203</v>
      </c>
      <c r="D69" t="inlineStr">
        <is>
          <t>SÖDERMANLANDS LÄN</t>
        </is>
      </c>
      <c r="E69" t="inlineStr">
        <is>
          <t>FLEN</t>
        </is>
      </c>
      <c r="G69" t="n">
        <v>12.4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Motaggsvamp
Mattlummer</t>
        </is>
      </c>
      <c r="S69">
        <f>HYPERLINK("https://klasma.github.io/Logging_0482/artfynd/A 19389-2025 artfynd.xlsx", "A 19389-2025")</f>
        <v/>
      </c>
      <c r="T69">
        <f>HYPERLINK("https://klasma.github.io/Logging_0482/kartor/A 19389-2025 karta.png", "A 19389-2025")</f>
        <v/>
      </c>
      <c r="V69">
        <f>HYPERLINK("https://klasma.github.io/Logging_0482/klagomål/A 19389-2025 FSC-klagomål.docx", "A 19389-2025")</f>
        <v/>
      </c>
      <c r="W69">
        <f>HYPERLINK("https://klasma.github.io/Logging_0482/klagomålsmail/A 19389-2025 FSC-klagomål mail.docx", "A 19389-2025")</f>
        <v/>
      </c>
      <c r="X69">
        <f>HYPERLINK("https://klasma.github.io/Logging_0482/tillsyn/A 19389-2025 tillsynsbegäran.docx", "A 19389-2025")</f>
        <v/>
      </c>
      <c r="Y69">
        <f>HYPERLINK("https://klasma.github.io/Logging_0482/tillsynsmail/A 19389-2025 tillsynsbegäran mail.docx", "A 19389-2025")</f>
        <v/>
      </c>
    </row>
    <row r="70" ht="15" customHeight="1">
      <c r="A70" t="inlineStr">
        <is>
          <t>A 47194-2022</t>
        </is>
      </c>
      <c r="B70" s="1" t="n">
        <v>44848</v>
      </c>
      <c r="C70" s="1" t="n">
        <v>46203</v>
      </c>
      <c r="D70" t="inlineStr">
        <is>
          <t>SÖDERMANLANDS LÄN</t>
        </is>
      </c>
      <c r="E70" t="inlineStr">
        <is>
          <t>FLEN</t>
        </is>
      </c>
      <c r="F70" t="inlineStr">
        <is>
          <t>Övriga statliga verk och myndigheter</t>
        </is>
      </c>
      <c r="G70" t="n">
        <v>2.3</v>
      </c>
      <c r="H70" t="n">
        <v>0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Gullklöver
Svinrot</t>
        </is>
      </c>
      <c r="S70">
        <f>HYPERLINK("https://klasma.github.io/Logging_0482/artfynd/A 47194-2022 artfynd.xlsx", "A 47194-2022")</f>
        <v/>
      </c>
      <c r="T70">
        <f>HYPERLINK("https://klasma.github.io/Logging_0482/kartor/A 47194-2022 karta.png", "A 47194-2022")</f>
        <v/>
      </c>
      <c r="V70">
        <f>HYPERLINK("https://klasma.github.io/Logging_0482/klagomål/A 47194-2022 FSC-klagomål.docx", "A 47194-2022")</f>
        <v/>
      </c>
      <c r="W70">
        <f>HYPERLINK("https://klasma.github.io/Logging_0482/klagomålsmail/A 47194-2022 FSC-klagomål mail.docx", "A 47194-2022")</f>
        <v/>
      </c>
      <c r="X70">
        <f>HYPERLINK("https://klasma.github.io/Logging_0482/tillsyn/A 47194-2022 tillsynsbegäran.docx", "A 47194-2022")</f>
        <v/>
      </c>
      <c r="Y70">
        <f>HYPERLINK("https://klasma.github.io/Logging_0482/tillsynsmail/A 47194-2022 tillsynsbegäran mail.docx", "A 47194-2022")</f>
        <v/>
      </c>
    </row>
    <row r="71" ht="15" customHeight="1">
      <c r="A71" t="inlineStr">
        <is>
          <t>A 22511-2026</t>
        </is>
      </c>
      <c r="B71" s="1" t="n">
        <v>46155</v>
      </c>
      <c r="C71" s="1" t="n">
        <v>46203</v>
      </c>
      <c r="D71" t="inlineStr">
        <is>
          <t>SÖDERMANLANDS LÄN</t>
        </is>
      </c>
      <c r="E71" t="inlineStr">
        <is>
          <t>FLEN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s="2" t="inlineStr">
        <is>
          <t>Ormbär
Skriftlav</t>
        </is>
      </c>
      <c r="S71">
        <f>HYPERLINK("https://klasma.github.io/Logging_0482/artfynd/A 22511-2026 artfynd.xlsx", "A 22511-2026")</f>
        <v/>
      </c>
      <c r="T71">
        <f>HYPERLINK("https://klasma.github.io/Logging_0482/kartor/A 22511-2026 karta.png", "A 22511-2026")</f>
        <v/>
      </c>
      <c r="V71">
        <f>HYPERLINK("https://klasma.github.io/Logging_0482/klagomål/A 22511-2026 FSC-klagomål.docx", "A 22511-2026")</f>
        <v/>
      </c>
      <c r="W71">
        <f>HYPERLINK("https://klasma.github.io/Logging_0482/klagomålsmail/A 22511-2026 FSC-klagomål mail.docx", "A 22511-2026")</f>
        <v/>
      </c>
      <c r="X71">
        <f>HYPERLINK("https://klasma.github.io/Logging_0482/tillsyn/A 22511-2026 tillsynsbegäran.docx", "A 22511-2026")</f>
        <v/>
      </c>
      <c r="Y71">
        <f>HYPERLINK("https://klasma.github.io/Logging_0482/tillsynsmail/A 22511-2026 tillsynsbegäran mail.docx", "A 22511-2026")</f>
        <v/>
      </c>
    </row>
    <row r="72" ht="15" customHeight="1">
      <c r="A72" t="inlineStr">
        <is>
          <t>A 7506-2023</t>
        </is>
      </c>
      <c r="B72" s="1" t="n">
        <v>44971</v>
      </c>
      <c r="C72" s="1" t="n">
        <v>46203</v>
      </c>
      <c r="D72" t="inlineStr">
        <is>
          <t>SÖDERMANLANDS LÄN</t>
        </is>
      </c>
      <c r="E72" t="inlineStr">
        <is>
          <t>FLEN</t>
        </is>
      </c>
      <c r="G72" t="n">
        <v>3.3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Slåtterfibbla
Svinrot</t>
        </is>
      </c>
      <c r="S72">
        <f>HYPERLINK("https://klasma.github.io/Logging_0482/artfynd/A 7506-2023 artfynd.xlsx", "A 7506-2023")</f>
        <v/>
      </c>
      <c r="T72">
        <f>HYPERLINK("https://klasma.github.io/Logging_0482/kartor/A 7506-2023 karta.png", "A 7506-2023")</f>
        <v/>
      </c>
      <c r="V72">
        <f>HYPERLINK("https://klasma.github.io/Logging_0482/klagomål/A 7506-2023 FSC-klagomål.docx", "A 7506-2023")</f>
        <v/>
      </c>
      <c r="W72">
        <f>HYPERLINK("https://klasma.github.io/Logging_0482/klagomålsmail/A 7506-2023 FSC-klagomål mail.docx", "A 7506-2023")</f>
        <v/>
      </c>
      <c r="X72">
        <f>HYPERLINK("https://klasma.github.io/Logging_0482/tillsyn/A 7506-2023 tillsynsbegäran.docx", "A 7506-2023")</f>
        <v/>
      </c>
      <c r="Y72">
        <f>HYPERLINK("https://klasma.github.io/Logging_0482/tillsynsmail/A 7506-2023 tillsynsbegäran mail.docx", "A 7506-2023")</f>
        <v/>
      </c>
    </row>
    <row r="73" ht="15" customHeight="1">
      <c r="A73" t="inlineStr">
        <is>
          <t>A 22101-2023</t>
        </is>
      </c>
      <c r="B73" s="1" t="n">
        <v>45068</v>
      </c>
      <c r="C73" s="1" t="n">
        <v>46203</v>
      </c>
      <c r="D73" t="inlineStr">
        <is>
          <t>SÖDERMANLANDS LÄN</t>
        </is>
      </c>
      <c r="E73" t="inlineStr">
        <is>
          <t>FLEN</t>
        </is>
      </c>
      <c r="G73" t="n">
        <v>2.7</v>
      </c>
      <c r="H73" t="n">
        <v>2</v>
      </c>
      <c r="I73" t="n">
        <v>0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1</v>
      </c>
      <c r="P73" t="n">
        <v>1</v>
      </c>
      <c r="Q73" t="n">
        <v>2</v>
      </c>
      <c r="R73" s="2" t="inlineStr">
        <is>
          <t>Bombmurkla
Blåsippa</t>
        </is>
      </c>
      <c r="S73">
        <f>HYPERLINK("https://klasma.github.io/Logging_0482/artfynd/A 22101-2023 artfynd.xlsx", "A 22101-2023")</f>
        <v/>
      </c>
      <c r="T73">
        <f>HYPERLINK("https://klasma.github.io/Logging_0482/kartor/A 22101-2023 karta.png", "A 22101-2023")</f>
        <v/>
      </c>
      <c r="V73">
        <f>HYPERLINK("https://klasma.github.io/Logging_0482/klagomål/A 22101-2023 FSC-klagomål.docx", "A 22101-2023")</f>
        <v/>
      </c>
      <c r="W73">
        <f>HYPERLINK("https://klasma.github.io/Logging_0482/klagomålsmail/A 22101-2023 FSC-klagomål mail.docx", "A 22101-2023")</f>
        <v/>
      </c>
      <c r="X73">
        <f>HYPERLINK("https://klasma.github.io/Logging_0482/tillsyn/A 22101-2023 tillsynsbegäran.docx", "A 22101-2023")</f>
        <v/>
      </c>
      <c r="Y73">
        <f>HYPERLINK("https://klasma.github.io/Logging_0482/tillsynsmail/A 22101-2023 tillsynsbegäran mail.docx", "A 22101-2023")</f>
        <v/>
      </c>
    </row>
    <row r="74" ht="15" customHeight="1">
      <c r="A74" t="inlineStr">
        <is>
          <t>A 39240-2023</t>
        </is>
      </c>
      <c r="B74" s="1" t="n">
        <v>45166</v>
      </c>
      <c r="C74" s="1" t="n">
        <v>46203</v>
      </c>
      <c r="D74" t="inlineStr">
        <is>
          <t>SÖDERMANLANDS LÄN</t>
        </is>
      </c>
      <c r="E74" t="inlineStr">
        <is>
          <t>FLEN</t>
        </is>
      </c>
      <c r="F74" t="inlineStr">
        <is>
          <t>Holmen skog AB</t>
        </is>
      </c>
      <c r="G74" t="n">
        <v>4.6</v>
      </c>
      <c r="H74" t="n">
        <v>0</v>
      </c>
      <c r="I74" t="n">
        <v>1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Motaggsvamp
Blodticka</t>
        </is>
      </c>
      <c r="S74">
        <f>HYPERLINK("https://klasma.github.io/Logging_0482/artfynd/A 39240-2023 artfynd.xlsx", "A 39240-2023")</f>
        <v/>
      </c>
      <c r="T74">
        <f>HYPERLINK("https://klasma.github.io/Logging_0482/kartor/A 39240-2023 karta.png", "A 39240-2023")</f>
        <v/>
      </c>
      <c r="V74">
        <f>HYPERLINK("https://klasma.github.io/Logging_0482/klagomål/A 39240-2023 FSC-klagomål.docx", "A 39240-2023")</f>
        <v/>
      </c>
      <c r="W74">
        <f>HYPERLINK("https://klasma.github.io/Logging_0482/klagomålsmail/A 39240-2023 FSC-klagomål mail.docx", "A 39240-2023")</f>
        <v/>
      </c>
      <c r="X74">
        <f>HYPERLINK("https://klasma.github.io/Logging_0482/tillsyn/A 39240-2023 tillsynsbegäran.docx", "A 39240-2023")</f>
        <v/>
      </c>
      <c r="Y74">
        <f>HYPERLINK("https://klasma.github.io/Logging_0482/tillsynsmail/A 39240-2023 tillsynsbegäran mail.docx", "A 39240-2023")</f>
        <v/>
      </c>
    </row>
    <row r="75" ht="15" customHeight="1">
      <c r="A75" t="inlineStr">
        <is>
          <t>A 59607-2022</t>
        </is>
      </c>
      <c r="B75" s="1" t="n">
        <v>44907</v>
      </c>
      <c r="C75" s="1" t="n">
        <v>46203</v>
      </c>
      <c r="D75" t="inlineStr">
        <is>
          <t>SÖDERMANLANDS LÄN</t>
        </is>
      </c>
      <c r="E75" t="inlineStr">
        <is>
          <t>FLEN</t>
        </is>
      </c>
      <c r="G75" t="n">
        <v>1</v>
      </c>
      <c r="H75" t="n">
        <v>0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Jungfrulin
Svinrot</t>
        </is>
      </c>
      <c r="S75">
        <f>HYPERLINK("https://klasma.github.io/Logging_0482/artfynd/A 59607-2022 artfynd.xlsx", "A 59607-2022")</f>
        <v/>
      </c>
      <c r="T75">
        <f>HYPERLINK("https://klasma.github.io/Logging_0482/kartor/A 59607-2022 karta.png", "A 59607-2022")</f>
        <v/>
      </c>
      <c r="V75">
        <f>HYPERLINK("https://klasma.github.io/Logging_0482/klagomål/A 59607-2022 FSC-klagomål.docx", "A 59607-2022")</f>
        <v/>
      </c>
      <c r="W75">
        <f>HYPERLINK("https://klasma.github.io/Logging_0482/klagomålsmail/A 59607-2022 FSC-klagomål mail.docx", "A 59607-2022")</f>
        <v/>
      </c>
      <c r="X75">
        <f>HYPERLINK("https://klasma.github.io/Logging_0482/tillsyn/A 59607-2022 tillsynsbegäran.docx", "A 59607-2022")</f>
        <v/>
      </c>
      <c r="Y75">
        <f>HYPERLINK("https://klasma.github.io/Logging_0482/tillsynsmail/A 59607-2022 tillsynsbegäran mail.docx", "A 59607-2022")</f>
        <v/>
      </c>
    </row>
    <row r="76" ht="15" customHeight="1">
      <c r="A76" t="inlineStr">
        <is>
          <t>A 10825-2022</t>
        </is>
      </c>
      <c r="B76" s="1" t="n">
        <v>44624</v>
      </c>
      <c r="C76" s="1" t="n">
        <v>46203</v>
      </c>
      <c r="D76" t="inlineStr">
        <is>
          <t>SÖDERMANLANDS LÄN</t>
        </is>
      </c>
      <c r="E76" t="inlineStr">
        <is>
          <t>FLEN</t>
        </is>
      </c>
      <c r="G76" t="n">
        <v>4.7</v>
      </c>
      <c r="H76" t="n">
        <v>0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Svinrot
Vanlig backsmörblomma</t>
        </is>
      </c>
      <c r="S76">
        <f>HYPERLINK("https://klasma.github.io/Logging_0482/artfynd/A 10825-2022 artfynd.xlsx", "A 10825-2022")</f>
        <v/>
      </c>
      <c r="T76">
        <f>HYPERLINK("https://klasma.github.io/Logging_0482/kartor/A 10825-2022 karta.png", "A 10825-2022")</f>
        <v/>
      </c>
      <c r="V76">
        <f>HYPERLINK("https://klasma.github.io/Logging_0482/klagomål/A 10825-2022 FSC-klagomål.docx", "A 10825-2022")</f>
        <v/>
      </c>
      <c r="W76">
        <f>HYPERLINK("https://klasma.github.io/Logging_0482/klagomålsmail/A 10825-2022 FSC-klagomål mail.docx", "A 10825-2022")</f>
        <v/>
      </c>
      <c r="X76">
        <f>HYPERLINK("https://klasma.github.io/Logging_0482/tillsyn/A 10825-2022 tillsynsbegäran.docx", "A 10825-2022")</f>
        <v/>
      </c>
      <c r="Y76">
        <f>HYPERLINK("https://klasma.github.io/Logging_0482/tillsynsmail/A 10825-2022 tillsynsbegäran mail.docx", "A 10825-2022")</f>
        <v/>
      </c>
    </row>
    <row r="77" ht="15" customHeight="1">
      <c r="A77" t="inlineStr">
        <is>
          <t>A 5852-2022</t>
        </is>
      </c>
      <c r="B77" s="1" t="n">
        <v>44596</v>
      </c>
      <c r="C77" s="1" t="n">
        <v>46203</v>
      </c>
      <c r="D77" t="inlineStr">
        <is>
          <t>SÖDERMANLANDS LÄN</t>
        </is>
      </c>
      <c r="E77" t="inlineStr">
        <is>
          <t>FLEN</t>
        </is>
      </c>
      <c r="G77" t="n">
        <v>2.6</v>
      </c>
      <c r="H77" t="n">
        <v>1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s="2" t="inlineStr">
        <is>
          <t>Kamjordstjärna
Gullviva</t>
        </is>
      </c>
      <c r="S77">
        <f>HYPERLINK("https://klasma.github.io/Logging_0482/artfynd/A 5852-2022 artfynd.xlsx", "A 5852-2022")</f>
        <v/>
      </c>
      <c r="T77">
        <f>HYPERLINK("https://klasma.github.io/Logging_0482/kartor/A 5852-2022 karta.png", "A 5852-2022")</f>
        <v/>
      </c>
      <c r="V77">
        <f>HYPERLINK("https://klasma.github.io/Logging_0482/klagomål/A 5852-2022 FSC-klagomål.docx", "A 5852-2022")</f>
        <v/>
      </c>
      <c r="W77">
        <f>HYPERLINK("https://klasma.github.io/Logging_0482/klagomålsmail/A 5852-2022 FSC-klagomål mail.docx", "A 5852-2022")</f>
        <v/>
      </c>
      <c r="X77">
        <f>HYPERLINK("https://klasma.github.io/Logging_0482/tillsyn/A 5852-2022 tillsynsbegäran.docx", "A 5852-2022")</f>
        <v/>
      </c>
      <c r="Y77">
        <f>HYPERLINK("https://klasma.github.io/Logging_0482/tillsynsmail/A 5852-2022 tillsynsbegäran mail.docx", "A 5852-2022")</f>
        <v/>
      </c>
    </row>
    <row r="78" ht="15" customHeight="1">
      <c r="A78" t="inlineStr">
        <is>
          <t>A 49255-2021</t>
        </is>
      </c>
      <c r="B78" s="1" t="n">
        <v>44454</v>
      </c>
      <c r="C78" s="1" t="n">
        <v>46203</v>
      </c>
      <c r="D78" t="inlineStr">
        <is>
          <t>SÖDERMANLANDS LÄN</t>
        </is>
      </c>
      <c r="E78" t="inlineStr">
        <is>
          <t>FLEN</t>
        </is>
      </c>
      <c r="G78" t="n">
        <v>15.6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Backstarr
Revlummer</t>
        </is>
      </c>
      <c r="S78">
        <f>HYPERLINK("https://klasma.github.io/Logging_0482/artfynd/A 49255-2021 artfynd.xlsx", "A 49255-2021")</f>
        <v/>
      </c>
      <c r="T78">
        <f>HYPERLINK("https://klasma.github.io/Logging_0482/kartor/A 49255-2021 karta.png", "A 49255-2021")</f>
        <v/>
      </c>
      <c r="V78">
        <f>HYPERLINK("https://klasma.github.io/Logging_0482/klagomål/A 49255-2021 FSC-klagomål.docx", "A 49255-2021")</f>
        <v/>
      </c>
      <c r="W78">
        <f>HYPERLINK("https://klasma.github.io/Logging_0482/klagomålsmail/A 49255-2021 FSC-klagomål mail.docx", "A 49255-2021")</f>
        <v/>
      </c>
      <c r="X78">
        <f>HYPERLINK("https://klasma.github.io/Logging_0482/tillsyn/A 49255-2021 tillsynsbegäran.docx", "A 49255-2021")</f>
        <v/>
      </c>
      <c r="Y78">
        <f>HYPERLINK("https://klasma.github.io/Logging_0482/tillsynsmail/A 49255-2021 tillsynsbegäran mail.docx", "A 49255-2021")</f>
        <v/>
      </c>
    </row>
    <row r="79" ht="15" customHeight="1">
      <c r="A79" t="inlineStr">
        <is>
          <t>A 33107-2022</t>
        </is>
      </c>
      <c r="B79" s="1" t="n">
        <v>44785</v>
      </c>
      <c r="C79" s="1" t="n">
        <v>46203</v>
      </c>
      <c r="D79" t="inlineStr">
        <is>
          <t>SÖDERMANLANDS LÄN</t>
        </is>
      </c>
      <c r="E79" t="inlineStr">
        <is>
          <t>FLEN</t>
        </is>
      </c>
      <c r="G79" t="n">
        <v>5.9</v>
      </c>
      <c r="H79" t="n">
        <v>0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2</v>
      </c>
      <c r="R79" s="2" t="inlineStr">
        <is>
          <t>Fjällig taggsvamp s.str.
Gullklöver</t>
        </is>
      </c>
      <c r="S79">
        <f>HYPERLINK("https://klasma.github.io/Logging_0482/artfynd/A 33107-2022 artfynd.xlsx", "A 33107-2022")</f>
        <v/>
      </c>
      <c r="T79">
        <f>HYPERLINK("https://klasma.github.io/Logging_0482/kartor/A 33107-2022 karta.png", "A 33107-2022")</f>
        <v/>
      </c>
      <c r="V79">
        <f>HYPERLINK("https://klasma.github.io/Logging_0482/klagomål/A 33107-2022 FSC-klagomål.docx", "A 33107-2022")</f>
        <v/>
      </c>
      <c r="W79">
        <f>HYPERLINK("https://klasma.github.io/Logging_0482/klagomålsmail/A 33107-2022 FSC-klagomål mail.docx", "A 33107-2022")</f>
        <v/>
      </c>
      <c r="X79">
        <f>HYPERLINK("https://klasma.github.io/Logging_0482/tillsyn/A 33107-2022 tillsynsbegäran.docx", "A 33107-2022")</f>
        <v/>
      </c>
      <c r="Y79">
        <f>HYPERLINK("https://klasma.github.io/Logging_0482/tillsynsmail/A 33107-2022 tillsynsbegäran mail.docx", "A 33107-2022")</f>
        <v/>
      </c>
    </row>
    <row r="80" ht="15" customHeight="1">
      <c r="A80" t="inlineStr">
        <is>
          <t>A 11103-2023</t>
        </is>
      </c>
      <c r="B80" s="1" t="n">
        <v>44986</v>
      </c>
      <c r="C80" s="1" t="n">
        <v>46203</v>
      </c>
      <c r="D80" t="inlineStr">
        <is>
          <t>SÖDERMANLANDS LÄN</t>
        </is>
      </c>
      <c r="E80" t="inlineStr">
        <is>
          <t>FLEN</t>
        </is>
      </c>
      <c r="G80" t="n">
        <v>8.9</v>
      </c>
      <c r="H80" t="n">
        <v>0</v>
      </c>
      <c r="I80" t="n">
        <v>1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1</v>
      </c>
      <c r="P80" t="n">
        <v>1</v>
      </c>
      <c r="Q80" t="n">
        <v>2</v>
      </c>
      <c r="R80" s="2" t="inlineStr">
        <is>
          <t>Ask
Blåmossa</t>
        </is>
      </c>
      <c r="S80">
        <f>HYPERLINK("https://klasma.github.io/Logging_0482/artfynd/A 11103-2023 artfynd.xlsx", "A 11103-2023")</f>
        <v/>
      </c>
      <c r="T80">
        <f>HYPERLINK("https://klasma.github.io/Logging_0482/kartor/A 11103-2023 karta.png", "A 11103-2023")</f>
        <v/>
      </c>
      <c r="V80">
        <f>HYPERLINK("https://klasma.github.io/Logging_0482/klagomål/A 11103-2023 FSC-klagomål.docx", "A 11103-2023")</f>
        <v/>
      </c>
      <c r="W80">
        <f>HYPERLINK("https://klasma.github.io/Logging_0482/klagomålsmail/A 11103-2023 FSC-klagomål mail.docx", "A 11103-2023")</f>
        <v/>
      </c>
      <c r="X80">
        <f>HYPERLINK("https://klasma.github.io/Logging_0482/tillsyn/A 11103-2023 tillsynsbegäran.docx", "A 11103-2023")</f>
        <v/>
      </c>
      <c r="Y80">
        <f>HYPERLINK("https://klasma.github.io/Logging_0482/tillsynsmail/A 11103-2023 tillsynsbegäran mail.docx", "A 11103-2023")</f>
        <v/>
      </c>
    </row>
    <row r="81" ht="15" customHeight="1">
      <c r="A81" t="inlineStr">
        <is>
          <t>A 19994-2022</t>
        </is>
      </c>
      <c r="B81" s="1" t="n">
        <v>44697</v>
      </c>
      <c r="C81" s="1" t="n">
        <v>46203</v>
      </c>
      <c r="D81" t="inlineStr">
        <is>
          <t>SÖDERMANLANDS LÄN</t>
        </is>
      </c>
      <c r="E81" t="inlineStr">
        <is>
          <t>FLEN</t>
        </is>
      </c>
      <c r="F81" t="inlineStr">
        <is>
          <t>Kyrkan</t>
        </is>
      </c>
      <c r="G81" t="n">
        <v>3.2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Mandelriska</t>
        </is>
      </c>
      <c r="S81">
        <f>HYPERLINK("https://klasma.github.io/Logging_0482/artfynd/A 19994-2022 artfynd.xlsx", "A 19994-2022")</f>
        <v/>
      </c>
      <c r="T81">
        <f>HYPERLINK("https://klasma.github.io/Logging_0482/kartor/A 19994-2022 karta.png", "A 19994-2022")</f>
        <v/>
      </c>
      <c r="V81">
        <f>HYPERLINK("https://klasma.github.io/Logging_0482/klagomål/A 19994-2022 FSC-klagomål.docx", "A 19994-2022")</f>
        <v/>
      </c>
      <c r="W81">
        <f>HYPERLINK("https://klasma.github.io/Logging_0482/klagomålsmail/A 19994-2022 FSC-klagomål mail.docx", "A 19994-2022")</f>
        <v/>
      </c>
      <c r="X81">
        <f>HYPERLINK("https://klasma.github.io/Logging_0482/tillsyn/A 19994-2022 tillsynsbegäran.docx", "A 19994-2022")</f>
        <v/>
      </c>
      <c r="Y81">
        <f>HYPERLINK("https://klasma.github.io/Logging_0482/tillsynsmail/A 19994-2022 tillsynsbegäran mail.docx", "A 19994-2022")</f>
        <v/>
      </c>
    </row>
    <row r="82" ht="15" customHeight="1">
      <c r="A82" t="inlineStr">
        <is>
          <t>A 28153-2022</t>
        </is>
      </c>
      <c r="B82" s="1" t="n">
        <v>44746</v>
      </c>
      <c r="C82" s="1" t="n">
        <v>46203</v>
      </c>
      <c r="D82" t="inlineStr">
        <is>
          <t>SÖDERMANLANDS LÄN</t>
        </is>
      </c>
      <c r="E82" t="inlineStr">
        <is>
          <t>FLEN</t>
        </is>
      </c>
      <c r="G82" t="n">
        <v>3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Älg</t>
        </is>
      </c>
      <c r="S82">
        <f>HYPERLINK("https://klasma.github.io/Logging_0482/artfynd/A 28153-2022 artfynd.xlsx", "A 28153-2022")</f>
        <v/>
      </c>
      <c r="T82">
        <f>HYPERLINK("https://klasma.github.io/Logging_0482/kartor/A 28153-2022 karta.png", "A 28153-2022")</f>
        <v/>
      </c>
      <c r="V82">
        <f>HYPERLINK("https://klasma.github.io/Logging_0482/klagomål/A 28153-2022 FSC-klagomål.docx", "A 28153-2022")</f>
        <v/>
      </c>
      <c r="W82">
        <f>HYPERLINK("https://klasma.github.io/Logging_0482/klagomålsmail/A 28153-2022 FSC-klagomål mail.docx", "A 28153-2022")</f>
        <v/>
      </c>
      <c r="X82">
        <f>HYPERLINK("https://klasma.github.io/Logging_0482/tillsyn/A 28153-2022 tillsynsbegäran.docx", "A 28153-2022")</f>
        <v/>
      </c>
      <c r="Y82">
        <f>HYPERLINK("https://klasma.github.io/Logging_0482/tillsynsmail/A 28153-2022 tillsynsbegäran mail.docx", "A 28153-2022")</f>
        <v/>
      </c>
    </row>
    <row r="83" ht="15" customHeight="1">
      <c r="A83" t="inlineStr">
        <is>
          <t>A 38238-2021</t>
        </is>
      </c>
      <c r="B83" s="1" t="n">
        <v>44405</v>
      </c>
      <c r="C83" s="1" t="n">
        <v>46203</v>
      </c>
      <c r="D83" t="inlineStr">
        <is>
          <t>SÖDERMANLANDS LÄN</t>
        </is>
      </c>
      <c r="E83" t="inlineStr">
        <is>
          <t>FLEN</t>
        </is>
      </c>
      <c r="F83" t="inlineStr">
        <is>
          <t>Holmen skog AB</t>
        </is>
      </c>
      <c r="G83" t="n">
        <v>1.1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Gullklöver</t>
        </is>
      </c>
      <c r="S83">
        <f>HYPERLINK("https://klasma.github.io/Logging_0482/artfynd/A 38238-2021 artfynd.xlsx", "A 38238-2021")</f>
        <v/>
      </c>
      <c r="T83">
        <f>HYPERLINK("https://klasma.github.io/Logging_0482/kartor/A 38238-2021 karta.png", "A 38238-2021")</f>
        <v/>
      </c>
      <c r="V83">
        <f>HYPERLINK("https://klasma.github.io/Logging_0482/klagomål/A 38238-2021 FSC-klagomål.docx", "A 38238-2021")</f>
        <v/>
      </c>
      <c r="W83">
        <f>HYPERLINK("https://klasma.github.io/Logging_0482/klagomålsmail/A 38238-2021 FSC-klagomål mail.docx", "A 38238-2021")</f>
        <v/>
      </c>
      <c r="X83">
        <f>HYPERLINK("https://klasma.github.io/Logging_0482/tillsyn/A 38238-2021 tillsynsbegäran.docx", "A 38238-2021")</f>
        <v/>
      </c>
      <c r="Y83">
        <f>HYPERLINK("https://klasma.github.io/Logging_0482/tillsynsmail/A 38238-2021 tillsynsbegäran mail.docx", "A 38238-2021")</f>
        <v/>
      </c>
    </row>
    <row r="84" ht="15" customHeight="1">
      <c r="A84" t="inlineStr">
        <is>
          <t>A 62355-2021</t>
        </is>
      </c>
      <c r="B84" s="1" t="n">
        <v>44503</v>
      </c>
      <c r="C84" s="1" t="n">
        <v>46203</v>
      </c>
      <c r="D84" t="inlineStr">
        <is>
          <t>SÖDERMANLANDS LÄN</t>
        </is>
      </c>
      <c r="E84" t="inlineStr">
        <is>
          <t>FLEN</t>
        </is>
      </c>
      <c r="G84" t="n">
        <v>1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Svinrot</t>
        </is>
      </c>
      <c r="S84">
        <f>HYPERLINK("https://klasma.github.io/Logging_0482/artfynd/A 62355-2021 artfynd.xlsx", "A 62355-2021")</f>
        <v/>
      </c>
      <c r="T84">
        <f>HYPERLINK("https://klasma.github.io/Logging_0482/kartor/A 62355-2021 karta.png", "A 62355-2021")</f>
        <v/>
      </c>
      <c r="V84">
        <f>HYPERLINK("https://klasma.github.io/Logging_0482/klagomål/A 62355-2021 FSC-klagomål.docx", "A 62355-2021")</f>
        <v/>
      </c>
      <c r="W84">
        <f>HYPERLINK("https://klasma.github.io/Logging_0482/klagomålsmail/A 62355-2021 FSC-klagomål mail.docx", "A 62355-2021")</f>
        <v/>
      </c>
      <c r="X84">
        <f>HYPERLINK("https://klasma.github.io/Logging_0482/tillsyn/A 62355-2021 tillsynsbegäran.docx", "A 62355-2021")</f>
        <v/>
      </c>
      <c r="Y84">
        <f>HYPERLINK("https://klasma.github.io/Logging_0482/tillsynsmail/A 62355-2021 tillsynsbegäran mail.docx", "A 62355-2021")</f>
        <v/>
      </c>
    </row>
    <row r="85" ht="15" customHeight="1">
      <c r="A85" t="inlineStr">
        <is>
          <t>A 7883-2022</t>
        </is>
      </c>
      <c r="B85" s="1" t="n">
        <v>44608</v>
      </c>
      <c r="C85" s="1" t="n">
        <v>46203</v>
      </c>
      <c r="D85" t="inlineStr">
        <is>
          <t>SÖDERMANLANDS LÄN</t>
        </is>
      </c>
      <c r="E85" t="inlineStr">
        <is>
          <t>FLEN</t>
        </is>
      </c>
      <c r="F85" t="inlineStr">
        <is>
          <t>Övriga statliga verk och myndigheter</t>
        </is>
      </c>
      <c r="G85" t="n">
        <v>2.2</v>
      </c>
      <c r="H85" t="n">
        <v>1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Plattlummer</t>
        </is>
      </c>
      <c r="S85">
        <f>HYPERLINK("https://klasma.github.io/Logging_0482/artfynd/A 7883-2022 artfynd.xlsx", "A 7883-2022")</f>
        <v/>
      </c>
      <c r="T85">
        <f>HYPERLINK("https://klasma.github.io/Logging_0482/kartor/A 7883-2022 karta.png", "A 7883-2022")</f>
        <v/>
      </c>
      <c r="V85">
        <f>HYPERLINK("https://klasma.github.io/Logging_0482/klagomål/A 7883-2022 FSC-klagomål.docx", "A 7883-2022")</f>
        <v/>
      </c>
      <c r="W85">
        <f>HYPERLINK("https://klasma.github.io/Logging_0482/klagomålsmail/A 7883-2022 FSC-klagomål mail.docx", "A 7883-2022")</f>
        <v/>
      </c>
      <c r="X85">
        <f>HYPERLINK("https://klasma.github.io/Logging_0482/tillsyn/A 7883-2022 tillsynsbegäran.docx", "A 7883-2022")</f>
        <v/>
      </c>
      <c r="Y85">
        <f>HYPERLINK("https://klasma.github.io/Logging_0482/tillsynsmail/A 7883-2022 tillsynsbegäran mail.docx", "A 7883-2022")</f>
        <v/>
      </c>
    </row>
    <row r="86" ht="15" customHeight="1">
      <c r="A86" t="inlineStr">
        <is>
          <t>A 44563-2022</t>
        </is>
      </c>
      <c r="B86" s="1" t="n">
        <v>44838</v>
      </c>
      <c r="C86" s="1" t="n">
        <v>46203</v>
      </c>
      <c r="D86" t="inlineStr">
        <is>
          <t>SÖDERMANLANDS LÄN</t>
        </is>
      </c>
      <c r="E86" t="inlineStr">
        <is>
          <t>FLEN</t>
        </is>
      </c>
      <c r="G86" t="n">
        <v>1.5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Blåsippa</t>
        </is>
      </c>
      <c r="S86">
        <f>HYPERLINK("https://klasma.github.io/Logging_0482/artfynd/A 44563-2022 artfynd.xlsx", "A 44563-2022")</f>
        <v/>
      </c>
      <c r="T86">
        <f>HYPERLINK("https://klasma.github.io/Logging_0482/kartor/A 44563-2022 karta.png", "A 44563-2022")</f>
        <v/>
      </c>
      <c r="V86">
        <f>HYPERLINK("https://klasma.github.io/Logging_0482/klagomål/A 44563-2022 FSC-klagomål.docx", "A 44563-2022")</f>
        <v/>
      </c>
      <c r="W86">
        <f>HYPERLINK("https://klasma.github.io/Logging_0482/klagomålsmail/A 44563-2022 FSC-klagomål mail.docx", "A 44563-2022")</f>
        <v/>
      </c>
      <c r="X86">
        <f>HYPERLINK("https://klasma.github.io/Logging_0482/tillsyn/A 44563-2022 tillsynsbegäran.docx", "A 44563-2022")</f>
        <v/>
      </c>
      <c r="Y86">
        <f>HYPERLINK("https://klasma.github.io/Logging_0482/tillsynsmail/A 44563-2022 tillsynsbegäran mail.docx", "A 44563-2022")</f>
        <v/>
      </c>
    </row>
    <row r="87" ht="15" customHeight="1">
      <c r="A87" t="inlineStr">
        <is>
          <t>A 26245-2022</t>
        </is>
      </c>
      <c r="B87" s="1" t="n">
        <v>44735</v>
      </c>
      <c r="C87" s="1" t="n">
        <v>46203</v>
      </c>
      <c r="D87" t="inlineStr">
        <is>
          <t>SÖDERMANLANDS LÄN</t>
        </is>
      </c>
      <c r="E87" t="inlineStr">
        <is>
          <t>FLEN</t>
        </is>
      </c>
      <c r="G87" t="n">
        <v>2.9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Blanksvart trämyra</t>
        </is>
      </c>
      <c r="S87">
        <f>HYPERLINK("https://klasma.github.io/Logging_0482/artfynd/A 26245-2022 artfynd.xlsx", "A 26245-2022")</f>
        <v/>
      </c>
      <c r="T87">
        <f>HYPERLINK("https://klasma.github.io/Logging_0482/kartor/A 26245-2022 karta.png", "A 26245-2022")</f>
        <v/>
      </c>
      <c r="V87">
        <f>HYPERLINK("https://klasma.github.io/Logging_0482/klagomål/A 26245-2022 FSC-klagomål.docx", "A 26245-2022")</f>
        <v/>
      </c>
      <c r="W87">
        <f>HYPERLINK("https://klasma.github.io/Logging_0482/klagomålsmail/A 26245-2022 FSC-klagomål mail.docx", "A 26245-2022")</f>
        <v/>
      </c>
      <c r="X87">
        <f>HYPERLINK("https://klasma.github.io/Logging_0482/tillsyn/A 26245-2022 tillsynsbegäran.docx", "A 26245-2022")</f>
        <v/>
      </c>
      <c r="Y87">
        <f>HYPERLINK("https://klasma.github.io/Logging_0482/tillsynsmail/A 26245-2022 tillsynsbegäran mail.docx", "A 26245-2022")</f>
        <v/>
      </c>
    </row>
    <row r="88" ht="15" customHeight="1">
      <c r="A88" t="inlineStr">
        <is>
          <t>A 47581-2025</t>
        </is>
      </c>
      <c r="B88" s="1" t="n">
        <v>45931</v>
      </c>
      <c r="C88" s="1" t="n">
        <v>46203</v>
      </c>
      <c r="D88" t="inlineStr">
        <is>
          <t>SÖDERMANLANDS LÄN</t>
        </is>
      </c>
      <c r="E88" t="inlineStr">
        <is>
          <t>FLEN</t>
        </is>
      </c>
      <c r="F88" t="inlineStr">
        <is>
          <t>Holmen skog AB</t>
        </is>
      </c>
      <c r="G88" t="n">
        <v>0.5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Svinrot</t>
        </is>
      </c>
      <c r="S88">
        <f>HYPERLINK("https://klasma.github.io/Logging_0482/artfynd/A 47581-2025 artfynd.xlsx", "A 47581-2025")</f>
        <v/>
      </c>
      <c r="T88">
        <f>HYPERLINK("https://klasma.github.io/Logging_0482/kartor/A 47581-2025 karta.png", "A 47581-2025")</f>
        <v/>
      </c>
      <c r="V88">
        <f>HYPERLINK("https://klasma.github.io/Logging_0482/klagomål/A 47581-2025 FSC-klagomål.docx", "A 47581-2025")</f>
        <v/>
      </c>
      <c r="W88">
        <f>HYPERLINK("https://klasma.github.io/Logging_0482/klagomålsmail/A 47581-2025 FSC-klagomål mail.docx", "A 47581-2025")</f>
        <v/>
      </c>
      <c r="X88">
        <f>HYPERLINK("https://klasma.github.io/Logging_0482/tillsyn/A 47581-2025 tillsynsbegäran.docx", "A 47581-2025")</f>
        <v/>
      </c>
      <c r="Y88">
        <f>HYPERLINK("https://klasma.github.io/Logging_0482/tillsynsmail/A 47581-2025 tillsynsbegäran mail.docx", "A 47581-2025")</f>
        <v/>
      </c>
    </row>
    <row r="89" ht="15" customHeight="1">
      <c r="A89" t="inlineStr">
        <is>
          <t>A 46115-2023</t>
        </is>
      </c>
      <c r="B89" s="1" t="n">
        <v>45196</v>
      </c>
      <c r="C89" s="1" t="n">
        <v>46203</v>
      </c>
      <c r="D89" t="inlineStr">
        <is>
          <t>SÖDERMANLANDS LÄN</t>
        </is>
      </c>
      <c r="E89" t="inlineStr">
        <is>
          <t>FLEN</t>
        </is>
      </c>
      <c r="F89" t="inlineStr">
        <is>
          <t>Kyrkan</t>
        </is>
      </c>
      <c r="G89" t="n">
        <v>3.3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Ullticka</t>
        </is>
      </c>
      <c r="S89">
        <f>HYPERLINK("https://klasma.github.io/Logging_0482/artfynd/A 46115-2023 artfynd.xlsx", "A 46115-2023")</f>
        <v/>
      </c>
      <c r="T89">
        <f>HYPERLINK("https://klasma.github.io/Logging_0482/kartor/A 46115-2023 karta.png", "A 46115-2023")</f>
        <v/>
      </c>
      <c r="V89">
        <f>HYPERLINK("https://klasma.github.io/Logging_0482/klagomål/A 46115-2023 FSC-klagomål.docx", "A 46115-2023")</f>
        <v/>
      </c>
      <c r="W89">
        <f>HYPERLINK("https://klasma.github.io/Logging_0482/klagomålsmail/A 46115-2023 FSC-klagomål mail.docx", "A 46115-2023")</f>
        <v/>
      </c>
      <c r="X89">
        <f>HYPERLINK("https://klasma.github.io/Logging_0482/tillsyn/A 46115-2023 tillsynsbegäran.docx", "A 46115-2023")</f>
        <v/>
      </c>
      <c r="Y89">
        <f>HYPERLINK("https://klasma.github.io/Logging_0482/tillsynsmail/A 46115-2023 tillsynsbegäran mail.docx", "A 46115-2023")</f>
        <v/>
      </c>
    </row>
    <row r="90" ht="15" customHeight="1">
      <c r="A90" t="inlineStr">
        <is>
          <t>A 56308-2024</t>
        </is>
      </c>
      <c r="B90" s="1" t="n">
        <v>45624</v>
      </c>
      <c r="C90" s="1" t="n">
        <v>46203</v>
      </c>
      <c r="D90" t="inlineStr">
        <is>
          <t>SÖDERMANLANDS LÄN</t>
        </is>
      </c>
      <c r="E90" t="inlineStr">
        <is>
          <t>FLEN</t>
        </is>
      </c>
      <c r="G90" t="n">
        <v>2.1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Gullklöver</t>
        </is>
      </c>
      <c r="S90">
        <f>HYPERLINK("https://klasma.github.io/Logging_0482/artfynd/A 56308-2024 artfynd.xlsx", "A 56308-2024")</f>
        <v/>
      </c>
      <c r="T90">
        <f>HYPERLINK("https://klasma.github.io/Logging_0482/kartor/A 56308-2024 karta.png", "A 56308-2024")</f>
        <v/>
      </c>
      <c r="V90">
        <f>HYPERLINK("https://klasma.github.io/Logging_0482/klagomål/A 56308-2024 FSC-klagomål.docx", "A 56308-2024")</f>
        <v/>
      </c>
      <c r="W90">
        <f>HYPERLINK("https://klasma.github.io/Logging_0482/klagomålsmail/A 56308-2024 FSC-klagomål mail.docx", "A 56308-2024")</f>
        <v/>
      </c>
      <c r="X90">
        <f>HYPERLINK("https://klasma.github.io/Logging_0482/tillsyn/A 56308-2024 tillsynsbegäran.docx", "A 56308-2024")</f>
        <v/>
      </c>
      <c r="Y90">
        <f>HYPERLINK("https://klasma.github.io/Logging_0482/tillsynsmail/A 56308-2024 tillsynsbegäran mail.docx", "A 56308-2024")</f>
        <v/>
      </c>
    </row>
    <row r="91" ht="15" customHeight="1">
      <c r="A91" t="inlineStr">
        <is>
          <t>A 38829-2025</t>
        </is>
      </c>
      <c r="B91" s="1" t="n">
        <v>45887</v>
      </c>
      <c r="C91" s="1" t="n">
        <v>46203</v>
      </c>
      <c r="D91" t="inlineStr">
        <is>
          <t>SÖDERMANLANDS LÄN</t>
        </is>
      </c>
      <c r="E91" t="inlineStr">
        <is>
          <t>FLEN</t>
        </is>
      </c>
      <c r="G91" t="n">
        <v>4.2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Svinrot</t>
        </is>
      </c>
      <c r="S91">
        <f>HYPERLINK("https://klasma.github.io/Logging_0482/artfynd/A 38829-2025 artfynd.xlsx", "A 38829-2025")</f>
        <v/>
      </c>
      <c r="T91">
        <f>HYPERLINK("https://klasma.github.io/Logging_0482/kartor/A 38829-2025 karta.png", "A 38829-2025")</f>
        <v/>
      </c>
      <c r="V91">
        <f>HYPERLINK("https://klasma.github.io/Logging_0482/klagomål/A 38829-2025 FSC-klagomål.docx", "A 38829-2025")</f>
        <v/>
      </c>
      <c r="W91">
        <f>HYPERLINK("https://klasma.github.io/Logging_0482/klagomålsmail/A 38829-2025 FSC-klagomål mail.docx", "A 38829-2025")</f>
        <v/>
      </c>
      <c r="X91">
        <f>HYPERLINK("https://klasma.github.io/Logging_0482/tillsyn/A 38829-2025 tillsynsbegäran.docx", "A 38829-2025")</f>
        <v/>
      </c>
      <c r="Y91">
        <f>HYPERLINK("https://klasma.github.io/Logging_0482/tillsynsmail/A 38829-2025 tillsynsbegäran mail.docx", "A 38829-2025")</f>
        <v/>
      </c>
    </row>
    <row r="92" ht="15" customHeight="1">
      <c r="A92" t="inlineStr">
        <is>
          <t>A 52579-2025</t>
        </is>
      </c>
      <c r="B92" s="1" t="n">
        <v>45954</v>
      </c>
      <c r="C92" s="1" t="n">
        <v>46203</v>
      </c>
      <c r="D92" t="inlineStr">
        <is>
          <t>SÖDERMANLANDS LÄN</t>
        </is>
      </c>
      <c r="E92" t="inlineStr">
        <is>
          <t>FLEN</t>
        </is>
      </c>
      <c r="F92" t="inlineStr">
        <is>
          <t>Holmen skog AB</t>
        </is>
      </c>
      <c r="G92" t="n">
        <v>4.5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Slåtterfibbla</t>
        </is>
      </c>
      <c r="S92">
        <f>HYPERLINK("https://klasma.github.io/Logging_0482/artfynd/A 52579-2025 artfynd.xlsx", "A 52579-2025")</f>
        <v/>
      </c>
      <c r="T92">
        <f>HYPERLINK("https://klasma.github.io/Logging_0482/kartor/A 52579-2025 karta.png", "A 52579-2025")</f>
        <v/>
      </c>
      <c r="V92">
        <f>HYPERLINK("https://klasma.github.io/Logging_0482/klagomål/A 52579-2025 FSC-klagomål.docx", "A 52579-2025")</f>
        <v/>
      </c>
      <c r="W92">
        <f>HYPERLINK("https://klasma.github.io/Logging_0482/klagomålsmail/A 52579-2025 FSC-klagomål mail.docx", "A 52579-2025")</f>
        <v/>
      </c>
      <c r="X92">
        <f>HYPERLINK("https://klasma.github.io/Logging_0482/tillsyn/A 52579-2025 tillsynsbegäran.docx", "A 52579-2025")</f>
        <v/>
      </c>
      <c r="Y92">
        <f>HYPERLINK("https://klasma.github.io/Logging_0482/tillsynsmail/A 52579-2025 tillsynsbegäran mail.docx", "A 52579-2025")</f>
        <v/>
      </c>
    </row>
    <row r="93" ht="15" customHeight="1">
      <c r="A93" t="inlineStr">
        <is>
          <t>A 45120-2021</t>
        </is>
      </c>
      <c r="B93" s="1" t="n">
        <v>44439</v>
      </c>
      <c r="C93" s="1" t="n">
        <v>46203</v>
      </c>
      <c r="D93" t="inlineStr">
        <is>
          <t>SÖDERMANLANDS LÄN</t>
        </is>
      </c>
      <c r="E93" t="inlineStr">
        <is>
          <t>FLEN</t>
        </is>
      </c>
      <c r="G93" t="n">
        <v>1.5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Svinrot</t>
        </is>
      </c>
      <c r="S93">
        <f>HYPERLINK("https://klasma.github.io/Logging_0482/artfynd/A 45120-2021 artfynd.xlsx", "A 45120-2021")</f>
        <v/>
      </c>
      <c r="T93">
        <f>HYPERLINK("https://klasma.github.io/Logging_0482/kartor/A 45120-2021 karta.png", "A 45120-2021")</f>
        <v/>
      </c>
      <c r="V93">
        <f>HYPERLINK("https://klasma.github.io/Logging_0482/klagomål/A 45120-2021 FSC-klagomål.docx", "A 45120-2021")</f>
        <v/>
      </c>
      <c r="W93">
        <f>HYPERLINK("https://klasma.github.io/Logging_0482/klagomålsmail/A 45120-2021 FSC-klagomål mail.docx", "A 45120-2021")</f>
        <v/>
      </c>
      <c r="X93">
        <f>HYPERLINK("https://klasma.github.io/Logging_0482/tillsyn/A 45120-2021 tillsynsbegäran.docx", "A 45120-2021")</f>
        <v/>
      </c>
      <c r="Y93">
        <f>HYPERLINK("https://klasma.github.io/Logging_0482/tillsynsmail/A 45120-2021 tillsynsbegäran mail.docx", "A 45120-2021")</f>
        <v/>
      </c>
    </row>
    <row r="94" ht="15" customHeight="1">
      <c r="A94" t="inlineStr">
        <is>
          <t>A 59393-2025</t>
        </is>
      </c>
      <c r="B94" s="1" t="n">
        <v>45989</v>
      </c>
      <c r="C94" s="1" t="n">
        <v>46203</v>
      </c>
      <c r="D94" t="inlineStr">
        <is>
          <t>SÖDERMANLANDS LÄN</t>
        </is>
      </c>
      <c r="E94" t="inlineStr">
        <is>
          <t>FLEN</t>
        </is>
      </c>
      <c r="G94" t="n">
        <v>1.7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Gullviva</t>
        </is>
      </c>
      <c r="S94">
        <f>HYPERLINK("https://klasma.github.io/Logging_0482/artfynd/A 59393-2025 artfynd.xlsx", "A 59393-2025")</f>
        <v/>
      </c>
      <c r="T94">
        <f>HYPERLINK("https://klasma.github.io/Logging_0482/kartor/A 59393-2025 karta.png", "A 59393-2025")</f>
        <v/>
      </c>
      <c r="V94">
        <f>HYPERLINK("https://klasma.github.io/Logging_0482/klagomål/A 59393-2025 FSC-klagomål.docx", "A 59393-2025")</f>
        <v/>
      </c>
      <c r="W94">
        <f>HYPERLINK("https://klasma.github.io/Logging_0482/klagomålsmail/A 59393-2025 FSC-klagomål mail.docx", "A 59393-2025")</f>
        <v/>
      </c>
      <c r="X94">
        <f>HYPERLINK("https://klasma.github.io/Logging_0482/tillsyn/A 59393-2025 tillsynsbegäran.docx", "A 59393-2025")</f>
        <v/>
      </c>
      <c r="Y94">
        <f>HYPERLINK("https://klasma.github.io/Logging_0482/tillsynsmail/A 59393-2025 tillsynsbegäran mail.docx", "A 59393-2025")</f>
        <v/>
      </c>
    </row>
    <row r="95" ht="15" customHeight="1">
      <c r="A95" t="inlineStr">
        <is>
          <t>A 54737-2022</t>
        </is>
      </c>
      <c r="B95" s="1" t="n">
        <v>44881</v>
      </c>
      <c r="C95" s="1" t="n">
        <v>46203</v>
      </c>
      <c r="D95" t="inlineStr">
        <is>
          <t>SÖDERMANLANDS LÄN</t>
        </is>
      </c>
      <c r="E95" t="inlineStr">
        <is>
          <t>FLEN</t>
        </is>
      </c>
      <c r="G95" t="n">
        <v>5.7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Gullklöver</t>
        </is>
      </c>
      <c r="S95">
        <f>HYPERLINK("https://klasma.github.io/Logging_0482/artfynd/A 54737-2022 artfynd.xlsx", "A 54737-2022")</f>
        <v/>
      </c>
      <c r="T95">
        <f>HYPERLINK("https://klasma.github.io/Logging_0482/kartor/A 54737-2022 karta.png", "A 54737-2022")</f>
        <v/>
      </c>
      <c r="V95">
        <f>HYPERLINK("https://klasma.github.io/Logging_0482/klagomål/A 54737-2022 FSC-klagomål.docx", "A 54737-2022")</f>
        <v/>
      </c>
      <c r="W95">
        <f>HYPERLINK("https://klasma.github.io/Logging_0482/klagomålsmail/A 54737-2022 FSC-klagomål mail.docx", "A 54737-2022")</f>
        <v/>
      </c>
      <c r="X95">
        <f>HYPERLINK("https://klasma.github.io/Logging_0482/tillsyn/A 54737-2022 tillsynsbegäran.docx", "A 54737-2022")</f>
        <v/>
      </c>
      <c r="Y95">
        <f>HYPERLINK("https://klasma.github.io/Logging_0482/tillsynsmail/A 54737-2022 tillsynsbegäran mail.docx", "A 54737-2022")</f>
        <v/>
      </c>
    </row>
    <row r="96" ht="15" customHeight="1">
      <c r="A96" t="inlineStr">
        <is>
          <t>A 12056-2024</t>
        </is>
      </c>
      <c r="B96" s="1" t="n">
        <v>45377</v>
      </c>
      <c r="C96" s="1" t="n">
        <v>46203</v>
      </c>
      <c r="D96" t="inlineStr">
        <is>
          <t>SÖDERMANLANDS LÄN</t>
        </is>
      </c>
      <c r="E96" t="inlineStr">
        <is>
          <t>FLEN</t>
        </is>
      </c>
      <c r="G96" t="n">
        <v>8.4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Fjällig taggsvamp s.str.</t>
        </is>
      </c>
      <c r="S96">
        <f>HYPERLINK("https://klasma.github.io/Logging_0482/artfynd/A 12056-2024 artfynd.xlsx", "A 12056-2024")</f>
        <v/>
      </c>
      <c r="T96">
        <f>HYPERLINK("https://klasma.github.io/Logging_0482/kartor/A 12056-2024 karta.png", "A 12056-2024")</f>
        <v/>
      </c>
      <c r="V96">
        <f>HYPERLINK("https://klasma.github.io/Logging_0482/klagomål/A 12056-2024 FSC-klagomål.docx", "A 12056-2024")</f>
        <v/>
      </c>
      <c r="W96">
        <f>HYPERLINK("https://klasma.github.io/Logging_0482/klagomålsmail/A 12056-2024 FSC-klagomål mail.docx", "A 12056-2024")</f>
        <v/>
      </c>
      <c r="X96">
        <f>HYPERLINK("https://klasma.github.io/Logging_0482/tillsyn/A 12056-2024 tillsynsbegäran.docx", "A 12056-2024")</f>
        <v/>
      </c>
      <c r="Y96">
        <f>HYPERLINK("https://klasma.github.io/Logging_0482/tillsynsmail/A 12056-2024 tillsynsbegäran mail.docx", "A 12056-2024")</f>
        <v/>
      </c>
    </row>
    <row r="97" ht="15" customHeight="1">
      <c r="A97" t="inlineStr">
        <is>
          <t>A 52546-2021</t>
        </is>
      </c>
      <c r="B97" s="1" t="n">
        <v>44463</v>
      </c>
      <c r="C97" s="1" t="n">
        <v>46203</v>
      </c>
      <c r="D97" t="inlineStr">
        <is>
          <t>SÖDERMANLANDS LÄN</t>
        </is>
      </c>
      <c r="E97" t="inlineStr">
        <is>
          <t>FLEN</t>
        </is>
      </c>
      <c r="G97" t="n">
        <v>6</v>
      </c>
      <c r="H97" t="n">
        <v>0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Mindre bastardsvärmare</t>
        </is>
      </c>
      <c r="S97">
        <f>HYPERLINK("https://klasma.github.io/Logging_0482/artfynd/A 52546-2021 artfynd.xlsx", "A 52546-2021")</f>
        <v/>
      </c>
      <c r="T97">
        <f>HYPERLINK("https://klasma.github.io/Logging_0482/kartor/A 52546-2021 karta.png", "A 52546-2021")</f>
        <v/>
      </c>
      <c r="V97">
        <f>HYPERLINK("https://klasma.github.io/Logging_0482/klagomål/A 52546-2021 FSC-klagomål.docx", "A 52546-2021")</f>
        <v/>
      </c>
      <c r="W97">
        <f>HYPERLINK("https://klasma.github.io/Logging_0482/klagomålsmail/A 52546-2021 FSC-klagomål mail.docx", "A 52546-2021")</f>
        <v/>
      </c>
      <c r="X97">
        <f>HYPERLINK("https://klasma.github.io/Logging_0482/tillsyn/A 52546-2021 tillsynsbegäran.docx", "A 52546-2021")</f>
        <v/>
      </c>
      <c r="Y97">
        <f>HYPERLINK("https://klasma.github.io/Logging_0482/tillsynsmail/A 52546-2021 tillsynsbegäran mail.docx", "A 52546-2021")</f>
        <v/>
      </c>
    </row>
    <row r="98" ht="15" customHeight="1">
      <c r="A98" t="inlineStr">
        <is>
          <t>A 10770-2022</t>
        </is>
      </c>
      <c r="B98" s="1" t="n">
        <v>44624</v>
      </c>
      <c r="C98" s="1" t="n">
        <v>46203</v>
      </c>
      <c r="D98" t="inlineStr">
        <is>
          <t>SÖDERMANLANDS LÄN</t>
        </is>
      </c>
      <c r="E98" t="inlineStr">
        <is>
          <t>FLEN</t>
        </is>
      </c>
      <c r="G98" t="n">
        <v>2.3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Svinrot</t>
        </is>
      </c>
      <c r="S98">
        <f>HYPERLINK("https://klasma.github.io/Logging_0482/artfynd/A 10770-2022 artfynd.xlsx", "A 10770-2022")</f>
        <v/>
      </c>
      <c r="T98">
        <f>HYPERLINK("https://klasma.github.io/Logging_0482/kartor/A 10770-2022 karta.png", "A 10770-2022")</f>
        <v/>
      </c>
      <c r="V98">
        <f>HYPERLINK("https://klasma.github.io/Logging_0482/klagomål/A 10770-2022 FSC-klagomål.docx", "A 10770-2022")</f>
        <v/>
      </c>
      <c r="W98">
        <f>HYPERLINK("https://klasma.github.io/Logging_0482/klagomålsmail/A 10770-2022 FSC-klagomål mail.docx", "A 10770-2022")</f>
        <v/>
      </c>
      <c r="X98">
        <f>HYPERLINK("https://klasma.github.io/Logging_0482/tillsyn/A 10770-2022 tillsynsbegäran.docx", "A 10770-2022")</f>
        <v/>
      </c>
      <c r="Y98">
        <f>HYPERLINK("https://klasma.github.io/Logging_0482/tillsynsmail/A 10770-2022 tillsynsbegäran mail.docx", "A 10770-2022")</f>
        <v/>
      </c>
    </row>
    <row r="99" ht="15" customHeight="1">
      <c r="A99" t="inlineStr">
        <is>
          <t>A 2043-2026</t>
        </is>
      </c>
      <c r="B99" s="1" t="n">
        <v>46035</v>
      </c>
      <c r="C99" s="1" t="n">
        <v>46203</v>
      </c>
      <c r="D99" t="inlineStr">
        <is>
          <t>SÖDERMANLANDS LÄN</t>
        </is>
      </c>
      <c r="E99" t="inlineStr">
        <is>
          <t>FLEN</t>
        </is>
      </c>
      <c r="F99" t="inlineStr">
        <is>
          <t>Holmen skog AB</t>
        </is>
      </c>
      <c r="G99" t="n">
        <v>2.1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Scharlakansvaxing</t>
        </is>
      </c>
      <c r="S99">
        <f>HYPERLINK("https://klasma.github.io/Logging_0482/artfynd/A 2043-2026 artfynd.xlsx", "A 2043-2026")</f>
        <v/>
      </c>
      <c r="T99">
        <f>HYPERLINK("https://klasma.github.io/Logging_0482/kartor/A 2043-2026 karta.png", "A 2043-2026")</f>
        <v/>
      </c>
      <c r="V99">
        <f>HYPERLINK("https://klasma.github.io/Logging_0482/klagomål/A 2043-2026 FSC-klagomål.docx", "A 2043-2026")</f>
        <v/>
      </c>
      <c r="W99">
        <f>HYPERLINK("https://klasma.github.io/Logging_0482/klagomålsmail/A 2043-2026 FSC-klagomål mail.docx", "A 2043-2026")</f>
        <v/>
      </c>
      <c r="X99">
        <f>HYPERLINK("https://klasma.github.io/Logging_0482/tillsyn/A 2043-2026 tillsynsbegäran.docx", "A 2043-2026")</f>
        <v/>
      </c>
      <c r="Y99">
        <f>HYPERLINK("https://klasma.github.io/Logging_0482/tillsynsmail/A 2043-2026 tillsynsbegäran mail.docx", "A 2043-2026")</f>
        <v/>
      </c>
    </row>
    <row r="100" ht="15" customHeight="1">
      <c r="A100" t="inlineStr">
        <is>
          <t>A 2036-2026</t>
        </is>
      </c>
      <c r="B100" s="1" t="n">
        <v>46035</v>
      </c>
      <c r="C100" s="1" t="n">
        <v>46203</v>
      </c>
      <c r="D100" t="inlineStr">
        <is>
          <t>SÖDERMANLANDS LÄN</t>
        </is>
      </c>
      <c r="E100" t="inlineStr">
        <is>
          <t>FLEN</t>
        </is>
      </c>
      <c r="F100" t="inlineStr">
        <is>
          <t>Holmen skog AB</t>
        </is>
      </c>
      <c r="G100" t="n">
        <v>0.6</v>
      </c>
      <c r="H100" t="n">
        <v>1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Knärot</t>
        </is>
      </c>
      <c r="S100">
        <f>HYPERLINK("https://klasma.github.io/Logging_0482/artfynd/A 2036-2026 artfynd.xlsx", "A 2036-2026")</f>
        <v/>
      </c>
      <c r="T100">
        <f>HYPERLINK("https://klasma.github.io/Logging_0482/kartor/A 2036-2026 karta.png", "A 2036-2026")</f>
        <v/>
      </c>
      <c r="U100">
        <f>HYPERLINK("https://klasma.github.io/Logging_0482/knärot/A 2036-2026 karta knärot.png", "A 2036-2026")</f>
        <v/>
      </c>
      <c r="V100">
        <f>HYPERLINK("https://klasma.github.io/Logging_0482/klagomål/A 2036-2026 FSC-klagomål.docx", "A 2036-2026")</f>
        <v/>
      </c>
      <c r="W100">
        <f>HYPERLINK("https://klasma.github.io/Logging_0482/klagomålsmail/A 2036-2026 FSC-klagomål mail.docx", "A 2036-2026")</f>
        <v/>
      </c>
      <c r="X100">
        <f>HYPERLINK("https://klasma.github.io/Logging_0482/tillsyn/A 2036-2026 tillsynsbegäran.docx", "A 2036-2026")</f>
        <v/>
      </c>
      <c r="Y100">
        <f>HYPERLINK("https://klasma.github.io/Logging_0482/tillsynsmail/A 2036-2026 tillsynsbegäran mail.docx", "A 2036-2026")</f>
        <v/>
      </c>
    </row>
    <row r="101" ht="15" customHeight="1">
      <c r="A101" t="inlineStr">
        <is>
          <t>A 14273-2025</t>
        </is>
      </c>
      <c r="B101" s="1" t="n">
        <v>45740</v>
      </c>
      <c r="C101" s="1" t="n">
        <v>46203</v>
      </c>
      <c r="D101" t="inlineStr">
        <is>
          <t>SÖDERMANLANDS LÄN</t>
        </is>
      </c>
      <c r="E101" t="inlineStr">
        <is>
          <t>FLEN</t>
        </is>
      </c>
      <c r="F101" t="inlineStr">
        <is>
          <t>Holmen skog AB</t>
        </is>
      </c>
      <c r="G101" t="n">
        <v>3.1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Vedskivlav</t>
        </is>
      </c>
      <c r="S101">
        <f>HYPERLINK("https://klasma.github.io/Logging_0482/artfynd/A 14273-2025 artfynd.xlsx", "A 14273-2025")</f>
        <v/>
      </c>
      <c r="T101">
        <f>HYPERLINK("https://klasma.github.io/Logging_0482/kartor/A 14273-2025 karta.png", "A 14273-2025")</f>
        <v/>
      </c>
      <c r="V101">
        <f>HYPERLINK("https://klasma.github.io/Logging_0482/klagomål/A 14273-2025 FSC-klagomål.docx", "A 14273-2025")</f>
        <v/>
      </c>
      <c r="W101">
        <f>HYPERLINK("https://klasma.github.io/Logging_0482/klagomålsmail/A 14273-2025 FSC-klagomål mail.docx", "A 14273-2025")</f>
        <v/>
      </c>
      <c r="X101">
        <f>HYPERLINK("https://klasma.github.io/Logging_0482/tillsyn/A 14273-2025 tillsynsbegäran.docx", "A 14273-2025")</f>
        <v/>
      </c>
      <c r="Y101">
        <f>HYPERLINK("https://klasma.github.io/Logging_0482/tillsynsmail/A 14273-2025 tillsynsbegäran mail.docx", "A 14273-2025")</f>
        <v/>
      </c>
    </row>
    <row r="102" ht="15" customHeight="1">
      <c r="A102" t="inlineStr">
        <is>
          <t>A 6714-2026</t>
        </is>
      </c>
      <c r="B102" s="1" t="n">
        <v>46056</v>
      </c>
      <c r="C102" s="1" t="n">
        <v>46203</v>
      </c>
      <c r="D102" t="inlineStr">
        <is>
          <t>SÖDERMANLANDS LÄN</t>
        </is>
      </c>
      <c r="E102" t="inlineStr">
        <is>
          <t>FLEN</t>
        </is>
      </c>
      <c r="G102" t="n">
        <v>4.6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Svinrot</t>
        </is>
      </c>
      <c r="S102">
        <f>HYPERLINK("https://klasma.github.io/Logging_0482/artfynd/A 6714-2026 artfynd.xlsx", "A 6714-2026")</f>
        <v/>
      </c>
      <c r="T102">
        <f>HYPERLINK("https://klasma.github.io/Logging_0482/kartor/A 6714-2026 karta.png", "A 6714-2026")</f>
        <v/>
      </c>
      <c r="V102">
        <f>HYPERLINK("https://klasma.github.io/Logging_0482/klagomål/A 6714-2026 FSC-klagomål.docx", "A 6714-2026")</f>
        <v/>
      </c>
      <c r="W102">
        <f>HYPERLINK("https://klasma.github.io/Logging_0482/klagomålsmail/A 6714-2026 FSC-klagomål mail.docx", "A 6714-2026")</f>
        <v/>
      </c>
      <c r="X102">
        <f>HYPERLINK("https://klasma.github.io/Logging_0482/tillsyn/A 6714-2026 tillsynsbegäran.docx", "A 6714-2026")</f>
        <v/>
      </c>
      <c r="Y102">
        <f>HYPERLINK("https://klasma.github.io/Logging_0482/tillsynsmail/A 6714-2026 tillsynsbegäran mail.docx", "A 6714-2026")</f>
        <v/>
      </c>
    </row>
    <row r="103" ht="15" customHeight="1">
      <c r="A103" t="inlineStr">
        <is>
          <t>A 9446-2026</t>
        </is>
      </c>
      <c r="B103" s="1" t="n">
        <v>46071</v>
      </c>
      <c r="C103" s="1" t="n">
        <v>46203</v>
      </c>
      <c r="D103" t="inlineStr">
        <is>
          <t>SÖDERMANLANDS LÄN</t>
        </is>
      </c>
      <c r="E103" t="inlineStr">
        <is>
          <t>FLEN</t>
        </is>
      </c>
      <c r="F103" t="inlineStr">
        <is>
          <t>Holmen skog AB</t>
        </is>
      </c>
      <c r="G103" t="n">
        <v>0.8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Blåsippa</t>
        </is>
      </c>
      <c r="S103">
        <f>HYPERLINK("https://klasma.github.io/Logging_0482/artfynd/A 9446-2026 artfynd.xlsx", "A 9446-2026")</f>
        <v/>
      </c>
      <c r="T103">
        <f>HYPERLINK("https://klasma.github.io/Logging_0482/kartor/A 9446-2026 karta.png", "A 9446-2026")</f>
        <v/>
      </c>
      <c r="V103">
        <f>HYPERLINK("https://klasma.github.io/Logging_0482/klagomål/A 9446-2026 FSC-klagomål.docx", "A 9446-2026")</f>
        <v/>
      </c>
      <c r="W103">
        <f>HYPERLINK("https://klasma.github.io/Logging_0482/klagomålsmail/A 9446-2026 FSC-klagomål mail.docx", "A 9446-2026")</f>
        <v/>
      </c>
      <c r="X103">
        <f>HYPERLINK("https://klasma.github.io/Logging_0482/tillsyn/A 9446-2026 tillsynsbegäran.docx", "A 9446-2026")</f>
        <v/>
      </c>
      <c r="Y103">
        <f>HYPERLINK("https://klasma.github.io/Logging_0482/tillsynsmail/A 9446-2026 tillsynsbegäran mail.docx", "A 9446-2026")</f>
        <v/>
      </c>
    </row>
    <row r="104" ht="15" customHeight="1">
      <c r="A104" t="inlineStr">
        <is>
          <t>A 10999-2026</t>
        </is>
      </c>
      <c r="B104" s="1" t="n">
        <v>46079</v>
      </c>
      <c r="C104" s="1" t="n">
        <v>46203</v>
      </c>
      <c r="D104" t="inlineStr">
        <is>
          <t>SÖDERMANLANDS LÄN</t>
        </is>
      </c>
      <c r="E104" t="inlineStr">
        <is>
          <t>FLEN</t>
        </is>
      </c>
      <c r="F104" t="inlineStr">
        <is>
          <t>Holmen skog AB</t>
        </is>
      </c>
      <c r="G104" t="n">
        <v>3.6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Blåsippa</t>
        </is>
      </c>
      <c r="S104">
        <f>HYPERLINK("https://klasma.github.io/Logging_0482/artfynd/A 10999-2026 artfynd.xlsx", "A 10999-2026")</f>
        <v/>
      </c>
      <c r="T104">
        <f>HYPERLINK("https://klasma.github.io/Logging_0482/kartor/A 10999-2026 karta.png", "A 10999-2026")</f>
        <v/>
      </c>
      <c r="V104">
        <f>HYPERLINK("https://klasma.github.io/Logging_0482/klagomål/A 10999-2026 FSC-klagomål.docx", "A 10999-2026")</f>
        <v/>
      </c>
      <c r="W104">
        <f>HYPERLINK("https://klasma.github.io/Logging_0482/klagomålsmail/A 10999-2026 FSC-klagomål mail.docx", "A 10999-2026")</f>
        <v/>
      </c>
      <c r="X104">
        <f>HYPERLINK("https://klasma.github.io/Logging_0482/tillsyn/A 10999-2026 tillsynsbegäran.docx", "A 10999-2026")</f>
        <v/>
      </c>
      <c r="Y104">
        <f>HYPERLINK("https://klasma.github.io/Logging_0482/tillsynsmail/A 10999-2026 tillsynsbegäran mail.docx", "A 10999-2026")</f>
        <v/>
      </c>
    </row>
    <row r="105" ht="15" customHeight="1">
      <c r="A105" t="inlineStr">
        <is>
          <t>A 63185-2023</t>
        </is>
      </c>
      <c r="B105" s="1" t="n">
        <v>45272</v>
      </c>
      <c r="C105" s="1" t="n">
        <v>46203</v>
      </c>
      <c r="D105" t="inlineStr">
        <is>
          <t>SÖDERMANLANDS LÄN</t>
        </is>
      </c>
      <c r="E105" t="inlineStr">
        <is>
          <t>FLEN</t>
        </is>
      </c>
      <c r="G105" t="n">
        <v>2.8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Gullklöver</t>
        </is>
      </c>
      <c r="S105">
        <f>HYPERLINK("https://klasma.github.io/Logging_0482/artfynd/A 63185-2023 artfynd.xlsx", "A 63185-2023")</f>
        <v/>
      </c>
      <c r="T105">
        <f>HYPERLINK("https://klasma.github.io/Logging_0482/kartor/A 63185-2023 karta.png", "A 63185-2023")</f>
        <v/>
      </c>
      <c r="V105">
        <f>HYPERLINK("https://klasma.github.io/Logging_0482/klagomål/A 63185-2023 FSC-klagomål.docx", "A 63185-2023")</f>
        <v/>
      </c>
      <c r="W105">
        <f>HYPERLINK("https://klasma.github.io/Logging_0482/klagomålsmail/A 63185-2023 FSC-klagomål mail.docx", "A 63185-2023")</f>
        <v/>
      </c>
      <c r="X105">
        <f>HYPERLINK("https://klasma.github.io/Logging_0482/tillsyn/A 63185-2023 tillsynsbegäran.docx", "A 63185-2023")</f>
        <v/>
      </c>
      <c r="Y105">
        <f>HYPERLINK("https://klasma.github.io/Logging_0482/tillsynsmail/A 63185-2023 tillsynsbegäran mail.docx", "A 63185-2023")</f>
        <v/>
      </c>
    </row>
    <row r="106" ht="15" customHeight="1">
      <c r="A106" t="inlineStr">
        <is>
          <t>A 16095-2026</t>
        </is>
      </c>
      <c r="B106" s="1" t="n">
        <v>46108</v>
      </c>
      <c r="C106" s="1" t="n">
        <v>46203</v>
      </c>
      <c r="D106" t="inlineStr">
        <is>
          <t>SÖDERMANLANDS LÄN</t>
        </is>
      </c>
      <c r="E106" t="inlineStr">
        <is>
          <t>FLEN</t>
        </is>
      </c>
      <c r="F106" t="inlineStr">
        <is>
          <t>Holmen skog AB</t>
        </is>
      </c>
      <c r="G106" t="n">
        <v>9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Bivråk</t>
        </is>
      </c>
      <c r="S106">
        <f>HYPERLINK("https://klasma.github.io/Logging_0482/artfynd/A 16095-2026 artfynd.xlsx", "A 16095-2026")</f>
        <v/>
      </c>
      <c r="T106">
        <f>HYPERLINK("https://klasma.github.io/Logging_0482/kartor/A 16095-2026 karta.png", "A 16095-2026")</f>
        <v/>
      </c>
      <c r="V106">
        <f>HYPERLINK("https://klasma.github.io/Logging_0482/klagomål/A 16095-2026 FSC-klagomål.docx", "A 16095-2026")</f>
        <v/>
      </c>
      <c r="W106">
        <f>HYPERLINK("https://klasma.github.io/Logging_0482/klagomålsmail/A 16095-2026 FSC-klagomål mail.docx", "A 16095-2026")</f>
        <v/>
      </c>
      <c r="X106">
        <f>HYPERLINK("https://klasma.github.io/Logging_0482/tillsyn/A 16095-2026 tillsynsbegäran.docx", "A 16095-2026")</f>
        <v/>
      </c>
      <c r="Y106">
        <f>HYPERLINK("https://klasma.github.io/Logging_0482/tillsynsmail/A 16095-2026 tillsynsbegäran mail.docx", "A 16095-2026")</f>
        <v/>
      </c>
      <c r="Z106">
        <f>HYPERLINK("https://klasma.github.io/Logging_0482/fåglar/A 16095-2026 prioriterade fågelarter.docx", "A 16095-2026")</f>
        <v/>
      </c>
    </row>
    <row r="107" ht="15" customHeight="1">
      <c r="A107" t="inlineStr">
        <is>
          <t>A 24179-2026</t>
        </is>
      </c>
      <c r="B107" s="1" t="n">
        <v>46168</v>
      </c>
      <c r="C107" s="1" t="n">
        <v>46203</v>
      </c>
      <c r="D107" t="inlineStr">
        <is>
          <t>SÖDERMANLANDS LÄN</t>
        </is>
      </c>
      <c r="E107" t="inlineStr">
        <is>
          <t>FLEN</t>
        </is>
      </c>
      <c r="F107" t="inlineStr">
        <is>
          <t>Holmen skog AB</t>
        </is>
      </c>
      <c r="G107" t="n">
        <v>1.8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Gullklöver</t>
        </is>
      </c>
      <c r="S107">
        <f>HYPERLINK("https://klasma.github.io/Logging_0482/artfynd/A 24179-2026 artfynd.xlsx", "A 24179-2026")</f>
        <v/>
      </c>
      <c r="T107">
        <f>HYPERLINK("https://klasma.github.io/Logging_0482/kartor/A 24179-2026 karta.png", "A 24179-2026")</f>
        <v/>
      </c>
      <c r="V107">
        <f>HYPERLINK("https://klasma.github.io/Logging_0482/klagomål/A 24179-2026 FSC-klagomål.docx", "A 24179-2026")</f>
        <v/>
      </c>
      <c r="W107">
        <f>HYPERLINK("https://klasma.github.io/Logging_0482/klagomålsmail/A 24179-2026 FSC-klagomål mail.docx", "A 24179-2026")</f>
        <v/>
      </c>
      <c r="X107">
        <f>HYPERLINK("https://klasma.github.io/Logging_0482/tillsyn/A 24179-2026 tillsynsbegäran.docx", "A 24179-2026")</f>
        <v/>
      </c>
      <c r="Y107">
        <f>HYPERLINK("https://klasma.github.io/Logging_0482/tillsynsmail/A 24179-2026 tillsynsbegäran mail.docx", "A 24179-2026")</f>
        <v/>
      </c>
    </row>
    <row r="108" ht="15" customHeight="1">
      <c r="A108" t="inlineStr">
        <is>
          <t>A 31972-2024</t>
        </is>
      </c>
      <c r="B108" s="1" t="n">
        <v>45510</v>
      </c>
      <c r="C108" s="1" t="n">
        <v>46203</v>
      </c>
      <c r="D108" t="inlineStr">
        <is>
          <t>SÖDERMANLANDS LÄN</t>
        </is>
      </c>
      <c r="E108" t="inlineStr">
        <is>
          <t>FLEN</t>
        </is>
      </c>
      <c r="G108" t="n">
        <v>3.4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Åkerrödtoppa</t>
        </is>
      </c>
      <c r="S108">
        <f>HYPERLINK("https://klasma.github.io/Logging_0482/artfynd/A 31972-2024 artfynd.xlsx", "A 31972-2024")</f>
        <v/>
      </c>
      <c r="T108">
        <f>HYPERLINK("https://klasma.github.io/Logging_0482/kartor/A 31972-2024 karta.png", "A 31972-2024")</f>
        <v/>
      </c>
      <c r="V108">
        <f>HYPERLINK("https://klasma.github.io/Logging_0482/klagomål/A 31972-2024 FSC-klagomål.docx", "A 31972-2024")</f>
        <v/>
      </c>
      <c r="W108">
        <f>HYPERLINK("https://klasma.github.io/Logging_0482/klagomålsmail/A 31972-2024 FSC-klagomål mail.docx", "A 31972-2024")</f>
        <v/>
      </c>
      <c r="X108">
        <f>HYPERLINK("https://klasma.github.io/Logging_0482/tillsyn/A 31972-2024 tillsynsbegäran.docx", "A 31972-2024")</f>
        <v/>
      </c>
      <c r="Y108">
        <f>HYPERLINK("https://klasma.github.io/Logging_0482/tillsynsmail/A 31972-2024 tillsynsbegäran mail.docx", "A 31972-2024")</f>
        <v/>
      </c>
    </row>
    <row r="109" ht="15" customHeight="1">
      <c r="A109" t="inlineStr">
        <is>
          <t>A 26310-2026</t>
        </is>
      </c>
      <c r="B109" s="1" t="n">
        <v>46181</v>
      </c>
      <c r="C109" s="1" t="n">
        <v>46203</v>
      </c>
      <c r="D109" t="inlineStr">
        <is>
          <t>SÖDERMANLANDS LÄN</t>
        </is>
      </c>
      <c r="E109" t="inlineStr">
        <is>
          <t>FLEN</t>
        </is>
      </c>
      <c r="G109" t="n">
        <v>1.2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Spillkråka</t>
        </is>
      </c>
      <c r="S109">
        <f>HYPERLINK("https://klasma.github.io/Logging_0482/artfynd/A 26310-2026 artfynd.xlsx", "A 26310-2026")</f>
        <v/>
      </c>
      <c r="T109">
        <f>HYPERLINK("https://klasma.github.io/Logging_0482/kartor/A 26310-2026 karta.png", "A 26310-2026")</f>
        <v/>
      </c>
      <c r="V109">
        <f>HYPERLINK("https://klasma.github.io/Logging_0482/klagomål/A 26310-2026 FSC-klagomål.docx", "A 26310-2026")</f>
        <v/>
      </c>
      <c r="W109">
        <f>HYPERLINK("https://klasma.github.io/Logging_0482/klagomålsmail/A 26310-2026 FSC-klagomål mail.docx", "A 26310-2026")</f>
        <v/>
      </c>
      <c r="X109">
        <f>HYPERLINK("https://klasma.github.io/Logging_0482/tillsyn/A 26310-2026 tillsynsbegäran.docx", "A 26310-2026")</f>
        <v/>
      </c>
      <c r="Y109">
        <f>HYPERLINK("https://klasma.github.io/Logging_0482/tillsynsmail/A 26310-2026 tillsynsbegäran mail.docx", "A 26310-2026")</f>
        <v/>
      </c>
      <c r="Z109">
        <f>HYPERLINK("https://klasma.github.io/Logging_0482/fåglar/A 26310-2026 prioriterade fågelarter.docx", "A 26310-2026")</f>
        <v/>
      </c>
    </row>
    <row r="110" ht="15" customHeight="1">
      <c r="A110" t="inlineStr">
        <is>
          <t>A 26052-2026</t>
        </is>
      </c>
      <c r="B110" s="1" t="n">
        <v>46181</v>
      </c>
      <c r="C110" s="1" t="n">
        <v>46203</v>
      </c>
      <c r="D110" t="inlineStr">
        <is>
          <t>SÖDERMANLANDS LÄN</t>
        </is>
      </c>
      <c r="E110" t="inlineStr">
        <is>
          <t>FLEN</t>
        </is>
      </c>
      <c r="F110" t="inlineStr">
        <is>
          <t>Holmen skog AB</t>
        </is>
      </c>
      <c r="G110" t="n">
        <v>3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Revlummer</t>
        </is>
      </c>
      <c r="S110">
        <f>HYPERLINK("https://klasma.github.io/Logging_0482/artfynd/A 26052-2026 artfynd.xlsx", "A 26052-2026")</f>
        <v/>
      </c>
      <c r="T110">
        <f>HYPERLINK("https://klasma.github.io/Logging_0482/kartor/A 26052-2026 karta.png", "A 26052-2026")</f>
        <v/>
      </c>
      <c r="V110">
        <f>HYPERLINK("https://klasma.github.io/Logging_0482/klagomål/A 26052-2026 FSC-klagomål.docx", "A 26052-2026")</f>
        <v/>
      </c>
      <c r="W110">
        <f>HYPERLINK("https://klasma.github.io/Logging_0482/klagomålsmail/A 26052-2026 FSC-klagomål mail.docx", "A 26052-2026")</f>
        <v/>
      </c>
      <c r="X110">
        <f>HYPERLINK("https://klasma.github.io/Logging_0482/tillsyn/A 26052-2026 tillsynsbegäran.docx", "A 26052-2026")</f>
        <v/>
      </c>
      <c r="Y110">
        <f>HYPERLINK("https://klasma.github.io/Logging_0482/tillsynsmail/A 26052-2026 tillsynsbegäran mail.docx", "A 26052-2026")</f>
        <v/>
      </c>
    </row>
    <row r="111" ht="15" customHeight="1">
      <c r="A111" t="inlineStr">
        <is>
          <t>A 62535-2021</t>
        </is>
      </c>
      <c r="B111" s="1" t="n">
        <v>44503</v>
      </c>
      <c r="C111" s="1" t="n">
        <v>46203</v>
      </c>
      <c r="D111" t="inlineStr">
        <is>
          <t>SÖDERMANLANDS LÄN</t>
        </is>
      </c>
      <c r="E111" t="inlineStr">
        <is>
          <t>FLEN</t>
        </is>
      </c>
      <c r="G111" t="n">
        <v>0.6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Blåsippa</t>
        </is>
      </c>
      <c r="S111">
        <f>HYPERLINK("https://klasma.github.io/Logging_0482/artfynd/A 62535-2021 artfynd.xlsx", "A 62535-2021")</f>
        <v/>
      </c>
      <c r="T111">
        <f>HYPERLINK("https://klasma.github.io/Logging_0482/kartor/A 62535-2021 karta.png", "A 62535-2021")</f>
        <v/>
      </c>
      <c r="V111">
        <f>HYPERLINK("https://klasma.github.io/Logging_0482/klagomål/A 62535-2021 FSC-klagomål.docx", "A 62535-2021")</f>
        <v/>
      </c>
      <c r="W111">
        <f>HYPERLINK("https://klasma.github.io/Logging_0482/klagomålsmail/A 62535-2021 FSC-klagomål mail.docx", "A 62535-2021")</f>
        <v/>
      </c>
      <c r="X111">
        <f>HYPERLINK("https://klasma.github.io/Logging_0482/tillsyn/A 62535-2021 tillsynsbegäran.docx", "A 62535-2021")</f>
        <v/>
      </c>
      <c r="Y111">
        <f>HYPERLINK("https://klasma.github.io/Logging_0482/tillsynsmail/A 62535-2021 tillsynsbegäran mail.docx", "A 62535-2021")</f>
        <v/>
      </c>
    </row>
    <row r="112" ht="15" customHeight="1">
      <c r="A112" t="inlineStr">
        <is>
          <t>A 55092-2021</t>
        </is>
      </c>
      <c r="B112" s="1" t="n">
        <v>44474</v>
      </c>
      <c r="C112" s="1" t="n">
        <v>46203</v>
      </c>
      <c r="D112" t="inlineStr">
        <is>
          <t>SÖDERMANLANDS LÄN</t>
        </is>
      </c>
      <c r="E112" t="inlineStr">
        <is>
          <t>FLEN</t>
        </is>
      </c>
      <c r="G112" t="n">
        <v>3.5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Huggorm</t>
        </is>
      </c>
      <c r="S112">
        <f>HYPERLINK("https://klasma.github.io/Logging_0482/artfynd/A 55092-2021 artfynd.xlsx", "A 55092-2021")</f>
        <v/>
      </c>
      <c r="T112">
        <f>HYPERLINK("https://klasma.github.io/Logging_0482/kartor/A 55092-2021 karta.png", "A 55092-2021")</f>
        <v/>
      </c>
      <c r="V112">
        <f>HYPERLINK("https://klasma.github.io/Logging_0482/klagomål/A 55092-2021 FSC-klagomål.docx", "A 55092-2021")</f>
        <v/>
      </c>
      <c r="W112">
        <f>HYPERLINK("https://klasma.github.io/Logging_0482/klagomålsmail/A 55092-2021 FSC-klagomål mail.docx", "A 55092-2021")</f>
        <v/>
      </c>
      <c r="X112">
        <f>HYPERLINK("https://klasma.github.io/Logging_0482/tillsyn/A 55092-2021 tillsynsbegäran.docx", "A 55092-2021")</f>
        <v/>
      </c>
      <c r="Y112">
        <f>HYPERLINK("https://klasma.github.io/Logging_0482/tillsynsmail/A 55092-2021 tillsynsbegäran mail.docx", "A 55092-2021")</f>
        <v/>
      </c>
    </row>
    <row r="113" ht="15" customHeight="1">
      <c r="A113" t="inlineStr">
        <is>
          <t>A 50202-2022</t>
        </is>
      </c>
      <c r="B113" s="1" t="n">
        <v>44865</v>
      </c>
      <c r="C113" s="1" t="n">
        <v>46203</v>
      </c>
      <c r="D113" t="inlineStr">
        <is>
          <t>SÖDERMANLANDS LÄN</t>
        </is>
      </c>
      <c r="E113" t="inlineStr">
        <is>
          <t>FLEN</t>
        </is>
      </c>
      <c r="F113" t="inlineStr">
        <is>
          <t>Kyrkan</t>
        </is>
      </c>
      <c r="G113" t="n">
        <v>5.8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Gullklöver</t>
        </is>
      </c>
      <c r="S113">
        <f>HYPERLINK("https://klasma.github.io/Logging_0482/artfynd/A 50202-2022 artfynd.xlsx", "A 50202-2022")</f>
        <v/>
      </c>
      <c r="T113">
        <f>HYPERLINK("https://klasma.github.io/Logging_0482/kartor/A 50202-2022 karta.png", "A 50202-2022")</f>
        <v/>
      </c>
      <c r="V113">
        <f>HYPERLINK("https://klasma.github.io/Logging_0482/klagomål/A 50202-2022 FSC-klagomål.docx", "A 50202-2022")</f>
        <v/>
      </c>
      <c r="W113">
        <f>HYPERLINK("https://klasma.github.io/Logging_0482/klagomålsmail/A 50202-2022 FSC-klagomål mail.docx", "A 50202-2022")</f>
        <v/>
      </c>
      <c r="X113">
        <f>HYPERLINK("https://klasma.github.io/Logging_0482/tillsyn/A 50202-2022 tillsynsbegäran.docx", "A 50202-2022")</f>
        <v/>
      </c>
      <c r="Y113">
        <f>HYPERLINK("https://klasma.github.io/Logging_0482/tillsynsmail/A 50202-2022 tillsynsbegäran mail.docx", "A 50202-2022")</f>
        <v/>
      </c>
    </row>
    <row r="114" ht="15" customHeight="1">
      <c r="A114" t="inlineStr">
        <is>
          <t>A 21704-2026</t>
        </is>
      </c>
      <c r="B114" s="1" t="n">
        <v>46149</v>
      </c>
      <c r="C114" s="1" t="n">
        <v>46203</v>
      </c>
      <c r="D114" t="inlineStr">
        <is>
          <t>SÖDERMANLANDS LÄN</t>
        </is>
      </c>
      <c r="E114" t="inlineStr">
        <is>
          <t>FLEN</t>
        </is>
      </c>
      <c r="G114" t="n">
        <v>10.2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Kandelabersvamp</t>
        </is>
      </c>
      <c r="S114">
        <f>HYPERLINK("https://klasma.github.io/Logging_0482/artfynd/A 21704-2026 artfynd.xlsx", "A 21704-2026")</f>
        <v/>
      </c>
      <c r="T114">
        <f>HYPERLINK("https://klasma.github.io/Logging_0482/kartor/A 21704-2026 karta.png", "A 21704-2026")</f>
        <v/>
      </c>
      <c r="V114">
        <f>HYPERLINK("https://klasma.github.io/Logging_0482/klagomål/A 21704-2026 FSC-klagomål.docx", "A 21704-2026")</f>
        <v/>
      </c>
      <c r="W114">
        <f>HYPERLINK("https://klasma.github.io/Logging_0482/klagomålsmail/A 21704-2026 FSC-klagomål mail.docx", "A 21704-2026")</f>
        <v/>
      </c>
      <c r="X114">
        <f>HYPERLINK("https://klasma.github.io/Logging_0482/tillsyn/A 21704-2026 tillsynsbegäran.docx", "A 21704-2026")</f>
        <v/>
      </c>
      <c r="Y114">
        <f>HYPERLINK("https://klasma.github.io/Logging_0482/tillsynsmail/A 21704-2026 tillsynsbegäran mail.docx", "A 21704-2026")</f>
        <v/>
      </c>
    </row>
    <row r="115" ht="15" customHeight="1">
      <c r="A115" t="inlineStr">
        <is>
          <t>A 54302-2025</t>
        </is>
      </c>
      <c r="B115" s="1" t="n">
        <v>45965</v>
      </c>
      <c r="C115" s="1" t="n">
        <v>46203</v>
      </c>
      <c r="D115" t="inlineStr">
        <is>
          <t>SÖDERMANLANDS LÄN</t>
        </is>
      </c>
      <c r="E115" t="inlineStr">
        <is>
          <t>FLEN</t>
        </is>
      </c>
      <c r="G115" t="n">
        <v>12.6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Dofttaggsvamp</t>
        </is>
      </c>
      <c r="S115">
        <f>HYPERLINK("https://klasma.github.io/Logging_0482/artfynd/A 54302-2025 artfynd.xlsx", "A 54302-2025")</f>
        <v/>
      </c>
      <c r="T115">
        <f>HYPERLINK("https://klasma.github.io/Logging_0482/kartor/A 54302-2025 karta.png", "A 54302-2025")</f>
        <v/>
      </c>
      <c r="V115">
        <f>HYPERLINK("https://klasma.github.io/Logging_0482/klagomål/A 54302-2025 FSC-klagomål.docx", "A 54302-2025")</f>
        <v/>
      </c>
      <c r="W115">
        <f>HYPERLINK("https://klasma.github.io/Logging_0482/klagomålsmail/A 54302-2025 FSC-klagomål mail.docx", "A 54302-2025")</f>
        <v/>
      </c>
      <c r="X115">
        <f>HYPERLINK("https://klasma.github.io/Logging_0482/tillsyn/A 54302-2025 tillsynsbegäran.docx", "A 54302-2025")</f>
        <v/>
      </c>
      <c r="Y115">
        <f>HYPERLINK("https://klasma.github.io/Logging_0482/tillsynsmail/A 54302-2025 tillsynsbegäran mail.docx", "A 54302-2025")</f>
        <v/>
      </c>
    </row>
    <row r="116" ht="15" customHeight="1">
      <c r="A116" t="inlineStr">
        <is>
          <t>A 52563-2021</t>
        </is>
      </c>
      <c r="B116" s="1" t="n">
        <v>44463</v>
      </c>
      <c r="C116" s="1" t="n">
        <v>46203</v>
      </c>
      <c r="D116" t="inlineStr">
        <is>
          <t>SÖDERMANLANDS LÄN</t>
        </is>
      </c>
      <c r="E116" t="inlineStr">
        <is>
          <t>FLEN</t>
        </is>
      </c>
      <c r="G116" t="n">
        <v>9</v>
      </c>
      <c r="H116" t="n">
        <v>1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Gulsparv</t>
        </is>
      </c>
      <c r="S116">
        <f>HYPERLINK("https://klasma.github.io/Logging_0482/artfynd/A 52563-2021 artfynd.xlsx", "A 52563-2021")</f>
        <v/>
      </c>
      <c r="T116">
        <f>HYPERLINK("https://klasma.github.io/Logging_0482/kartor/A 52563-2021 karta.png", "A 52563-2021")</f>
        <v/>
      </c>
      <c r="V116">
        <f>HYPERLINK("https://klasma.github.io/Logging_0482/klagomål/A 52563-2021 FSC-klagomål.docx", "A 52563-2021")</f>
        <v/>
      </c>
      <c r="W116">
        <f>HYPERLINK("https://klasma.github.io/Logging_0482/klagomålsmail/A 52563-2021 FSC-klagomål mail.docx", "A 52563-2021")</f>
        <v/>
      </c>
      <c r="X116">
        <f>HYPERLINK("https://klasma.github.io/Logging_0482/tillsyn/A 52563-2021 tillsynsbegäran.docx", "A 52563-2021")</f>
        <v/>
      </c>
      <c r="Y116">
        <f>HYPERLINK("https://klasma.github.io/Logging_0482/tillsynsmail/A 52563-2021 tillsynsbegäran mail.docx", "A 52563-2021")</f>
        <v/>
      </c>
      <c r="Z116">
        <f>HYPERLINK("https://klasma.github.io/Logging_0482/fåglar/A 52563-2021 prioriterade fågelarter.docx", "A 52563-2021")</f>
        <v/>
      </c>
    </row>
    <row r="117" ht="15" customHeight="1">
      <c r="A117" t="inlineStr">
        <is>
          <t>A 14101-2025</t>
        </is>
      </c>
      <c r="B117" s="1" t="n">
        <v>45740</v>
      </c>
      <c r="C117" s="1" t="n">
        <v>46203</v>
      </c>
      <c r="D117" t="inlineStr">
        <is>
          <t>SÖDERMANLANDS LÄN</t>
        </is>
      </c>
      <c r="E117" t="inlineStr">
        <is>
          <t>FLEN</t>
        </is>
      </c>
      <c r="F117" t="inlineStr">
        <is>
          <t>Övriga statliga verk och myndigheter</t>
        </is>
      </c>
      <c r="G117" t="n">
        <v>1.3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Motaggsvamp</t>
        </is>
      </c>
      <c r="S117">
        <f>HYPERLINK("https://klasma.github.io/Logging_0482/artfynd/A 14101-2025 artfynd.xlsx", "A 14101-2025")</f>
        <v/>
      </c>
      <c r="T117">
        <f>HYPERLINK("https://klasma.github.io/Logging_0482/kartor/A 14101-2025 karta.png", "A 14101-2025")</f>
        <v/>
      </c>
      <c r="V117">
        <f>HYPERLINK("https://klasma.github.io/Logging_0482/klagomål/A 14101-2025 FSC-klagomål.docx", "A 14101-2025")</f>
        <v/>
      </c>
      <c r="W117">
        <f>HYPERLINK("https://klasma.github.io/Logging_0482/klagomålsmail/A 14101-2025 FSC-klagomål mail.docx", "A 14101-2025")</f>
        <v/>
      </c>
      <c r="X117">
        <f>HYPERLINK("https://klasma.github.io/Logging_0482/tillsyn/A 14101-2025 tillsynsbegäran.docx", "A 14101-2025")</f>
        <v/>
      </c>
      <c r="Y117">
        <f>HYPERLINK("https://klasma.github.io/Logging_0482/tillsynsmail/A 14101-2025 tillsynsbegäran mail.docx", "A 14101-2025")</f>
        <v/>
      </c>
    </row>
    <row r="118" ht="15" customHeight="1">
      <c r="A118" t="inlineStr">
        <is>
          <t>A 60562-2021</t>
        </is>
      </c>
      <c r="B118" s="1" t="n">
        <v>44495</v>
      </c>
      <c r="C118" s="1" t="n">
        <v>46203</v>
      </c>
      <c r="D118" t="inlineStr">
        <is>
          <t>SÖDERMANLANDS LÄN</t>
        </is>
      </c>
      <c r="E118" t="inlineStr">
        <is>
          <t>FLEN</t>
        </is>
      </c>
      <c r="F118" t="inlineStr">
        <is>
          <t>Övriga statliga verk och myndigheter</t>
        </is>
      </c>
      <c r="G118" t="n">
        <v>1.3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Gullklöver</t>
        </is>
      </c>
      <c r="S118">
        <f>HYPERLINK("https://klasma.github.io/Logging_0482/artfynd/A 60562-2021 artfynd.xlsx", "A 60562-2021")</f>
        <v/>
      </c>
      <c r="T118">
        <f>HYPERLINK("https://klasma.github.io/Logging_0482/kartor/A 60562-2021 karta.png", "A 60562-2021")</f>
        <v/>
      </c>
      <c r="V118">
        <f>HYPERLINK("https://klasma.github.io/Logging_0482/klagomål/A 60562-2021 FSC-klagomål.docx", "A 60562-2021")</f>
        <v/>
      </c>
      <c r="W118">
        <f>HYPERLINK("https://klasma.github.io/Logging_0482/klagomålsmail/A 60562-2021 FSC-klagomål mail.docx", "A 60562-2021")</f>
        <v/>
      </c>
      <c r="X118">
        <f>HYPERLINK("https://klasma.github.io/Logging_0482/tillsyn/A 60562-2021 tillsynsbegäran.docx", "A 60562-2021")</f>
        <v/>
      </c>
      <c r="Y118">
        <f>HYPERLINK("https://klasma.github.io/Logging_0482/tillsynsmail/A 60562-2021 tillsynsbegäran mail.docx", "A 60562-2021")</f>
        <v/>
      </c>
    </row>
    <row r="119" ht="15" customHeight="1">
      <c r="A119" t="inlineStr">
        <is>
          <t>A 7525-2024</t>
        </is>
      </c>
      <c r="B119" s="1" t="n">
        <v>45348</v>
      </c>
      <c r="C119" s="1" t="n">
        <v>46203</v>
      </c>
      <c r="D119" t="inlineStr">
        <is>
          <t>SÖDERMANLANDS LÄN</t>
        </is>
      </c>
      <c r="E119" t="inlineStr">
        <is>
          <t>FLEN</t>
        </is>
      </c>
      <c r="G119" t="n">
        <v>2.3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Vanlig backsmörblomma</t>
        </is>
      </c>
      <c r="S119">
        <f>HYPERLINK("https://klasma.github.io/Logging_0482/artfynd/A 7525-2024 artfynd.xlsx", "A 7525-2024")</f>
        <v/>
      </c>
      <c r="T119">
        <f>HYPERLINK("https://klasma.github.io/Logging_0482/kartor/A 7525-2024 karta.png", "A 7525-2024")</f>
        <v/>
      </c>
      <c r="V119">
        <f>HYPERLINK("https://klasma.github.io/Logging_0482/klagomål/A 7525-2024 FSC-klagomål.docx", "A 7525-2024")</f>
        <v/>
      </c>
      <c r="W119">
        <f>HYPERLINK("https://klasma.github.io/Logging_0482/klagomålsmail/A 7525-2024 FSC-klagomål mail.docx", "A 7525-2024")</f>
        <v/>
      </c>
      <c r="X119">
        <f>HYPERLINK("https://klasma.github.io/Logging_0482/tillsyn/A 7525-2024 tillsynsbegäran.docx", "A 7525-2024")</f>
        <v/>
      </c>
      <c r="Y119">
        <f>HYPERLINK("https://klasma.github.io/Logging_0482/tillsynsmail/A 7525-2024 tillsynsbegäran mail.docx", "A 7525-2024")</f>
        <v/>
      </c>
    </row>
    <row r="120" ht="15" customHeight="1">
      <c r="A120" t="inlineStr">
        <is>
          <t>A 13858-2023</t>
        </is>
      </c>
      <c r="B120" s="1" t="n">
        <v>45007</v>
      </c>
      <c r="C120" s="1" t="n">
        <v>46203</v>
      </c>
      <c r="D120" t="inlineStr">
        <is>
          <t>SÖDERMANLANDS LÄN</t>
        </is>
      </c>
      <c r="E120" t="inlineStr">
        <is>
          <t>FLEN</t>
        </is>
      </c>
      <c r="F120" t="inlineStr">
        <is>
          <t>Holmen skog AB</t>
        </is>
      </c>
      <c r="G120" t="n">
        <v>0.8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Svedjenäva</t>
        </is>
      </c>
      <c r="S120">
        <f>HYPERLINK("https://klasma.github.io/Logging_0482/artfynd/A 13858-2023 artfynd.xlsx", "A 13858-2023")</f>
        <v/>
      </c>
      <c r="T120">
        <f>HYPERLINK("https://klasma.github.io/Logging_0482/kartor/A 13858-2023 karta.png", "A 13858-2023")</f>
        <v/>
      </c>
      <c r="V120">
        <f>HYPERLINK("https://klasma.github.io/Logging_0482/klagomål/A 13858-2023 FSC-klagomål.docx", "A 13858-2023")</f>
        <v/>
      </c>
      <c r="W120">
        <f>HYPERLINK("https://klasma.github.io/Logging_0482/klagomålsmail/A 13858-2023 FSC-klagomål mail.docx", "A 13858-2023")</f>
        <v/>
      </c>
      <c r="X120">
        <f>HYPERLINK("https://klasma.github.io/Logging_0482/tillsyn/A 13858-2023 tillsynsbegäran.docx", "A 13858-2023")</f>
        <v/>
      </c>
      <c r="Y120">
        <f>HYPERLINK("https://klasma.github.io/Logging_0482/tillsynsmail/A 13858-2023 tillsynsbegäran mail.docx", "A 13858-2023")</f>
        <v/>
      </c>
    </row>
    <row r="121" ht="15" customHeight="1">
      <c r="A121" t="inlineStr">
        <is>
          <t>A 45107-2023</t>
        </is>
      </c>
      <c r="B121" s="1" t="n">
        <v>45191</v>
      </c>
      <c r="C121" s="1" t="n">
        <v>46203</v>
      </c>
      <c r="D121" t="inlineStr">
        <is>
          <t>SÖDERMANLANDS LÄN</t>
        </is>
      </c>
      <c r="E121" t="inlineStr">
        <is>
          <t>FLEN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Brudborste</t>
        </is>
      </c>
      <c r="S121">
        <f>HYPERLINK("https://klasma.github.io/Logging_0482/artfynd/A 45107-2023 artfynd.xlsx", "A 45107-2023")</f>
        <v/>
      </c>
      <c r="T121">
        <f>HYPERLINK("https://klasma.github.io/Logging_0482/kartor/A 45107-2023 karta.png", "A 45107-2023")</f>
        <v/>
      </c>
      <c r="V121">
        <f>HYPERLINK("https://klasma.github.io/Logging_0482/klagomål/A 45107-2023 FSC-klagomål.docx", "A 45107-2023")</f>
        <v/>
      </c>
      <c r="W121">
        <f>HYPERLINK("https://klasma.github.io/Logging_0482/klagomålsmail/A 45107-2023 FSC-klagomål mail.docx", "A 45107-2023")</f>
        <v/>
      </c>
      <c r="X121">
        <f>HYPERLINK("https://klasma.github.io/Logging_0482/tillsyn/A 45107-2023 tillsynsbegäran.docx", "A 45107-2023")</f>
        <v/>
      </c>
      <c r="Y121">
        <f>HYPERLINK("https://klasma.github.io/Logging_0482/tillsynsmail/A 45107-2023 tillsynsbegäran mail.docx", "A 45107-2023")</f>
        <v/>
      </c>
    </row>
    <row r="122" ht="15" customHeight="1">
      <c r="A122" t="inlineStr">
        <is>
          <t>A 1242-2022</t>
        </is>
      </c>
      <c r="B122" s="1" t="n">
        <v>44572</v>
      </c>
      <c r="C122" s="1" t="n">
        <v>46203</v>
      </c>
      <c r="D122" t="inlineStr">
        <is>
          <t>SÖDERMANLANDS LÄN</t>
        </is>
      </c>
      <c r="E122" t="inlineStr">
        <is>
          <t>FLEN</t>
        </is>
      </c>
      <c r="F122" t="inlineStr">
        <is>
          <t>Övriga statliga verk och myndigheter</t>
        </is>
      </c>
      <c r="G122" t="n">
        <v>9.300000000000001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Slåtterfibbla</t>
        </is>
      </c>
      <c r="S122">
        <f>HYPERLINK("https://klasma.github.io/Logging_0482/artfynd/A 1242-2022 artfynd.xlsx", "A 1242-2022")</f>
        <v/>
      </c>
      <c r="T122">
        <f>HYPERLINK("https://klasma.github.io/Logging_0482/kartor/A 1242-2022 karta.png", "A 1242-2022")</f>
        <v/>
      </c>
      <c r="V122">
        <f>HYPERLINK("https://klasma.github.io/Logging_0482/klagomål/A 1242-2022 FSC-klagomål.docx", "A 1242-2022")</f>
        <v/>
      </c>
      <c r="W122">
        <f>HYPERLINK("https://klasma.github.io/Logging_0482/klagomålsmail/A 1242-2022 FSC-klagomål mail.docx", "A 1242-2022")</f>
        <v/>
      </c>
      <c r="X122">
        <f>HYPERLINK("https://klasma.github.io/Logging_0482/tillsyn/A 1242-2022 tillsynsbegäran.docx", "A 1242-2022")</f>
        <v/>
      </c>
      <c r="Y122">
        <f>HYPERLINK("https://klasma.github.io/Logging_0482/tillsynsmail/A 1242-2022 tillsynsbegäran mail.docx", "A 1242-2022")</f>
        <v/>
      </c>
    </row>
    <row r="123" ht="15" customHeight="1">
      <c r="A123" t="inlineStr">
        <is>
          <t>A 12371-2022</t>
        </is>
      </c>
      <c r="B123" s="1" t="n">
        <v>44637</v>
      </c>
      <c r="C123" s="1" t="n">
        <v>46203</v>
      </c>
      <c r="D123" t="inlineStr">
        <is>
          <t>SÖDERMANLANDS LÄN</t>
        </is>
      </c>
      <c r="E123" t="inlineStr">
        <is>
          <t>FLEN</t>
        </is>
      </c>
      <c r="F123" t="inlineStr">
        <is>
          <t>Kommuner</t>
        </is>
      </c>
      <c r="G123" t="n">
        <v>2.1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Gullklöver</t>
        </is>
      </c>
      <c r="S123">
        <f>HYPERLINK("https://klasma.github.io/Logging_0482/artfynd/A 12371-2022 artfynd.xlsx", "A 12371-2022")</f>
        <v/>
      </c>
      <c r="T123">
        <f>HYPERLINK("https://klasma.github.io/Logging_0482/kartor/A 12371-2022 karta.png", "A 12371-2022")</f>
        <v/>
      </c>
      <c r="V123">
        <f>HYPERLINK("https://klasma.github.io/Logging_0482/klagomål/A 12371-2022 FSC-klagomål.docx", "A 12371-2022")</f>
        <v/>
      </c>
      <c r="W123">
        <f>HYPERLINK("https://klasma.github.io/Logging_0482/klagomålsmail/A 12371-2022 FSC-klagomål mail.docx", "A 12371-2022")</f>
        <v/>
      </c>
      <c r="X123">
        <f>HYPERLINK("https://klasma.github.io/Logging_0482/tillsyn/A 12371-2022 tillsynsbegäran.docx", "A 12371-2022")</f>
        <v/>
      </c>
      <c r="Y123">
        <f>HYPERLINK("https://klasma.github.io/Logging_0482/tillsynsmail/A 12371-2022 tillsynsbegäran mail.docx", "A 12371-2022")</f>
        <v/>
      </c>
    </row>
    <row r="124" ht="15" customHeight="1">
      <c r="A124" t="inlineStr">
        <is>
          <t>A 14113-2025</t>
        </is>
      </c>
      <c r="B124" s="1" t="n">
        <v>45740</v>
      </c>
      <c r="C124" s="1" t="n">
        <v>46203</v>
      </c>
      <c r="D124" t="inlineStr">
        <is>
          <t>SÖDERMANLANDS LÄN</t>
        </is>
      </c>
      <c r="E124" t="inlineStr">
        <is>
          <t>FLEN</t>
        </is>
      </c>
      <c r="F124" t="inlineStr">
        <is>
          <t>Övriga statliga verk och myndigheter</t>
        </is>
      </c>
      <c r="G124" t="n">
        <v>3.6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Blåsippa</t>
        </is>
      </c>
      <c r="S124">
        <f>HYPERLINK("https://klasma.github.io/Logging_0482/artfynd/A 14113-2025 artfynd.xlsx", "A 14113-2025")</f>
        <v/>
      </c>
      <c r="T124">
        <f>HYPERLINK("https://klasma.github.io/Logging_0482/kartor/A 14113-2025 karta.png", "A 14113-2025")</f>
        <v/>
      </c>
      <c r="V124">
        <f>HYPERLINK("https://klasma.github.io/Logging_0482/klagomål/A 14113-2025 FSC-klagomål.docx", "A 14113-2025")</f>
        <v/>
      </c>
      <c r="W124">
        <f>HYPERLINK("https://klasma.github.io/Logging_0482/klagomålsmail/A 14113-2025 FSC-klagomål mail.docx", "A 14113-2025")</f>
        <v/>
      </c>
      <c r="X124">
        <f>HYPERLINK("https://klasma.github.io/Logging_0482/tillsyn/A 14113-2025 tillsynsbegäran.docx", "A 14113-2025")</f>
        <v/>
      </c>
      <c r="Y124">
        <f>HYPERLINK("https://klasma.github.io/Logging_0482/tillsynsmail/A 14113-2025 tillsynsbegäran mail.docx", "A 14113-2025")</f>
        <v/>
      </c>
    </row>
    <row r="125" ht="15" customHeight="1">
      <c r="A125" t="inlineStr">
        <is>
          <t>A 39036-2023</t>
        </is>
      </c>
      <c r="B125" s="1" t="n">
        <v>45163</v>
      </c>
      <c r="C125" s="1" t="n">
        <v>46203</v>
      </c>
      <c r="D125" t="inlineStr">
        <is>
          <t>SÖDERMANLANDS LÄN</t>
        </is>
      </c>
      <c r="E125" t="inlineStr">
        <is>
          <t>FLEN</t>
        </is>
      </c>
      <c r="G125" t="n">
        <v>5.1</v>
      </c>
      <c r="H125" t="n">
        <v>0</v>
      </c>
      <c r="I125" t="n">
        <v>0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1</v>
      </c>
      <c r="P125" t="n">
        <v>1</v>
      </c>
      <c r="Q125" t="n">
        <v>1</v>
      </c>
      <c r="R125" s="2" t="inlineStr">
        <is>
          <t>Igelkott</t>
        </is>
      </c>
      <c r="S125">
        <f>HYPERLINK("https://klasma.github.io/Logging_0482/artfynd/A 39036-2023 artfynd.xlsx", "A 39036-2023")</f>
        <v/>
      </c>
      <c r="T125">
        <f>HYPERLINK("https://klasma.github.io/Logging_0482/kartor/A 39036-2023 karta.png", "A 39036-2023")</f>
        <v/>
      </c>
      <c r="V125">
        <f>HYPERLINK("https://klasma.github.io/Logging_0482/klagomål/A 39036-2023 FSC-klagomål.docx", "A 39036-2023")</f>
        <v/>
      </c>
      <c r="W125">
        <f>HYPERLINK("https://klasma.github.io/Logging_0482/klagomålsmail/A 39036-2023 FSC-klagomål mail.docx", "A 39036-2023")</f>
        <v/>
      </c>
      <c r="X125">
        <f>HYPERLINK("https://klasma.github.io/Logging_0482/tillsyn/A 39036-2023 tillsynsbegäran.docx", "A 39036-2023")</f>
        <v/>
      </c>
      <c r="Y125">
        <f>HYPERLINK("https://klasma.github.io/Logging_0482/tillsynsmail/A 39036-2023 tillsynsbegäran mail.docx", "A 39036-2023")</f>
        <v/>
      </c>
    </row>
    <row r="126" ht="15" customHeight="1">
      <c r="A126" t="inlineStr">
        <is>
          <t>A 31427-2022</t>
        </is>
      </c>
      <c r="B126" s="1" t="n">
        <v>44774</v>
      </c>
      <c r="C126" s="1" t="n">
        <v>46203</v>
      </c>
      <c r="D126" t="inlineStr">
        <is>
          <t>SÖDERMANLANDS LÄN</t>
        </is>
      </c>
      <c r="E126" t="inlineStr">
        <is>
          <t>FLEN</t>
        </is>
      </c>
      <c r="G126" t="n">
        <v>3.7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Älg</t>
        </is>
      </c>
      <c r="S126">
        <f>HYPERLINK("https://klasma.github.io/Logging_0482/artfynd/A 31427-2022 artfynd.xlsx", "A 31427-2022")</f>
        <v/>
      </c>
      <c r="T126">
        <f>HYPERLINK("https://klasma.github.io/Logging_0482/kartor/A 31427-2022 karta.png", "A 31427-2022")</f>
        <v/>
      </c>
      <c r="V126">
        <f>HYPERLINK("https://klasma.github.io/Logging_0482/klagomål/A 31427-2022 FSC-klagomål.docx", "A 31427-2022")</f>
        <v/>
      </c>
      <c r="W126">
        <f>HYPERLINK("https://klasma.github.io/Logging_0482/klagomålsmail/A 31427-2022 FSC-klagomål mail.docx", "A 31427-2022")</f>
        <v/>
      </c>
      <c r="X126">
        <f>HYPERLINK("https://klasma.github.io/Logging_0482/tillsyn/A 31427-2022 tillsynsbegäran.docx", "A 31427-2022")</f>
        <v/>
      </c>
      <c r="Y126">
        <f>HYPERLINK("https://klasma.github.io/Logging_0482/tillsynsmail/A 31427-2022 tillsynsbegäran mail.docx", "A 31427-2022")</f>
        <v/>
      </c>
    </row>
    <row r="127" ht="15" customHeight="1">
      <c r="A127" t="inlineStr">
        <is>
          <t>A 47756-2022</t>
        </is>
      </c>
      <c r="B127" s="1" t="n">
        <v>44854</v>
      </c>
      <c r="C127" s="1" t="n">
        <v>46203</v>
      </c>
      <c r="D127" t="inlineStr">
        <is>
          <t>SÖDERMANLANDS LÄN</t>
        </is>
      </c>
      <c r="E127" t="inlineStr">
        <is>
          <t>FLEN</t>
        </is>
      </c>
      <c r="G127" t="n">
        <v>2.4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Svinrot</t>
        </is>
      </c>
      <c r="S127">
        <f>HYPERLINK("https://klasma.github.io/Logging_0482/artfynd/A 47756-2022 artfynd.xlsx", "A 47756-2022")</f>
        <v/>
      </c>
      <c r="T127">
        <f>HYPERLINK("https://klasma.github.io/Logging_0482/kartor/A 47756-2022 karta.png", "A 47756-2022")</f>
        <v/>
      </c>
      <c r="V127">
        <f>HYPERLINK("https://klasma.github.io/Logging_0482/klagomål/A 47756-2022 FSC-klagomål.docx", "A 47756-2022")</f>
        <v/>
      </c>
      <c r="W127">
        <f>HYPERLINK("https://klasma.github.io/Logging_0482/klagomålsmail/A 47756-2022 FSC-klagomål mail.docx", "A 47756-2022")</f>
        <v/>
      </c>
      <c r="X127">
        <f>HYPERLINK("https://klasma.github.io/Logging_0482/tillsyn/A 47756-2022 tillsynsbegäran.docx", "A 47756-2022")</f>
        <v/>
      </c>
      <c r="Y127">
        <f>HYPERLINK("https://klasma.github.io/Logging_0482/tillsynsmail/A 47756-2022 tillsynsbegäran mail.docx", "A 47756-2022")</f>
        <v/>
      </c>
    </row>
    <row r="128" ht="15" customHeight="1">
      <c r="A128" t="inlineStr">
        <is>
          <t>A 6982-2024</t>
        </is>
      </c>
      <c r="B128" s="1" t="n">
        <v>45343</v>
      </c>
      <c r="C128" s="1" t="n">
        <v>46203</v>
      </c>
      <c r="D128" t="inlineStr">
        <is>
          <t>SÖDERMANLANDS LÄN</t>
        </is>
      </c>
      <c r="E128" t="inlineStr">
        <is>
          <t>FLEN</t>
        </is>
      </c>
      <c r="G128" t="n">
        <v>1.1</v>
      </c>
      <c r="H128" t="n">
        <v>1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Fläcknycklar</t>
        </is>
      </c>
      <c r="S128">
        <f>HYPERLINK("https://klasma.github.io/Logging_0482/artfynd/A 6982-2024 artfynd.xlsx", "A 6982-2024")</f>
        <v/>
      </c>
      <c r="T128">
        <f>HYPERLINK("https://klasma.github.io/Logging_0482/kartor/A 6982-2024 karta.png", "A 6982-2024")</f>
        <v/>
      </c>
      <c r="V128">
        <f>HYPERLINK("https://klasma.github.io/Logging_0482/klagomål/A 6982-2024 FSC-klagomål.docx", "A 6982-2024")</f>
        <v/>
      </c>
      <c r="W128">
        <f>HYPERLINK("https://klasma.github.io/Logging_0482/klagomålsmail/A 6982-2024 FSC-klagomål mail.docx", "A 6982-2024")</f>
        <v/>
      </c>
      <c r="X128">
        <f>HYPERLINK("https://klasma.github.io/Logging_0482/tillsyn/A 6982-2024 tillsynsbegäran.docx", "A 6982-2024")</f>
        <v/>
      </c>
      <c r="Y128">
        <f>HYPERLINK("https://klasma.github.io/Logging_0482/tillsynsmail/A 6982-2024 tillsynsbegäran mail.docx", "A 6982-2024")</f>
        <v/>
      </c>
    </row>
    <row r="129" ht="15" customHeight="1">
      <c r="A129" t="inlineStr">
        <is>
          <t>A 53339-2023</t>
        </is>
      </c>
      <c r="B129" s="1" t="n">
        <v>45222</v>
      </c>
      <c r="C129" s="1" t="n">
        <v>46203</v>
      </c>
      <c r="D129" t="inlineStr">
        <is>
          <t>SÖDERMANLANDS LÄN</t>
        </is>
      </c>
      <c r="E129" t="inlineStr">
        <is>
          <t>FLEN</t>
        </is>
      </c>
      <c r="G129" t="n">
        <v>1.1</v>
      </c>
      <c r="H129" t="n">
        <v>1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Blåsippa</t>
        </is>
      </c>
      <c r="S129">
        <f>HYPERLINK("https://klasma.github.io/Logging_0482/artfynd/A 53339-2023 artfynd.xlsx", "A 53339-2023")</f>
        <v/>
      </c>
      <c r="T129">
        <f>HYPERLINK("https://klasma.github.io/Logging_0482/kartor/A 53339-2023 karta.png", "A 53339-2023")</f>
        <v/>
      </c>
      <c r="V129">
        <f>HYPERLINK("https://klasma.github.io/Logging_0482/klagomål/A 53339-2023 FSC-klagomål.docx", "A 53339-2023")</f>
        <v/>
      </c>
      <c r="W129">
        <f>HYPERLINK("https://klasma.github.io/Logging_0482/klagomålsmail/A 53339-2023 FSC-klagomål mail.docx", "A 53339-2023")</f>
        <v/>
      </c>
      <c r="X129">
        <f>HYPERLINK("https://klasma.github.io/Logging_0482/tillsyn/A 53339-2023 tillsynsbegäran.docx", "A 53339-2023")</f>
        <v/>
      </c>
      <c r="Y129">
        <f>HYPERLINK("https://klasma.github.io/Logging_0482/tillsynsmail/A 53339-2023 tillsynsbegäran mail.docx", "A 53339-2023")</f>
        <v/>
      </c>
    </row>
    <row r="130" ht="15" customHeight="1">
      <c r="A130" t="inlineStr">
        <is>
          <t>A 4259-2023</t>
        </is>
      </c>
      <c r="B130" s="1" t="n">
        <v>44953</v>
      </c>
      <c r="C130" s="1" t="n">
        <v>46203</v>
      </c>
      <c r="D130" t="inlineStr">
        <is>
          <t>SÖDERMANLANDS LÄN</t>
        </is>
      </c>
      <c r="E130" t="inlineStr">
        <is>
          <t>FLEN</t>
        </is>
      </c>
      <c r="G130" t="n">
        <v>1.3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Blåsippa</t>
        </is>
      </c>
      <c r="S130">
        <f>HYPERLINK("https://klasma.github.io/Logging_0482/artfynd/A 4259-2023 artfynd.xlsx", "A 4259-2023")</f>
        <v/>
      </c>
      <c r="T130">
        <f>HYPERLINK("https://klasma.github.io/Logging_0482/kartor/A 4259-2023 karta.png", "A 4259-2023")</f>
        <v/>
      </c>
      <c r="V130">
        <f>HYPERLINK("https://klasma.github.io/Logging_0482/klagomål/A 4259-2023 FSC-klagomål.docx", "A 4259-2023")</f>
        <v/>
      </c>
      <c r="W130">
        <f>HYPERLINK("https://klasma.github.io/Logging_0482/klagomålsmail/A 4259-2023 FSC-klagomål mail.docx", "A 4259-2023")</f>
        <v/>
      </c>
      <c r="X130">
        <f>HYPERLINK("https://klasma.github.io/Logging_0482/tillsyn/A 4259-2023 tillsynsbegäran.docx", "A 4259-2023")</f>
        <v/>
      </c>
      <c r="Y130">
        <f>HYPERLINK("https://klasma.github.io/Logging_0482/tillsynsmail/A 4259-2023 tillsynsbegäran mail.docx", "A 4259-2023")</f>
        <v/>
      </c>
    </row>
    <row r="131" ht="15" customHeight="1">
      <c r="A131" t="inlineStr">
        <is>
          <t>A 12306-2022</t>
        </is>
      </c>
      <c r="B131" s="1" t="n">
        <v>44637</v>
      </c>
      <c r="C131" s="1" t="n">
        <v>46203</v>
      </c>
      <c r="D131" t="inlineStr">
        <is>
          <t>SÖDERMANLANDS LÄN</t>
        </is>
      </c>
      <c r="E131" t="inlineStr">
        <is>
          <t>FLEN</t>
        </is>
      </c>
      <c r="G131" t="n">
        <v>3</v>
      </c>
      <c r="H131" t="n">
        <v>1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Järnsparv</t>
        </is>
      </c>
      <c r="S131">
        <f>HYPERLINK("https://klasma.github.io/Logging_0482/artfynd/A 12306-2022 artfynd.xlsx", "A 12306-2022")</f>
        <v/>
      </c>
      <c r="T131">
        <f>HYPERLINK("https://klasma.github.io/Logging_0482/kartor/A 12306-2022 karta.png", "A 12306-2022")</f>
        <v/>
      </c>
      <c r="V131">
        <f>HYPERLINK("https://klasma.github.io/Logging_0482/klagomål/A 12306-2022 FSC-klagomål.docx", "A 12306-2022")</f>
        <v/>
      </c>
      <c r="W131">
        <f>HYPERLINK("https://klasma.github.io/Logging_0482/klagomålsmail/A 12306-2022 FSC-klagomål mail.docx", "A 12306-2022")</f>
        <v/>
      </c>
      <c r="X131">
        <f>HYPERLINK("https://klasma.github.io/Logging_0482/tillsyn/A 12306-2022 tillsynsbegäran.docx", "A 12306-2022")</f>
        <v/>
      </c>
      <c r="Y131">
        <f>HYPERLINK("https://klasma.github.io/Logging_0482/tillsynsmail/A 12306-2022 tillsynsbegäran mail.docx", "A 12306-2022")</f>
        <v/>
      </c>
      <c r="Z131">
        <f>HYPERLINK("https://klasma.github.io/Logging_0482/fåglar/A 12306-2022 prioriterade fågelarter.docx", "A 12306-2022")</f>
        <v/>
      </c>
    </row>
    <row r="132" ht="15" customHeight="1">
      <c r="A132" t="inlineStr">
        <is>
          <t>A 46987-2024</t>
        </is>
      </c>
      <c r="B132" s="1" t="n">
        <v>45586</v>
      </c>
      <c r="C132" s="1" t="n">
        <v>46203</v>
      </c>
      <c r="D132" t="inlineStr">
        <is>
          <t>SÖDERMANLANDS LÄN</t>
        </is>
      </c>
      <c r="E132" t="inlineStr">
        <is>
          <t>FLEN</t>
        </is>
      </c>
      <c r="G132" t="n">
        <v>1.2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Svinrot</t>
        </is>
      </c>
      <c r="S132">
        <f>HYPERLINK("https://klasma.github.io/Logging_0482/artfynd/A 46987-2024 artfynd.xlsx", "A 46987-2024")</f>
        <v/>
      </c>
      <c r="T132">
        <f>HYPERLINK("https://klasma.github.io/Logging_0482/kartor/A 46987-2024 karta.png", "A 46987-2024")</f>
        <v/>
      </c>
      <c r="V132">
        <f>HYPERLINK("https://klasma.github.io/Logging_0482/klagomål/A 46987-2024 FSC-klagomål.docx", "A 46987-2024")</f>
        <v/>
      </c>
      <c r="W132">
        <f>HYPERLINK("https://klasma.github.io/Logging_0482/klagomålsmail/A 46987-2024 FSC-klagomål mail.docx", "A 46987-2024")</f>
        <v/>
      </c>
      <c r="X132">
        <f>HYPERLINK("https://klasma.github.io/Logging_0482/tillsyn/A 46987-2024 tillsynsbegäran.docx", "A 46987-2024")</f>
        <v/>
      </c>
      <c r="Y132">
        <f>HYPERLINK("https://klasma.github.io/Logging_0482/tillsynsmail/A 46987-2024 tillsynsbegäran mail.docx", "A 46987-2024")</f>
        <v/>
      </c>
    </row>
    <row r="133" ht="15" customHeight="1">
      <c r="A133" t="inlineStr">
        <is>
          <t>A 66230-2021</t>
        </is>
      </c>
      <c r="B133" s="1" t="n">
        <v>44518</v>
      </c>
      <c r="C133" s="1" t="n">
        <v>46203</v>
      </c>
      <c r="D133" t="inlineStr">
        <is>
          <t>SÖDERMANLANDS LÄN</t>
        </is>
      </c>
      <c r="E133" t="inlineStr">
        <is>
          <t>FLEN</t>
        </is>
      </c>
      <c r="G133" t="n">
        <v>1.5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Svinrot</t>
        </is>
      </c>
      <c r="S133">
        <f>HYPERLINK("https://klasma.github.io/Logging_0482/artfynd/A 66230-2021 artfynd.xlsx", "A 66230-2021")</f>
        <v/>
      </c>
      <c r="T133">
        <f>HYPERLINK("https://klasma.github.io/Logging_0482/kartor/A 66230-2021 karta.png", "A 66230-2021")</f>
        <v/>
      </c>
      <c r="V133">
        <f>HYPERLINK("https://klasma.github.io/Logging_0482/klagomål/A 66230-2021 FSC-klagomål.docx", "A 66230-2021")</f>
        <v/>
      </c>
      <c r="W133">
        <f>HYPERLINK("https://klasma.github.io/Logging_0482/klagomålsmail/A 66230-2021 FSC-klagomål mail.docx", "A 66230-2021")</f>
        <v/>
      </c>
      <c r="X133">
        <f>HYPERLINK("https://klasma.github.io/Logging_0482/tillsyn/A 66230-2021 tillsynsbegäran.docx", "A 66230-2021")</f>
        <v/>
      </c>
      <c r="Y133">
        <f>HYPERLINK("https://klasma.github.io/Logging_0482/tillsynsmail/A 66230-2021 tillsynsbegäran mail.docx", "A 66230-2021")</f>
        <v/>
      </c>
    </row>
    <row r="134" ht="15" customHeight="1">
      <c r="A134" t="inlineStr">
        <is>
          <t>A 29195-2023</t>
        </is>
      </c>
      <c r="B134" s="1" t="n">
        <v>45105</v>
      </c>
      <c r="C134" s="1" t="n">
        <v>46203</v>
      </c>
      <c r="D134" t="inlineStr">
        <is>
          <t>SÖDERMANLANDS LÄN</t>
        </is>
      </c>
      <c r="E134" t="inlineStr">
        <is>
          <t>FLEN</t>
        </is>
      </c>
      <c r="F134" t="inlineStr">
        <is>
          <t>Övriga statliga verk och myndigheter</t>
        </is>
      </c>
      <c r="G134" t="n">
        <v>3.9</v>
      </c>
      <c r="H134" t="n">
        <v>1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Plattlummer</t>
        </is>
      </c>
      <c r="S134">
        <f>HYPERLINK("https://klasma.github.io/Logging_0482/artfynd/A 29195-2023 artfynd.xlsx", "A 29195-2023")</f>
        <v/>
      </c>
      <c r="T134">
        <f>HYPERLINK("https://klasma.github.io/Logging_0482/kartor/A 29195-2023 karta.png", "A 29195-2023")</f>
        <v/>
      </c>
      <c r="V134">
        <f>HYPERLINK("https://klasma.github.io/Logging_0482/klagomål/A 29195-2023 FSC-klagomål.docx", "A 29195-2023")</f>
        <v/>
      </c>
      <c r="W134">
        <f>HYPERLINK("https://klasma.github.io/Logging_0482/klagomålsmail/A 29195-2023 FSC-klagomål mail.docx", "A 29195-2023")</f>
        <v/>
      </c>
      <c r="X134">
        <f>HYPERLINK("https://klasma.github.io/Logging_0482/tillsyn/A 29195-2023 tillsynsbegäran.docx", "A 29195-2023")</f>
        <v/>
      </c>
      <c r="Y134">
        <f>HYPERLINK("https://klasma.github.io/Logging_0482/tillsynsmail/A 29195-2023 tillsynsbegäran mail.docx", "A 29195-2023")</f>
        <v/>
      </c>
    </row>
    <row r="135" ht="15" customHeight="1">
      <c r="A135" t="inlineStr">
        <is>
          <t>A 34721-2023</t>
        </is>
      </c>
      <c r="B135" s="1" t="n">
        <v>45141</v>
      </c>
      <c r="C135" s="1" t="n">
        <v>46203</v>
      </c>
      <c r="D135" t="inlineStr">
        <is>
          <t>SÖDERMANLANDS LÄN</t>
        </is>
      </c>
      <c r="E135" t="inlineStr">
        <is>
          <t>FLEN</t>
        </is>
      </c>
      <c r="G135" t="n">
        <v>4.1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Gullklöver</t>
        </is>
      </c>
      <c r="S135">
        <f>HYPERLINK("https://klasma.github.io/Logging_0482/artfynd/A 34721-2023 artfynd.xlsx", "A 34721-2023")</f>
        <v/>
      </c>
      <c r="T135">
        <f>HYPERLINK("https://klasma.github.io/Logging_0482/kartor/A 34721-2023 karta.png", "A 34721-2023")</f>
        <v/>
      </c>
      <c r="V135">
        <f>HYPERLINK("https://klasma.github.io/Logging_0482/klagomål/A 34721-2023 FSC-klagomål.docx", "A 34721-2023")</f>
        <v/>
      </c>
      <c r="W135">
        <f>HYPERLINK("https://klasma.github.io/Logging_0482/klagomålsmail/A 34721-2023 FSC-klagomål mail.docx", "A 34721-2023")</f>
        <v/>
      </c>
      <c r="X135">
        <f>HYPERLINK("https://klasma.github.io/Logging_0482/tillsyn/A 34721-2023 tillsynsbegäran.docx", "A 34721-2023")</f>
        <v/>
      </c>
      <c r="Y135">
        <f>HYPERLINK("https://klasma.github.io/Logging_0482/tillsynsmail/A 34721-2023 tillsynsbegäran mail.docx", "A 34721-2023")</f>
        <v/>
      </c>
    </row>
    <row r="136" ht="15" customHeight="1">
      <c r="A136" t="inlineStr">
        <is>
          <t>A 60591-2022</t>
        </is>
      </c>
      <c r="B136" s="1" t="n">
        <v>44911</v>
      </c>
      <c r="C136" s="1" t="n">
        <v>46203</v>
      </c>
      <c r="D136" t="inlineStr">
        <is>
          <t>SÖDERMANLANDS LÄN</t>
        </is>
      </c>
      <c r="E136" t="inlineStr">
        <is>
          <t>FLEN</t>
        </is>
      </c>
      <c r="F136" t="inlineStr">
        <is>
          <t>Holmen skog AB</t>
        </is>
      </c>
      <c r="G136" t="n">
        <v>1.3</v>
      </c>
      <c r="H136" t="n">
        <v>0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Grönpyrola</t>
        </is>
      </c>
      <c r="S136">
        <f>HYPERLINK("https://klasma.github.io/Logging_0482/artfynd/A 60591-2022 artfynd.xlsx", "A 60591-2022")</f>
        <v/>
      </c>
      <c r="T136">
        <f>HYPERLINK("https://klasma.github.io/Logging_0482/kartor/A 60591-2022 karta.png", "A 60591-2022")</f>
        <v/>
      </c>
      <c r="V136">
        <f>HYPERLINK("https://klasma.github.io/Logging_0482/klagomål/A 60591-2022 FSC-klagomål.docx", "A 60591-2022")</f>
        <v/>
      </c>
      <c r="W136">
        <f>HYPERLINK("https://klasma.github.io/Logging_0482/klagomålsmail/A 60591-2022 FSC-klagomål mail.docx", "A 60591-2022")</f>
        <v/>
      </c>
      <c r="X136">
        <f>HYPERLINK("https://klasma.github.io/Logging_0482/tillsyn/A 60591-2022 tillsynsbegäran.docx", "A 60591-2022")</f>
        <v/>
      </c>
      <c r="Y136">
        <f>HYPERLINK("https://klasma.github.io/Logging_0482/tillsynsmail/A 60591-2022 tillsynsbegäran mail.docx", "A 60591-2022")</f>
        <v/>
      </c>
    </row>
    <row r="137" ht="15" customHeight="1">
      <c r="A137" t="inlineStr">
        <is>
          <t>A 34823-2023</t>
        </is>
      </c>
      <c r="B137" s="1" t="n">
        <v>45140</v>
      </c>
      <c r="C137" s="1" t="n">
        <v>46203</v>
      </c>
      <c r="D137" t="inlineStr">
        <is>
          <t>SÖDERMANLANDS LÄN</t>
        </is>
      </c>
      <c r="E137" t="inlineStr">
        <is>
          <t>FLEN</t>
        </is>
      </c>
      <c r="G137" t="n">
        <v>1.3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Mörk dunört</t>
        </is>
      </c>
      <c r="S137">
        <f>HYPERLINK("https://klasma.github.io/Logging_0482/artfynd/A 34823-2023 artfynd.xlsx", "A 34823-2023")</f>
        <v/>
      </c>
      <c r="T137">
        <f>HYPERLINK("https://klasma.github.io/Logging_0482/kartor/A 34823-2023 karta.png", "A 34823-2023")</f>
        <v/>
      </c>
      <c r="V137">
        <f>HYPERLINK("https://klasma.github.io/Logging_0482/klagomål/A 34823-2023 FSC-klagomål.docx", "A 34823-2023")</f>
        <v/>
      </c>
      <c r="W137">
        <f>HYPERLINK("https://klasma.github.io/Logging_0482/klagomålsmail/A 34823-2023 FSC-klagomål mail.docx", "A 34823-2023")</f>
        <v/>
      </c>
      <c r="X137">
        <f>HYPERLINK("https://klasma.github.io/Logging_0482/tillsyn/A 34823-2023 tillsynsbegäran.docx", "A 34823-2023")</f>
        <v/>
      </c>
      <c r="Y137">
        <f>HYPERLINK("https://klasma.github.io/Logging_0482/tillsynsmail/A 34823-2023 tillsynsbegäran mail.docx", "A 34823-2023")</f>
        <v/>
      </c>
    </row>
    <row r="138" ht="15" customHeight="1">
      <c r="A138" t="inlineStr">
        <is>
          <t>A 60529-2024</t>
        </is>
      </c>
      <c r="B138" s="1" t="n">
        <v>45643</v>
      </c>
      <c r="C138" s="1" t="n">
        <v>46203</v>
      </c>
      <c r="D138" t="inlineStr">
        <is>
          <t>SÖDERMANLANDS LÄN</t>
        </is>
      </c>
      <c r="E138" t="inlineStr">
        <is>
          <t>FLEN</t>
        </is>
      </c>
      <c r="G138" t="n">
        <v>2.5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Skarp dropptaggsvamp</t>
        </is>
      </c>
      <c r="S138">
        <f>HYPERLINK("https://klasma.github.io/Logging_0482/artfynd/A 60529-2024 artfynd.xlsx", "A 60529-2024")</f>
        <v/>
      </c>
      <c r="T138">
        <f>HYPERLINK("https://klasma.github.io/Logging_0482/kartor/A 60529-2024 karta.png", "A 60529-2024")</f>
        <v/>
      </c>
      <c r="V138">
        <f>HYPERLINK("https://klasma.github.io/Logging_0482/klagomål/A 60529-2024 FSC-klagomål.docx", "A 60529-2024")</f>
        <v/>
      </c>
      <c r="W138">
        <f>HYPERLINK("https://klasma.github.io/Logging_0482/klagomålsmail/A 60529-2024 FSC-klagomål mail.docx", "A 60529-2024")</f>
        <v/>
      </c>
      <c r="X138">
        <f>HYPERLINK("https://klasma.github.io/Logging_0482/tillsyn/A 60529-2024 tillsynsbegäran.docx", "A 60529-2024")</f>
        <v/>
      </c>
      <c r="Y138">
        <f>HYPERLINK("https://klasma.github.io/Logging_0482/tillsynsmail/A 60529-2024 tillsynsbegäran mail.docx", "A 60529-2024")</f>
        <v/>
      </c>
    </row>
    <row r="139" ht="15" customHeight="1">
      <c r="A139" t="inlineStr">
        <is>
          <t>A 49820-2023</t>
        </is>
      </c>
      <c r="B139" s="1" t="n">
        <v>45211</v>
      </c>
      <c r="C139" s="1" t="n">
        <v>46203</v>
      </c>
      <c r="D139" t="inlineStr">
        <is>
          <t>SÖDERMANLANDS LÄN</t>
        </is>
      </c>
      <c r="E139" t="inlineStr">
        <is>
          <t>FLEN</t>
        </is>
      </c>
      <c r="G139" t="n">
        <v>3.2</v>
      </c>
      <c r="H139" t="n">
        <v>1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Gullviva</t>
        </is>
      </c>
      <c r="S139">
        <f>HYPERLINK("https://klasma.github.io/Logging_0482/artfynd/A 49820-2023 artfynd.xlsx", "A 49820-2023")</f>
        <v/>
      </c>
      <c r="T139">
        <f>HYPERLINK("https://klasma.github.io/Logging_0482/kartor/A 49820-2023 karta.png", "A 49820-2023")</f>
        <v/>
      </c>
      <c r="V139">
        <f>HYPERLINK("https://klasma.github.io/Logging_0482/klagomål/A 49820-2023 FSC-klagomål.docx", "A 49820-2023")</f>
        <v/>
      </c>
      <c r="W139">
        <f>HYPERLINK("https://klasma.github.io/Logging_0482/klagomålsmail/A 49820-2023 FSC-klagomål mail.docx", "A 49820-2023")</f>
        <v/>
      </c>
      <c r="X139">
        <f>HYPERLINK("https://klasma.github.io/Logging_0482/tillsyn/A 49820-2023 tillsynsbegäran.docx", "A 49820-2023")</f>
        <v/>
      </c>
      <c r="Y139">
        <f>HYPERLINK("https://klasma.github.io/Logging_0482/tillsynsmail/A 49820-2023 tillsynsbegäran mail.docx", "A 49820-2023")</f>
        <v/>
      </c>
    </row>
    <row r="140" ht="15" customHeight="1">
      <c r="A140" t="inlineStr">
        <is>
          <t>A 37283-2024</t>
        </is>
      </c>
      <c r="B140" s="1" t="n">
        <v>45540</v>
      </c>
      <c r="C140" s="1" t="n">
        <v>46203</v>
      </c>
      <c r="D140" t="inlineStr">
        <is>
          <t>SÖDERMANLANDS LÄN</t>
        </is>
      </c>
      <c r="E140" t="inlineStr">
        <is>
          <t>FLEN</t>
        </is>
      </c>
      <c r="G140" t="n">
        <v>1.5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Gullklöver</t>
        </is>
      </c>
      <c r="S140">
        <f>HYPERLINK("https://klasma.github.io/Logging_0482/artfynd/A 37283-2024 artfynd.xlsx", "A 37283-2024")</f>
        <v/>
      </c>
      <c r="T140">
        <f>HYPERLINK("https://klasma.github.io/Logging_0482/kartor/A 37283-2024 karta.png", "A 37283-2024")</f>
        <v/>
      </c>
      <c r="V140">
        <f>HYPERLINK("https://klasma.github.io/Logging_0482/klagomål/A 37283-2024 FSC-klagomål.docx", "A 37283-2024")</f>
        <v/>
      </c>
      <c r="W140">
        <f>HYPERLINK("https://klasma.github.io/Logging_0482/klagomålsmail/A 37283-2024 FSC-klagomål mail.docx", "A 37283-2024")</f>
        <v/>
      </c>
      <c r="X140">
        <f>HYPERLINK("https://klasma.github.io/Logging_0482/tillsyn/A 37283-2024 tillsynsbegäran.docx", "A 37283-2024")</f>
        <v/>
      </c>
      <c r="Y140">
        <f>HYPERLINK("https://klasma.github.io/Logging_0482/tillsynsmail/A 37283-2024 tillsynsbegäran mail.docx", "A 37283-2024")</f>
        <v/>
      </c>
    </row>
    <row r="141" ht="15" customHeight="1">
      <c r="A141" t="inlineStr">
        <is>
          <t>A 7973-2024</t>
        </is>
      </c>
      <c r="B141" s="1" t="n">
        <v>45350</v>
      </c>
      <c r="C141" s="1" t="n">
        <v>46203</v>
      </c>
      <c r="D141" t="inlineStr">
        <is>
          <t>SÖDERMANLANDS LÄN</t>
        </is>
      </c>
      <c r="E141" t="inlineStr">
        <is>
          <t>FLEN</t>
        </is>
      </c>
      <c r="G141" t="n">
        <v>0.9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Vippärt</t>
        </is>
      </c>
      <c r="S141">
        <f>HYPERLINK("https://klasma.github.io/Logging_0482/artfynd/A 7973-2024 artfynd.xlsx", "A 7973-2024")</f>
        <v/>
      </c>
      <c r="T141">
        <f>HYPERLINK("https://klasma.github.io/Logging_0482/kartor/A 7973-2024 karta.png", "A 7973-2024")</f>
        <v/>
      </c>
      <c r="V141">
        <f>HYPERLINK("https://klasma.github.io/Logging_0482/klagomål/A 7973-2024 FSC-klagomål.docx", "A 7973-2024")</f>
        <v/>
      </c>
      <c r="W141">
        <f>HYPERLINK("https://klasma.github.io/Logging_0482/klagomålsmail/A 7973-2024 FSC-klagomål mail.docx", "A 7973-2024")</f>
        <v/>
      </c>
      <c r="X141">
        <f>HYPERLINK("https://klasma.github.io/Logging_0482/tillsyn/A 7973-2024 tillsynsbegäran.docx", "A 7973-2024")</f>
        <v/>
      </c>
      <c r="Y141">
        <f>HYPERLINK("https://klasma.github.io/Logging_0482/tillsynsmail/A 7973-2024 tillsynsbegäran mail.docx", "A 7973-2024")</f>
        <v/>
      </c>
    </row>
    <row r="142" ht="15" customHeight="1">
      <c r="A142" t="inlineStr">
        <is>
          <t>A 43008-2023</t>
        </is>
      </c>
      <c r="B142" s="1" t="n">
        <v>45182</v>
      </c>
      <c r="C142" s="1" t="n">
        <v>46203</v>
      </c>
      <c r="D142" t="inlineStr">
        <is>
          <t>SÖDERMANLANDS LÄN</t>
        </is>
      </c>
      <c r="E142" t="inlineStr">
        <is>
          <t>FLEN</t>
        </is>
      </c>
      <c r="G142" t="n">
        <v>1.5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Gullklöver</t>
        </is>
      </c>
      <c r="S142">
        <f>HYPERLINK("https://klasma.github.io/Logging_0482/artfynd/A 43008-2023 artfynd.xlsx", "A 43008-2023")</f>
        <v/>
      </c>
      <c r="T142">
        <f>HYPERLINK("https://klasma.github.io/Logging_0482/kartor/A 43008-2023 karta.png", "A 43008-2023")</f>
        <v/>
      </c>
      <c r="V142">
        <f>HYPERLINK("https://klasma.github.io/Logging_0482/klagomål/A 43008-2023 FSC-klagomål.docx", "A 43008-2023")</f>
        <v/>
      </c>
      <c r="W142">
        <f>HYPERLINK("https://klasma.github.io/Logging_0482/klagomålsmail/A 43008-2023 FSC-klagomål mail.docx", "A 43008-2023")</f>
        <v/>
      </c>
      <c r="X142">
        <f>HYPERLINK("https://klasma.github.io/Logging_0482/tillsyn/A 43008-2023 tillsynsbegäran.docx", "A 43008-2023")</f>
        <v/>
      </c>
      <c r="Y142">
        <f>HYPERLINK("https://klasma.github.io/Logging_0482/tillsynsmail/A 43008-2023 tillsynsbegäran mail.docx", "A 43008-2023")</f>
        <v/>
      </c>
    </row>
    <row r="143" ht="15" customHeight="1">
      <c r="A143" t="inlineStr">
        <is>
          <t>A 37317-2023</t>
        </is>
      </c>
      <c r="B143" s="1" t="n">
        <v>45156</v>
      </c>
      <c r="C143" s="1" t="n">
        <v>46203</v>
      </c>
      <c r="D143" t="inlineStr">
        <is>
          <t>SÖDERMANLANDS LÄN</t>
        </is>
      </c>
      <c r="E143" t="inlineStr">
        <is>
          <t>FLEN</t>
        </is>
      </c>
      <c r="F143" t="inlineStr">
        <is>
          <t>Holmen skog AB</t>
        </is>
      </c>
      <c r="G143" t="n">
        <v>5.1</v>
      </c>
      <c r="H143" t="n">
        <v>0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Svavelriska</t>
        </is>
      </c>
      <c r="S143">
        <f>HYPERLINK("https://klasma.github.io/Logging_0482/artfynd/A 37317-2023 artfynd.xlsx", "A 37317-2023")</f>
        <v/>
      </c>
      <c r="T143">
        <f>HYPERLINK("https://klasma.github.io/Logging_0482/kartor/A 37317-2023 karta.png", "A 37317-2023")</f>
        <v/>
      </c>
      <c r="V143">
        <f>HYPERLINK("https://klasma.github.io/Logging_0482/klagomål/A 37317-2023 FSC-klagomål.docx", "A 37317-2023")</f>
        <v/>
      </c>
      <c r="W143">
        <f>HYPERLINK("https://klasma.github.io/Logging_0482/klagomålsmail/A 37317-2023 FSC-klagomål mail.docx", "A 37317-2023")</f>
        <v/>
      </c>
      <c r="X143">
        <f>HYPERLINK("https://klasma.github.io/Logging_0482/tillsyn/A 37317-2023 tillsynsbegäran.docx", "A 37317-2023")</f>
        <v/>
      </c>
      <c r="Y143">
        <f>HYPERLINK("https://klasma.github.io/Logging_0482/tillsynsmail/A 37317-2023 tillsynsbegäran mail.docx", "A 37317-2023")</f>
        <v/>
      </c>
    </row>
    <row r="144" ht="15" customHeight="1">
      <c r="A144" t="inlineStr">
        <is>
          <t>A 62223-2021</t>
        </is>
      </c>
      <c r="B144" s="1" t="n">
        <v>44501</v>
      </c>
      <c r="C144" s="1" t="n">
        <v>46203</v>
      </c>
      <c r="D144" t="inlineStr">
        <is>
          <t>SÖDERMANLANDS LÄN</t>
        </is>
      </c>
      <c r="E144" t="inlineStr">
        <is>
          <t>FLEN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24037-2022</t>
        </is>
      </c>
      <c r="B145" s="1" t="n">
        <v>44724</v>
      </c>
      <c r="C145" s="1" t="n">
        <v>46203</v>
      </c>
      <c r="D145" t="inlineStr">
        <is>
          <t>SÖDERMANLANDS LÄN</t>
        </is>
      </c>
      <c r="E145" t="inlineStr">
        <is>
          <t>FLEN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39513-2021</t>
        </is>
      </c>
      <c r="B146" s="1" t="n">
        <v>44414</v>
      </c>
      <c r="C146" s="1" t="n">
        <v>46203</v>
      </c>
      <c r="D146" t="inlineStr">
        <is>
          <t>SÖDERMANLANDS LÄN</t>
        </is>
      </c>
      <c r="E146" t="inlineStr">
        <is>
          <t>FLEN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70701-2021</t>
        </is>
      </c>
      <c r="B147" s="1" t="n">
        <v>44536</v>
      </c>
      <c r="C147" s="1" t="n">
        <v>46203</v>
      </c>
      <c r="D147" t="inlineStr">
        <is>
          <t>SÖDERMANLANDS LÄN</t>
        </is>
      </c>
      <c r="E147" t="inlineStr">
        <is>
          <t>FLEN</t>
        </is>
      </c>
      <c r="G147" t="n">
        <v>7.5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50500-2021</t>
        </is>
      </c>
      <c r="B148" s="1" t="n">
        <v>44458</v>
      </c>
      <c r="C148" s="1" t="n">
        <v>46203</v>
      </c>
      <c r="D148" t="inlineStr">
        <is>
          <t>SÖDERMANLANDS LÄN</t>
        </is>
      </c>
      <c r="E148" t="inlineStr">
        <is>
          <t>FLEN</t>
        </is>
      </c>
      <c r="G148" t="n">
        <v>4.9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8990-2022</t>
        </is>
      </c>
      <c r="B149" s="1" t="n">
        <v>44614</v>
      </c>
      <c r="C149" s="1" t="n">
        <v>46203</v>
      </c>
      <c r="D149" t="inlineStr">
        <is>
          <t>SÖDERMANLANDS LÄN</t>
        </is>
      </c>
      <c r="E149" t="inlineStr">
        <is>
          <t>FLEN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70215-2021</t>
        </is>
      </c>
      <c r="B150" s="1" t="n">
        <v>44535</v>
      </c>
      <c r="C150" s="1" t="n">
        <v>46203</v>
      </c>
      <c r="D150" t="inlineStr">
        <is>
          <t>SÖDERMANLANDS LÄN</t>
        </is>
      </c>
      <c r="E150" t="inlineStr">
        <is>
          <t>FLEN</t>
        </is>
      </c>
      <c r="G150" t="n">
        <v>5.2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39518-2021</t>
        </is>
      </c>
      <c r="B151" s="1" t="n">
        <v>44414</v>
      </c>
      <c r="C151" s="1" t="n">
        <v>46203</v>
      </c>
      <c r="D151" t="inlineStr">
        <is>
          <t>SÖDERMANLANDS LÄN</t>
        </is>
      </c>
      <c r="E151" t="inlineStr">
        <is>
          <t>FLEN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38842-2021</t>
        </is>
      </c>
      <c r="B152" s="1" t="n">
        <v>44411</v>
      </c>
      <c r="C152" s="1" t="n">
        <v>46203</v>
      </c>
      <c r="D152" t="inlineStr">
        <is>
          <t>SÖDERMANLANDS LÄN</t>
        </is>
      </c>
      <c r="E152" t="inlineStr">
        <is>
          <t>FLEN</t>
        </is>
      </c>
      <c r="G152" t="n">
        <v>10.7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48925-2021</t>
        </is>
      </c>
      <c r="B153" s="1" t="n">
        <v>44452</v>
      </c>
      <c r="C153" s="1" t="n">
        <v>46203</v>
      </c>
      <c r="D153" t="inlineStr">
        <is>
          <t>SÖDERMANLANDS LÄN</t>
        </is>
      </c>
      <c r="E153" t="inlineStr">
        <is>
          <t>FLEN</t>
        </is>
      </c>
      <c r="G153" t="n">
        <v>8.4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23960-2022</t>
        </is>
      </c>
      <c r="B154" s="1" t="n">
        <v>44722</v>
      </c>
      <c r="C154" s="1" t="n">
        <v>46203</v>
      </c>
      <c r="D154" t="inlineStr">
        <is>
          <t>SÖDERMANLANDS LÄN</t>
        </is>
      </c>
      <c r="E154" t="inlineStr">
        <is>
          <t>FLEN</t>
        </is>
      </c>
      <c r="F154" t="inlineStr">
        <is>
          <t>Kyrkan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52257-2022</t>
        </is>
      </c>
      <c r="B155" s="1" t="n">
        <v>44869</v>
      </c>
      <c r="C155" s="1" t="n">
        <v>46203</v>
      </c>
      <c r="D155" t="inlineStr">
        <is>
          <t>SÖDERMANLANDS LÄN</t>
        </is>
      </c>
      <c r="E155" t="inlineStr">
        <is>
          <t>FLEN</t>
        </is>
      </c>
      <c r="F155" t="inlineStr">
        <is>
          <t>Övriga statliga verk och myndigheter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49569-2021</t>
        </is>
      </c>
      <c r="B156" s="1" t="n">
        <v>44455</v>
      </c>
      <c r="C156" s="1" t="n">
        <v>46203</v>
      </c>
      <c r="D156" t="inlineStr">
        <is>
          <t>SÖDERMANLANDS LÄN</t>
        </is>
      </c>
      <c r="E156" t="inlineStr">
        <is>
          <t>FLEN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54645-2021</t>
        </is>
      </c>
      <c r="B157" s="1" t="n">
        <v>44473</v>
      </c>
      <c r="C157" s="1" t="n">
        <v>46203</v>
      </c>
      <c r="D157" t="inlineStr">
        <is>
          <t>SÖDERMANLANDS LÄN</t>
        </is>
      </c>
      <c r="E157" t="inlineStr">
        <is>
          <t>FLEN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41638-2021</t>
        </is>
      </c>
      <c r="B158" s="1" t="n">
        <v>44425</v>
      </c>
      <c r="C158" s="1" t="n">
        <v>46203</v>
      </c>
      <c r="D158" t="inlineStr">
        <is>
          <t>SÖDERMANLANDS LÄN</t>
        </is>
      </c>
      <c r="E158" t="inlineStr">
        <is>
          <t>FLEN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7863-2022</t>
        </is>
      </c>
      <c r="B159" s="1" t="n">
        <v>44608</v>
      </c>
      <c r="C159" s="1" t="n">
        <v>46203</v>
      </c>
      <c r="D159" t="inlineStr">
        <is>
          <t>SÖDERMANLANDS LÄN</t>
        </is>
      </c>
      <c r="E159" t="inlineStr">
        <is>
          <t>FLEN</t>
        </is>
      </c>
      <c r="F159" t="inlineStr">
        <is>
          <t>Övriga statliga verk och myndigheter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29367-2022</t>
        </is>
      </c>
      <c r="B160" s="1" t="n">
        <v>44752</v>
      </c>
      <c r="C160" s="1" t="n">
        <v>46203</v>
      </c>
      <c r="D160" t="inlineStr">
        <is>
          <t>SÖDERMANLANDS LÄN</t>
        </is>
      </c>
      <c r="E160" t="inlineStr">
        <is>
          <t>FLEN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23294-2022</t>
        </is>
      </c>
      <c r="B161" s="1" t="n">
        <v>44720</v>
      </c>
      <c r="C161" s="1" t="n">
        <v>46203</v>
      </c>
      <c r="D161" t="inlineStr">
        <is>
          <t>SÖDERMANLANDS LÄN</t>
        </is>
      </c>
      <c r="E161" t="inlineStr">
        <is>
          <t>FLEN</t>
        </is>
      </c>
      <c r="F161" t="inlineStr">
        <is>
          <t>Kyrkan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52050-2022</t>
        </is>
      </c>
      <c r="B162" s="1" t="n">
        <v>44873</v>
      </c>
      <c r="C162" s="1" t="n">
        <v>46203</v>
      </c>
      <c r="D162" t="inlineStr">
        <is>
          <t>SÖDERMANLANDS LÄN</t>
        </is>
      </c>
      <c r="E162" t="inlineStr">
        <is>
          <t>FLEN</t>
        </is>
      </c>
      <c r="G162" t="n">
        <v>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31077-2022</t>
        </is>
      </c>
      <c r="B163" s="1" t="n">
        <v>44769</v>
      </c>
      <c r="C163" s="1" t="n">
        <v>46203</v>
      </c>
      <c r="D163" t="inlineStr">
        <is>
          <t>SÖDERMANLANDS LÄN</t>
        </is>
      </c>
      <c r="E163" t="inlineStr">
        <is>
          <t>FLEN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27992-2022</t>
        </is>
      </c>
      <c r="B164" s="1" t="n">
        <v>44745</v>
      </c>
      <c r="C164" s="1" t="n">
        <v>46203</v>
      </c>
      <c r="D164" t="inlineStr">
        <is>
          <t>SÖDERMANLANDS LÄN</t>
        </is>
      </c>
      <c r="E164" t="inlineStr">
        <is>
          <t>FLEN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51246-2021</t>
        </is>
      </c>
      <c r="B165" s="1" t="n">
        <v>44461</v>
      </c>
      <c r="C165" s="1" t="n">
        <v>46203</v>
      </c>
      <c r="D165" t="inlineStr">
        <is>
          <t>SÖDERMANLANDS LÄN</t>
        </is>
      </c>
      <c r="E165" t="inlineStr">
        <is>
          <t>FLEN</t>
        </is>
      </c>
      <c r="F165" t="inlineStr">
        <is>
          <t>Holmen skog AB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44172-2022</t>
        </is>
      </c>
      <c r="B166" s="1" t="n">
        <v>44839</v>
      </c>
      <c r="C166" s="1" t="n">
        <v>46203</v>
      </c>
      <c r="D166" t="inlineStr">
        <is>
          <t>SÖDERMANLANDS LÄN</t>
        </is>
      </c>
      <c r="E166" t="inlineStr">
        <is>
          <t>FLEN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2496-2022</t>
        </is>
      </c>
      <c r="B167" s="1" t="n">
        <v>44579</v>
      </c>
      <c r="C167" s="1" t="n">
        <v>46203</v>
      </c>
      <c r="D167" t="inlineStr">
        <is>
          <t>SÖDERMANLANDS LÄN</t>
        </is>
      </c>
      <c r="E167" t="inlineStr">
        <is>
          <t>FLEN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49252-2021</t>
        </is>
      </c>
      <c r="B168" s="1" t="n">
        <v>44454</v>
      </c>
      <c r="C168" s="1" t="n">
        <v>46203</v>
      </c>
      <c r="D168" t="inlineStr">
        <is>
          <t>SÖDERMANLANDS LÄN</t>
        </is>
      </c>
      <c r="E168" t="inlineStr">
        <is>
          <t>FLEN</t>
        </is>
      </c>
      <c r="G168" t="n">
        <v>14.7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37257-2022</t>
        </is>
      </c>
      <c r="B169" s="1" t="n">
        <v>44807</v>
      </c>
      <c r="C169" s="1" t="n">
        <v>46203</v>
      </c>
      <c r="D169" t="inlineStr">
        <is>
          <t>SÖDERMANLANDS LÄN</t>
        </is>
      </c>
      <c r="E169" t="inlineStr">
        <is>
          <t>FLEN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39188-2021</t>
        </is>
      </c>
      <c r="B170" s="1" t="n">
        <v>44413</v>
      </c>
      <c r="C170" s="1" t="n">
        <v>46203</v>
      </c>
      <c r="D170" t="inlineStr">
        <is>
          <t>SÖDERMANLANDS LÄN</t>
        </is>
      </c>
      <c r="E170" t="inlineStr">
        <is>
          <t>FLEN</t>
        </is>
      </c>
      <c r="F170" t="inlineStr">
        <is>
          <t>Holmen skog AB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48791-2022</t>
        </is>
      </c>
      <c r="B171" s="1" t="n">
        <v>44855</v>
      </c>
      <c r="C171" s="1" t="n">
        <v>46203</v>
      </c>
      <c r="D171" t="inlineStr">
        <is>
          <t>SÖDERMANLANDS LÄN</t>
        </is>
      </c>
      <c r="E171" t="inlineStr">
        <is>
          <t>FLEN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41658-2021</t>
        </is>
      </c>
      <c r="B172" s="1" t="n">
        <v>44425</v>
      </c>
      <c r="C172" s="1" t="n">
        <v>46203</v>
      </c>
      <c r="D172" t="inlineStr">
        <is>
          <t>SÖDERMANLANDS LÄN</t>
        </is>
      </c>
      <c r="E172" t="inlineStr">
        <is>
          <t>FLEN</t>
        </is>
      </c>
      <c r="G172" t="n">
        <v>7.3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41148-2021</t>
        </is>
      </c>
      <c r="B173" s="1" t="n">
        <v>44423</v>
      </c>
      <c r="C173" s="1" t="n">
        <v>46203</v>
      </c>
      <c r="D173" t="inlineStr">
        <is>
          <t>SÖDERMANLANDS LÄN</t>
        </is>
      </c>
      <c r="E173" t="inlineStr">
        <is>
          <t>FLEN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41150-2021</t>
        </is>
      </c>
      <c r="B174" s="1" t="n">
        <v>44423</v>
      </c>
      <c r="C174" s="1" t="n">
        <v>46203</v>
      </c>
      <c r="D174" t="inlineStr">
        <is>
          <t>SÖDERMANLANDS LÄN</t>
        </is>
      </c>
      <c r="E174" t="inlineStr">
        <is>
          <t>FLEN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53371-2022</t>
        </is>
      </c>
      <c r="B175" s="1" t="n">
        <v>44879</v>
      </c>
      <c r="C175" s="1" t="n">
        <v>46203</v>
      </c>
      <c r="D175" t="inlineStr">
        <is>
          <t>SÖDERMANLANDS LÄN</t>
        </is>
      </c>
      <c r="E175" t="inlineStr">
        <is>
          <t>FLEN</t>
        </is>
      </c>
      <c r="G175" t="n">
        <v>5.8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52519-2021</t>
        </is>
      </c>
      <c r="B176" s="1" t="n">
        <v>44463</v>
      </c>
      <c r="C176" s="1" t="n">
        <v>46203</v>
      </c>
      <c r="D176" t="inlineStr">
        <is>
          <t>SÖDERMANLANDS LÄN</t>
        </is>
      </c>
      <c r="E176" t="inlineStr">
        <is>
          <t>FLEN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48166-2021</t>
        </is>
      </c>
      <c r="B177" s="1" t="n">
        <v>44449</v>
      </c>
      <c r="C177" s="1" t="n">
        <v>46203</v>
      </c>
      <c r="D177" t="inlineStr">
        <is>
          <t>SÖDERMANLANDS LÄN</t>
        </is>
      </c>
      <c r="E177" t="inlineStr">
        <is>
          <t>FLEN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26513-2022</t>
        </is>
      </c>
      <c r="B178" s="1" t="n">
        <v>44739</v>
      </c>
      <c r="C178" s="1" t="n">
        <v>46203</v>
      </c>
      <c r="D178" t="inlineStr">
        <is>
          <t>SÖDERMANLANDS LÄN</t>
        </is>
      </c>
      <c r="E178" t="inlineStr">
        <is>
          <t>FLEN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31079-2022</t>
        </is>
      </c>
      <c r="B179" s="1" t="n">
        <v>44769</v>
      </c>
      <c r="C179" s="1" t="n">
        <v>46203</v>
      </c>
      <c r="D179" t="inlineStr">
        <is>
          <t>SÖDERMANLANDS LÄN</t>
        </is>
      </c>
      <c r="E179" t="inlineStr">
        <is>
          <t>FLEN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47644-2021</t>
        </is>
      </c>
      <c r="B180" s="1" t="n">
        <v>44448</v>
      </c>
      <c r="C180" s="1" t="n">
        <v>46203</v>
      </c>
      <c r="D180" t="inlineStr">
        <is>
          <t>SÖDERMANLANDS LÄN</t>
        </is>
      </c>
      <c r="E180" t="inlineStr">
        <is>
          <t>FLEN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31175-2022</t>
        </is>
      </c>
      <c r="B181" s="1" t="n">
        <v>44770</v>
      </c>
      <c r="C181" s="1" t="n">
        <v>46203</v>
      </c>
      <c r="D181" t="inlineStr">
        <is>
          <t>SÖDERMANLANDS LÄN</t>
        </is>
      </c>
      <c r="E181" t="inlineStr">
        <is>
          <t>FLEN</t>
        </is>
      </c>
      <c r="F181" t="inlineStr">
        <is>
          <t>Övriga statliga verk och myndigheter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12608-2022</t>
        </is>
      </c>
      <c r="B182" s="1" t="n">
        <v>44640</v>
      </c>
      <c r="C182" s="1" t="n">
        <v>46203</v>
      </c>
      <c r="D182" t="inlineStr">
        <is>
          <t>SÖDERMANLANDS LÄN</t>
        </is>
      </c>
      <c r="E182" t="inlineStr">
        <is>
          <t>FLEN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24212-2022</t>
        </is>
      </c>
      <c r="B183" s="1" t="n">
        <v>44725</v>
      </c>
      <c r="C183" s="1" t="n">
        <v>46203</v>
      </c>
      <c r="D183" t="inlineStr">
        <is>
          <t>SÖDERMANLANDS LÄN</t>
        </is>
      </c>
      <c r="E183" t="inlineStr">
        <is>
          <t>FLEN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42177-2022</t>
        </is>
      </c>
      <c r="B184" s="1" t="n">
        <v>44830</v>
      </c>
      <c r="C184" s="1" t="n">
        <v>46203</v>
      </c>
      <c r="D184" t="inlineStr">
        <is>
          <t>SÖDERMANLANDS LÄN</t>
        </is>
      </c>
      <c r="E184" t="inlineStr">
        <is>
          <t>FLEN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37385-2021</t>
        </is>
      </c>
      <c r="B185" s="1" t="n">
        <v>44398</v>
      </c>
      <c r="C185" s="1" t="n">
        <v>46203</v>
      </c>
      <c r="D185" t="inlineStr">
        <is>
          <t>SÖDERMANLANDS LÄN</t>
        </is>
      </c>
      <c r="E185" t="inlineStr">
        <is>
          <t>FLEN</t>
        </is>
      </c>
      <c r="F185" t="inlineStr">
        <is>
          <t>Holmen skog AB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13529-2022</t>
        </is>
      </c>
      <c r="B186" s="1" t="n">
        <v>44643</v>
      </c>
      <c r="C186" s="1" t="n">
        <v>46203</v>
      </c>
      <c r="D186" t="inlineStr">
        <is>
          <t>SÖDERMANLANDS LÄN</t>
        </is>
      </c>
      <c r="E186" t="inlineStr">
        <is>
          <t>FLEN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54840-2021</t>
        </is>
      </c>
      <c r="B187" s="1" t="n">
        <v>44474</v>
      </c>
      <c r="C187" s="1" t="n">
        <v>46203</v>
      </c>
      <c r="D187" t="inlineStr">
        <is>
          <t>SÖDERMANLANDS LÄN</t>
        </is>
      </c>
      <c r="E187" t="inlineStr">
        <is>
          <t>FLEN</t>
        </is>
      </c>
      <c r="F187" t="inlineStr">
        <is>
          <t>Holmen skog AB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32098-2022</t>
        </is>
      </c>
      <c r="B188" s="1" t="n">
        <v>44778</v>
      </c>
      <c r="C188" s="1" t="n">
        <v>46203</v>
      </c>
      <c r="D188" t="inlineStr">
        <is>
          <t>SÖDERMANLANDS LÄN</t>
        </is>
      </c>
      <c r="E188" t="inlineStr">
        <is>
          <t>FLEN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4065-2022</t>
        </is>
      </c>
      <c r="B189" s="1" t="n">
        <v>44588</v>
      </c>
      <c r="C189" s="1" t="n">
        <v>46203</v>
      </c>
      <c r="D189" t="inlineStr">
        <is>
          <t>SÖDERMANLANDS LÄN</t>
        </is>
      </c>
      <c r="E189" t="inlineStr">
        <is>
          <t>FLEN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31068-2022</t>
        </is>
      </c>
      <c r="B190" s="1" t="n">
        <v>44769</v>
      </c>
      <c r="C190" s="1" t="n">
        <v>46203</v>
      </c>
      <c r="D190" t="inlineStr">
        <is>
          <t>SÖDERMANLANDS LÄN</t>
        </is>
      </c>
      <c r="E190" t="inlineStr">
        <is>
          <t>FLEN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44161-2022</t>
        </is>
      </c>
      <c r="B191" s="1" t="n">
        <v>44839</v>
      </c>
      <c r="C191" s="1" t="n">
        <v>46203</v>
      </c>
      <c r="D191" t="inlineStr">
        <is>
          <t>SÖDERMANLANDS LÄN</t>
        </is>
      </c>
      <c r="E191" t="inlineStr">
        <is>
          <t>FLEN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55081-2022</t>
        </is>
      </c>
      <c r="B192" s="1" t="n">
        <v>44886</v>
      </c>
      <c r="C192" s="1" t="n">
        <v>46203</v>
      </c>
      <c r="D192" t="inlineStr">
        <is>
          <t>SÖDERMANLANDS LÄN</t>
        </is>
      </c>
      <c r="E192" t="inlineStr">
        <is>
          <t>FLEN</t>
        </is>
      </c>
      <c r="G192" t="n">
        <v>6.8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47759-2022</t>
        </is>
      </c>
      <c r="B193" s="1" t="n">
        <v>44854</v>
      </c>
      <c r="C193" s="1" t="n">
        <v>46203</v>
      </c>
      <c r="D193" t="inlineStr">
        <is>
          <t>SÖDERMANLANDS LÄN</t>
        </is>
      </c>
      <c r="E193" t="inlineStr">
        <is>
          <t>FLEN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20013-2022</t>
        </is>
      </c>
      <c r="B194" s="1" t="n">
        <v>44697</v>
      </c>
      <c r="C194" s="1" t="n">
        <v>46203</v>
      </c>
      <c r="D194" t="inlineStr">
        <is>
          <t>SÖDERMANLANDS LÄN</t>
        </is>
      </c>
      <c r="E194" t="inlineStr">
        <is>
          <t>FLEN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48298-2021</t>
        </is>
      </c>
      <c r="B195" s="1" t="n">
        <v>44450</v>
      </c>
      <c r="C195" s="1" t="n">
        <v>46203</v>
      </c>
      <c r="D195" t="inlineStr">
        <is>
          <t>SÖDERMANLANDS LÄN</t>
        </is>
      </c>
      <c r="E195" t="inlineStr">
        <is>
          <t>FLEN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2162-2022</t>
        </is>
      </c>
      <c r="B196" s="1" t="n">
        <v>44578</v>
      </c>
      <c r="C196" s="1" t="n">
        <v>46203</v>
      </c>
      <c r="D196" t="inlineStr">
        <is>
          <t>SÖDERMANLANDS LÄN</t>
        </is>
      </c>
      <c r="E196" t="inlineStr">
        <is>
          <t>FLEN</t>
        </is>
      </c>
      <c r="F196" t="inlineStr">
        <is>
          <t>Övriga statliga verk och myndigheter</t>
        </is>
      </c>
      <c r="G196" t="n">
        <v>6.1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31096-2022</t>
        </is>
      </c>
      <c r="B197" s="1" t="n">
        <v>44769</v>
      </c>
      <c r="C197" s="1" t="n">
        <v>46203</v>
      </c>
      <c r="D197" t="inlineStr">
        <is>
          <t>SÖDERMANLANDS LÄN</t>
        </is>
      </c>
      <c r="E197" t="inlineStr">
        <is>
          <t>FLEN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46414-2022</t>
        </is>
      </c>
      <c r="B198" s="1" t="n">
        <v>44846</v>
      </c>
      <c r="C198" s="1" t="n">
        <v>46203</v>
      </c>
      <c r="D198" t="inlineStr">
        <is>
          <t>SÖDERMANLANDS LÄN</t>
        </is>
      </c>
      <c r="E198" t="inlineStr">
        <is>
          <t>FLEN</t>
        </is>
      </c>
      <c r="F198" t="inlineStr">
        <is>
          <t>Kyrkan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35649-2021</t>
        </is>
      </c>
      <c r="B199" s="1" t="n">
        <v>44384</v>
      </c>
      <c r="C199" s="1" t="n">
        <v>46203</v>
      </c>
      <c r="D199" t="inlineStr">
        <is>
          <t>SÖDERMANLANDS LÄN</t>
        </is>
      </c>
      <c r="E199" t="inlineStr">
        <is>
          <t>FLEN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12171-2022</t>
        </is>
      </c>
      <c r="B200" s="1" t="n">
        <v>44636</v>
      </c>
      <c r="C200" s="1" t="n">
        <v>46203</v>
      </c>
      <c r="D200" t="inlineStr">
        <is>
          <t>SÖDERMANLANDS LÄN</t>
        </is>
      </c>
      <c r="E200" t="inlineStr">
        <is>
          <t>FLEN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45468-2021</t>
        </is>
      </c>
      <c r="B201" s="1" t="n">
        <v>44440</v>
      </c>
      <c r="C201" s="1" t="n">
        <v>46203</v>
      </c>
      <c r="D201" t="inlineStr">
        <is>
          <t>SÖDERMANLANDS LÄN</t>
        </is>
      </c>
      <c r="E201" t="inlineStr">
        <is>
          <t>FLEN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35250-2021</t>
        </is>
      </c>
      <c r="B202" s="1" t="n">
        <v>44384</v>
      </c>
      <c r="C202" s="1" t="n">
        <v>46203</v>
      </c>
      <c r="D202" t="inlineStr">
        <is>
          <t>SÖDERMANLANDS LÄN</t>
        </is>
      </c>
      <c r="E202" t="inlineStr">
        <is>
          <t>FLEN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35714-2021</t>
        </is>
      </c>
      <c r="B203" s="1" t="n">
        <v>44386</v>
      </c>
      <c r="C203" s="1" t="n">
        <v>46203</v>
      </c>
      <c r="D203" t="inlineStr">
        <is>
          <t>SÖDERMANLANDS LÄN</t>
        </is>
      </c>
      <c r="E203" t="inlineStr">
        <is>
          <t>FLEN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43640-2021</t>
        </is>
      </c>
      <c r="B204" s="1" t="n">
        <v>44433</v>
      </c>
      <c r="C204" s="1" t="n">
        <v>46203</v>
      </c>
      <c r="D204" t="inlineStr">
        <is>
          <t>SÖDERMANLANDS LÄN</t>
        </is>
      </c>
      <c r="E204" t="inlineStr">
        <is>
          <t>FLEN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29378-2022</t>
        </is>
      </c>
      <c r="B205" s="1" t="n">
        <v>44752</v>
      </c>
      <c r="C205" s="1" t="n">
        <v>46203</v>
      </c>
      <c r="D205" t="inlineStr">
        <is>
          <t>SÖDERMANLANDS LÄN</t>
        </is>
      </c>
      <c r="E205" t="inlineStr">
        <is>
          <t>FLEN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29384-2022</t>
        </is>
      </c>
      <c r="B206" s="1" t="n">
        <v>44752</v>
      </c>
      <c r="C206" s="1" t="n">
        <v>46203</v>
      </c>
      <c r="D206" t="inlineStr">
        <is>
          <t>SÖDERMANLANDS LÄN</t>
        </is>
      </c>
      <c r="E206" t="inlineStr">
        <is>
          <t>FLEN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550-2022</t>
        </is>
      </c>
      <c r="B207" s="1" t="n">
        <v>44566</v>
      </c>
      <c r="C207" s="1" t="n">
        <v>46203</v>
      </c>
      <c r="D207" t="inlineStr">
        <is>
          <t>SÖDERMANLANDS LÄN</t>
        </is>
      </c>
      <c r="E207" t="inlineStr">
        <is>
          <t>FLEN</t>
        </is>
      </c>
      <c r="F207" t="inlineStr">
        <is>
          <t>Kyrkan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50731-2022</t>
        </is>
      </c>
      <c r="B208" s="1" t="n">
        <v>44862</v>
      </c>
      <c r="C208" s="1" t="n">
        <v>46203</v>
      </c>
      <c r="D208" t="inlineStr">
        <is>
          <t>SÖDERMANLANDS LÄN</t>
        </is>
      </c>
      <c r="E208" t="inlineStr">
        <is>
          <t>FLEN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8301-2022</t>
        </is>
      </c>
      <c r="B209" s="1" t="n">
        <v>44610</v>
      </c>
      <c r="C209" s="1" t="n">
        <v>46203</v>
      </c>
      <c r="D209" t="inlineStr">
        <is>
          <t>SÖDERMANLANDS LÄN</t>
        </is>
      </c>
      <c r="E209" t="inlineStr">
        <is>
          <t>FLEN</t>
        </is>
      </c>
      <c r="F209" t="inlineStr">
        <is>
          <t>Övriga statliga verk och myndigheter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13533-2022</t>
        </is>
      </c>
      <c r="B210" s="1" t="n">
        <v>44643</v>
      </c>
      <c r="C210" s="1" t="n">
        <v>46203</v>
      </c>
      <c r="D210" t="inlineStr">
        <is>
          <t>SÖDERMANLANDS LÄN</t>
        </is>
      </c>
      <c r="E210" t="inlineStr">
        <is>
          <t>FLEN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47613-2021</t>
        </is>
      </c>
      <c r="B211" s="1" t="n">
        <v>44448</v>
      </c>
      <c r="C211" s="1" t="n">
        <v>46203</v>
      </c>
      <c r="D211" t="inlineStr">
        <is>
          <t>SÖDERMANLANDS LÄN</t>
        </is>
      </c>
      <c r="E211" t="inlineStr">
        <is>
          <t>FLEN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21351-2022</t>
        </is>
      </c>
      <c r="B212" s="1" t="n">
        <v>44705</v>
      </c>
      <c r="C212" s="1" t="n">
        <v>46203</v>
      </c>
      <c r="D212" t="inlineStr">
        <is>
          <t>SÖDERMANLANDS LÄN</t>
        </is>
      </c>
      <c r="E212" t="inlineStr">
        <is>
          <t>FLEN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12174-2022</t>
        </is>
      </c>
      <c r="B213" s="1" t="n">
        <v>44636</v>
      </c>
      <c r="C213" s="1" t="n">
        <v>46203</v>
      </c>
      <c r="D213" t="inlineStr">
        <is>
          <t>SÖDERMANLANDS LÄN</t>
        </is>
      </c>
      <c r="E213" t="inlineStr">
        <is>
          <t>FLEN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39673-2022</t>
        </is>
      </c>
      <c r="B214" s="1" t="n">
        <v>44818</v>
      </c>
      <c r="C214" s="1" t="n">
        <v>46203</v>
      </c>
      <c r="D214" t="inlineStr">
        <is>
          <t>SÖDERMANLANDS LÄN</t>
        </is>
      </c>
      <c r="E214" t="inlineStr">
        <is>
          <t>FLEN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10281-2025</t>
        </is>
      </c>
      <c r="B215" s="1" t="n">
        <v>45720</v>
      </c>
      <c r="C215" s="1" t="n">
        <v>46203</v>
      </c>
      <c r="D215" t="inlineStr">
        <is>
          <t>SÖDERMANLANDS LÄN</t>
        </is>
      </c>
      <c r="E215" t="inlineStr">
        <is>
          <t>FLEN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27146-2022</t>
        </is>
      </c>
      <c r="B216" s="1" t="n">
        <v>44741</v>
      </c>
      <c r="C216" s="1" t="n">
        <v>46203</v>
      </c>
      <c r="D216" t="inlineStr">
        <is>
          <t>SÖDERMANLANDS LÄN</t>
        </is>
      </c>
      <c r="E216" t="inlineStr">
        <is>
          <t>FLEN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53517-2023</t>
        </is>
      </c>
      <c r="B217" s="1" t="n">
        <v>45230</v>
      </c>
      <c r="C217" s="1" t="n">
        <v>46203</v>
      </c>
      <c r="D217" t="inlineStr">
        <is>
          <t>SÖDERMANLANDS LÄN</t>
        </is>
      </c>
      <c r="E217" t="inlineStr">
        <is>
          <t>FLEN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2448-2024</t>
        </is>
      </c>
      <c r="B218" s="1" t="n">
        <v>45311</v>
      </c>
      <c r="C218" s="1" t="n">
        <v>46203</v>
      </c>
      <c r="D218" t="inlineStr">
        <is>
          <t>SÖDERMANLANDS LÄN</t>
        </is>
      </c>
      <c r="E218" t="inlineStr">
        <is>
          <t>FLEN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9147-2024</t>
        </is>
      </c>
      <c r="B219" s="1" t="n">
        <v>45358</v>
      </c>
      <c r="C219" s="1" t="n">
        <v>46203</v>
      </c>
      <c r="D219" t="inlineStr">
        <is>
          <t>SÖDERMANLANDS LÄN</t>
        </is>
      </c>
      <c r="E219" t="inlineStr">
        <is>
          <t>FLEN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53121-2023</t>
        </is>
      </c>
      <c r="B220" s="1" t="n">
        <v>45228</v>
      </c>
      <c r="C220" s="1" t="n">
        <v>46203</v>
      </c>
      <c r="D220" t="inlineStr">
        <is>
          <t>SÖDERMANLANDS LÄN</t>
        </is>
      </c>
      <c r="E220" t="inlineStr">
        <is>
          <t>FLEN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49828-2022</t>
        </is>
      </c>
      <c r="B221" s="1" t="n">
        <v>44862</v>
      </c>
      <c r="C221" s="1" t="n">
        <v>46203</v>
      </c>
      <c r="D221" t="inlineStr">
        <is>
          <t>SÖDERMANLANDS LÄN</t>
        </is>
      </c>
      <c r="E221" t="inlineStr">
        <is>
          <t>FLEN</t>
        </is>
      </c>
      <c r="F221" t="inlineStr">
        <is>
          <t>Kyrkan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47872-2025</t>
        </is>
      </c>
      <c r="B222" s="1" t="n">
        <v>45932</v>
      </c>
      <c r="C222" s="1" t="n">
        <v>46203</v>
      </c>
      <c r="D222" t="inlineStr">
        <is>
          <t>SÖDERMANLANDS LÄN</t>
        </is>
      </c>
      <c r="E222" t="inlineStr">
        <is>
          <t>FLEN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47989-2025</t>
        </is>
      </c>
      <c r="B223" s="1" t="n">
        <v>45932</v>
      </c>
      <c r="C223" s="1" t="n">
        <v>46203</v>
      </c>
      <c r="D223" t="inlineStr">
        <is>
          <t>SÖDERMANLANDS LÄN</t>
        </is>
      </c>
      <c r="E223" t="inlineStr">
        <is>
          <t>FLEN</t>
        </is>
      </c>
      <c r="F223" t="inlineStr">
        <is>
          <t>Holmen skog AB</t>
        </is>
      </c>
      <c r="G223" t="n">
        <v>9.1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42731-2024</t>
        </is>
      </c>
      <c r="B224" s="1" t="n">
        <v>45566</v>
      </c>
      <c r="C224" s="1" t="n">
        <v>46203</v>
      </c>
      <c r="D224" t="inlineStr">
        <is>
          <t>SÖDERMANLANDS LÄN</t>
        </is>
      </c>
      <c r="E224" t="inlineStr">
        <is>
          <t>FLEN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57044-2023</t>
        </is>
      </c>
      <c r="B225" s="1" t="n">
        <v>45244</v>
      </c>
      <c r="C225" s="1" t="n">
        <v>46203</v>
      </c>
      <c r="D225" t="inlineStr">
        <is>
          <t>SÖDERMANLANDS LÄN</t>
        </is>
      </c>
      <c r="E225" t="inlineStr">
        <is>
          <t>FLEN</t>
        </is>
      </c>
      <c r="F225" t="inlineStr">
        <is>
          <t>Övriga statliga verk och myndigheter</t>
        </is>
      </c>
      <c r="G225" t="n">
        <v>4.2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13233-2024</t>
        </is>
      </c>
      <c r="B226" s="1" t="n">
        <v>45386</v>
      </c>
      <c r="C226" s="1" t="n">
        <v>46203</v>
      </c>
      <c r="D226" t="inlineStr">
        <is>
          <t>SÖDERMANLANDS LÄN</t>
        </is>
      </c>
      <c r="E226" t="inlineStr">
        <is>
          <t>FLEN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48119-2025</t>
        </is>
      </c>
      <c r="B227" s="1" t="n">
        <v>45933</v>
      </c>
      <c r="C227" s="1" t="n">
        <v>46203</v>
      </c>
      <c r="D227" t="inlineStr">
        <is>
          <t>SÖDERMANLANDS LÄN</t>
        </is>
      </c>
      <c r="E227" t="inlineStr">
        <is>
          <t>FLEN</t>
        </is>
      </c>
      <c r="F227" t="inlineStr">
        <is>
          <t>Holmen skog AB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48169-2025</t>
        </is>
      </c>
      <c r="B228" s="1" t="n">
        <v>45933</v>
      </c>
      <c r="C228" s="1" t="n">
        <v>46203</v>
      </c>
      <c r="D228" t="inlineStr">
        <is>
          <t>SÖDERMANLANDS LÄN</t>
        </is>
      </c>
      <c r="E228" t="inlineStr">
        <is>
          <t>FLEN</t>
        </is>
      </c>
      <c r="F228" t="inlineStr">
        <is>
          <t>Holmen skog AB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20952-2025</t>
        </is>
      </c>
      <c r="B229" s="1" t="n">
        <v>45777</v>
      </c>
      <c r="C229" s="1" t="n">
        <v>46203</v>
      </c>
      <c r="D229" t="inlineStr">
        <is>
          <t>SÖDERMANLANDS LÄN</t>
        </is>
      </c>
      <c r="E229" t="inlineStr">
        <is>
          <t>FLEN</t>
        </is>
      </c>
      <c r="F229" t="inlineStr">
        <is>
          <t>Holmen skog AB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38464-2025</t>
        </is>
      </c>
      <c r="B230" s="1" t="n">
        <v>45883</v>
      </c>
      <c r="C230" s="1" t="n">
        <v>46203</v>
      </c>
      <c r="D230" t="inlineStr">
        <is>
          <t>SÖDERMANLANDS LÄN</t>
        </is>
      </c>
      <c r="E230" t="inlineStr">
        <is>
          <t>FLEN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7960-2024</t>
        </is>
      </c>
      <c r="B231" s="1" t="n">
        <v>45350</v>
      </c>
      <c r="C231" s="1" t="n">
        <v>46203</v>
      </c>
      <c r="D231" t="inlineStr">
        <is>
          <t>SÖDERMANLANDS LÄN</t>
        </is>
      </c>
      <c r="E231" t="inlineStr">
        <is>
          <t>FLEN</t>
        </is>
      </c>
      <c r="G231" t="n">
        <v>10.4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59051-2023</t>
        </is>
      </c>
      <c r="B232" s="1" t="n">
        <v>45252</v>
      </c>
      <c r="C232" s="1" t="n">
        <v>46203</v>
      </c>
      <c r="D232" t="inlineStr">
        <is>
          <t>SÖDERMANLANDS LÄN</t>
        </is>
      </c>
      <c r="E232" t="inlineStr">
        <is>
          <t>FLEN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13909-2023</t>
        </is>
      </c>
      <c r="B233" s="1" t="n">
        <v>45008</v>
      </c>
      <c r="C233" s="1" t="n">
        <v>46203</v>
      </c>
      <c r="D233" t="inlineStr">
        <is>
          <t>SÖDERMANLANDS LÄN</t>
        </is>
      </c>
      <c r="E233" t="inlineStr">
        <is>
          <t>FLEN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47055-2022</t>
        </is>
      </c>
      <c r="B234" s="1" t="n">
        <v>44852</v>
      </c>
      <c r="C234" s="1" t="n">
        <v>46203</v>
      </c>
      <c r="D234" t="inlineStr">
        <is>
          <t>SÖDERMANLANDS LÄN</t>
        </is>
      </c>
      <c r="E234" t="inlineStr">
        <is>
          <t>FLEN</t>
        </is>
      </c>
      <c r="G234" t="n">
        <v>8.699999999999999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54736-2022</t>
        </is>
      </c>
      <c r="B235" s="1" t="n">
        <v>44883</v>
      </c>
      <c r="C235" s="1" t="n">
        <v>46203</v>
      </c>
      <c r="D235" t="inlineStr">
        <is>
          <t>SÖDERMANLANDS LÄN</t>
        </is>
      </c>
      <c r="E235" t="inlineStr">
        <is>
          <t>FLEN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51768-2023</t>
        </is>
      </c>
      <c r="B236" s="1" t="n">
        <v>45222</v>
      </c>
      <c r="C236" s="1" t="n">
        <v>46203</v>
      </c>
      <c r="D236" t="inlineStr">
        <is>
          <t>SÖDERMANLANDS LÄN</t>
        </is>
      </c>
      <c r="E236" t="inlineStr">
        <is>
          <t>FLEN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5194-2024</t>
        </is>
      </c>
      <c r="B237" s="1" t="n">
        <v>45330</v>
      </c>
      <c r="C237" s="1" t="n">
        <v>46203</v>
      </c>
      <c r="D237" t="inlineStr">
        <is>
          <t>SÖDERMANLANDS LÄN</t>
        </is>
      </c>
      <c r="E237" t="inlineStr">
        <is>
          <t>FLEN</t>
        </is>
      </c>
      <c r="F237" t="inlineStr">
        <is>
          <t>Övriga statliga verk och myndigheter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17290-2024</t>
        </is>
      </c>
      <c r="B238" s="1" t="n">
        <v>45414</v>
      </c>
      <c r="C238" s="1" t="n">
        <v>46203</v>
      </c>
      <c r="D238" t="inlineStr">
        <is>
          <t>SÖDERMANLANDS LÄN</t>
        </is>
      </c>
      <c r="E238" t="inlineStr">
        <is>
          <t>FLEN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22882-2025</t>
        </is>
      </c>
      <c r="B239" s="1" t="n">
        <v>45790</v>
      </c>
      <c r="C239" s="1" t="n">
        <v>46203</v>
      </c>
      <c r="D239" t="inlineStr">
        <is>
          <t>SÖDERMANLANDS LÄN</t>
        </is>
      </c>
      <c r="E239" t="inlineStr">
        <is>
          <t>FLEN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22892-2025</t>
        </is>
      </c>
      <c r="B240" s="1" t="n">
        <v>45790</v>
      </c>
      <c r="C240" s="1" t="n">
        <v>46203</v>
      </c>
      <c r="D240" t="inlineStr">
        <is>
          <t>SÖDERMANLANDS LÄN</t>
        </is>
      </c>
      <c r="E240" t="inlineStr">
        <is>
          <t>FLEN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22989-2025</t>
        </is>
      </c>
      <c r="B241" s="1" t="n">
        <v>45790</v>
      </c>
      <c r="C241" s="1" t="n">
        <v>46203</v>
      </c>
      <c r="D241" t="inlineStr">
        <is>
          <t>SÖDERMANLANDS LÄN</t>
        </is>
      </c>
      <c r="E241" t="inlineStr">
        <is>
          <t>FLEN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50727-2025</t>
        </is>
      </c>
      <c r="B242" s="1" t="n">
        <v>45946</v>
      </c>
      <c r="C242" s="1" t="n">
        <v>46203</v>
      </c>
      <c r="D242" t="inlineStr">
        <is>
          <t>SÖDERMANLANDS LÄN</t>
        </is>
      </c>
      <c r="E242" t="inlineStr">
        <is>
          <t>FLEN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39161-2025</t>
        </is>
      </c>
      <c r="B243" s="1" t="n">
        <v>45888</v>
      </c>
      <c r="C243" s="1" t="n">
        <v>46203</v>
      </c>
      <c r="D243" t="inlineStr">
        <is>
          <t>SÖDERMANLANDS LÄN</t>
        </is>
      </c>
      <c r="E243" t="inlineStr">
        <is>
          <t>FLEN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22867-2025</t>
        </is>
      </c>
      <c r="B244" s="1" t="n">
        <v>45790</v>
      </c>
      <c r="C244" s="1" t="n">
        <v>46203</v>
      </c>
      <c r="D244" t="inlineStr">
        <is>
          <t>SÖDERMANLANDS LÄN</t>
        </is>
      </c>
      <c r="E244" t="inlineStr">
        <is>
          <t>FLEN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22998-2025</t>
        </is>
      </c>
      <c r="B245" s="1" t="n">
        <v>45790</v>
      </c>
      <c r="C245" s="1" t="n">
        <v>46203</v>
      </c>
      <c r="D245" t="inlineStr">
        <is>
          <t>SÖDERMANLANDS LÄN</t>
        </is>
      </c>
      <c r="E245" t="inlineStr">
        <is>
          <t>FLEN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58926-2023</t>
        </is>
      </c>
      <c r="B246" s="1" t="n">
        <v>45250</v>
      </c>
      <c r="C246" s="1" t="n">
        <v>46203</v>
      </c>
      <c r="D246" t="inlineStr">
        <is>
          <t>SÖDERMANLANDS LÄN</t>
        </is>
      </c>
      <c r="E246" t="inlineStr">
        <is>
          <t>FLEN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58267-2023</t>
        </is>
      </c>
      <c r="B247" s="1" t="n">
        <v>45250</v>
      </c>
      <c r="C247" s="1" t="n">
        <v>46203</v>
      </c>
      <c r="D247" t="inlineStr">
        <is>
          <t>SÖDERMANLANDS LÄN</t>
        </is>
      </c>
      <c r="E247" t="inlineStr">
        <is>
          <t>FLEN</t>
        </is>
      </c>
      <c r="F247" t="inlineStr">
        <is>
          <t>Holmen skog AB</t>
        </is>
      </c>
      <c r="G247" t="n">
        <v>14.7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51955-2025</t>
        </is>
      </c>
      <c r="B248" s="1" t="n">
        <v>45952</v>
      </c>
      <c r="C248" s="1" t="n">
        <v>46203</v>
      </c>
      <c r="D248" t="inlineStr">
        <is>
          <t>SÖDERMANLANDS LÄN</t>
        </is>
      </c>
      <c r="E248" t="inlineStr">
        <is>
          <t>FLEN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14859-2024</t>
        </is>
      </c>
      <c r="B249" s="1" t="n">
        <v>45398</v>
      </c>
      <c r="C249" s="1" t="n">
        <v>46203</v>
      </c>
      <c r="D249" t="inlineStr">
        <is>
          <t>SÖDERMANLANDS LÄN</t>
        </is>
      </c>
      <c r="E249" t="inlineStr">
        <is>
          <t>FLEN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40412-2024</t>
        </is>
      </c>
      <c r="B250" s="1" t="n">
        <v>45555</v>
      </c>
      <c r="C250" s="1" t="n">
        <v>46203</v>
      </c>
      <c r="D250" t="inlineStr">
        <is>
          <t>SÖDERMANLANDS LÄN</t>
        </is>
      </c>
      <c r="E250" t="inlineStr">
        <is>
          <t>FLEN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52775-2024</t>
        </is>
      </c>
      <c r="B251" s="1" t="n">
        <v>45610</v>
      </c>
      <c r="C251" s="1" t="n">
        <v>46203</v>
      </c>
      <c r="D251" t="inlineStr">
        <is>
          <t>SÖDERMANLANDS LÄN</t>
        </is>
      </c>
      <c r="E251" t="inlineStr">
        <is>
          <t>FLEN</t>
        </is>
      </c>
      <c r="G251" t="n">
        <v>3.9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21476-2024</t>
        </is>
      </c>
      <c r="B252" s="1" t="n">
        <v>45441</v>
      </c>
      <c r="C252" s="1" t="n">
        <v>46203</v>
      </c>
      <c r="D252" t="inlineStr">
        <is>
          <t>SÖDERMANLANDS LÄN</t>
        </is>
      </c>
      <c r="E252" t="inlineStr">
        <is>
          <t>FLEN</t>
        </is>
      </c>
      <c r="G252" t="n">
        <v>4.3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34817-2022</t>
        </is>
      </c>
      <c r="B253" s="1" t="n">
        <v>44796</v>
      </c>
      <c r="C253" s="1" t="n">
        <v>46203</v>
      </c>
      <c r="D253" t="inlineStr">
        <is>
          <t>SÖDERMANLANDS LÄN</t>
        </is>
      </c>
      <c r="E253" t="inlineStr">
        <is>
          <t>FLEN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31214-2023</t>
        </is>
      </c>
      <c r="B254" s="1" t="n">
        <v>45114</v>
      </c>
      <c r="C254" s="1" t="n">
        <v>46203</v>
      </c>
      <c r="D254" t="inlineStr">
        <is>
          <t>SÖDERMANLANDS LÄN</t>
        </is>
      </c>
      <c r="E254" t="inlineStr">
        <is>
          <t>FLEN</t>
        </is>
      </c>
      <c r="G254" t="n">
        <v>4.2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42936-2021</t>
        </is>
      </c>
      <c r="B255" s="1" t="n">
        <v>44431</v>
      </c>
      <c r="C255" s="1" t="n">
        <v>46203</v>
      </c>
      <c r="D255" t="inlineStr">
        <is>
          <t>SÖDERMANLANDS LÄN</t>
        </is>
      </c>
      <c r="E255" t="inlineStr">
        <is>
          <t>FLEN</t>
        </is>
      </c>
      <c r="F255" t="inlineStr">
        <is>
          <t>Holmen skog AB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24480-2025</t>
        </is>
      </c>
      <c r="B256" s="1" t="n">
        <v>45798</v>
      </c>
      <c r="C256" s="1" t="n">
        <v>46203</v>
      </c>
      <c r="D256" t="inlineStr">
        <is>
          <t>SÖDERMANLANDS LÄN</t>
        </is>
      </c>
      <c r="E256" t="inlineStr">
        <is>
          <t>FLEN</t>
        </is>
      </c>
      <c r="F256" t="inlineStr">
        <is>
          <t>Holmen skog AB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59779-2023</t>
        </is>
      </c>
      <c r="B257" s="1" t="n">
        <v>45257</v>
      </c>
      <c r="C257" s="1" t="n">
        <v>46203</v>
      </c>
      <c r="D257" t="inlineStr">
        <is>
          <t>SÖDERMANLANDS LÄN</t>
        </is>
      </c>
      <c r="E257" t="inlineStr">
        <is>
          <t>FLEN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24414-2025</t>
        </is>
      </c>
      <c r="B258" s="1" t="n">
        <v>45797</v>
      </c>
      <c r="C258" s="1" t="n">
        <v>46203</v>
      </c>
      <c r="D258" t="inlineStr">
        <is>
          <t>SÖDERMANLANDS LÄN</t>
        </is>
      </c>
      <c r="E258" t="inlineStr">
        <is>
          <t>FLEN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24526-2025</t>
        </is>
      </c>
      <c r="B259" s="1" t="n">
        <v>45798</v>
      </c>
      <c r="C259" s="1" t="n">
        <v>46203</v>
      </c>
      <c r="D259" t="inlineStr">
        <is>
          <t>SÖDERMANLANDS LÄN</t>
        </is>
      </c>
      <c r="E259" t="inlineStr">
        <is>
          <t>FLEN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33742-2023</t>
        </is>
      </c>
      <c r="B260" s="1" t="n">
        <v>45119</v>
      </c>
      <c r="C260" s="1" t="n">
        <v>46203</v>
      </c>
      <c r="D260" t="inlineStr">
        <is>
          <t>SÖDERMANLANDS LÄN</t>
        </is>
      </c>
      <c r="E260" t="inlineStr">
        <is>
          <t>FLEN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24541-2025</t>
        </is>
      </c>
      <c r="B261" s="1" t="n">
        <v>45798</v>
      </c>
      <c r="C261" s="1" t="n">
        <v>46203</v>
      </c>
      <c r="D261" t="inlineStr">
        <is>
          <t>SÖDERMANLANDS LÄN</t>
        </is>
      </c>
      <c r="E261" t="inlineStr">
        <is>
          <t>FLEN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24557-2025</t>
        </is>
      </c>
      <c r="B262" s="1" t="n">
        <v>45798</v>
      </c>
      <c r="C262" s="1" t="n">
        <v>46203</v>
      </c>
      <c r="D262" t="inlineStr">
        <is>
          <t>SÖDERMANLANDS LÄN</t>
        </is>
      </c>
      <c r="E262" t="inlineStr">
        <is>
          <t>FLEN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54282-2025</t>
        </is>
      </c>
      <c r="B263" s="1" t="n">
        <v>45964</v>
      </c>
      <c r="C263" s="1" t="n">
        <v>46203</v>
      </c>
      <c r="D263" t="inlineStr">
        <is>
          <t>SÖDERMANLANDS LÄN</t>
        </is>
      </c>
      <c r="E263" t="inlineStr">
        <is>
          <t>FLEN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54283-2025</t>
        </is>
      </c>
      <c r="B264" s="1" t="n">
        <v>45964</v>
      </c>
      <c r="C264" s="1" t="n">
        <v>46203</v>
      </c>
      <c r="D264" t="inlineStr">
        <is>
          <t>SÖDERMANLANDS LÄN</t>
        </is>
      </c>
      <c r="E264" t="inlineStr">
        <is>
          <t>FLEN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7313-2025</t>
        </is>
      </c>
      <c r="B265" s="1" t="n">
        <v>45702</v>
      </c>
      <c r="C265" s="1" t="n">
        <v>46203</v>
      </c>
      <c r="D265" t="inlineStr">
        <is>
          <t>SÖDERMANLANDS LÄN</t>
        </is>
      </c>
      <c r="E265" t="inlineStr">
        <is>
          <t>FLEN</t>
        </is>
      </c>
      <c r="G265" t="n">
        <v>7.4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56393-2022</t>
        </is>
      </c>
      <c r="B266" s="1" t="n">
        <v>44887</v>
      </c>
      <c r="C266" s="1" t="n">
        <v>46203</v>
      </c>
      <c r="D266" t="inlineStr">
        <is>
          <t>SÖDERMANLANDS LÄN</t>
        </is>
      </c>
      <c r="E266" t="inlineStr">
        <is>
          <t>FLEN</t>
        </is>
      </c>
      <c r="G266" t="n">
        <v>11.3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56573-2025</t>
        </is>
      </c>
      <c r="B267" s="1" t="n">
        <v>45974</v>
      </c>
      <c r="C267" s="1" t="n">
        <v>46203</v>
      </c>
      <c r="D267" t="inlineStr">
        <is>
          <t>SÖDERMANLANDS LÄN</t>
        </is>
      </c>
      <c r="E267" t="inlineStr">
        <is>
          <t>FLEN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43394-2021</t>
        </is>
      </c>
      <c r="B268" s="1" t="n">
        <v>44432</v>
      </c>
      <c r="C268" s="1" t="n">
        <v>46203</v>
      </c>
      <c r="D268" t="inlineStr">
        <is>
          <t>SÖDERMANLANDS LÄN</t>
        </is>
      </c>
      <c r="E268" t="inlineStr">
        <is>
          <t>FLEN</t>
        </is>
      </c>
      <c r="G268" t="n">
        <v>14.4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3944-2025</t>
        </is>
      </c>
      <c r="B269" s="1" t="n">
        <v>45684</v>
      </c>
      <c r="C269" s="1" t="n">
        <v>46203</v>
      </c>
      <c r="D269" t="inlineStr">
        <is>
          <t>SÖDERMANLANDS LÄN</t>
        </is>
      </c>
      <c r="E269" t="inlineStr">
        <is>
          <t>FLEN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46031-2025</t>
        </is>
      </c>
      <c r="B270" s="1" t="n">
        <v>45924</v>
      </c>
      <c r="C270" s="1" t="n">
        <v>46203</v>
      </c>
      <c r="D270" t="inlineStr">
        <is>
          <t>SÖDERMANLANDS LÄN</t>
        </is>
      </c>
      <c r="E270" t="inlineStr">
        <is>
          <t>FLEN</t>
        </is>
      </c>
      <c r="F270" t="inlineStr">
        <is>
          <t>Holmen skog AB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42491-2025</t>
        </is>
      </c>
      <c r="B271" s="1" t="n">
        <v>45905</v>
      </c>
      <c r="C271" s="1" t="n">
        <v>46203</v>
      </c>
      <c r="D271" t="inlineStr">
        <is>
          <t>SÖDERMANLANDS LÄN</t>
        </is>
      </c>
      <c r="E271" t="inlineStr">
        <is>
          <t>FLEN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46662-2025</t>
        </is>
      </c>
      <c r="B272" s="1" t="n">
        <v>45926</v>
      </c>
      <c r="C272" s="1" t="n">
        <v>46203</v>
      </c>
      <c r="D272" t="inlineStr">
        <is>
          <t>SÖDERMANLANDS LÄN</t>
        </is>
      </c>
      <c r="E272" t="inlineStr">
        <is>
          <t>FLEN</t>
        </is>
      </c>
      <c r="F272" t="inlineStr">
        <is>
          <t>Holmen skog AB</t>
        </is>
      </c>
      <c r="G272" t="n">
        <v>11.5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42525-2025</t>
        </is>
      </c>
      <c r="B273" s="1" t="n">
        <v>45905</v>
      </c>
      <c r="C273" s="1" t="n">
        <v>46203</v>
      </c>
      <c r="D273" t="inlineStr">
        <is>
          <t>SÖDERMANLANDS LÄN</t>
        </is>
      </c>
      <c r="E273" t="inlineStr">
        <is>
          <t>FLEN</t>
        </is>
      </c>
      <c r="G273" t="n">
        <v>3.6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27827-2025</t>
        </is>
      </c>
      <c r="B274" s="1" t="n">
        <v>45817</v>
      </c>
      <c r="C274" s="1" t="n">
        <v>46203</v>
      </c>
      <c r="D274" t="inlineStr">
        <is>
          <t>SÖDERMANLANDS LÄN</t>
        </is>
      </c>
      <c r="E274" t="inlineStr">
        <is>
          <t>FLEN</t>
        </is>
      </c>
      <c r="F274" t="inlineStr">
        <is>
          <t>Holmen skog AB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42558-2025</t>
        </is>
      </c>
      <c r="B275" s="1" t="n">
        <v>45905</v>
      </c>
      <c r="C275" s="1" t="n">
        <v>46203</v>
      </c>
      <c r="D275" t="inlineStr">
        <is>
          <t>SÖDERMANLANDS LÄN</t>
        </is>
      </c>
      <c r="E275" t="inlineStr">
        <is>
          <t>FLEN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65869-2021</t>
        </is>
      </c>
      <c r="B276" s="1" t="n">
        <v>44517</v>
      </c>
      <c r="C276" s="1" t="n">
        <v>46203</v>
      </c>
      <c r="D276" t="inlineStr">
        <is>
          <t>SÖDERMANLANDS LÄN</t>
        </is>
      </c>
      <c r="E276" t="inlineStr">
        <is>
          <t>FLEN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3926-2024</t>
        </is>
      </c>
      <c r="B277" s="1" t="n">
        <v>45322</v>
      </c>
      <c r="C277" s="1" t="n">
        <v>46203</v>
      </c>
      <c r="D277" t="inlineStr">
        <is>
          <t>SÖDERMANLANDS LÄN</t>
        </is>
      </c>
      <c r="E277" t="inlineStr">
        <is>
          <t>FLEN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59910-2025</t>
        </is>
      </c>
      <c r="B278" s="1" t="n">
        <v>45993</v>
      </c>
      <c r="C278" s="1" t="n">
        <v>46203</v>
      </c>
      <c r="D278" t="inlineStr">
        <is>
          <t>SÖDERMANLANDS LÄN</t>
        </is>
      </c>
      <c r="E278" t="inlineStr">
        <is>
          <t>FLEN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30494-2025</t>
        </is>
      </c>
      <c r="B279" s="1" t="n">
        <v>45830</v>
      </c>
      <c r="C279" s="1" t="n">
        <v>46203</v>
      </c>
      <c r="D279" t="inlineStr">
        <is>
          <t>SÖDERMANLANDS LÄN</t>
        </is>
      </c>
      <c r="E279" t="inlineStr">
        <is>
          <t>FLEN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30493-2025</t>
        </is>
      </c>
      <c r="B280" s="1" t="n">
        <v>45830</v>
      </c>
      <c r="C280" s="1" t="n">
        <v>46203</v>
      </c>
      <c r="D280" t="inlineStr">
        <is>
          <t>SÖDERMANLANDS LÄN</t>
        </is>
      </c>
      <c r="E280" t="inlineStr">
        <is>
          <t>FLEN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60206-2025</t>
        </is>
      </c>
      <c r="B281" s="1" t="n">
        <v>45994</v>
      </c>
      <c r="C281" s="1" t="n">
        <v>46203</v>
      </c>
      <c r="D281" t="inlineStr">
        <is>
          <t>SÖDERMANLANDS LÄN</t>
        </is>
      </c>
      <c r="E281" t="inlineStr">
        <is>
          <t>FLEN</t>
        </is>
      </c>
      <c r="F281" t="inlineStr">
        <is>
          <t>Kyrkan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60144-2025</t>
        </is>
      </c>
      <c r="B282" s="1" t="n">
        <v>45994</v>
      </c>
      <c r="C282" s="1" t="n">
        <v>46203</v>
      </c>
      <c r="D282" t="inlineStr">
        <is>
          <t>SÖDERMANLANDS LÄN</t>
        </is>
      </c>
      <c r="E282" t="inlineStr">
        <is>
          <t>FLEN</t>
        </is>
      </c>
      <c r="F282" t="inlineStr">
        <is>
          <t>Kyrkan</t>
        </is>
      </c>
      <c r="G282" t="n">
        <v>9.699999999999999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59690-2023</t>
        </is>
      </c>
      <c r="B283" s="1" t="n">
        <v>45256</v>
      </c>
      <c r="C283" s="1" t="n">
        <v>46203</v>
      </c>
      <c r="D283" t="inlineStr">
        <is>
          <t>SÖDERMANLANDS LÄN</t>
        </is>
      </c>
      <c r="E283" t="inlineStr">
        <is>
          <t>FLEN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59895-2025</t>
        </is>
      </c>
      <c r="B284" s="1" t="n">
        <v>45993</v>
      </c>
      <c r="C284" s="1" t="n">
        <v>46203</v>
      </c>
      <c r="D284" t="inlineStr">
        <is>
          <t>SÖDERMANLANDS LÄN</t>
        </is>
      </c>
      <c r="E284" t="inlineStr">
        <is>
          <t>FLEN</t>
        </is>
      </c>
      <c r="G284" t="n">
        <v>0.1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59894-2025</t>
        </is>
      </c>
      <c r="B285" s="1" t="n">
        <v>45993</v>
      </c>
      <c r="C285" s="1" t="n">
        <v>46203</v>
      </c>
      <c r="D285" t="inlineStr">
        <is>
          <t>SÖDERMANLANDS LÄN</t>
        </is>
      </c>
      <c r="E285" t="inlineStr">
        <is>
          <t>FLEN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60382-2025</t>
        </is>
      </c>
      <c r="B286" s="1" t="n">
        <v>45995</v>
      </c>
      <c r="C286" s="1" t="n">
        <v>46203</v>
      </c>
      <c r="D286" t="inlineStr">
        <is>
          <t>SÖDERMANLANDS LÄN</t>
        </is>
      </c>
      <c r="E286" t="inlineStr">
        <is>
          <t>FLEN</t>
        </is>
      </c>
      <c r="F286" t="inlineStr">
        <is>
          <t>Holmen skog AB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60401-2025</t>
        </is>
      </c>
      <c r="B287" s="1" t="n">
        <v>45995</v>
      </c>
      <c r="C287" s="1" t="n">
        <v>46203</v>
      </c>
      <c r="D287" t="inlineStr">
        <is>
          <t>SÖDERMANLANDS LÄN</t>
        </is>
      </c>
      <c r="E287" t="inlineStr">
        <is>
          <t>FLEN</t>
        </is>
      </c>
      <c r="G287" t="n">
        <v>8.699999999999999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1575-2024</t>
        </is>
      </c>
      <c r="B288" s="1" t="n">
        <v>45306</v>
      </c>
      <c r="C288" s="1" t="n">
        <v>46203</v>
      </c>
      <c r="D288" t="inlineStr">
        <is>
          <t>SÖDERMANLANDS LÄN</t>
        </is>
      </c>
      <c r="E288" t="inlineStr">
        <is>
          <t>FLEN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61041-2025</t>
        </is>
      </c>
      <c r="B289" s="1" t="n">
        <v>46000</v>
      </c>
      <c r="C289" s="1" t="n">
        <v>46203</v>
      </c>
      <c r="D289" t="inlineStr">
        <is>
          <t>SÖDERMANLANDS LÄN</t>
        </is>
      </c>
      <c r="E289" t="inlineStr">
        <is>
          <t>FLEN</t>
        </is>
      </c>
      <c r="F289" t="inlineStr">
        <is>
          <t>Holmen skog AB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56497-2022</t>
        </is>
      </c>
      <c r="B290" s="1" t="n">
        <v>44887</v>
      </c>
      <c r="C290" s="1" t="n">
        <v>46203</v>
      </c>
      <c r="D290" t="inlineStr">
        <is>
          <t>SÖDERMANLANDS LÄN</t>
        </is>
      </c>
      <c r="E290" t="inlineStr">
        <is>
          <t>FLEN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7312-2025</t>
        </is>
      </c>
      <c r="B291" s="1" t="n">
        <v>45702</v>
      </c>
      <c r="C291" s="1" t="n">
        <v>46203</v>
      </c>
      <c r="D291" t="inlineStr">
        <is>
          <t>SÖDERMANLANDS LÄN</t>
        </is>
      </c>
      <c r="E291" t="inlineStr">
        <is>
          <t>FLEN</t>
        </is>
      </c>
      <c r="G291" t="n">
        <v>7.4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28768-2024</t>
        </is>
      </c>
      <c r="B292" s="1" t="n">
        <v>45478</v>
      </c>
      <c r="C292" s="1" t="n">
        <v>46203</v>
      </c>
      <c r="D292" t="inlineStr">
        <is>
          <t>SÖDERMANLANDS LÄN</t>
        </is>
      </c>
      <c r="E292" t="inlineStr">
        <is>
          <t>FLEN</t>
        </is>
      </c>
      <c r="G292" t="n">
        <v>5.2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12295-2025</t>
        </is>
      </c>
      <c r="B293" s="1" t="n">
        <v>45729</v>
      </c>
      <c r="C293" s="1" t="n">
        <v>46203</v>
      </c>
      <c r="D293" t="inlineStr">
        <is>
          <t>SÖDERMANLANDS LÄN</t>
        </is>
      </c>
      <c r="E293" t="inlineStr">
        <is>
          <t>FLEN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58631-2024</t>
        </is>
      </c>
      <c r="B294" s="1" t="n">
        <v>45632</v>
      </c>
      <c r="C294" s="1" t="n">
        <v>46203</v>
      </c>
      <c r="D294" t="inlineStr">
        <is>
          <t>SÖDERMANLANDS LÄN</t>
        </is>
      </c>
      <c r="E294" t="inlineStr">
        <is>
          <t>FLEN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41806-2023</t>
        </is>
      </c>
      <c r="B295" s="1" t="n">
        <v>45176</v>
      </c>
      <c r="C295" s="1" t="n">
        <v>46203</v>
      </c>
      <c r="D295" t="inlineStr">
        <is>
          <t>SÖDERMANLANDS LÄN</t>
        </is>
      </c>
      <c r="E295" t="inlineStr">
        <is>
          <t>FLEN</t>
        </is>
      </c>
      <c r="G295" t="n">
        <v>4.8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66979-2021</t>
        </is>
      </c>
      <c r="B296" s="1" t="n">
        <v>44522</v>
      </c>
      <c r="C296" s="1" t="n">
        <v>46203</v>
      </c>
      <c r="D296" t="inlineStr">
        <is>
          <t>SÖDERMANLANDS LÄN</t>
        </is>
      </c>
      <c r="E296" t="inlineStr">
        <is>
          <t>FLEN</t>
        </is>
      </c>
      <c r="G296" t="n">
        <v>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57863-2022</t>
        </is>
      </c>
      <c r="B297" s="1" t="n">
        <v>44899</v>
      </c>
      <c r="C297" s="1" t="n">
        <v>46203</v>
      </c>
      <c r="D297" t="inlineStr">
        <is>
          <t>SÖDERMANLANDS LÄN</t>
        </is>
      </c>
      <c r="E297" t="inlineStr">
        <is>
          <t>FLEN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54781-2024</t>
        </is>
      </c>
      <c r="B298" s="1" t="n">
        <v>45618</v>
      </c>
      <c r="C298" s="1" t="n">
        <v>46203</v>
      </c>
      <c r="D298" t="inlineStr">
        <is>
          <t>SÖDERMANLANDS LÄN</t>
        </is>
      </c>
      <c r="E298" t="inlineStr">
        <is>
          <t>FLEN</t>
        </is>
      </c>
      <c r="G298" t="n">
        <v>10.3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37286-2024</t>
        </is>
      </c>
      <c r="B299" s="1" t="n">
        <v>45540</v>
      </c>
      <c r="C299" s="1" t="n">
        <v>46203</v>
      </c>
      <c r="D299" t="inlineStr">
        <is>
          <t>SÖDERMANLANDS LÄN</t>
        </is>
      </c>
      <c r="E299" t="inlineStr">
        <is>
          <t>FLEN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38217-2023</t>
        </is>
      </c>
      <c r="B300" s="1" t="n">
        <v>45161</v>
      </c>
      <c r="C300" s="1" t="n">
        <v>46203</v>
      </c>
      <c r="D300" t="inlineStr">
        <is>
          <t>SÖDERMANLANDS LÄN</t>
        </is>
      </c>
      <c r="E300" t="inlineStr">
        <is>
          <t>FLEN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12172-2022</t>
        </is>
      </c>
      <c r="B301" s="1" t="n">
        <v>44636</v>
      </c>
      <c r="C301" s="1" t="n">
        <v>46203</v>
      </c>
      <c r="D301" t="inlineStr">
        <is>
          <t>SÖDERMANLANDS LÄN</t>
        </is>
      </c>
      <c r="E301" t="inlineStr">
        <is>
          <t>FLEN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2071-2026</t>
        </is>
      </c>
      <c r="B302" s="1" t="n">
        <v>46036</v>
      </c>
      <c r="C302" s="1" t="n">
        <v>46203</v>
      </c>
      <c r="D302" t="inlineStr">
        <is>
          <t>SÖDERMANLANDS LÄN</t>
        </is>
      </c>
      <c r="E302" t="inlineStr">
        <is>
          <t>FLEN</t>
        </is>
      </c>
      <c r="F302" t="inlineStr">
        <is>
          <t>Holmen skog AB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48785-2022</t>
        </is>
      </c>
      <c r="B303" s="1" t="n">
        <v>44859</v>
      </c>
      <c r="C303" s="1" t="n">
        <v>46203</v>
      </c>
      <c r="D303" t="inlineStr">
        <is>
          <t>SÖDERMANLANDS LÄN</t>
        </is>
      </c>
      <c r="E303" t="inlineStr">
        <is>
          <t>FLEN</t>
        </is>
      </c>
      <c r="F303" t="inlineStr">
        <is>
          <t>Holmen skog AB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2661-2026</t>
        </is>
      </c>
      <c r="B304" s="1" t="n">
        <v>46037</v>
      </c>
      <c r="C304" s="1" t="n">
        <v>46203</v>
      </c>
      <c r="D304" t="inlineStr">
        <is>
          <t>SÖDERMANLANDS LÄN</t>
        </is>
      </c>
      <c r="E304" t="inlineStr">
        <is>
          <t>FLEN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64480-2023</t>
        </is>
      </c>
      <c r="B305" s="1" t="n">
        <v>45280</v>
      </c>
      <c r="C305" s="1" t="n">
        <v>46203</v>
      </c>
      <c r="D305" t="inlineStr">
        <is>
          <t>SÖDERMANLANDS LÄN</t>
        </is>
      </c>
      <c r="E305" t="inlineStr">
        <is>
          <t>FLEN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37775-2025</t>
        </is>
      </c>
      <c r="B306" s="1" t="n">
        <v>45880</v>
      </c>
      <c r="C306" s="1" t="n">
        <v>46203</v>
      </c>
      <c r="D306" t="inlineStr">
        <is>
          <t>SÖDERMANLANDS LÄN</t>
        </is>
      </c>
      <c r="E306" t="inlineStr">
        <is>
          <t>FLEN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4051-2026</t>
        </is>
      </c>
      <c r="B307" s="1" t="n">
        <v>46044</v>
      </c>
      <c r="C307" s="1" t="n">
        <v>46203</v>
      </c>
      <c r="D307" t="inlineStr">
        <is>
          <t>SÖDERMANLANDS LÄN</t>
        </is>
      </c>
      <c r="E307" t="inlineStr">
        <is>
          <t>FLEN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57353-2022</t>
        </is>
      </c>
      <c r="B308" s="1" t="n">
        <v>44896</v>
      </c>
      <c r="C308" s="1" t="n">
        <v>46203</v>
      </c>
      <c r="D308" t="inlineStr">
        <is>
          <t>SÖDERMANLANDS LÄN</t>
        </is>
      </c>
      <c r="E308" t="inlineStr">
        <is>
          <t>FLEN</t>
        </is>
      </c>
      <c r="F308" t="inlineStr">
        <is>
          <t>Övriga statliga verk och myndigheter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9431-2022</t>
        </is>
      </c>
      <c r="B309" s="1" t="n">
        <v>44616</v>
      </c>
      <c r="C309" s="1" t="n">
        <v>46203</v>
      </c>
      <c r="D309" t="inlineStr">
        <is>
          <t>SÖDERMANLANDS LÄN</t>
        </is>
      </c>
      <c r="E309" t="inlineStr">
        <is>
          <t>FLEN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14755-2023</t>
        </is>
      </c>
      <c r="B310" s="1" t="n">
        <v>45014</v>
      </c>
      <c r="C310" s="1" t="n">
        <v>46203</v>
      </c>
      <c r="D310" t="inlineStr">
        <is>
          <t>SÖDERMANLANDS LÄN</t>
        </is>
      </c>
      <c r="E310" t="inlineStr">
        <is>
          <t>FLEN</t>
        </is>
      </c>
      <c r="F310" t="inlineStr">
        <is>
          <t>Holmen skog AB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6720-2026</t>
        </is>
      </c>
      <c r="B311" s="1" t="n">
        <v>46056</v>
      </c>
      <c r="C311" s="1" t="n">
        <v>46203</v>
      </c>
      <c r="D311" t="inlineStr">
        <is>
          <t>SÖDERMANLANDS LÄN</t>
        </is>
      </c>
      <c r="E311" t="inlineStr">
        <is>
          <t>FLEN</t>
        </is>
      </c>
      <c r="G311" t="n">
        <v>6.1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4216-2022</t>
        </is>
      </c>
      <c r="B312" s="1" t="n">
        <v>44588</v>
      </c>
      <c r="C312" s="1" t="n">
        <v>46203</v>
      </c>
      <c r="D312" t="inlineStr">
        <is>
          <t>SÖDERMANLANDS LÄN</t>
        </is>
      </c>
      <c r="E312" t="inlineStr">
        <is>
          <t>FLEN</t>
        </is>
      </c>
      <c r="G312" t="n">
        <v>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44006-2022</t>
        </is>
      </c>
      <c r="B313" s="1" t="n">
        <v>44838</v>
      </c>
      <c r="C313" s="1" t="n">
        <v>46203</v>
      </c>
      <c r="D313" t="inlineStr">
        <is>
          <t>SÖDERMANLANDS LÄN</t>
        </is>
      </c>
      <c r="E313" t="inlineStr">
        <is>
          <t>FLEN</t>
        </is>
      </c>
      <c r="G313" t="n">
        <v>4.4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4899-2023</t>
        </is>
      </c>
      <c r="B314" s="1" t="n">
        <v>44958</v>
      </c>
      <c r="C314" s="1" t="n">
        <v>46203</v>
      </c>
      <c r="D314" t="inlineStr">
        <is>
          <t>SÖDERMANLANDS LÄN</t>
        </is>
      </c>
      <c r="E314" t="inlineStr">
        <is>
          <t>FLEN</t>
        </is>
      </c>
      <c r="F314" t="inlineStr">
        <is>
          <t>Kyrkan</t>
        </is>
      </c>
      <c r="G314" t="n">
        <v>0.3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4351-2026</t>
        </is>
      </c>
      <c r="B315" s="1" t="n">
        <v>46044</v>
      </c>
      <c r="C315" s="1" t="n">
        <v>46203</v>
      </c>
      <c r="D315" t="inlineStr">
        <is>
          <t>SÖDERMANLANDS LÄN</t>
        </is>
      </c>
      <c r="E315" t="inlineStr">
        <is>
          <t>FLEN</t>
        </is>
      </c>
      <c r="F315" t="inlineStr">
        <is>
          <t>Övriga statliga verk och myndigheter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52980-2023</t>
        </is>
      </c>
      <c r="B316" s="1" t="n">
        <v>45226</v>
      </c>
      <c r="C316" s="1" t="n">
        <v>46203</v>
      </c>
      <c r="D316" t="inlineStr">
        <is>
          <t>SÖDERMANLANDS LÄN</t>
        </is>
      </c>
      <c r="E316" t="inlineStr">
        <is>
          <t>FLEN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56991-2023</t>
        </is>
      </c>
      <c r="B317" s="1" t="n">
        <v>45244</v>
      </c>
      <c r="C317" s="1" t="n">
        <v>46203</v>
      </c>
      <c r="D317" t="inlineStr">
        <is>
          <t>SÖDERMANLANDS LÄN</t>
        </is>
      </c>
      <c r="E317" t="inlineStr">
        <is>
          <t>FLEN</t>
        </is>
      </c>
      <c r="G317" t="n">
        <v>3.7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39226-2023</t>
        </is>
      </c>
      <c r="B318" s="1" t="n">
        <v>45166</v>
      </c>
      <c r="C318" s="1" t="n">
        <v>46203</v>
      </c>
      <c r="D318" t="inlineStr">
        <is>
          <t>SÖDERMANLANDS LÄN</t>
        </is>
      </c>
      <c r="E318" t="inlineStr">
        <is>
          <t>FLEN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9894-2023</t>
        </is>
      </c>
      <c r="B319" s="1" t="n">
        <v>44979</v>
      </c>
      <c r="C319" s="1" t="n">
        <v>46203</v>
      </c>
      <c r="D319" t="inlineStr">
        <is>
          <t>SÖDERMANLANDS LÄN</t>
        </is>
      </c>
      <c r="E319" t="inlineStr">
        <is>
          <t>FLEN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9527-2026</t>
        </is>
      </c>
      <c r="B320" s="1" t="n">
        <v>46071</v>
      </c>
      <c r="C320" s="1" t="n">
        <v>46203</v>
      </c>
      <c r="D320" t="inlineStr">
        <is>
          <t>SÖDERMANLANDS LÄN</t>
        </is>
      </c>
      <c r="E320" t="inlineStr">
        <is>
          <t>FLEN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9511-2026</t>
        </is>
      </c>
      <c r="B321" s="1" t="n">
        <v>46071</v>
      </c>
      <c r="C321" s="1" t="n">
        <v>46203</v>
      </c>
      <c r="D321" t="inlineStr">
        <is>
          <t>SÖDERMANLANDS LÄN</t>
        </is>
      </c>
      <c r="E321" t="inlineStr">
        <is>
          <t>FLEN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67464-2021</t>
        </is>
      </c>
      <c r="B322" s="1" t="n">
        <v>44524</v>
      </c>
      <c r="C322" s="1" t="n">
        <v>46203</v>
      </c>
      <c r="D322" t="inlineStr">
        <is>
          <t>SÖDERMANLANDS LÄN</t>
        </is>
      </c>
      <c r="E322" t="inlineStr">
        <is>
          <t>FLEN</t>
        </is>
      </c>
      <c r="G322" t="n">
        <v>7.7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59258-2022</t>
        </is>
      </c>
      <c r="B323" s="1" t="n">
        <v>44897</v>
      </c>
      <c r="C323" s="1" t="n">
        <v>46203</v>
      </c>
      <c r="D323" t="inlineStr">
        <is>
          <t>SÖDERMANLANDS LÄN</t>
        </is>
      </c>
      <c r="E323" t="inlineStr">
        <is>
          <t>FLEN</t>
        </is>
      </c>
      <c r="F323" t="inlineStr">
        <is>
          <t>Övriga statliga verk och myndigheter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47604-2021</t>
        </is>
      </c>
      <c r="B324" s="1" t="n">
        <v>44448</v>
      </c>
      <c r="C324" s="1" t="n">
        <v>46203</v>
      </c>
      <c r="D324" t="inlineStr">
        <is>
          <t>SÖDERMANLANDS LÄN</t>
        </is>
      </c>
      <c r="E324" t="inlineStr">
        <is>
          <t>FLEN</t>
        </is>
      </c>
      <c r="G324" t="n">
        <v>11.5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10397-2026</t>
        </is>
      </c>
      <c r="B325" s="1" t="n">
        <v>46077</v>
      </c>
      <c r="C325" s="1" t="n">
        <v>46203</v>
      </c>
      <c r="D325" t="inlineStr">
        <is>
          <t>SÖDERMANLANDS LÄN</t>
        </is>
      </c>
      <c r="E325" t="inlineStr">
        <is>
          <t>FLEN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11098-2026</t>
        </is>
      </c>
      <c r="B326" s="1" t="n">
        <v>46079</v>
      </c>
      <c r="C326" s="1" t="n">
        <v>46203</v>
      </c>
      <c r="D326" t="inlineStr">
        <is>
          <t>SÖDERMANLANDS LÄN</t>
        </is>
      </c>
      <c r="E326" t="inlineStr">
        <is>
          <t>FLEN</t>
        </is>
      </c>
      <c r="F326" t="inlineStr">
        <is>
          <t>Holmen skog AB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48852-2023</t>
        </is>
      </c>
      <c r="B327" s="1" t="n">
        <v>45209</v>
      </c>
      <c r="C327" s="1" t="n">
        <v>46203</v>
      </c>
      <c r="D327" t="inlineStr">
        <is>
          <t>SÖDERMANLANDS LÄN</t>
        </is>
      </c>
      <c r="E327" t="inlineStr">
        <is>
          <t>FLEN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10110-2023</t>
        </is>
      </c>
      <c r="B328" s="1" t="n">
        <v>44986</v>
      </c>
      <c r="C328" s="1" t="n">
        <v>46203</v>
      </c>
      <c r="D328" t="inlineStr">
        <is>
          <t>SÖDERMANLANDS LÄN</t>
        </is>
      </c>
      <c r="E328" t="inlineStr">
        <is>
          <t>FLEN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11004-2026</t>
        </is>
      </c>
      <c r="B329" s="1" t="n">
        <v>46079</v>
      </c>
      <c r="C329" s="1" t="n">
        <v>46203</v>
      </c>
      <c r="D329" t="inlineStr">
        <is>
          <t>SÖDERMANLANDS LÄN</t>
        </is>
      </c>
      <c r="E329" t="inlineStr">
        <is>
          <t>FLEN</t>
        </is>
      </c>
      <c r="F329" t="inlineStr">
        <is>
          <t>Holmen skog AB</t>
        </is>
      </c>
      <c r="G329" t="n">
        <v>5.2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11105-2026</t>
        </is>
      </c>
      <c r="B330" s="1" t="n">
        <v>46079</v>
      </c>
      <c r="C330" s="1" t="n">
        <v>46203</v>
      </c>
      <c r="D330" t="inlineStr">
        <is>
          <t>SÖDERMANLANDS LÄN</t>
        </is>
      </c>
      <c r="E330" t="inlineStr">
        <is>
          <t>FLEN</t>
        </is>
      </c>
      <c r="F330" t="inlineStr">
        <is>
          <t>Holmen skog AB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11339-2026</t>
        </is>
      </c>
      <c r="B331" s="1" t="n">
        <v>46082</v>
      </c>
      <c r="C331" s="1" t="n">
        <v>46203</v>
      </c>
      <c r="D331" t="inlineStr">
        <is>
          <t>SÖDERMANLANDS LÄN</t>
        </is>
      </c>
      <c r="E331" t="inlineStr">
        <is>
          <t>FLEN</t>
        </is>
      </c>
      <c r="G331" t="n">
        <v>7.7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11148-2026</t>
        </is>
      </c>
      <c r="B332" s="1" t="n">
        <v>46080</v>
      </c>
      <c r="C332" s="1" t="n">
        <v>46203</v>
      </c>
      <c r="D332" t="inlineStr">
        <is>
          <t>SÖDERMANLANDS LÄN</t>
        </is>
      </c>
      <c r="E332" t="inlineStr">
        <is>
          <t>FLEN</t>
        </is>
      </c>
      <c r="F332" t="inlineStr">
        <is>
          <t>Holmen skog AB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11187-2026</t>
        </is>
      </c>
      <c r="B333" s="1" t="n">
        <v>46080</v>
      </c>
      <c r="C333" s="1" t="n">
        <v>46203</v>
      </c>
      <c r="D333" t="inlineStr">
        <is>
          <t>SÖDERMANLANDS LÄN</t>
        </is>
      </c>
      <c r="E333" t="inlineStr">
        <is>
          <t>FLEN</t>
        </is>
      </c>
      <c r="F333" t="inlineStr">
        <is>
          <t>Holmen skog AB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10565-2023</t>
        </is>
      </c>
      <c r="B334" s="1" t="n">
        <v>44988</v>
      </c>
      <c r="C334" s="1" t="n">
        <v>46203</v>
      </c>
      <c r="D334" t="inlineStr">
        <is>
          <t>SÖDERMANLANDS LÄN</t>
        </is>
      </c>
      <c r="E334" t="inlineStr">
        <is>
          <t>FLEN</t>
        </is>
      </c>
      <c r="F334" t="inlineStr">
        <is>
          <t>Holmen skog AB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11180-2026</t>
        </is>
      </c>
      <c r="B335" s="1" t="n">
        <v>46080</v>
      </c>
      <c r="C335" s="1" t="n">
        <v>46203</v>
      </c>
      <c r="D335" t="inlineStr">
        <is>
          <t>SÖDERMANLANDS LÄN</t>
        </is>
      </c>
      <c r="E335" t="inlineStr">
        <is>
          <t>FLEN</t>
        </is>
      </c>
      <c r="F335" t="inlineStr">
        <is>
          <t>Holmen skog AB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32023-2022</t>
        </is>
      </c>
      <c r="B336" s="1" t="n">
        <v>44778</v>
      </c>
      <c r="C336" s="1" t="n">
        <v>46203</v>
      </c>
      <c r="D336" t="inlineStr">
        <is>
          <t>SÖDERMANLANDS LÄN</t>
        </is>
      </c>
      <c r="E336" t="inlineStr">
        <is>
          <t>FLEN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11413-2026</t>
        </is>
      </c>
      <c r="B337" s="1" t="n">
        <v>46083</v>
      </c>
      <c r="C337" s="1" t="n">
        <v>46203</v>
      </c>
      <c r="D337" t="inlineStr">
        <is>
          <t>SÖDERMANLANDS LÄN</t>
        </is>
      </c>
      <c r="E337" t="inlineStr">
        <is>
          <t>FLEN</t>
        </is>
      </c>
      <c r="F337" t="inlineStr">
        <is>
          <t>Holmen skog AB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25605-2023</t>
        </is>
      </c>
      <c r="B338" s="1" t="n">
        <v>45089</v>
      </c>
      <c r="C338" s="1" t="n">
        <v>46203</v>
      </c>
      <c r="D338" t="inlineStr">
        <is>
          <t>SÖDERMANLANDS LÄN</t>
        </is>
      </c>
      <c r="E338" t="inlineStr">
        <is>
          <t>FLEN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22827-2024</t>
        </is>
      </c>
      <c r="B339" s="1" t="n">
        <v>45448</v>
      </c>
      <c r="C339" s="1" t="n">
        <v>46203</v>
      </c>
      <c r="D339" t="inlineStr">
        <is>
          <t>SÖDERMANLANDS LÄN</t>
        </is>
      </c>
      <c r="E339" t="inlineStr">
        <is>
          <t>FLEN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12712-2026</t>
        </is>
      </c>
      <c r="B340" s="1" t="n">
        <v>46091</v>
      </c>
      <c r="C340" s="1" t="n">
        <v>46203</v>
      </c>
      <c r="D340" t="inlineStr">
        <is>
          <t>SÖDERMANLANDS LÄN</t>
        </is>
      </c>
      <c r="E340" t="inlineStr">
        <is>
          <t>FLEN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39821-2024</t>
        </is>
      </c>
      <c r="B341" s="1" t="n">
        <v>45553</v>
      </c>
      <c r="C341" s="1" t="n">
        <v>46203</v>
      </c>
      <c r="D341" t="inlineStr">
        <is>
          <t>SÖDERMANLANDS LÄN</t>
        </is>
      </c>
      <c r="E341" t="inlineStr">
        <is>
          <t>FLEN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41435-2022</t>
        </is>
      </c>
      <c r="B342" s="1" t="n">
        <v>44826</v>
      </c>
      <c r="C342" s="1" t="n">
        <v>46203</v>
      </c>
      <c r="D342" t="inlineStr">
        <is>
          <t>SÖDERMANLANDS LÄN</t>
        </is>
      </c>
      <c r="E342" t="inlineStr">
        <is>
          <t>FLEN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60609-2022</t>
        </is>
      </c>
      <c r="B343" s="1" t="n">
        <v>44911</v>
      </c>
      <c r="C343" s="1" t="n">
        <v>46203</v>
      </c>
      <c r="D343" t="inlineStr">
        <is>
          <t>SÖDERMANLANDS LÄN</t>
        </is>
      </c>
      <c r="E343" t="inlineStr">
        <is>
          <t>FLEN</t>
        </is>
      </c>
      <c r="F343" t="inlineStr">
        <is>
          <t>Holmen skog AB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46106-2024</t>
        </is>
      </c>
      <c r="B344" s="1" t="n">
        <v>45581</v>
      </c>
      <c r="C344" s="1" t="n">
        <v>46203</v>
      </c>
      <c r="D344" t="inlineStr">
        <is>
          <t>SÖDERMANLANDS LÄN</t>
        </is>
      </c>
      <c r="E344" t="inlineStr">
        <is>
          <t>FLEN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30423-2022</t>
        </is>
      </c>
      <c r="B345" s="1" t="n">
        <v>44761</v>
      </c>
      <c r="C345" s="1" t="n">
        <v>46203</v>
      </c>
      <c r="D345" t="inlineStr">
        <is>
          <t>SÖDERMANLANDS LÄN</t>
        </is>
      </c>
      <c r="E345" t="inlineStr">
        <is>
          <t>FLEN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58834-2024</t>
        </is>
      </c>
      <c r="B346" s="1" t="n">
        <v>45636</v>
      </c>
      <c r="C346" s="1" t="n">
        <v>46203</v>
      </c>
      <c r="D346" t="inlineStr">
        <is>
          <t>SÖDERMANLANDS LÄN</t>
        </is>
      </c>
      <c r="E346" t="inlineStr">
        <is>
          <t>FLEN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7194-2023</t>
        </is>
      </c>
      <c r="B347" s="1" t="n">
        <v>44970</v>
      </c>
      <c r="C347" s="1" t="n">
        <v>46203</v>
      </c>
      <c r="D347" t="inlineStr">
        <is>
          <t>SÖDERMANLANDS LÄN</t>
        </is>
      </c>
      <c r="E347" t="inlineStr">
        <is>
          <t>FLEN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16052-2026</t>
        </is>
      </c>
      <c r="B348" s="1" t="n">
        <v>46108</v>
      </c>
      <c r="C348" s="1" t="n">
        <v>46203</v>
      </c>
      <c r="D348" t="inlineStr">
        <is>
          <t>SÖDERMANLANDS LÄN</t>
        </is>
      </c>
      <c r="E348" t="inlineStr">
        <is>
          <t>FLEN</t>
        </is>
      </c>
      <c r="F348" t="inlineStr">
        <is>
          <t>Holmen skog AB</t>
        </is>
      </c>
      <c r="G348" t="n">
        <v>8.300000000000001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23835-2022</t>
        </is>
      </c>
      <c r="B349" s="1" t="n">
        <v>44722</v>
      </c>
      <c r="C349" s="1" t="n">
        <v>46203</v>
      </c>
      <c r="D349" t="inlineStr">
        <is>
          <t>SÖDERMANLANDS LÄN</t>
        </is>
      </c>
      <c r="E349" t="inlineStr">
        <is>
          <t>FLEN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23859-2022</t>
        </is>
      </c>
      <c r="B350" s="1" t="n">
        <v>44722</v>
      </c>
      <c r="C350" s="1" t="n">
        <v>46203</v>
      </c>
      <c r="D350" t="inlineStr">
        <is>
          <t>SÖDERMANLANDS LÄN</t>
        </is>
      </c>
      <c r="E350" t="inlineStr">
        <is>
          <t>FLEN</t>
        </is>
      </c>
      <c r="G350" t="n">
        <v>7.1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16502-2026</t>
        </is>
      </c>
      <c r="B351" s="1" t="n">
        <v>46112</v>
      </c>
      <c r="C351" s="1" t="n">
        <v>46203</v>
      </c>
      <c r="D351" t="inlineStr">
        <is>
          <t>SÖDERMANLANDS LÄN</t>
        </is>
      </c>
      <c r="E351" t="inlineStr">
        <is>
          <t>FLEN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16803-2026</t>
        </is>
      </c>
      <c r="B352" s="1" t="n">
        <v>46113</v>
      </c>
      <c r="C352" s="1" t="n">
        <v>46203</v>
      </c>
      <c r="D352" t="inlineStr">
        <is>
          <t>SÖDERMANLANDS LÄN</t>
        </is>
      </c>
      <c r="E352" t="inlineStr">
        <is>
          <t>FLEN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40961-2021</t>
        </is>
      </c>
      <c r="B353" s="1" t="n">
        <v>44421</v>
      </c>
      <c r="C353" s="1" t="n">
        <v>46203</v>
      </c>
      <c r="D353" t="inlineStr">
        <is>
          <t>SÖDERMANLANDS LÄN</t>
        </is>
      </c>
      <c r="E353" t="inlineStr">
        <is>
          <t>FLEN</t>
        </is>
      </c>
      <c r="F353" t="inlineStr">
        <is>
          <t>Holmen skog AB</t>
        </is>
      </c>
      <c r="G353" t="n">
        <v>0.2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14412-2023</t>
        </is>
      </c>
      <c r="B354" s="1" t="n">
        <v>45012</v>
      </c>
      <c r="C354" s="1" t="n">
        <v>46203</v>
      </c>
      <c r="D354" t="inlineStr">
        <is>
          <t>SÖDERMANLANDS LÄN</t>
        </is>
      </c>
      <c r="E354" t="inlineStr">
        <is>
          <t>FLEN</t>
        </is>
      </c>
      <c r="F354" t="inlineStr">
        <is>
          <t>Holmen skog AB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14391-2026</t>
        </is>
      </c>
      <c r="B355" s="1" t="n">
        <v>46100</v>
      </c>
      <c r="C355" s="1" t="n">
        <v>46203</v>
      </c>
      <c r="D355" t="inlineStr">
        <is>
          <t>SÖDERMANLANDS LÄN</t>
        </is>
      </c>
      <c r="E355" t="inlineStr">
        <is>
          <t>FLEN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9079-2025</t>
        </is>
      </c>
      <c r="B356" s="1" t="n">
        <v>45713</v>
      </c>
      <c r="C356" s="1" t="n">
        <v>46203</v>
      </c>
      <c r="D356" t="inlineStr">
        <is>
          <t>SÖDERMANLANDS LÄN</t>
        </is>
      </c>
      <c r="E356" t="inlineStr">
        <is>
          <t>FLEN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18000-2026</t>
        </is>
      </c>
      <c r="B357" s="1" t="n">
        <v>46125</v>
      </c>
      <c r="C357" s="1" t="n">
        <v>46203</v>
      </c>
      <c r="D357" t="inlineStr">
        <is>
          <t>SÖDERMANLANDS LÄN</t>
        </is>
      </c>
      <c r="E357" t="inlineStr">
        <is>
          <t>FLEN</t>
        </is>
      </c>
      <c r="F357" t="inlineStr">
        <is>
          <t>Holmen skog AB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18499-2026</t>
        </is>
      </c>
      <c r="B358" s="1" t="n">
        <v>46126</v>
      </c>
      <c r="C358" s="1" t="n">
        <v>46203</v>
      </c>
      <c r="D358" t="inlineStr">
        <is>
          <t>SÖDERMANLANDS LÄN</t>
        </is>
      </c>
      <c r="E358" t="inlineStr">
        <is>
          <t>FLEN</t>
        </is>
      </c>
      <c r="G358" t="n">
        <v>7.9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24151-2026</t>
        </is>
      </c>
      <c r="B359" s="1" t="n">
        <v>46168</v>
      </c>
      <c r="C359" s="1" t="n">
        <v>46203</v>
      </c>
      <c r="D359" t="inlineStr">
        <is>
          <t>SÖDERMANLANDS LÄN</t>
        </is>
      </c>
      <c r="E359" t="inlineStr">
        <is>
          <t>FLEN</t>
        </is>
      </c>
      <c r="F359" t="inlineStr">
        <is>
          <t>Holmen skog AB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24116-2026</t>
        </is>
      </c>
      <c r="B360" s="1" t="n">
        <v>46168</v>
      </c>
      <c r="C360" s="1" t="n">
        <v>46203</v>
      </c>
      <c r="D360" t="inlineStr">
        <is>
          <t>SÖDERMANLANDS LÄN</t>
        </is>
      </c>
      <c r="E360" t="inlineStr">
        <is>
          <t>FLEN</t>
        </is>
      </c>
      <c r="F360" t="inlineStr">
        <is>
          <t>Holmen skog AB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24155-2026</t>
        </is>
      </c>
      <c r="B361" s="1" t="n">
        <v>46168</v>
      </c>
      <c r="C361" s="1" t="n">
        <v>46203</v>
      </c>
      <c r="D361" t="inlineStr">
        <is>
          <t>SÖDERMANLANDS LÄN</t>
        </is>
      </c>
      <c r="E361" t="inlineStr">
        <is>
          <t>FLEN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18471-2026</t>
        </is>
      </c>
      <c r="B362" s="1" t="n">
        <v>46126</v>
      </c>
      <c r="C362" s="1" t="n">
        <v>46203</v>
      </c>
      <c r="D362" t="inlineStr">
        <is>
          <t>SÖDERMANLANDS LÄN</t>
        </is>
      </c>
      <c r="E362" t="inlineStr">
        <is>
          <t>FLEN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24157-2026</t>
        </is>
      </c>
      <c r="B363" s="1" t="n">
        <v>46168</v>
      </c>
      <c r="C363" s="1" t="n">
        <v>46203</v>
      </c>
      <c r="D363" t="inlineStr">
        <is>
          <t>SÖDERMANLANDS LÄN</t>
        </is>
      </c>
      <c r="E363" t="inlineStr">
        <is>
          <t>FLEN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24163-2026</t>
        </is>
      </c>
      <c r="B364" s="1" t="n">
        <v>46168</v>
      </c>
      <c r="C364" s="1" t="n">
        <v>46203</v>
      </c>
      <c r="D364" t="inlineStr">
        <is>
          <t>SÖDERMANLANDS LÄN</t>
        </is>
      </c>
      <c r="E364" t="inlineStr">
        <is>
          <t>FLEN</t>
        </is>
      </c>
      <c r="F364" t="inlineStr">
        <is>
          <t>Holmen skog AB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18508-2026</t>
        </is>
      </c>
      <c r="B365" s="1" t="n">
        <v>46126</v>
      </c>
      <c r="C365" s="1" t="n">
        <v>46203</v>
      </c>
      <c r="D365" t="inlineStr">
        <is>
          <t>SÖDERMANLANDS LÄN</t>
        </is>
      </c>
      <c r="E365" t="inlineStr">
        <is>
          <t>FLEN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24223-2026</t>
        </is>
      </c>
      <c r="B366" s="1" t="n">
        <v>46168</v>
      </c>
      <c r="C366" s="1" t="n">
        <v>46203</v>
      </c>
      <c r="D366" t="inlineStr">
        <is>
          <t>SÖDERMANLANDS LÄN</t>
        </is>
      </c>
      <c r="E366" t="inlineStr">
        <is>
          <t>FLEN</t>
        </is>
      </c>
      <c r="F366" t="inlineStr">
        <is>
          <t>Holmen skog AB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24455-2026</t>
        </is>
      </c>
      <c r="B367" s="1" t="n">
        <v>46170</v>
      </c>
      <c r="C367" s="1" t="n">
        <v>46203</v>
      </c>
      <c r="D367" t="inlineStr">
        <is>
          <t>SÖDERMANLANDS LÄN</t>
        </is>
      </c>
      <c r="E367" t="inlineStr">
        <is>
          <t>FLEN</t>
        </is>
      </c>
      <c r="F367" t="inlineStr">
        <is>
          <t>Holmen skog AB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24450-2026</t>
        </is>
      </c>
      <c r="B368" s="1" t="n">
        <v>46170</v>
      </c>
      <c r="C368" s="1" t="n">
        <v>46203</v>
      </c>
      <c r="D368" t="inlineStr">
        <is>
          <t>SÖDERMANLANDS LÄN</t>
        </is>
      </c>
      <c r="E368" t="inlineStr">
        <is>
          <t>FLEN</t>
        </is>
      </c>
      <c r="F368" t="inlineStr">
        <is>
          <t>Holmen skog AB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  <c r="U368">
        <f>HYPERLINK("https://klasma.github.io/Logging_0482/knärot/A 24450-2026 karta knärot.png", "A 24450-2026")</f>
        <v/>
      </c>
      <c r="V368">
        <f>HYPERLINK("https://klasma.github.io/Logging_0482/klagomål/A 24450-2026 FSC-klagomål.docx", "A 24450-2026")</f>
        <v/>
      </c>
      <c r="W368">
        <f>HYPERLINK("https://klasma.github.io/Logging_0482/klagomålsmail/A 24450-2026 FSC-klagomål mail.docx", "A 24450-2026")</f>
        <v/>
      </c>
      <c r="X368">
        <f>HYPERLINK("https://klasma.github.io/Logging_0482/tillsyn/A 24450-2026 tillsynsbegäran.docx", "A 24450-2026")</f>
        <v/>
      </c>
      <c r="Y368">
        <f>HYPERLINK("https://klasma.github.io/Logging_0482/tillsynsmail/A 24450-2026 tillsynsbegäran mail.docx", "A 24450-2026")</f>
        <v/>
      </c>
    </row>
    <row r="369" ht="15" customHeight="1">
      <c r="A369" t="inlineStr">
        <is>
          <t>A 49775-2024</t>
        </is>
      </c>
      <c r="B369" s="1" t="n">
        <v>45597</v>
      </c>
      <c r="C369" s="1" t="n">
        <v>46203</v>
      </c>
      <c r="D369" t="inlineStr">
        <is>
          <t>SÖDERMANLANDS LÄN</t>
        </is>
      </c>
      <c r="E369" t="inlineStr">
        <is>
          <t>FLEN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18918-2026</t>
        </is>
      </c>
      <c r="B370" s="1" t="n">
        <v>46129</v>
      </c>
      <c r="C370" s="1" t="n">
        <v>46203</v>
      </c>
      <c r="D370" t="inlineStr">
        <is>
          <t>SÖDERMANLANDS LÄN</t>
        </is>
      </c>
      <c r="E370" t="inlineStr">
        <is>
          <t>FLEN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19102-2026</t>
        </is>
      </c>
      <c r="B371" s="1" t="n">
        <v>46132</v>
      </c>
      <c r="C371" s="1" t="n">
        <v>46203</v>
      </c>
      <c r="D371" t="inlineStr">
        <is>
          <t>SÖDERMANLANDS LÄN</t>
        </is>
      </c>
      <c r="E371" t="inlineStr">
        <is>
          <t>FLEN</t>
        </is>
      </c>
      <c r="F371" t="inlineStr">
        <is>
          <t>Holmen skog AB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58635-2024</t>
        </is>
      </c>
      <c r="B372" s="1" t="n">
        <v>45632</v>
      </c>
      <c r="C372" s="1" t="n">
        <v>46203</v>
      </c>
      <c r="D372" t="inlineStr">
        <is>
          <t>SÖDERMANLANDS LÄN</t>
        </is>
      </c>
      <c r="E372" t="inlineStr">
        <is>
          <t>FLEN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17838-2026</t>
        </is>
      </c>
      <c r="B373" s="1" t="n">
        <v>46121</v>
      </c>
      <c r="C373" s="1" t="n">
        <v>46203</v>
      </c>
      <c r="D373" t="inlineStr">
        <is>
          <t>SÖDERMANLANDS LÄN</t>
        </is>
      </c>
      <c r="E373" t="inlineStr">
        <is>
          <t>FLEN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17840-2026</t>
        </is>
      </c>
      <c r="B374" s="1" t="n">
        <v>46121</v>
      </c>
      <c r="C374" s="1" t="n">
        <v>46203</v>
      </c>
      <c r="D374" t="inlineStr">
        <is>
          <t>SÖDERMANLANDS LÄN</t>
        </is>
      </c>
      <c r="E374" t="inlineStr">
        <is>
          <t>FLEN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24721-2026</t>
        </is>
      </c>
      <c r="B375" s="1" t="n">
        <v>46170</v>
      </c>
      <c r="C375" s="1" t="n">
        <v>46203</v>
      </c>
      <c r="D375" t="inlineStr">
        <is>
          <t>SÖDERMANLANDS LÄN</t>
        </is>
      </c>
      <c r="E375" t="inlineStr">
        <is>
          <t>FLEN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17847-2026</t>
        </is>
      </c>
      <c r="B376" s="1" t="n">
        <v>46121</v>
      </c>
      <c r="C376" s="1" t="n">
        <v>46203</v>
      </c>
      <c r="D376" t="inlineStr">
        <is>
          <t>SÖDERMANLANDS LÄN</t>
        </is>
      </c>
      <c r="E376" t="inlineStr">
        <is>
          <t>FLEN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17848-2026</t>
        </is>
      </c>
      <c r="B377" s="1" t="n">
        <v>46121</v>
      </c>
      <c r="C377" s="1" t="n">
        <v>46203</v>
      </c>
      <c r="D377" t="inlineStr">
        <is>
          <t>SÖDERMANLANDS LÄN</t>
        </is>
      </c>
      <c r="E377" t="inlineStr">
        <is>
          <t>FLEN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19072-2026</t>
        </is>
      </c>
      <c r="B378" s="1" t="n">
        <v>46132</v>
      </c>
      <c r="C378" s="1" t="n">
        <v>46203</v>
      </c>
      <c r="D378" t="inlineStr">
        <is>
          <t>SÖDERMANLANDS LÄN</t>
        </is>
      </c>
      <c r="E378" t="inlineStr">
        <is>
          <t>FLEN</t>
        </is>
      </c>
      <c r="F378" t="inlineStr">
        <is>
          <t>Holmen skog AB</t>
        </is>
      </c>
      <c r="G378" t="n">
        <v>5.6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19618-2026</t>
        </is>
      </c>
      <c r="B379" s="1" t="n">
        <v>46134</v>
      </c>
      <c r="C379" s="1" t="n">
        <v>46203</v>
      </c>
      <c r="D379" t="inlineStr">
        <is>
          <t>SÖDERMANLANDS LÄN</t>
        </is>
      </c>
      <c r="E379" t="inlineStr">
        <is>
          <t>FLEN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25147-2026</t>
        </is>
      </c>
      <c r="B380" s="1" t="n">
        <v>46175</v>
      </c>
      <c r="C380" s="1" t="n">
        <v>46203</v>
      </c>
      <c r="D380" t="inlineStr">
        <is>
          <t>SÖDERMANLANDS LÄN</t>
        </is>
      </c>
      <c r="E380" t="inlineStr">
        <is>
          <t>FLEN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25303-2026</t>
        </is>
      </c>
      <c r="B381" s="1" t="n">
        <v>46176</v>
      </c>
      <c r="C381" s="1" t="n">
        <v>46203</v>
      </c>
      <c r="D381" t="inlineStr">
        <is>
          <t>SÖDERMANLANDS LÄN</t>
        </is>
      </c>
      <c r="E381" t="inlineStr">
        <is>
          <t>FLEN</t>
        </is>
      </c>
      <c r="F381" t="inlineStr">
        <is>
          <t>Holmen skog AB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25121-2026</t>
        </is>
      </c>
      <c r="B382" s="1" t="n">
        <v>46175</v>
      </c>
      <c r="C382" s="1" t="n">
        <v>46203</v>
      </c>
      <c r="D382" t="inlineStr">
        <is>
          <t>SÖDERMANLANDS LÄN</t>
        </is>
      </c>
      <c r="E382" t="inlineStr">
        <is>
          <t>FLEN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52472-2023</t>
        </is>
      </c>
      <c r="B383" s="1" t="n">
        <v>45225</v>
      </c>
      <c r="C383" s="1" t="n">
        <v>46203</v>
      </c>
      <c r="D383" t="inlineStr">
        <is>
          <t>SÖDERMANLANDS LÄN</t>
        </is>
      </c>
      <c r="E383" t="inlineStr">
        <is>
          <t>FLEN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52481-2023</t>
        </is>
      </c>
      <c r="B384" s="1" t="n">
        <v>45225</v>
      </c>
      <c r="C384" s="1" t="n">
        <v>46203</v>
      </c>
      <c r="D384" t="inlineStr">
        <is>
          <t>SÖDERMANLANDS LÄN</t>
        </is>
      </c>
      <c r="E384" t="inlineStr">
        <is>
          <t>FLEN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26253-2025</t>
        </is>
      </c>
      <c r="B385" s="1" t="n">
        <v>45805</v>
      </c>
      <c r="C385" s="1" t="n">
        <v>46203</v>
      </c>
      <c r="D385" t="inlineStr">
        <is>
          <t>SÖDERMANLANDS LÄN</t>
        </is>
      </c>
      <c r="E385" t="inlineStr">
        <is>
          <t>FLEN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22839-2025</t>
        </is>
      </c>
      <c r="B386" s="1" t="n">
        <v>45789</v>
      </c>
      <c r="C386" s="1" t="n">
        <v>46203</v>
      </c>
      <c r="D386" t="inlineStr">
        <is>
          <t>SÖDERMANLANDS LÄN</t>
        </is>
      </c>
      <c r="E386" t="inlineStr">
        <is>
          <t>FLEN</t>
        </is>
      </c>
      <c r="G386" t="n">
        <v>4.5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34088-2021</t>
        </is>
      </c>
      <c r="B387" s="1" t="n">
        <v>44378</v>
      </c>
      <c r="C387" s="1" t="n">
        <v>46203</v>
      </c>
      <c r="D387" t="inlineStr">
        <is>
          <t>SÖDERMANLANDS LÄN</t>
        </is>
      </c>
      <c r="E387" t="inlineStr">
        <is>
          <t>FLEN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16580-2023</t>
        </is>
      </c>
      <c r="B388" s="1" t="n">
        <v>45030</v>
      </c>
      <c r="C388" s="1" t="n">
        <v>46203</v>
      </c>
      <c r="D388" t="inlineStr">
        <is>
          <t>SÖDERMANLANDS LÄN</t>
        </is>
      </c>
      <c r="E388" t="inlineStr">
        <is>
          <t>FLEN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9074-2025</t>
        </is>
      </c>
      <c r="B389" s="1" t="n">
        <v>45713</v>
      </c>
      <c r="C389" s="1" t="n">
        <v>46203</v>
      </c>
      <c r="D389" t="inlineStr">
        <is>
          <t>SÖDERMANLANDS LÄN</t>
        </is>
      </c>
      <c r="E389" t="inlineStr">
        <is>
          <t>FLEN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41709-2021</t>
        </is>
      </c>
      <c r="B390" s="1" t="n">
        <v>44425</v>
      </c>
      <c r="C390" s="1" t="n">
        <v>46203</v>
      </c>
      <c r="D390" t="inlineStr">
        <is>
          <t>SÖDERMANLANDS LÄN</t>
        </is>
      </c>
      <c r="E390" t="inlineStr">
        <is>
          <t>FLEN</t>
        </is>
      </c>
      <c r="G390" t="n">
        <v>4.8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53119-2023</t>
        </is>
      </c>
      <c r="B391" s="1" t="n">
        <v>45228</v>
      </c>
      <c r="C391" s="1" t="n">
        <v>46203</v>
      </c>
      <c r="D391" t="inlineStr">
        <is>
          <t>SÖDERMANLANDS LÄN</t>
        </is>
      </c>
      <c r="E391" t="inlineStr">
        <is>
          <t>FLEN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40439-2025</t>
        </is>
      </c>
      <c r="B392" s="1" t="n">
        <v>45895</v>
      </c>
      <c r="C392" s="1" t="n">
        <v>46203</v>
      </c>
      <c r="D392" t="inlineStr">
        <is>
          <t>SÖDERMANLANDS LÄN</t>
        </is>
      </c>
      <c r="E392" t="inlineStr">
        <is>
          <t>FLEN</t>
        </is>
      </c>
      <c r="G392" t="n">
        <v>7.1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41800-2021</t>
        </is>
      </c>
      <c r="B393" s="1" t="n">
        <v>44425</v>
      </c>
      <c r="C393" s="1" t="n">
        <v>46203</v>
      </c>
      <c r="D393" t="inlineStr">
        <is>
          <t>SÖDERMANLANDS LÄN</t>
        </is>
      </c>
      <c r="E393" t="inlineStr">
        <is>
          <t>FLEN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37256-2022</t>
        </is>
      </c>
      <c r="B394" s="1" t="n">
        <v>44807</v>
      </c>
      <c r="C394" s="1" t="n">
        <v>46203</v>
      </c>
      <c r="D394" t="inlineStr">
        <is>
          <t>SÖDERMANLANDS LÄN</t>
        </is>
      </c>
      <c r="E394" t="inlineStr">
        <is>
          <t>FLEN</t>
        </is>
      </c>
      <c r="G394" t="n">
        <v>4.9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26050-2026</t>
        </is>
      </c>
      <c r="B395" s="1" t="n">
        <v>46181</v>
      </c>
      <c r="C395" s="1" t="n">
        <v>46203</v>
      </c>
      <c r="D395" t="inlineStr">
        <is>
          <t>SÖDERMANLANDS LÄN</t>
        </is>
      </c>
      <c r="E395" t="inlineStr">
        <is>
          <t>FLEN</t>
        </is>
      </c>
      <c r="F395" t="inlineStr">
        <is>
          <t>Holmen skog AB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36453-2025</t>
        </is>
      </c>
      <c r="B396" s="1" t="n">
        <v>45869</v>
      </c>
      <c r="C396" s="1" t="n">
        <v>46203</v>
      </c>
      <c r="D396" t="inlineStr">
        <is>
          <t>SÖDERMANLANDS LÄN</t>
        </is>
      </c>
      <c r="E396" t="inlineStr">
        <is>
          <t>FLEN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39171-2025</t>
        </is>
      </c>
      <c r="B397" s="1" t="n">
        <v>45888</v>
      </c>
      <c r="C397" s="1" t="n">
        <v>46203</v>
      </c>
      <c r="D397" t="inlineStr">
        <is>
          <t>SÖDERMANLANDS LÄN</t>
        </is>
      </c>
      <c r="E397" t="inlineStr">
        <is>
          <t>FLEN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56229-2025</t>
        </is>
      </c>
      <c r="B398" s="1" t="n">
        <v>45974</v>
      </c>
      <c r="C398" s="1" t="n">
        <v>46203</v>
      </c>
      <c r="D398" t="inlineStr">
        <is>
          <t>SÖDERMANLANDS LÄN</t>
        </is>
      </c>
      <c r="E398" t="inlineStr">
        <is>
          <t>FLEN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26318-2026</t>
        </is>
      </c>
      <c r="B399" s="1" t="n">
        <v>46181</v>
      </c>
      <c r="C399" s="1" t="n">
        <v>46203</v>
      </c>
      <c r="D399" t="inlineStr">
        <is>
          <t>SÖDERMANLANDS LÄN</t>
        </is>
      </c>
      <c r="E399" t="inlineStr">
        <is>
          <t>FLEN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26326-2026</t>
        </is>
      </c>
      <c r="B400" s="1" t="n">
        <v>46181</v>
      </c>
      <c r="C400" s="1" t="n">
        <v>46203</v>
      </c>
      <c r="D400" t="inlineStr">
        <is>
          <t>SÖDERMANLANDS LÄN</t>
        </is>
      </c>
      <c r="E400" t="inlineStr">
        <is>
          <t>FLEN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66867-2021</t>
        </is>
      </c>
      <c r="B401" s="1" t="n">
        <v>44522</v>
      </c>
      <c r="C401" s="1" t="n">
        <v>46203</v>
      </c>
      <c r="D401" t="inlineStr">
        <is>
          <t>SÖDERMANLANDS LÄN</t>
        </is>
      </c>
      <c r="E401" t="inlineStr">
        <is>
          <t>FLEN</t>
        </is>
      </c>
      <c r="F401" t="inlineStr">
        <is>
          <t>Kyrkan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9979-2025</t>
        </is>
      </c>
      <c r="B402" s="1" t="n">
        <v>45718</v>
      </c>
      <c r="C402" s="1" t="n">
        <v>46203</v>
      </c>
      <c r="D402" t="inlineStr">
        <is>
          <t>SÖDERMANLANDS LÄN</t>
        </is>
      </c>
      <c r="E402" t="inlineStr">
        <is>
          <t>FLEN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49811-2023</t>
        </is>
      </c>
      <c r="B403" s="1" t="n">
        <v>45211</v>
      </c>
      <c r="C403" s="1" t="n">
        <v>46203</v>
      </c>
      <c r="D403" t="inlineStr">
        <is>
          <t>SÖDERMANLANDS LÄN</t>
        </is>
      </c>
      <c r="E403" t="inlineStr">
        <is>
          <t>FLEN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19150-2023</t>
        </is>
      </c>
      <c r="B404" s="1" t="n">
        <v>45048</v>
      </c>
      <c r="C404" s="1" t="n">
        <v>46203</v>
      </c>
      <c r="D404" t="inlineStr">
        <is>
          <t>SÖDERMANLANDS LÄN</t>
        </is>
      </c>
      <c r="E404" t="inlineStr">
        <is>
          <t>FLEN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23216-2025</t>
        </is>
      </c>
      <c r="B405" s="1" t="n">
        <v>45791</v>
      </c>
      <c r="C405" s="1" t="n">
        <v>46203</v>
      </c>
      <c r="D405" t="inlineStr">
        <is>
          <t>SÖDERMANLANDS LÄN</t>
        </is>
      </c>
      <c r="E405" t="inlineStr">
        <is>
          <t>FLEN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26444-2026</t>
        </is>
      </c>
      <c r="B406" s="1" t="n">
        <v>46183</v>
      </c>
      <c r="C406" s="1" t="n">
        <v>46203</v>
      </c>
      <c r="D406" t="inlineStr">
        <is>
          <t>SÖDERMANLANDS LÄN</t>
        </is>
      </c>
      <c r="E406" t="inlineStr">
        <is>
          <t>FLEN</t>
        </is>
      </c>
      <c r="F406" t="inlineStr">
        <is>
          <t>Holmen skog AB</t>
        </is>
      </c>
      <c r="G406" t="n">
        <v>7.2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59891-2025</t>
        </is>
      </c>
      <c r="B407" s="1" t="n">
        <v>45993</v>
      </c>
      <c r="C407" s="1" t="n">
        <v>46203</v>
      </c>
      <c r="D407" t="inlineStr">
        <is>
          <t>SÖDERMANLANDS LÄN</t>
        </is>
      </c>
      <c r="E407" t="inlineStr">
        <is>
          <t>FLEN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1899-2025</t>
        </is>
      </c>
      <c r="B408" s="1" t="n">
        <v>45671</v>
      </c>
      <c r="C408" s="1" t="n">
        <v>46203</v>
      </c>
      <c r="D408" t="inlineStr">
        <is>
          <t>SÖDERMANLANDS LÄN</t>
        </is>
      </c>
      <c r="E408" t="inlineStr">
        <is>
          <t>FLEN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13824-2023</t>
        </is>
      </c>
      <c r="B409" s="1" t="n">
        <v>45007</v>
      </c>
      <c r="C409" s="1" t="n">
        <v>46203</v>
      </c>
      <c r="D409" t="inlineStr">
        <is>
          <t>SÖDERMANLANDS LÄN</t>
        </is>
      </c>
      <c r="E409" t="inlineStr">
        <is>
          <t>FLEN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7381-2024</t>
        </is>
      </c>
      <c r="B410" s="1" t="n">
        <v>45345</v>
      </c>
      <c r="C410" s="1" t="n">
        <v>46203</v>
      </c>
      <c r="D410" t="inlineStr">
        <is>
          <t>SÖDERMANLANDS LÄN</t>
        </is>
      </c>
      <c r="E410" t="inlineStr">
        <is>
          <t>FLEN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24348-2023</t>
        </is>
      </c>
      <c r="B411" s="1" t="n">
        <v>45082</v>
      </c>
      <c r="C411" s="1" t="n">
        <v>46203</v>
      </c>
      <c r="D411" t="inlineStr">
        <is>
          <t>SÖDERMANLANDS LÄN</t>
        </is>
      </c>
      <c r="E411" t="inlineStr">
        <is>
          <t>FLEN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60150-2022</t>
        </is>
      </c>
      <c r="B412" s="1" t="n">
        <v>44909</v>
      </c>
      <c r="C412" s="1" t="n">
        <v>46203</v>
      </c>
      <c r="D412" t="inlineStr">
        <is>
          <t>SÖDERMANLANDS LÄN</t>
        </is>
      </c>
      <c r="E412" t="inlineStr">
        <is>
          <t>FLEN</t>
        </is>
      </c>
      <c r="F412" t="inlineStr">
        <is>
          <t>Holmen skog AB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18511-2023</t>
        </is>
      </c>
      <c r="B413" s="1" t="n">
        <v>45041</v>
      </c>
      <c r="C413" s="1" t="n">
        <v>46203</v>
      </c>
      <c r="D413" t="inlineStr">
        <is>
          <t>SÖDERMANLANDS LÄN</t>
        </is>
      </c>
      <c r="E413" t="inlineStr">
        <is>
          <t>FLEN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26854-2026</t>
        </is>
      </c>
      <c r="B414" s="1" t="n">
        <v>46185</v>
      </c>
      <c r="C414" s="1" t="n">
        <v>46203</v>
      </c>
      <c r="D414" t="inlineStr">
        <is>
          <t>SÖDERMANLANDS LÄN</t>
        </is>
      </c>
      <c r="E414" t="inlineStr">
        <is>
          <t>FLEN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26850-2026</t>
        </is>
      </c>
      <c r="B415" s="1" t="n">
        <v>46185</v>
      </c>
      <c r="C415" s="1" t="n">
        <v>46203</v>
      </c>
      <c r="D415" t="inlineStr">
        <is>
          <t>SÖDERMANLANDS LÄN</t>
        </is>
      </c>
      <c r="E415" t="inlineStr">
        <is>
          <t>FLEN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27304-2026</t>
        </is>
      </c>
      <c r="B416" s="1" t="n">
        <v>46188</v>
      </c>
      <c r="C416" s="1" t="n">
        <v>46203</v>
      </c>
      <c r="D416" t="inlineStr">
        <is>
          <t>SÖDERMANLANDS LÄN</t>
        </is>
      </c>
      <c r="E416" t="inlineStr">
        <is>
          <t>FLEN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27317-2026</t>
        </is>
      </c>
      <c r="B417" s="1" t="n">
        <v>46188</v>
      </c>
      <c r="C417" s="1" t="n">
        <v>46203</v>
      </c>
      <c r="D417" t="inlineStr">
        <is>
          <t>SÖDERMANLANDS LÄN</t>
        </is>
      </c>
      <c r="E417" t="inlineStr">
        <is>
          <t>FLEN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27328-2026</t>
        </is>
      </c>
      <c r="B418" s="1" t="n">
        <v>46188</v>
      </c>
      <c r="C418" s="1" t="n">
        <v>46203</v>
      </c>
      <c r="D418" t="inlineStr">
        <is>
          <t>SÖDERMANLANDS LÄN</t>
        </is>
      </c>
      <c r="E418" t="inlineStr">
        <is>
          <t>FLEN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8883-2023</t>
        </is>
      </c>
      <c r="B419" s="1" t="n">
        <v>44979</v>
      </c>
      <c r="C419" s="1" t="n">
        <v>46203</v>
      </c>
      <c r="D419" t="inlineStr">
        <is>
          <t>SÖDERMANLANDS LÄN</t>
        </is>
      </c>
      <c r="E419" t="inlineStr">
        <is>
          <t>FLEN</t>
        </is>
      </c>
      <c r="G419" t="n">
        <v>5.2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21822-2023</t>
        </is>
      </c>
      <c r="B420" s="1" t="n">
        <v>45068</v>
      </c>
      <c r="C420" s="1" t="n">
        <v>46203</v>
      </c>
      <c r="D420" t="inlineStr">
        <is>
          <t>SÖDERMANLANDS LÄN</t>
        </is>
      </c>
      <c r="E420" t="inlineStr">
        <is>
          <t>FLEN</t>
        </is>
      </c>
      <c r="F420" t="inlineStr">
        <is>
          <t>Holmen skog AB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28316-2026</t>
        </is>
      </c>
      <c r="B421" s="1" t="n">
        <v>46196</v>
      </c>
      <c r="C421" s="1" t="n">
        <v>46203</v>
      </c>
      <c r="D421" t="inlineStr">
        <is>
          <t>SÖDERMANLANDS LÄN</t>
        </is>
      </c>
      <c r="E421" t="inlineStr">
        <is>
          <t>FLEN</t>
        </is>
      </c>
      <c r="G421" t="n">
        <v>3.8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28664-2026</t>
        </is>
      </c>
      <c r="B422" s="1" t="n">
        <v>46198</v>
      </c>
      <c r="C422" s="1" t="n">
        <v>46203</v>
      </c>
      <c r="D422" t="inlineStr">
        <is>
          <t>SÖDERMANLANDS LÄN</t>
        </is>
      </c>
      <c r="E422" t="inlineStr">
        <is>
          <t>FLEN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47187-2022</t>
        </is>
      </c>
      <c r="B423" s="1" t="n">
        <v>44848</v>
      </c>
      <c r="C423" s="1" t="n">
        <v>46203</v>
      </c>
      <c r="D423" t="inlineStr">
        <is>
          <t>SÖDERMANLANDS LÄN</t>
        </is>
      </c>
      <c r="E423" t="inlineStr">
        <is>
          <t>FLEN</t>
        </is>
      </c>
      <c r="F423" t="inlineStr">
        <is>
          <t>Övriga statliga verk och myndigheter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54340-2023</t>
        </is>
      </c>
      <c r="B424" s="1" t="n">
        <v>45225</v>
      </c>
      <c r="C424" s="1" t="n">
        <v>46203</v>
      </c>
      <c r="D424" t="inlineStr">
        <is>
          <t>SÖDERMANLANDS LÄN</t>
        </is>
      </c>
      <c r="E424" t="inlineStr">
        <is>
          <t>FLEN</t>
        </is>
      </c>
      <c r="G424" t="n">
        <v>5.3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50898-2022</t>
        </is>
      </c>
      <c r="B425" s="1" t="n">
        <v>44864</v>
      </c>
      <c r="C425" s="1" t="n">
        <v>46203</v>
      </c>
      <c r="D425" t="inlineStr">
        <is>
          <t>SÖDERMANLANDS LÄN</t>
        </is>
      </c>
      <c r="E425" t="inlineStr">
        <is>
          <t>FLEN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50796-2021</t>
        </is>
      </c>
      <c r="B426" s="1" t="n">
        <v>44459</v>
      </c>
      <c r="C426" s="1" t="n">
        <v>46203</v>
      </c>
      <c r="D426" t="inlineStr">
        <is>
          <t>SÖDERMANLANDS LÄN</t>
        </is>
      </c>
      <c r="E426" t="inlineStr">
        <is>
          <t>FLEN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9088-2026</t>
        </is>
      </c>
      <c r="B427" s="1" t="n">
        <v>46069</v>
      </c>
      <c r="C427" s="1" t="n">
        <v>46203</v>
      </c>
      <c r="D427" t="inlineStr">
        <is>
          <t>SÖDERMANLANDS LÄN</t>
        </is>
      </c>
      <c r="E427" t="inlineStr">
        <is>
          <t>FLEN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50358-2023</t>
        </is>
      </c>
      <c r="B428" s="1" t="n">
        <v>45216</v>
      </c>
      <c r="C428" s="1" t="n">
        <v>46203</v>
      </c>
      <c r="D428" t="inlineStr">
        <is>
          <t>SÖDERMANLANDS LÄN</t>
        </is>
      </c>
      <c r="E428" t="inlineStr">
        <is>
          <t>FLEN</t>
        </is>
      </c>
      <c r="F428" t="inlineStr">
        <is>
          <t>Holmen skog AB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40404-2024</t>
        </is>
      </c>
      <c r="B429" s="1" t="n">
        <v>45555</v>
      </c>
      <c r="C429" s="1" t="n">
        <v>46203</v>
      </c>
      <c r="D429" t="inlineStr">
        <is>
          <t>SÖDERMANLANDS LÄN</t>
        </is>
      </c>
      <c r="E429" t="inlineStr">
        <is>
          <t>FLEN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52353-2023</t>
        </is>
      </c>
      <c r="B430" s="1" t="n">
        <v>45224</v>
      </c>
      <c r="C430" s="1" t="n">
        <v>46203</v>
      </c>
      <c r="D430" t="inlineStr">
        <is>
          <t>SÖDERMANLANDS LÄN</t>
        </is>
      </c>
      <c r="E430" t="inlineStr">
        <is>
          <t>FLEN</t>
        </is>
      </c>
      <c r="F430" t="inlineStr">
        <is>
          <t>Kyrkan</t>
        </is>
      </c>
      <c r="G430" t="n">
        <v>8.199999999999999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52692-2021</t>
        </is>
      </c>
      <c r="B431" s="1" t="n">
        <v>44466</v>
      </c>
      <c r="C431" s="1" t="n">
        <v>46203</v>
      </c>
      <c r="D431" t="inlineStr">
        <is>
          <t>SÖDERMANLANDS LÄN</t>
        </is>
      </c>
      <c r="E431" t="inlineStr">
        <is>
          <t>FLEN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14260-2025</t>
        </is>
      </c>
      <c r="B432" s="1" t="n">
        <v>45740</v>
      </c>
      <c r="C432" s="1" t="n">
        <v>46203</v>
      </c>
      <c r="D432" t="inlineStr">
        <is>
          <t>SÖDERMANLANDS LÄN</t>
        </is>
      </c>
      <c r="E432" t="inlineStr">
        <is>
          <t>FLEN</t>
        </is>
      </c>
      <c r="F432" t="inlineStr">
        <is>
          <t>Holmen skog AB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60613-2023</t>
        </is>
      </c>
      <c r="B433" s="1" t="n">
        <v>45260</v>
      </c>
      <c r="C433" s="1" t="n">
        <v>46203</v>
      </c>
      <c r="D433" t="inlineStr">
        <is>
          <t>SÖDERMANLANDS LÄN</t>
        </is>
      </c>
      <c r="E433" t="inlineStr">
        <is>
          <t>FLEN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62763-2023</t>
        </is>
      </c>
      <c r="B434" s="1" t="n">
        <v>45271</v>
      </c>
      <c r="C434" s="1" t="n">
        <v>46203</v>
      </c>
      <c r="D434" t="inlineStr">
        <is>
          <t>SÖDERMANLANDS LÄN</t>
        </is>
      </c>
      <c r="E434" t="inlineStr">
        <is>
          <t>FLEN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28529-2023</t>
        </is>
      </c>
      <c r="B435" s="1" t="n">
        <v>45103</v>
      </c>
      <c r="C435" s="1" t="n">
        <v>46203</v>
      </c>
      <c r="D435" t="inlineStr">
        <is>
          <t>SÖDERMANLANDS LÄN</t>
        </is>
      </c>
      <c r="E435" t="inlineStr">
        <is>
          <t>FLEN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15897-2023</t>
        </is>
      </c>
      <c r="B436" s="1" t="n">
        <v>45022</v>
      </c>
      <c r="C436" s="1" t="n">
        <v>46203</v>
      </c>
      <c r="D436" t="inlineStr">
        <is>
          <t>SÖDERMANLANDS LÄN</t>
        </is>
      </c>
      <c r="E436" t="inlineStr">
        <is>
          <t>FLEN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17125-2023</t>
        </is>
      </c>
      <c r="B437" s="1" t="n">
        <v>45034</v>
      </c>
      <c r="C437" s="1" t="n">
        <v>46203</v>
      </c>
      <c r="D437" t="inlineStr">
        <is>
          <t>SÖDERMANLANDS LÄN</t>
        </is>
      </c>
      <c r="E437" t="inlineStr">
        <is>
          <t>FLEN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28938-2023</t>
        </is>
      </c>
      <c r="B438" s="1" t="n">
        <v>45104</v>
      </c>
      <c r="C438" s="1" t="n">
        <v>46203</v>
      </c>
      <c r="D438" t="inlineStr">
        <is>
          <t>SÖDERMANLANDS LÄN</t>
        </is>
      </c>
      <c r="E438" t="inlineStr">
        <is>
          <t>FLEN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25467-2023</t>
        </is>
      </c>
      <c r="B439" s="1" t="n">
        <v>45081</v>
      </c>
      <c r="C439" s="1" t="n">
        <v>46203</v>
      </c>
      <c r="D439" t="inlineStr">
        <is>
          <t>SÖDERMANLANDS LÄN</t>
        </is>
      </c>
      <c r="E439" t="inlineStr">
        <is>
          <t>FLEN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25474-2023</t>
        </is>
      </c>
      <c r="B440" s="1" t="n">
        <v>45081</v>
      </c>
      <c r="C440" s="1" t="n">
        <v>46203</v>
      </c>
      <c r="D440" t="inlineStr">
        <is>
          <t>SÖDERMANLANDS LÄN</t>
        </is>
      </c>
      <c r="E440" t="inlineStr">
        <is>
          <t>FLEN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12936-2023</t>
        </is>
      </c>
      <c r="B441" s="1" t="n">
        <v>45001</v>
      </c>
      <c r="C441" s="1" t="n">
        <v>46203</v>
      </c>
      <c r="D441" t="inlineStr">
        <is>
          <t>SÖDERMANLANDS LÄN</t>
        </is>
      </c>
      <c r="E441" t="inlineStr">
        <is>
          <t>FLEN</t>
        </is>
      </c>
      <c r="F441" t="inlineStr">
        <is>
          <t>Holmen skog AB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35600-2023</t>
        </is>
      </c>
      <c r="B442" s="1" t="n">
        <v>45147</v>
      </c>
      <c r="C442" s="1" t="n">
        <v>46203</v>
      </c>
      <c r="D442" t="inlineStr">
        <is>
          <t>SÖDERMANLANDS LÄN</t>
        </is>
      </c>
      <c r="E442" t="inlineStr">
        <is>
          <t>FLEN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73923-2021</t>
        </is>
      </c>
      <c r="B443" s="1" t="n">
        <v>44553</v>
      </c>
      <c r="C443" s="1" t="n">
        <v>46203</v>
      </c>
      <c r="D443" t="inlineStr">
        <is>
          <t>SÖDERMANLANDS LÄN</t>
        </is>
      </c>
      <c r="E443" t="inlineStr">
        <is>
          <t>FLEN</t>
        </is>
      </c>
      <c r="G443" t="n">
        <v>5.7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60034-2022</t>
        </is>
      </c>
      <c r="B444" s="1" t="n">
        <v>44909</v>
      </c>
      <c r="C444" s="1" t="n">
        <v>46203</v>
      </c>
      <c r="D444" t="inlineStr">
        <is>
          <t>SÖDERMANLANDS LÄN</t>
        </is>
      </c>
      <c r="E444" t="inlineStr">
        <is>
          <t>FLEN</t>
        </is>
      </c>
      <c r="F444" t="inlineStr">
        <is>
          <t>Holmen skog AB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58364-2023</t>
        </is>
      </c>
      <c r="B445" s="1" t="n">
        <v>45250</v>
      </c>
      <c r="C445" s="1" t="n">
        <v>46203</v>
      </c>
      <c r="D445" t="inlineStr">
        <is>
          <t>SÖDERMANLANDS LÄN</t>
        </is>
      </c>
      <c r="E445" t="inlineStr">
        <is>
          <t>FLEN</t>
        </is>
      </c>
      <c r="F445" t="inlineStr">
        <is>
          <t>Holmen skog AB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38209-2023</t>
        </is>
      </c>
      <c r="B446" s="1" t="n">
        <v>45161</v>
      </c>
      <c r="C446" s="1" t="n">
        <v>46203</v>
      </c>
      <c r="D446" t="inlineStr">
        <is>
          <t>SÖDERMANLANDS LÄN</t>
        </is>
      </c>
      <c r="E446" t="inlineStr">
        <is>
          <t>FLEN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38762-2023</t>
        </is>
      </c>
      <c r="B447" s="1" t="n">
        <v>45163</v>
      </c>
      <c r="C447" s="1" t="n">
        <v>46203</v>
      </c>
      <c r="D447" t="inlineStr">
        <is>
          <t>SÖDERMANLANDS LÄN</t>
        </is>
      </c>
      <c r="E447" t="inlineStr">
        <is>
          <t>FLEN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9257-2023</t>
        </is>
      </c>
      <c r="B448" s="1" t="n">
        <v>44980</v>
      </c>
      <c r="C448" s="1" t="n">
        <v>46203</v>
      </c>
      <c r="D448" t="inlineStr">
        <is>
          <t>SÖDERMANLANDS LÄN</t>
        </is>
      </c>
      <c r="E448" t="inlineStr">
        <is>
          <t>FLEN</t>
        </is>
      </c>
      <c r="G448" t="n">
        <v>3.5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54666-2021</t>
        </is>
      </c>
      <c r="B449" s="1" t="n">
        <v>44473</v>
      </c>
      <c r="C449" s="1" t="n">
        <v>46203</v>
      </c>
      <c r="D449" t="inlineStr">
        <is>
          <t>SÖDERMANLANDS LÄN</t>
        </is>
      </c>
      <c r="E449" t="inlineStr">
        <is>
          <t>FLEN</t>
        </is>
      </c>
      <c r="G449" t="n">
        <v>10.1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10886-2023</t>
        </is>
      </c>
      <c r="B450" s="1" t="n">
        <v>44991</v>
      </c>
      <c r="C450" s="1" t="n">
        <v>46203</v>
      </c>
      <c r="D450" t="inlineStr">
        <is>
          <t>SÖDERMANLANDS LÄN</t>
        </is>
      </c>
      <c r="E450" t="inlineStr">
        <is>
          <t>FLEN</t>
        </is>
      </c>
      <c r="G450" t="n">
        <v>0.3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4742-2023</t>
        </is>
      </c>
      <c r="B451" s="1" t="n">
        <v>44957</v>
      </c>
      <c r="C451" s="1" t="n">
        <v>46203</v>
      </c>
      <c r="D451" t="inlineStr">
        <is>
          <t>SÖDERMANLANDS LÄN</t>
        </is>
      </c>
      <c r="E451" t="inlineStr">
        <is>
          <t>FLEN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8793-2022</t>
        </is>
      </c>
      <c r="B452" s="1" t="n">
        <v>44614</v>
      </c>
      <c r="C452" s="1" t="n">
        <v>46203</v>
      </c>
      <c r="D452" t="inlineStr">
        <is>
          <t>SÖDERMANLANDS LÄN</t>
        </is>
      </c>
      <c r="E452" t="inlineStr">
        <is>
          <t>FLEN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42388-2023</t>
        </is>
      </c>
      <c r="B453" s="1" t="n">
        <v>45180</v>
      </c>
      <c r="C453" s="1" t="n">
        <v>46203</v>
      </c>
      <c r="D453" t="inlineStr">
        <is>
          <t>SÖDERMANLANDS LÄN</t>
        </is>
      </c>
      <c r="E453" t="inlineStr">
        <is>
          <t>FLEN</t>
        </is>
      </c>
      <c r="G453" t="n">
        <v>4.3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35118-2024</t>
        </is>
      </c>
      <c r="B454" s="1" t="n">
        <v>45528</v>
      </c>
      <c r="C454" s="1" t="n">
        <v>46203</v>
      </c>
      <c r="D454" t="inlineStr">
        <is>
          <t>SÖDERMANLANDS LÄN</t>
        </is>
      </c>
      <c r="E454" t="inlineStr">
        <is>
          <t>FLEN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72314-2021</t>
        </is>
      </c>
      <c r="B455" s="1" t="n">
        <v>44544</v>
      </c>
      <c r="C455" s="1" t="n">
        <v>46203</v>
      </c>
      <c r="D455" t="inlineStr">
        <is>
          <t>SÖDERMANLANDS LÄN</t>
        </is>
      </c>
      <c r="E455" t="inlineStr">
        <is>
          <t>FLEN</t>
        </is>
      </c>
      <c r="G455" t="n">
        <v>13.8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41630-2023</t>
        </is>
      </c>
      <c r="B456" s="1" t="n">
        <v>45175</v>
      </c>
      <c r="C456" s="1" t="n">
        <v>46203</v>
      </c>
      <c r="D456" t="inlineStr">
        <is>
          <t>SÖDERMANLANDS LÄN</t>
        </is>
      </c>
      <c r="E456" t="inlineStr">
        <is>
          <t>FLEN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38753-2023</t>
        </is>
      </c>
      <c r="B457" s="1" t="n">
        <v>45163</v>
      </c>
      <c r="C457" s="1" t="n">
        <v>46203</v>
      </c>
      <c r="D457" t="inlineStr">
        <is>
          <t>SÖDERMANLANDS LÄN</t>
        </is>
      </c>
      <c r="E457" t="inlineStr">
        <is>
          <t>FLEN</t>
        </is>
      </c>
      <c r="G457" t="n">
        <v>7.9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60255-2021</t>
        </is>
      </c>
      <c r="B458" s="1" t="n">
        <v>44495</v>
      </c>
      <c r="C458" s="1" t="n">
        <v>46203</v>
      </c>
      <c r="D458" t="inlineStr">
        <is>
          <t>SÖDERMANLANDS LÄN</t>
        </is>
      </c>
      <c r="E458" t="inlineStr">
        <is>
          <t>FLEN</t>
        </is>
      </c>
      <c r="G458" t="n">
        <v>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4536-2024</t>
        </is>
      </c>
      <c r="B459" s="1" t="n">
        <v>45327</v>
      </c>
      <c r="C459" s="1" t="n">
        <v>46203</v>
      </c>
      <c r="D459" t="inlineStr">
        <is>
          <t>SÖDERMANLANDS LÄN</t>
        </is>
      </c>
      <c r="E459" t="inlineStr">
        <is>
          <t>FLEN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38331-2023</t>
        </is>
      </c>
      <c r="B460" s="1" t="n">
        <v>45161</v>
      </c>
      <c r="C460" s="1" t="n">
        <v>46203</v>
      </c>
      <c r="D460" t="inlineStr">
        <is>
          <t>SÖDERMANLANDS LÄN</t>
        </is>
      </c>
      <c r="E460" t="inlineStr">
        <is>
          <t>FLEN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8293-2022</t>
        </is>
      </c>
      <c r="B461" s="1" t="n">
        <v>44610</v>
      </c>
      <c r="C461" s="1" t="n">
        <v>46203</v>
      </c>
      <c r="D461" t="inlineStr">
        <is>
          <t>SÖDERMANLANDS LÄN</t>
        </is>
      </c>
      <c r="E461" t="inlineStr">
        <is>
          <t>FLEN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6725-2022</t>
        </is>
      </c>
      <c r="B462" s="1" t="n">
        <v>44602</v>
      </c>
      <c r="C462" s="1" t="n">
        <v>46203</v>
      </c>
      <c r="D462" t="inlineStr">
        <is>
          <t>SÖDERMANLANDS LÄN</t>
        </is>
      </c>
      <c r="E462" t="inlineStr">
        <is>
          <t>FLEN</t>
        </is>
      </c>
      <c r="G462" t="n">
        <v>5.9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31352-2023</t>
        </is>
      </c>
      <c r="B463" s="1" t="n">
        <v>45114</v>
      </c>
      <c r="C463" s="1" t="n">
        <v>46203</v>
      </c>
      <c r="D463" t="inlineStr">
        <is>
          <t>SÖDERMANLANDS LÄN</t>
        </is>
      </c>
      <c r="E463" t="inlineStr">
        <is>
          <t>FLEN</t>
        </is>
      </c>
      <c r="G463" t="n">
        <v>5.3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4657-2024</t>
        </is>
      </c>
      <c r="B464" s="1" t="n">
        <v>45328</v>
      </c>
      <c r="C464" s="1" t="n">
        <v>46203</v>
      </c>
      <c r="D464" t="inlineStr">
        <is>
          <t>SÖDERMANLANDS LÄN</t>
        </is>
      </c>
      <c r="E464" t="inlineStr">
        <is>
          <t>FLEN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40420-2024</t>
        </is>
      </c>
      <c r="B465" s="1" t="n">
        <v>45555</v>
      </c>
      <c r="C465" s="1" t="n">
        <v>46203</v>
      </c>
      <c r="D465" t="inlineStr">
        <is>
          <t>SÖDERMANLANDS LÄN</t>
        </is>
      </c>
      <c r="E465" t="inlineStr">
        <is>
          <t>FLEN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39335-2023</t>
        </is>
      </c>
      <c r="B466" s="1" t="n">
        <v>45166</v>
      </c>
      <c r="C466" s="1" t="n">
        <v>46203</v>
      </c>
      <c r="D466" t="inlineStr">
        <is>
          <t>SÖDERMANLANDS LÄN</t>
        </is>
      </c>
      <c r="E466" t="inlineStr">
        <is>
          <t>FLEN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69588-2021</t>
        </is>
      </c>
      <c r="B467" s="1" t="n">
        <v>44531</v>
      </c>
      <c r="C467" s="1" t="n">
        <v>46203</v>
      </c>
      <c r="D467" t="inlineStr">
        <is>
          <t>SÖDERMANLANDS LÄN</t>
        </is>
      </c>
      <c r="E467" t="inlineStr">
        <is>
          <t>FLEN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11747-2022</t>
        </is>
      </c>
      <c r="B468" s="1" t="n">
        <v>44634</v>
      </c>
      <c r="C468" s="1" t="n">
        <v>46203</v>
      </c>
      <c r="D468" t="inlineStr">
        <is>
          <t>SÖDERMANLANDS LÄN</t>
        </is>
      </c>
      <c r="E468" t="inlineStr">
        <is>
          <t>FLEN</t>
        </is>
      </c>
      <c r="G468" t="n">
        <v>3.5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45923-2023</t>
        </is>
      </c>
      <c r="B469" s="1" t="n">
        <v>45189</v>
      </c>
      <c r="C469" s="1" t="n">
        <v>46203</v>
      </c>
      <c r="D469" t="inlineStr">
        <is>
          <t>SÖDERMANLANDS LÄN</t>
        </is>
      </c>
      <c r="E469" t="inlineStr">
        <is>
          <t>FLEN</t>
        </is>
      </c>
      <c r="F469" t="inlineStr">
        <is>
          <t>Övriga statliga verk och myndigheter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48858-2023</t>
        </is>
      </c>
      <c r="B470" s="1" t="n">
        <v>45209</v>
      </c>
      <c r="C470" s="1" t="n">
        <v>46203</v>
      </c>
      <c r="D470" t="inlineStr">
        <is>
          <t>SÖDERMANLANDS LÄN</t>
        </is>
      </c>
      <c r="E470" t="inlineStr">
        <is>
          <t>FLEN</t>
        </is>
      </c>
      <c r="G470" t="n">
        <v>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8903-2022</t>
        </is>
      </c>
      <c r="B471" s="1" t="n">
        <v>44614</v>
      </c>
      <c r="C471" s="1" t="n">
        <v>46203</v>
      </c>
      <c r="D471" t="inlineStr">
        <is>
          <t>SÖDERMANLANDS LÄN</t>
        </is>
      </c>
      <c r="E471" t="inlineStr">
        <is>
          <t>FLEN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16937-2022</t>
        </is>
      </c>
      <c r="B472" s="1" t="n">
        <v>44676</v>
      </c>
      <c r="C472" s="1" t="n">
        <v>46203</v>
      </c>
      <c r="D472" t="inlineStr">
        <is>
          <t>SÖDERMANLANDS LÄN</t>
        </is>
      </c>
      <c r="E472" t="inlineStr">
        <is>
          <t>FLEN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23716-2024</t>
        </is>
      </c>
      <c r="B473" s="1" t="n">
        <v>45454</v>
      </c>
      <c r="C473" s="1" t="n">
        <v>46203</v>
      </c>
      <c r="D473" t="inlineStr">
        <is>
          <t>SÖDERMANLANDS LÄN</t>
        </is>
      </c>
      <c r="E473" t="inlineStr">
        <is>
          <t>FLEN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14106-2025</t>
        </is>
      </c>
      <c r="B474" s="1" t="n">
        <v>45740</v>
      </c>
      <c r="C474" s="1" t="n">
        <v>46203</v>
      </c>
      <c r="D474" t="inlineStr">
        <is>
          <t>SÖDERMANLANDS LÄN</t>
        </is>
      </c>
      <c r="E474" t="inlineStr">
        <is>
          <t>FLEN</t>
        </is>
      </c>
      <c r="F474" t="inlineStr">
        <is>
          <t>Övriga statliga verk och myndigheter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33024-2022</t>
        </is>
      </c>
      <c r="B475" s="1" t="n">
        <v>44785</v>
      </c>
      <c r="C475" s="1" t="n">
        <v>46203</v>
      </c>
      <c r="D475" t="inlineStr">
        <is>
          <t>SÖDERMANLANDS LÄN</t>
        </is>
      </c>
      <c r="E475" t="inlineStr">
        <is>
          <t>FLEN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53509-2023</t>
        </is>
      </c>
      <c r="B476" s="1" t="n">
        <v>45230</v>
      </c>
      <c r="C476" s="1" t="n">
        <v>46203</v>
      </c>
      <c r="D476" t="inlineStr">
        <is>
          <t>SÖDERMANLANDS LÄN</t>
        </is>
      </c>
      <c r="E476" t="inlineStr">
        <is>
          <t>FLEN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46401-2022</t>
        </is>
      </c>
      <c r="B477" s="1" t="n">
        <v>44846</v>
      </c>
      <c r="C477" s="1" t="n">
        <v>46203</v>
      </c>
      <c r="D477" t="inlineStr">
        <is>
          <t>SÖDERMANLANDS LÄN</t>
        </is>
      </c>
      <c r="E477" t="inlineStr">
        <is>
          <t>FLEN</t>
        </is>
      </c>
      <c r="F477" t="inlineStr">
        <is>
          <t>Kyrkan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39891-2022</t>
        </is>
      </c>
      <c r="B478" s="1" t="n">
        <v>44819</v>
      </c>
      <c r="C478" s="1" t="n">
        <v>46203</v>
      </c>
      <c r="D478" t="inlineStr">
        <is>
          <t>SÖDERMANLANDS LÄN</t>
        </is>
      </c>
      <c r="E478" t="inlineStr">
        <is>
          <t>FLEN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21167-2023</t>
        </is>
      </c>
      <c r="B479" s="1" t="n">
        <v>45057</v>
      </c>
      <c r="C479" s="1" t="n">
        <v>46203</v>
      </c>
      <c r="D479" t="inlineStr">
        <is>
          <t>SÖDERMANLANDS LÄN</t>
        </is>
      </c>
      <c r="E479" t="inlineStr">
        <is>
          <t>FLEN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40286-2023</t>
        </is>
      </c>
      <c r="B480" s="1" t="n">
        <v>45169</v>
      </c>
      <c r="C480" s="1" t="n">
        <v>46203</v>
      </c>
      <c r="D480" t="inlineStr">
        <is>
          <t>SÖDERMANLANDS LÄN</t>
        </is>
      </c>
      <c r="E480" t="inlineStr">
        <is>
          <t>FLEN</t>
        </is>
      </c>
      <c r="G480" t="n">
        <v>4.1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25823-2022</t>
        </is>
      </c>
      <c r="B481" s="1" t="n">
        <v>44733</v>
      </c>
      <c r="C481" s="1" t="n">
        <v>46203</v>
      </c>
      <c r="D481" t="inlineStr">
        <is>
          <t>SÖDERMANLANDS LÄN</t>
        </is>
      </c>
      <c r="E481" t="inlineStr">
        <is>
          <t>FLEN</t>
        </is>
      </c>
      <c r="G481" t="n">
        <v>8.699999999999999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59599-2022</t>
        </is>
      </c>
      <c r="B482" s="1" t="n">
        <v>44907</v>
      </c>
      <c r="C482" s="1" t="n">
        <v>46203</v>
      </c>
      <c r="D482" t="inlineStr">
        <is>
          <t>SÖDERMANLANDS LÄN</t>
        </is>
      </c>
      <c r="E482" t="inlineStr">
        <is>
          <t>FLEN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2901-2024</t>
        </is>
      </c>
      <c r="B483" s="1" t="n">
        <v>45315</v>
      </c>
      <c r="C483" s="1" t="n">
        <v>46203</v>
      </c>
      <c r="D483" t="inlineStr">
        <is>
          <t>SÖDERMANLANDS LÄN</t>
        </is>
      </c>
      <c r="E483" t="inlineStr">
        <is>
          <t>FLEN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55445-2022</t>
        </is>
      </c>
      <c r="B484" s="1" t="n">
        <v>44887</v>
      </c>
      <c r="C484" s="1" t="n">
        <v>46203</v>
      </c>
      <c r="D484" t="inlineStr">
        <is>
          <t>SÖDERMANLANDS LÄN</t>
        </is>
      </c>
      <c r="E484" t="inlineStr">
        <is>
          <t>FLEN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12277-2024</t>
        </is>
      </c>
      <c r="B485" s="1" t="n">
        <v>45378</v>
      </c>
      <c r="C485" s="1" t="n">
        <v>46203</v>
      </c>
      <c r="D485" t="inlineStr">
        <is>
          <t>SÖDERMANLANDS LÄN</t>
        </is>
      </c>
      <c r="E485" t="inlineStr">
        <is>
          <t>FLEN</t>
        </is>
      </c>
      <c r="F485" t="inlineStr">
        <is>
          <t>Holmen skog AB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39053-2023</t>
        </is>
      </c>
      <c r="B486" s="1" t="n">
        <v>45163</v>
      </c>
      <c r="C486" s="1" t="n">
        <v>46203</v>
      </c>
      <c r="D486" t="inlineStr">
        <is>
          <t>SÖDERMANLANDS LÄN</t>
        </is>
      </c>
      <c r="E486" t="inlineStr">
        <is>
          <t>FLEN</t>
        </is>
      </c>
      <c r="G486" t="n">
        <v>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58377-2023</t>
        </is>
      </c>
      <c r="B487" s="1" t="n">
        <v>45250</v>
      </c>
      <c r="C487" s="1" t="n">
        <v>46203</v>
      </c>
      <c r="D487" t="inlineStr">
        <is>
          <t>SÖDERMANLANDS LÄN</t>
        </is>
      </c>
      <c r="E487" t="inlineStr">
        <is>
          <t>FLEN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3798-2024</t>
        </is>
      </c>
      <c r="B488" s="1" t="n">
        <v>45321</v>
      </c>
      <c r="C488" s="1" t="n">
        <v>46203</v>
      </c>
      <c r="D488" t="inlineStr">
        <is>
          <t>SÖDERMANLANDS LÄN</t>
        </is>
      </c>
      <c r="E488" t="inlineStr">
        <is>
          <t>FLEN</t>
        </is>
      </c>
      <c r="G488" t="n">
        <v>3.7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59817-2022</t>
        </is>
      </c>
      <c r="B489" s="1" t="n">
        <v>44900</v>
      </c>
      <c r="C489" s="1" t="n">
        <v>46203</v>
      </c>
      <c r="D489" t="inlineStr">
        <is>
          <t>SÖDERMANLANDS LÄN</t>
        </is>
      </c>
      <c r="E489" t="inlineStr">
        <is>
          <t>FLEN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2087-2024</t>
        </is>
      </c>
      <c r="B490" s="1" t="n">
        <v>45309</v>
      </c>
      <c r="C490" s="1" t="n">
        <v>46203</v>
      </c>
      <c r="D490" t="inlineStr">
        <is>
          <t>SÖDERMANLANDS LÄN</t>
        </is>
      </c>
      <c r="E490" t="inlineStr">
        <is>
          <t>FLEN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5109-2023</t>
        </is>
      </c>
      <c r="B491" s="1" t="n">
        <v>44958</v>
      </c>
      <c r="C491" s="1" t="n">
        <v>46203</v>
      </c>
      <c r="D491" t="inlineStr">
        <is>
          <t>SÖDERMANLANDS LÄN</t>
        </is>
      </c>
      <c r="E491" t="inlineStr">
        <is>
          <t>FLEN</t>
        </is>
      </c>
      <c r="G491" t="n">
        <v>7.5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51925-2022</t>
        </is>
      </c>
      <c r="B492" s="1" t="n">
        <v>44868</v>
      </c>
      <c r="C492" s="1" t="n">
        <v>46203</v>
      </c>
      <c r="D492" t="inlineStr">
        <is>
          <t>SÖDERMANLANDS LÄN</t>
        </is>
      </c>
      <c r="E492" t="inlineStr">
        <is>
          <t>FLEN</t>
        </is>
      </c>
      <c r="F492" t="inlineStr">
        <is>
          <t>Övriga statliga verk och myndigheter</t>
        </is>
      </c>
      <c r="G492" t="n">
        <v>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10771-2022</t>
        </is>
      </c>
      <c r="B493" s="1" t="n">
        <v>44624</v>
      </c>
      <c r="C493" s="1" t="n">
        <v>46203</v>
      </c>
      <c r="D493" t="inlineStr">
        <is>
          <t>SÖDERMANLANDS LÄN</t>
        </is>
      </c>
      <c r="E493" t="inlineStr">
        <is>
          <t>FLEN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10828-2022</t>
        </is>
      </c>
      <c r="B494" s="1" t="n">
        <v>44624</v>
      </c>
      <c r="C494" s="1" t="n">
        <v>46203</v>
      </c>
      <c r="D494" t="inlineStr">
        <is>
          <t>SÖDERMANLANDS LÄN</t>
        </is>
      </c>
      <c r="E494" t="inlineStr">
        <is>
          <t>FLEN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16908-2024</t>
        </is>
      </c>
      <c r="B495" s="1" t="n">
        <v>45411</v>
      </c>
      <c r="C495" s="1" t="n">
        <v>46203</v>
      </c>
      <c r="D495" t="inlineStr">
        <is>
          <t>SÖDERMANLANDS LÄN</t>
        </is>
      </c>
      <c r="E495" t="inlineStr">
        <is>
          <t>FLEN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7163-2023</t>
        </is>
      </c>
      <c r="B496" s="1" t="n">
        <v>44970</v>
      </c>
      <c r="C496" s="1" t="n">
        <v>46203</v>
      </c>
      <c r="D496" t="inlineStr">
        <is>
          <t>SÖDERMANLANDS LÄN</t>
        </is>
      </c>
      <c r="E496" t="inlineStr">
        <is>
          <t>FLEN</t>
        </is>
      </c>
      <c r="F496" t="inlineStr">
        <is>
          <t>Kommuner</t>
        </is>
      </c>
      <c r="G496" t="n">
        <v>11.2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57356-2022</t>
        </is>
      </c>
      <c r="B497" s="1" t="n">
        <v>44896</v>
      </c>
      <c r="C497" s="1" t="n">
        <v>46203</v>
      </c>
      <c r="D497" t="inlineStr">
        <is>
          <t>SÖDERMANLANDS LÄN</t>
        </is>
      </c>
      <c r="E497" t="inlineStr">
        <is>
          <t>FLEN</t>
        </is>
      </c>
      <c r="F497" t="inlineStr">
        <is>
          <t>Övriga statliga verk och myndigheter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57046-2023</t>
        </is>
      </c>
      <c r="B498" s="1" t="n">
        <v>45244</v>
      </c>
      <c r="C498" s="1" t="n">
        <v>46203</v>
      </c>
      <c r="D498" t="inlineStr">
        <is>
          <t>SÖDERMANLANDS LÄN</t>
        </is>
      </c>
      <c r="E498" t="inlineStr">
        <is>
          <t>FLEN</t>
        </is>
      </c>
      <c r="F498" t="inlineStr">
        <is>
          <t>Övriga statliga verk och myndigheter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35507-2024</t>
        </is>
      </c>
      <c r="B499" s="1" t="n">
        <v>45531</v>
      </c>
      <c r="C499" s="1" t="n">
        <v>46203</v>
      </c>
      <c r="D499" t="inlineStr">
        <is>
          <t>SÖDERMANLANDS LÄN</t>
        </is>
      </c>
      <c r="E499" t="inlineStr">
        <is>
          <t>FLEN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48826-2022</t>
        </is>
      </c>
      <c r="B500" s="1" t="n">
        <v>44859</v>
      </c>
      <c r="C500" s="1" t="n">
        <v>46203</v>
      </c>
      <c r="D500" t="inlineStr">
        <is>
          <t>SÖDERMANLANDS LÄN</t>
        </is>
      </c>
      <c r="E500" t="inlineStr">
        <is>
          <t>FLEN</t>
        </is>
      </c>
      <c r="F500" t="inlineStr">
        <is>
          <t>Holmen skog AB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31028-2024</t>
        </is>
      </c>
      <c r="B501" s="1" t="n">
        <v>45501</v>
      </c>
      <c r="C501" s="1" t="n">
        <v>46203</v>
      </c>
      <c r="D501" t="inlineStr">
        <is>
          <t>SÖDERMANLANDS LÄN</t>
        </is>
      </c>
      <c r="E501" t="inlineStr">
        <is>
          <t>FLEN</t>
        </is>
      </c>
      <c r="G501" t="n">
        <v>3.3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476-2022</t>
        </is>
      </c>
      <c r="B502" s="1" t="n">
        <v>44566</v>
      </c>
      <c r="C502" s="1" t="n">
        <v>46203</v>
      </c>
      <c r="D502" t="inlineStr">
        <is>
          <t>SÖDERMANLANDS LÄN</t>
        </is>
      </c>
      <c r="E502" t="inlineStr">
        <is>
          <t>FLEN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41894-2021</t>
        </is>
      </c>
      <c r="B503" s="1" t="n">
        <v>44425</v>
      </c>
      <c r="C503" s="1" t="n">
        <v>46203</v>
      </c>
      <c r="D503" t="inlineStr">
        <is>
          <t>SÖDERMANLANDS LÄN</t>
        </is>
      </c>
      <c r="E503" t="inlineStr">
        <is>
          <t>FLEN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5582-2023</t>
        </is>
      </c>
      <c r="B504" s="1" t="n">
        <v>44960</v>
      </c>
      <c r="C504" s="1" t="n">
        <v>46203</v>
      </c>
      <c r="D504" t="inlineStr">
        <is>
          <t>SÖDERMANLANDS LÄN</t>
        </is>
      </c>
      <c r="E504" t="inlineStr">
        <is>
          <t>FLEN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48749-2022</t>
        </is>
      </c>
      <c r="B505" s="1" t="n">
        <v>44855</v>
      </c>
      <c r="C505" s="1" t="n">
        <v>46203</v>
      </c>
      <c r="D505" t="inlineStr">
        <is>
          <t>SÖDERMANLANDS LÄN</t>
        </is>
      </c>
      <c r="E505" t="inlineStr">
        <is>
          <t>FLEN</t>
        </is>
      </c>
      <c r="G505" t="n">
        <v>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48774-2022</t>
        </is>
      </c>
      <c r="B506" s="1" t="n">
        <v>44855</v>
      </c>
      <c r="C506" s="1" t="n">
        <v>46203</v>
      </c>
      <c r="D506" t="inlineStr">
        <is>
          <t>SÖDERMANLANDS LÄN</t>
        </is>
      </c>
      <c r="E506" t="inlineStr">
        <is>
          <t>FLEN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34783-2023</t>
        </is>
      </c>
      <c r="B507" s="1" t="n">
        <v>45140</v>
      </c>
      <c r="C507" s="1" t="n">
        <v>46203</v>
      </c>
      <c r="D507" t="inlineStr">
        <is>
          <t>SÖDERMANLANDS LÄN</t>
        </is>
      </c>
      <c r="E507" t="inlineStr">
        <is>
          <t>FLEN</t>
        </is>
      </c>
      <c r="G507" t="n">
        <v>3.9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48497-2021</t>
        </is>
      </c>
      <c r="B508" s="1" t="n">
        <v>44449</v>
      </c>
      <c r="C508" s="1" t="n">
        <v>46203</v>
      </c>
      <c r="D508" t="inlineStr">
        <is>
          <t>SÖDERMANLANDS LÄN</t>
        </is>
      </c>
      <c r="E508" t="inlineStr">
        <is>
          <t>FLEN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22957-2023</t>
        </is>
      </c>
      <c r="B509" s="1" t="n">
        <v>45072</v>
      </c>
      <c r="C509" s="1" t="n">
        <v>46203</v>
      </c>
      <c r="D509" t="inlineStr">
        <is>
          <t>SÖDERMANLANDS LÄN</t>
        </is>
      </c>
      <c r="E509" t="inlineStr">
        <is>
          <t>FLEN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29148-2024</t>
        </is>
      </c>
      <c r="B510" s="1" t="n">
        <v>45482</v>
      </c>
      <c r="C510" s="1" t="n">
        <v>46203</v>
      </c>
      <c r="D510" t="inlineStr">
        <is>
          <t>SÖDERMANLANDS LÄN</t>
        </is>
      </c>
      <c r="E510" t="inlineStr">
        <is>
          <t>FLEN</t>
        </is>
      </c>
      <c r="G510" t="n">
        <v>3.8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49891-2023</t>
        </is>
      </c>
      <c r="B511" s="1" t="n">
        <v>45213</v>
      </c>
      <c r="C511" s="1" t="n">
        <v>46203</v>
      </c>
      <c r="D511" t="inlineStr">
        <is>
          <t>SÖDERMANLANDS LÄN</t>
        </is>
      </c>
      <c r="E511" t="inlineStr">
        <is>
          <t>FLEN</t>
        </is>
      </c>
      <c r="F511" t="inlineStr">
        <is>
          <t>Holmen skog AB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31965-2024</t>
        </is>
      </c>
      <c r="B512" s="1" t="n">
        <v>45510</v>
      </c>
      <c r="C512" s="1" t="n">
        <v>46203</v>
      </c>
      <c r="D512" t="inlineStr">
        <is>
          <t>SÖDERMANLANDS LÄN</t>
        </is>
      </c>
      <c r="E512" t="inlineStr">
        <is>
          <t>FLEN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60937-2022</t>
        </is>
      </c>
      <c r="B513" s="1" t="n">
        <v>44914</v>
      </c>
      <c r="C513" s="1" t="n">
        <v>46203</v>
      </c>
      <c r="D513" t="inlineStr">
        <is>
          <t>SÖDERMANLANDS LÄN</t>
        </is>
      </c>
      <c r="E513" t="inlineStr">
        <is>
          <t>FLEN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33103-2022</t>
        </is>
      </c>
      <c r="B514" s="1" t="n">
        <v>44785</v>
      </c>
      <c r="C514" s="1" t="n">
        <v>46203</v>
      </c>
      <c r="D514" t="inlineStr">
        <is>
          <t>SÖDERMANLANDS LÄN</t>
        </is>
      </c>
      <c r="E514" t="inlineStr">
        <is>
          <t>FLEN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13587-2022</t>
        </is>
      </c>
      <c r="B515" s="1" t="n">
        <v>44648</v>
      </c>
      <c r="C515" s="1" t="n">
        <v>46203</v>
      </c>
      <c r="D515" t="inlineStr">
        <is>
          <t>SÖDERMANLANDS LÄN</t>
        </is>
      </c>
      <c r="E515" t="inlineStr">
        <is>
          <t>FLEN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52541-2021</t>
        </is>
      </c>
      <c r="B516" s="1" t="n">
        <v>44463</v>
      </c>
      <c r="C516" s="1" t="n">
        <v>46203</v>
      </c>
      <c r="D516" t="inlineStr">
        <is>
          <t>SÖDERMANLANDS LÄN</t>
        </is>
      </c>
      <c r="E516" t="inlineStr">
        <is>
          <t>FLEN</t>
        </is>
      </c>
      <c r="G516" t="n">
        <v>6.3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9892-2023</t>
        </is>
      </c>
      <c r="B517" s="1" t="n">
        <v>44979</v>
      </c>
      <c r="C517" s="1" t="n">
        <v>46203</v>
      </c>
      <c r="D517" t="inlineStr">
        <is>
          <t>SÖDERMANLANDS LÄN</t>
        </is>
      </c>
      <c r="E517" t="inlineStr">
        <is>
          <t>FLEN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20980-2023</t>
        </is>
      </c>
      <c r="B518" s="1" t="n">
        <v>45056</v>
      </c>
      <c r="C518" s="1" t="n">
        <v>46203</v>
      </c>
      <c r="D518" t="inlineStr">
        <is>
          <t>SÖDERMANLANDS LÄN</t>
        </is>
      </c>
      <c r="E518" t="inlineStr">
        <is>
          <t>FLEN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26663-2022</t>
        </is>
      </c>
      <c r="B519" s="1" t="n">
        <v>44739</v>
      </c>
      <c r="C519" s="1" t="n">
        <v>46203</v>
      </c>
      <c r="D519" t="inlineStr">
        <is>
          <t>SÖDERMANLANDS LÄN</t>
        </is>
      </c>
      <c r="E519" t="inlineStr">
        <is>
          <t>FLEN</t>
        </is>
      </c>
      <c r="G519" t="n">
        <v>5.9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31083-2022</t>
        </is>
      </c>
      <c r="B520" s="1" t="n">
        <v>44769</v>
      </c>
      <c r="C520" s="1" t="n">
        <v>46203</v>
      </c>
      <c r="D520" t="inlineStr">
        <is>
          <t>SÖDERMANLANDS LÄN</t>
        </is>
      </c>
      <c r="E520" t="inlineStr">
        <is>
          <t>FLEN</t>
        </is>
      </c>
      <c r="G520" t="n">
        <v>7.1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17654-2023</t>
        </is>
      </c>
      <c r="B521" s="1" t="n">
        <v>45036</v>
      </c>
      <c r="C521" s="1" t="n">
        <v>46203</v>
      </c>
      <c r="D521" t="inlineStr">
        <is>
          <t>SÖDERMANLANDS LÄN</t>
        </is>
      </c>
      <c r="E521" t="inlineStr">
        <is>
          <t>FLEN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51872-2022</t>
        </is>
      </c>
      <c r="B522" s="1" t="n">
        <v>44872</v>
      </c>
      <c r="C522" s="1" t="n">
        <v>46203</v>
      </c>
      <c r="D522" t="inlineStr">
        <is>
          <t>SÖDERMANLANDS LÄN</t>
        </is>
      </c>
      <c r="E522" t="inlineStr">
        <is>
          <t>FLEN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56869-2023</t>
        </is>
      </c>
      <c r="B523" s="1" t="n">
        <v>45239</v>
      </c>
      <c r="C523" s="1" t="n">
        <v>46203</v>
      </c>
      <c r="D523" t="inlineStr">
        <is>
          <t>SÖDERMANLANDS LÄN</t>
        </is>
      </c>
      <c r="E523" t="inlineStr">
        <is>
          <t>FLEN</t>
        </is>
      </c>
      <c r="F523" t="inlineStr">
        <is>
          <t>Övriga statliga verk och myndigheter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56996-2023</t>
        </is>
      </c>
      <c r="B524" s="1" t="n">
        <v>45244</v>
      </c>
      <c r="C524" s="1" t="n">
        <v>46203</v>
      </c>
      <c r="D524" t="inlineStr">
        <is>
          <t>SÖDERMANLANDS LÄN</t>
        </is>
      </c>
      <c r="E524" t="inlineStr">
        <is>
          <t>FLEN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20791-2022</t>
        </is>
      </c>
      <c r="B525" s="1" t="n">
        <v>44701</v>
      </c>
      <c r="C525" s="1" t="n">
        <v>46203</v>
      </c>
      <c r="D525" t="inlineStr">
        <is>
          <t>SÖDERMANLANDS LÄN</t>
        </is>
      </c>
      <c r="E525" t="inlineStr">
        <is>
          <t>FLEN</t>
        </is>
      </c>
      <c r="G525" t="n">
        <v>3.9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62579-2023</t>
        </is>
      </c>
      <c r="B526" s="1" t="n">
        <v>45270</v>
      </c>
      <c r="C526" s="1" t="n">
        <v>46203</v>
      </c>
      <c r="D526" t="inlineStr">
        <is>
          <t>SÖDERMANLANDS LÄN</t>
        </is>
      </c>
      <c r="E526" t="inlineStr">
        <is>
          <t>FLEN</t>
        </is>
      </c>
      <c r="G526" t="n">
        <v>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38135-2023</t>
        </is>
      </c>
      <c r="B527" s="1" t="n">
        <v>45161</v>
      </c>
      <c r="C527" s="1" t="n">
        <v>46203</v>
      </c>
      <c r="D527" t="inlineStr">
        <is>
          <t>SÖDERMANLANDS LÄN</t>
        </is>
      </c>
      <c r="E527" t="inlineStr">
        <is>
          <t>FLEN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33228-2024</t>
        </is>
      </c>
      <c r="B528" s="1" t="n">
        <v>45518</v>
      </c>
      <c r="C528" s="1" t="n">
        <v>46203</v>
      </c>
      <c r="D528" t="inlineStr">
        <is>
          <t>SÖDERMANLANDS LÄN</t>
        </is>
      </c>
      <c r="E528" t="inlineStr">
        <is>
          <t>FLEN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44561-2024</t>
        </is>
      </c>
      <c r="B529" s="1" t="n">
        <v>45574</v>
      </c>
      <c r="C529" s="1" t="n">
        <v>46203</v>
      </c>
      <c r="D529" t="inlineStr">
        <is>
          <t>SÖDERMANLANDS LÄN</t>
        </is>
      </c>
      <c r="E529" t="inlineStr">
        <is>
          <t>FLEN</t>
        </is>
      </c>
      <c r="F529" t="inlineStr">
        <is>
          <t>Övriga statliga verk och myndigheter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10256-2024</t>
        </is>
      </c>
      <c r="B530" s="1" t="n">
        <v>45365</v>
      </c>
      <c r="C530" s="1" t="n">
        <v>46203</v>
      </c>
      <c r="D530" t="inlineStr">
        <is>
          <t>SÖDERMANLANDS LÄN</t>
        </is>
      </c>
      <c r="E530" t="inlineStr">
        <is>
          <t>FLEN</t>
        </is>
      </c>
      <c r="G530" t="n">
        <v>5.6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543-2024</t>
        </is>
      </c>
      <c r="B531" s="1" t="n">
        <v>45299</v>
      </c>
      <c r="C531" s="1" t="n">
        <v>46203</v>
      </c>
      <c r="D531" t="inlineStr">
        <is>
          <t>SÖDERMANLANDS LÄN</t>
        </is>
      </c>
      <c r="E531" t="inlineStr">
        <is>
          <t>FLEN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545-2024</t>
        </is>
      </c>
      <c r="B532" s="1" t="n">
        <v>45299</v>
      </c>
      <c r="C532" s="1" t="n">
        <v>46203</v>
      </c>
      <c r="D532" t="inlineStr">
        <is>
          <t>SÖDERMANLANDS LÄN</t>
        </is>
      </c>
      <c r="E532" t="inlineStr">
        <is>
          <t>FLEN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15904-2023</t>
        </is>
      </c>
      <c r="B533" s="1" t="n">
        <v>45022</v>
      </c>
      <c r="C533" s="1" t="n">
        <v>46203</v>
      </c>
      <c r="D533" t="inlineStr">
        <is>
          <t>SÖDERMANLANDS LÄN</t>
        </is>
      </c>
      <c r="E533" t="inlineStr">
        <is>
          <t>FLEN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32407-2023</t>
        </is>
      </c>
      <c r="B534" s="1" t="n">
        <v>45110</v>
      </c>
      <c r="C534" s="1" t="n">
        <v>46203</v>
      </c>
      <c r="D534" t="inlineStr">
        <is>
          <t>SÖDERMANLANDS LÄN</t>
        </is>
      </c>
      <c r="E534" t="inlineStr">
        <is>
          <t>FLEN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36096-2023</t>
        </is>
      </c>
      <c r="B535" s="1" t="n">
        <v>45149</v>
      </c>
      <c r="C535" s="1" t="n">
        <v>46203</v>
      </c>
      <c r="D535" t="inlineStr">
        <is>
          <t>SÖDERMANLANDS LÄN</t>
        </is>
      </c>
      <c r="E535" t="inlineStr">
        <is>
          <t>FLEN</t>
        </is>
      </c>
      <c r="F535" t="inlineStr">
        <is>
          <t>Kyrkan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40408-2024</t>
        </is>
      </c>
      <c r="B536" s="1" t="n">
        <v>45555</v>
      </c>
      <c r="C536" s="1" t="n">
        <v>46203</v>
      </c>
      <c r="D536" t="inlineStr">
        <is>
          <t>SÖDERMANLANDS LÄN</t>
        </is>
      </c>
      <c r="E536" t="inlineStr">
        <is>
          <t>FLEN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5331-2024</t>
        </is>
      </c>
      <c r="B537" s="1" t="n">
        <v>45331</v>
      </c>
      <c r="C537" s="1" t="n">
        <v>46203</v>
      </c>
      <c r="D537" t="inlineStr">
        <is>
          <t>SÖDERMANLANDS LÄN</t>
        </is>
      </c>
      <c r="E537" t="inlineStr">
        <is>
          <t>FLEN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34612-2023</t>
        </is>
      </c>
      <c r="B538" s="1" t="n">
        <v>45140</v>
      </c>
      <c r="C538" s="1" t="n">
        <v>46203</v>
      </c>
      <c r="D538" t="inlineStr">
        <is>
          <t>SÖDERMANLANDS LÄN</t>
        </is>
      </c>
      <c r="E538" t="inlineStr">
        <is>
          <t>FLEN</t>
        </is>
      </c>
      <c r="F538" t="inlineStr">
        <is>
          <t>Kyrkan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780-2023</t>
        </is>
      </c>
      <c r="B539" s="1" t="n">
        <v>44931</v>
      </c>
      <c r="C539" s="1" t="n">
        <v>46203</v>
      </c>
      <c r="D539" t="inlineStr">
        <is>
          <t>SÖDERMANLANDS LÄN</t>
        </is>
      </c>
      <c r="E539" t="inlineStr">
        <is>
          <t>FLEN</t>
        </is>
      </c>
      <c r="F539" t="inlineStr">
        <is>
          <t>Holmen skog AB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2738-2022</t>
        </is>
      </c>
      <c r="B540" s="1" t="n">
        <v>44580</v>
      </c>
      <c r="C540" s="1" t="n">
        <v>46203</v>
      </c>
      <c r="D540" t="inlineStr">
        <is>
          <t>SÖDERMANLANDS LÄN</t>
        </is>
      </c>
      <c r="E540" t="inlineStr">
        <is>
          <t>FLEN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50646-2023</t>
        </is>
      </c>
      <c r="B541" s="1" t="n">
        <v>45217</v>
      </c>
      <c r="C541" s="1" t="n">
        <v>46203</v>
      </c>
      <c r="D541" t="inlineStr">
        <is>
          <t>SÖDERMANLANDS LÄN</t>
        </is>
      </c>
      <c r="E541" t="inlineStr">
        <is>
          <t>FLEN</t>
        </is>
      </c>
      <c r="F541" t="inlineStr">
        <is>
          <t>Holmen skog AB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22028-2023</t>
        </is>
      </c>
      <c r="B542" s="1" t="n">
        <v>45066</v>
      </c>
      <c r="C542" s="1" t="n">
        <v>46203</v>
      </c>
      <c r="D542" t="inlineStr">
        <is>
          <t>SÖDERMANLANDS LÄN</t>
        </is>
      </c>
      <c r="E542" t="inlineStr">
        <is>
          <t>FLEN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59439-2022</t>
        </is>
      </c>
      <c r="B543" s="1" t="n">
        <v>44907</v>
      </c>
      <c r="C543" s="1" t="n">
        <v>46203</v>
      </c>
      <c r="D543" t="inlineStr">
        <is>
          <t>SÖDERMANLANDS LÄN</t>
        </is>
      </c>
      <c r="E543" t="inlineStr">
        <is>
          <t>FLEN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1209-2025</t>
        </is>
      </c>
      <c r="B544" s="1" t="n">
        <v>45667</v>
      </c>
      <c r="C544" s="1" t="n">
        <v>46203</v>
      </c>
      <c r="D544" t="inlineStr">
        <is>
          <t>SÖDERMANLANDS LÄN</t>
        </is>
      </c>
      <c r="E544" t="inlineStr">
        <is>
          <t>FLEN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53507-2023</t>
        </is>
      </c>
      <c r="B545" s="1" t="n">
        <v>45230</v>
      </c>
      <c r="C545" s="1" t="n">
        <v>46203</v>
      </c>
      <c r="D545" t="inlineStr">
        <is>
          <t>SÖDERMANLANDS LÄN</t>
        </is>
      </c>
      <c r="E545" t="inlineStr">
        <is>
          <t>FLEN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53518-2023</t>
        </is>
      </c>
      <c r="B546" s="1" t="n">
        <v>45230</v>
      </c>
      <c r="C546" s="1" t="n">
        <v>46203</v>
      </c>
      <c r="D546" t="inlineStr">
        <is>
          <t>SÖDERMANLANDS LÄN</t>
        </is>
      </c>
      <c r="E546" t="inlineStr">
        <is>
          <t>FLEN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>
      <c r="A547" t="inlineStr">
        <is>
          <t>A 14599-2023</t>
        </is>
      </c>
      <c r="B547" s="1" t="n">
        <v>45013</v>
      </c>
      <c r="C547" s="1" t="n">
        <v>46203</v>
      </c>
      <c r="D547" t="inlineStr">
        <is>
          <t>SÖDERMANLANDS LÄN</t>
        </is>
      </c>
      <c r="E547" t="inlineStr">
        <is>
          <t>FLEN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2026-06-30T00:55:07Z</dcterms:created>
  <dcterms:modified xmlns:dcterms="http://purl.org/dc/terms/" xmlns:xsi="http://www.w3.org/2001/XMLSchema-instance" xsi:type="dcterms:W3CDTF">2026-06-30T00:55:07Z</dcterms:modified>
</cp:coreProperties>
</file>