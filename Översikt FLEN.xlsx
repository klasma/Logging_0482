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46252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46252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46252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46252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48952-2023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46252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12.8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11</v>
      </c>
      <c r="U25" t="n">
        <v>0</v>
      </c>
      <c r="V25" s="2" t="inlineStr">
        <is>
          <t>Dropptaggsvamp
Tallticka
Vedskivlav
Blåmossa
Grovticka</t>
        </is>
      </c>
      <c r="W25">
        <f>HYPERLINK("https://klasma.github.io/Logging_0482/artfynd/A 48952-2023 artfynd.xlsx", "A 48952-2023")</f>
        <v/>
      </c>
      <c r="X25">
        <f>HYPERLINK("https://klasma.github.io/Logging_0482/kartor/A 48952-2023 karta.png", "A 48952-2023")</f>
        <v/>
      </c>
      <c r="Y25">
        <f>HYPERLINK("https://klasma.github.io/Logging_0482/kartor_geotiff/A 48952-2023 georefererad karta.tif", "A 48952-2023")</f>
        <v/>
      </c>
      <c r="AA25">
        <f>HYPERLINK("https://klasma.github.io/Logging_0482/klagomål/A 48952-2023 FSC-klagomål.docx", "A 48952-2023")</f>
        <v/>
      </c>
      <c r="AB25">
        <f>HYPERLINK("https://klasma.github.io/Logging_0482/klagomålsmail/A 48952-2023 FSC-klagomål mail.docx", "A 48952-2023")</f>
        <v/>
      </c>
      <c r="AC25">
        <f>HYPERLINK("https://klasma.github.io/Logging_0482/tillsyn/A 48952-2023 tillsynsbegäran.docx", "A 48952-2023")</f>
        <v/>
      </c>
      <c r="AD25">
        <f>HYPERLINK("https://klasma.github.io/Logging_0482/tillsynsmail/A 48952-2023 tillsynsbegäran mail.docx", "A 48952-2023")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46252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46252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4551-2023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46252</v>
      </c>
      <c r="F28" t="inlineStr">
        <is>
          <t>SÖDERMANLANDS LÄN</t>
        </is>
      </c>
      <c r="G28" t="inlineStr">
        <is>
          <t>FLEN</t>
        </is>
      </c>
      <c r="I28" t="n">
        <v>6.6</v>
      </c>
      <c r="J28" t="n">
        <v>1</v>
      </c>
      <c r="K28" t="n">
        <v>0</v>
      </c>
      <c r="L28" t="n">
        <v>3</v>
      </c>
      <c r="M28" t="n">
        <v>0</v>
      </c>
      <c r="N28" t="n">
        <v>1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6</v>
      </c>
      <c r="U28" t="n">
        <v>4</v>
      </c>
      <c r="V28" s="2" t="inlineStr">
        <is>
          <t>Ask
Krusfrö
Svinrot
Älg
Större vattensalamander</t>
        </is>
      </c>
      <c r="W28">
        <f>HYPERLINK("https://klasma.github.io/Logging_0482/artfynd/A 4551-2023 artfynd.xlsx", "A 4551-2023")</f>
        <v/>
      </c>
      <c r="X28">
        <f>HYPERLINK("https://klasma.github.io/Logging_0482/kartor/A 4551-2023 karta.png", "A 4551-2023")</f>
        <v/>
      </c>
      <c r="Y28">
        <f>HYPERLINK("https://klasma.github.io/Logging_0482/kartor_geotiff/A 4551-2023 georefererad karta.tif", "A 4551-2023")</f>
        <v/>
      </c>
      <c r="AA28">
        <f>HYPERLINK("https://klasma.github.io/Logging_0482/klagomål/A 4551-2023 FSC-klagomål.docx", "A 4551-2023")</f>
        <v/>
      </c>
      <c r="AB28">
        <f>HYPERLINK("https://klasma.github.io/Logging_0482/klagomålsmail/A 4551-2023 FSC-klagomål mail.docx", "A 4551-2023")</f>
        <v/>
      </c>
      <c r="AC28">
        <f>HYPERLINK("https://klasma.github.io/Logging_0482/tillsyn/A 4551-2023 tillsynsbegäran.docx", "A 4551-2023")</f>
        <v/>
      </c>
      <c r="AD28">
        <f>HYPERLINK("https://klasma.github.io/Logging_0482/tillsynsmail/A 4551-2023 tillsynsbegäran mail.docx", "A 4551-2023")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46252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46252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46252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46252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46252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46252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46252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46252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50343-2024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46252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Svartöra
Tallticka
Blåsippa
Vildkaprifol</t>
        </is>
      </c>
      <c r="W39">
        <f>HYPERLINK("https://klasma.github.io/Logging_0482/artfynd/A 50343-2024 artfynd.xlsx", "A 50343-2024")</f>
        <v/>
      </c>
      <c r="X39">
        <f>HYPERLINK("https://klasma.github.io/Logging_0482/kartor/A 50343-2024 karta.png", "A 50343-2024")</f>
        <v/>
      </c>
      <c r="Y39">
        <f>HYPERLINK("https://klasma.github.io/Logging_0482/kartor_geotiff/A 50343-2024 georefererad karta.tif", "A 50343-2024")</f>
        <v/>
      </c>
      <c r="AA39">
        <f>HYPERLINK("https://klasma.github.io/Logging_0482/klagomål/A 50343-2024 FSC-klagomål.docx", "A 50343-2024")</f>
        <v/>
      </c>
      <c r="AB39">
        <f>HYPERLINK("https://klasma.github.io/Logging_0482/klagomålsmail/A 50343-2024 FSC-klagomål mail.docx", "A 50343-2024")</f>
        <v/>
      </c>
      <c r="AC39">
        <f>HYPERLINK("https://klasma.github.io/Logging_0482/tillsyn/A 50343-2024 tillsynsbegäran.docx", "A 50343-2024")</f>
        <v/>
      </c>
      <c r="AD39">
        <f>HYPERLINK("https://klasma.github.io/Logging_0482/tillsynsmail/A 50343-2024 tillsynsbegäran mail.docx", "A 50343-2024")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46252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46252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46252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46252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46252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46252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46252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46252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46252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46252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2203-2022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46252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2.9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Knärot
Grönpyrola
Revlummer</t>
        </is>
      </c>
      <c r="W51">
        <f>HYPERLINK("https://klasma.github.io/Logging_0482/artfynd/A 2203-2022 artfynd.xlsx", "A 2203-2022")</f>
        <v/>
      </c>
      <c r="X51">
        <f>HYPERLINK("https://klasma.github.io/Logging_0482/kartor/A 2203-2022 karta.png", "A 2203-2022")</f>
        <v/>
      </c>
      <c r="Y51">
        <f>HYPERLINK("https://klasma.github.io/Logging_0482/kartor_geotiff/A 2203-2022 georefererad karta.tif", "A 2203-2022")</f>
        <v/>
      </c>
      <c r="Z51">
        <f>HYPERLINK("https://klasma.github.io/Logging_0482/knärot/A 2203-2022 karta knärot.png", "A 2203-2022")</f>
        <v/>
      </c>
      <c r="AA51">
        <f>HYPERLINK("https://klasma.github.io/Logging_0482/klagomål/A 2203-2022 FSC-klagomål.docx", "A 2203-2022")</f>
        <v/>
      </c>
      <c r="AB51">
        <f>HYPERLINK("https://klasma.github.io/Logging_0482/klagomålsmail/A 2203-2022 FSC-klagomål mail.docx", "A 2203-2022")</f>
        <v/>
      </c>
      <c r="AC51">
        <f>HYPERLINK("https://klasma.github.io/Logging_0482/tillsyn/A 2203-2022 tillsynsbegäran.docx", "A 2203-2022")</f>
        <v/>
      </c>
      <c r="AD51">
        <f>HYPERLINK("https://klasma.github.io/Logging_0482/tillsynsmail/A 2203-2022 tillsynsbegäran mail.docx", "A 2203-2022")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46252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46252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46252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46252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46252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46252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46252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46252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Knärot
Grönpyrola
Revlummer</t>
        </is>
      </c>
      <c r="W59">
        <f>HYPERLINK("https://klasma.github.io/Logging_0482/artfynd/A 34985-2023 artfynd.xlsx", "A 34985-2023")</f>
        <v/>
      </c>
      <c r="X59">
        <f>HYPERLINK("https://klasma.github.io/Logging_0482/kartor/A 34985-2023 karta.png", "A 34985-2023")</f>
        <v/>
      </c>
      <c r="Y59">
        <f>HYPERLINK("https://klasma.github.io/Logging_0482/kartor_geotiff/A 34985-2023 georefererad karta.tif", "A 34985-2023")</f>
        <v/>
      </c>
      <c r="Z59">
        <f>HYPERLINK("https://klasma.github.io/Logging_0482/knärot/A 34985-2023 karta knärot.png", "A 34985-2023")</f>
        <v/>
      </c>
      <c r="AA59">
        <f>HYPERLINK("https://klasma.github.io/Logging_0482/klagomål/A 34985-2023 FSC-klagomål.docx", "A 34985-2023")</f>
        <v/>
      </c>
      <c r="AB59">
        <f>HYPERLINK("https://klasma.github.io/Logging_0482/klagomålsmail/A 34985-2023 FSC-klagomål mail.docx", "A 34985-2023")</f>
        <v/>
      </c>
      <c r="AC59">
        <f>HYPERLINK("https://klasma.github.io/Logging_0482/tillsyn/A 34985-2023 tillsynsbegäran.docx", "A 34985-2023")</f>
        <v/>
      </c>
      <c r="AD59">
        <f>HYPERLINK("https://klasma.github.io/Logging_0482/tillsynsmail/A 34985-2023 tillsynsbegäran mail.docx", "A 34985-2023")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46252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46252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46252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46252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46252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46252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46252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7506-2023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44971</v>
      </c>
      <c r="E68" s="1" t="n">
        <v>46252</v>
      </c>
      <c r="F68" t="inlineStr">
        <is>
          <t>SÖDERMANLANDS LÄN</t>
        </is>
      </c>
      <c r="G68" t="inlineStr">
        <is>
          <t>FLEN</t>
        </is>
      </c>
      <c r="I68" t="n">
        <v>3.3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Svinrot</t>
        </is>
      </c>
      <c r="W68">
        <f>HYPERLINK("https://klasma.github.io/Logging_0482/artfynd/A 7506-2023 artfynd.xlsx", "A 7506-2023")</f>
        <v/>
      </c>
      <c r="X68">
        <f>HYPERLINK("https://klasma.github.io/Logging_0482/kartor/A 7506-2023 karta.png", "A 7506-2023")</f>
        <v/>
      </c>
      <c r="Y68">
        <f>HYPERLINK("https://klasma.github.io/Logging_0482/kartor_geotiff/A 7506-2023 georefererad karta.tif", "A 7506-2023")</f>
        <v/>
      </c>
      <c r="AA68">
        <f>HYPERLINK("https://klasma.github.io/Logging_0482/klagomål/A 7506-2023 FSC-klagomål.docx", "A 7506-2023")</f>
        <v/>
      </c>
      <c r="AB68">
        <f>HYPERLINK("https://klasma.github.io/Logging_0482/klagomålsmail/A 7506-2023 FSC-klagomål mail.docx", "A 7506-2023")</f>
        <v/>
      </c>
      <c r="AC68">
        <f>HYPERLINK("https://klasma.github.io/Logging_0482/tillsyn/A 7506-2023 tillsynsbegäran.docx", "A 7506-2023")</f>
        <v/>
      </c>
      <c r="AD68">
        <f>HYPERLINK("https://klasma.github.io/Logging_0482/tillsynsmail/A 7506-2023 tillsynsbegäran mail.docx", "A 7506-2023")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46252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32744-2025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45838</v>
      </c>
      <c r="E70" s="1" t="n">
        <v>46252</v>
      </c>
      <c r="F70" t="inlineStr">
        <is>
          <t>SÖDERMANLANDS LÄN</t>
        </is>
      </c>
      <c r="G70" t="inlineStr">
        <is>
          <t>FLEN</t>
        </is>
      </c>
      <c r="I70" t="n">
        <v>1.8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Ekticka
Klasefibbla</t>
        </is>
      </c>
      <c r="W70">
        <f>HYPERLINK("https://klasma.github.io/Logging_0482/artfynd/A 32744-2025 artfynd.xlsx", "A 32744-2025")</f>
        <v/>
      </c>
      <c r="X70">
        <f>HYPERLINK("https://klasma.github.io/Logging_0482/kartor/A 32744-2025 karta.png", "A 32744-2025")</f>
        <v/>
      </c>
      <c r="Y70">
        <f>HYPERLINK("https://klasma.github.io/Logging_0482/kartor_geotiff/A 32744-2025 georefererad karta.tif", "A 32744-2025")</f>
        <v/>
      </c>
      <c r="AA70">
        <f>HYPERLINK("https://klasma.github.io/Logging_0482/klagomål/A 32744-2025 FSC-klagomål.docx", "A 32744-2025")</f>
        <v/>
      </c>
      <c r="AB70">
        <f>HYPERLINK("https://klasma.github.io/Logging_0482/klagomålsmail/A 32744-2025 FSC-klagomål mail.docx", "A 32744-2025")</f>
        <v/>
      </c>
      <c r="AC70">
        <f>HYPERLINK("https://klasma.github.io/Logging_0482/tillsyn/A 32744-2025 tillsynsbegäran.docx", "A 32744-2025")</f>
        <v/>
      </c>
      <c r="AD70">
        <f>HYPERLINK("https://klasma.github.io/Logging_0482/tillsynsmail/A 32744-2025 tillsynsbegäran mail.docx", "A 32744-2025")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46252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46252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22101-2023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46252</v>
      </c>
      <c r="F73" t="inlineStr">
        <is>
          <t>SÖDERMANLANDS LÄN</t>
        </is>
      </c>
      <c r="G73" t="inlineStr">
        <is>
          <t>FLEN</t>
        </is>
      </c>
      <c r="I73" t="n">
        <v>2.7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Bombmurkla
Blåsippa</t>
        </is>
      </c>
      <c r="W73">
        <f>HYPERLINK("https://klasma.github.io/Logging_0482/artfynd/A 22101-2023 artfynd.xlsx", "A 22101-2023")</f>
        <v/>
      </c>
      <c r="X73">
        <f>HYPERLINK("https://klasma.github.io/Logging_0482/kartor/A 22101-2023 karta.png", "A 22101-2023")</f>
        <v/>
      </c>
      <c r="Y73">
        <f>HYPERLINK("https://klasma.github.io/Logging_0482/kartor_geotiff/A 22101-2023 georefererad karta.tif", "A 22101-2023")</f>
        <v/>
      </c>
      <c r="AA73">
        <f>HYPERLINK("https://klasma.github.io/Logging_0482/klagomål/A 22101-2023 FSC-klagomål.docx", "A 22101-2023")</f>
        <v/>
      </c>
      <c r="AB73">
        <f>HYPERLINK("https://klasma.github.io/Logging_0482/klagomålsmail/A 22101-2023 FSC-klagomål mail.docx", "A 22101-2023")</f>
        <v/>
      </c>
      <c r="AC73">
        <f>HYPERLINK("https://klasma.github.io/Logging_0482/tillsyn/A 22101-2023 tillsynsbegäran.docx", "A 22101-2023")</f>
        <v/>
      </c>
      <c r="AD73">
        <f>HYPERLINK("https://klasma.github.io/Logging_0482/tillsynsmail/A 22101-2023 tillsynsbegäran mail.docx", "A 22101-2023")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46252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50215-2022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46252</v>
      </c>
      <c r="F75" t="inlineStr">
        <is>
          <t>SÖDERMANLANDS LÄN</t>
        </is>
      </c>
      <c r="G75" t="inlineStr">
        <is>
          <t>FLEN</t>
        </is>
      </c>
      <c r="H75" t="inlineStr">
        <is>
          <t>Kyrkan</t>
        </is>
      </c>
      <c r="I75" t="n">
        <v>2.2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Knärot
Äkta lopplummer</t>
        </is>
      </c>
      <c r="W75">
        <f>HYPERLINK("https://klasma.github.io/Logging_0482/artfynd/A 50215-2022 artfynd.xlsx", "A 50215-2022")</f>
        <v/>
      </c>
      <c r="X75">
        <f>HYPERLINK("https://klasma.github.io/Logging_0482/kartor/A 50215-2022 karta.png", "A 50215-2022")</f>
        <v/>
      </c>
      <c r="Y75">
        <f>HYPERLINK("https://klasma.github.io/Logging_0482/kartor_geotiff/A 50215-2022 georefererad karta.tif", "A 50215-2022")</f>
        <v/>
      </c>
      <c r="Z75">
        <f>HYPERLINK("https://klasma.github.io/Logging_0482/knärot/A 50215-2022 karta knärot.png", "A 50215-2022")</f>
        <v/>
      </c>
      <c r="AA75">
        <f>HYPERLINK("https://klasma.github.io/Logging_0482/klagomål/A 50215-2022 FSC-klagomål.docx", "A 50215-2022")</f>
        <v/>
      </c>
      <c r="AB75">
        <f>HYPERLINK("https://klasma.github.io/Logging_0482/klagomålsmail/A 50215-2022 FSC-klagomål mail.docx", "A 50215-2022")</f>
        <v/>
      </c>
      <c r="AC75">
        <f>HYPERLINK("https://klasma.github.io/Logging_0482/tillsyn/A 50215-2022 tillsynsbegäran.docx", "A 50215-2022")</f>
        <v/>
      </c>
      <c r="AD75">
        <f>HYPERLINK("https://klasma.github.io/Logging_0482/tillsynsmail/A 50215-2022 tillsynsbegäran mail.docx", "A 50215-2022")</f>
        <v/>
      </c>
    </row>
    <row r="76" ht="15" customHeight="1">
      <c r="A76" t="inlineStr">
        <is>
          <t>A 4330-2026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46252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4.9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Backstarr
Blåsippa</t>
        </is>
      </c>
      <c r="W76">
        <f>HYPERLINK("https://klasma.github.io/Logging_0482/artfynd/A 4330-2026 artfynd.xlsx", "A 4330-2026")</f>
        <v/>
      </c>
      <c r="X76">
        <f>HYPERLINK("https://klasma.github.io/Logging_0482/kartor/A 4330-2026 karta.png", "A 4330-2026")</f>
        <v/>
      </c>
      <c r="Y76">
        <f>HYPERLINK("https://klasma.github.io/Logging_0482/kartor_geotiff/A 4330-2026 georefererad karta.tif", "A 4330-2026")</f>
        <v/>
      </c>
      <c r="AA76">
        <f>HYPERLINK("https://klasma.github.io/Logging_0482/klagomål/A 4330-2026 FSC-klagomål.docx", "A 4330-2026")</f>
        <v/>
      </c>
      <c r="AB76">
        <f>HYPERLINK("https://klasma.github.io/Logging_0482/klagomålsmail/A 4330-2026 FSC-klagomål mail.docx", "A 4330-2026")</f>
        <v/>
      </c>
      <c r="AC76">
        <f>HYPERLINK("https://klasma.github.io/Logging_0482/tillsyn/A 4330-2026 tillsynsbegäran.docx", "A 4330-2026")</f>
        <v/>
      </c>
      <c r="AD76">
        <f>HYPERLINK("https://klasma.github.io/Logging_0482/tillsynsmail/A 4330-2026 tillsynsbegäran mail.docx", "A 4330-2026")</f>
        <v/>
      </c>
    </row>
    <row r="77" ht="15" customHeight="1">
      <c r="A77" t="inlineStr">
        <is>
          <t>A 15452-2024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46252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Svinrot
Älg</t>
        </is>
      </c>
      <c r="W77">
        <f>HYPERLINK("https://klasma.github.io/Logging_0482/artfynd/A 15452-2024 artfynd.xlsx", "A 15452-2024")</f>
        <v/>
      </c>
      <c r="X77">
        <f>HYPERLINK("https://klasma.github.io/Logging_0482/kartor/A 15452-2024 karta.png", "A 15452-2024")</f>
        <v/>
      </c>
      <c r="Y77">
        <f>HYPERLINK("https://klasma.github.io/Logging_0482/kartor_geotiff/A 15452-2024 georefererad karta.tif", "A 15452-2024")</f>
        <v/>
      </c>
      <c r="AA77">
        <f>HYPERLINK("https://klasma.github.io/Logging_0482/klagomål/A 15452-2024 FSC-klagomål.docx", "A 15452-2024")</f>
        <v/>
      </c>
      <c r="AB77">
        <f>HYPERLINK("https://klasma.github.io/Logging_0482/klagomålsmail/A 15452-2024 FSC-klagomål mail.docx", "A 15452-2024")</f>
        <v/>
      </c>
      <c r="AC77">
        <f>HYPERLINK("https://klasma.github.io/Logging_0482/tillsyn/A 15452-2024 tillsynsbegäran.docx", "A 15452-2024")</f>
        <v/>
      </c>
      <c r="AD77">
        <f>HYPERLINK("https://klasma.github.io/Logging_0482/tillsynsmail/A 15452-2024 tillsynsbegäran mail.docx", "A 15452-2024")</f>
        <v/>
      </c>
    </row>
    <row r="78" ht="15" customHeight="1">
      <c r="A78" t="inlineStr">
        <is>
          <t>A 35278-2022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46252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Igelkott
Grönvit nattviol</t>
        </is>
      </c>
      <c r="W78">
        <f>HYPERLINK("https://klasma.github.io/Logging_0482/artfynd/A 35278-2022 artfynd.xlsx", "A 35278-2022")</f>
        <v/>
      </c>
      <c r="X78">
        <f>HYPERLINK("https://klasma.github.io/Logging_0482/kartor/A 35278-2022 karta.png", "A 35278-2022")</f>
        <v/>
      </c>
      <c r="Y78">
        <f>HYPERLINK("https://klasma.github.io/Logging_0482/kartor_geotiff/A 35278-2022 georefererad karta.tif", "A 35278-2022")</f>
        <v/>
      </c>
      <c r="AA78">
        <f>HYPERLINK("https://klasma.github.io/Logging_0482/klagomål/A 35278-2022 FSC-klagomål.docx", "A 35278-2022")</f>
        <v/>
      </c>
      <c r="AB78">
        <f>HYPERLINK("https://klasma.github.io/Logging_0482/klagomålsmail/A 35278-2022 FSC-klagomål mail.docx", "A 35278-2022")</f>
        <v/>
      </c>
      <c r="AC78">
        <f>HYPERLINK("https://klasma.github.io/Logging_0482/tillsyn/A 35278-2022 tillsynsbegäran.docx", "A 35278-2022")</f>
        <v/>
      </c>
      <c r="AD78">
        <f>HYPERLINK("https://klasma.github.io/Logging_0482/tillsynsmail/A 35278-2022 tillsynsbegäran mail.docx", "A 35278-2022")</f>
        <v/>
      </c>
    </row>
    <row r="79" ht="15" customHeight="1">
      <c r="A79" t="inlineStr">
        <is>
          <t>A 55092-2021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46252</v>
      </c>
      <c r="F79" t="inlineStr">
        <is>
          <t>SÖDERMANLANDS LÄN</t>
        </is>
      </c>
      <c r="G79" t="inlineStr">
        <is>
          <t>FLEN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Sälg
Huggorm</t>
        </is>
      </c>
      <c r="W79">
        <f>HYPERLINK("https://klasma.github.io/Logging_0482/artfynd/A 55092-2021 artfynd.xlsx", "A 55092-2021")</f>
        <v/>
      </c>
      <c r="X79">
        <f>HYPERLINK("https://klasma.github.io/Logging_0482/kartor/A 55092-2021 karta.png", "A 55092-2021")</f>
        <v/>
      </c>
      <c r="Y79">
        <f>HYPERLINK("https://klasma.github.io/Logging_0482/kartor_geotiff/A 55092-2021 georefererad karta.tif", "A 55092-2021")</f>
        <v/>
      </c>
      <c r="AA79">
        <f>HYPERLINK("https://klasma.github.io/Logging_0482/klagomål/A 55092-2021 FSC-klagomål.docx", "A 55092-2021")</f>
        <v/>
      </c>
      <c r="AB79">
        <f>HYPERLINK("https://klasma.github.io/Logging_0482/klagomålsmail/A 55092-2021 FSC-klagomål mail.docx", "A 55092-2021")</f>
        <v/>
      </c>
      <c r="AC79">
        <f>HYPERLINK("https://klasma.github.io/Logging_0482/tillsyn/A 55092-2021 tillsynsbegäran.docx", "A 55092-2021")</f>
        <v/>
      </c>
      <c r="AD79">
        <f>HYPERLINK("https://klasma.github.io/Logging_0482/tillsynsmail/A 55092-2021 tillsynsbegäran mail.docx", "A 55092-2021")</f>
        <v/>
      </c>
    </row>
    <row r="80" ht="15" customHeight="1">
      <c r="A80" t="inlineStr">
        <is>
          <t>A 5852-2022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46252</v>
      </c>
      <c r="F80" t="inlineStr">
        <is>
          <t>SÖDERMANLANDS LÄN</t>
        </is>
      </c>
      <c r="G80" t="inlineStr">
        <is>
          <t>FLEN</t>
        </is>
      </c>
      <c r="I80" t="n">
        <v>2.6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Kamjordstjärna
Gullviva</t>
        </is>
      </c>
      <c r="W80">
        <f>HYPERLINK("https://klasma.github.io/Logging_0482/artfynd/A 5852-2022 artfynd.xlsx", "A 5852-2022")</f>
        <v/>
      </c>
      <c r="X80">
        <f>HYPERLINK("https://klasma.github.io/Logging_0482/kartor/A 5852-2022 karta.png", "A 5852-2022")</f>
        <v/>
      </c>
      <c r="Y80">
        <f>HYPERLINK("https://klasma.github.io/Logging_0482/kartor_geotiff/A 5852-2022 georefererad karta.tif", "A 5852-2022")</f>
        <v/>
      </c>
      <c r="AA80">
        <f>HYPERLINK("https://klasma.github.io/Logging_0482/klagomål/A 5852-2022 FSC-klagomål.docx", "A 5852-2022")</f>
        <v/>
      </c>
      <c r="AB80">
        <f>HYPERLINK("https://klasma.github.io/Logging_0482/klagomålsmail/A 5852-2022 FSC-klagomål mail.docx", "A 5852-2022")</f>
        <v/>
      </c>
      <c r="AC80">
        <f>HYPERLINK("https://klasma.github.io/Logging_0482/tillsyn/A 5852-2022 tillsynsbegäran.docx", "A 5852-2022")</f>
        <v/>
      </c>
      <c r="AD80">
        <f>HYPERLINK("https://klasma.github.io/Logging_0482/tillsynsmail/A 5852-2022 tillsynsbegäran mail.docx", "A 5852-2022")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46252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46252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47194-2022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46252</v>
      </c>
      <c r="F83" t="inlineStr">
        <is>
          <t>SÖDERMANLANDS LÄN</t>
        </is>
      </c>
      <c r="G83" t="inlineStr">
        <is>
          <t>FLEN</t>
        </is>
      </c>
      <c r="H83" t="inlineStr">
        <is>
          <t>Övriga statliga verk och myndigheter</t>
        </is>
      </c>
      <c r="I83" t="n">
        <v>2.3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Gullklöver
Svinrot</t>
        </is>
      </c>
      <c r="W83">
        <f>HYPERLINK("https://klasma.github.io/Logging_0482/artfynd/A 47194-2022 artfynd.xlsx", "A 47194-2022")</f>
        <v/>
      </c>
      <c r="X83">
        <f>HYPERLINK("https://klasma.github.io/Logging_0482/kartor/A 47194-2022 karta.png", "A 47194-2022")</f>
        <v/>
      </c>
      <c r="Y83">
        <f>HYPERLINK("https://klasma.github.io/Logging_0482/kartor_geotiff/A 47194-2022 georefererad karta.tif", "A 47194-2022")</f>
        <v/>
      </c>
      <c r="AA83">
        <f>HYPERLINK("https://klasma.github.io/Logging_0482/klagomål/A 47194-2022 FSC-klagomål.docx", "A 47194-2022")</f>
        <v/>
      </c>
      <c r="AB83">
        <f>HYPERLINK("https://klasma.github.io/Logging_0482/klagomålsmail/A 47194-2022 FSC-klagomål mail.docx", "A 47194-2022")</f>
        <v/>
      </c>
      <c r="AC83">
        <f>HYPERLINK("https://klasma.github.io/Logging_0482/tillsyn/A 47194-2022 tillsynsbegäran.docx", "A 47194-2022")</f>
        <v/>
      </c>
      <c r="AD83">
        <f>HYPERLINK("https://klasma.github.io/Logging_0482/tillsynsmail/A 47194-2022 tillsynsbegäran mail.docx", "A 47194-2022")</f>
        <v/>
      </c>
    </row>
    <row r="84" ht="15" customHeight="1">
      <c r="A84" t="inlineStr">
        <is>
          <t>A 33107-2022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44785</v>
      </c>
      <c r="E84" s="1" t="n">
        <v>46252</v>
      </c>
      <c r="F84" t="inlineStr">
        <is>
          <t>SÖDERMANLANDS LÄN</t>
        </is>
      </c>
      <c r="G84" t="inlineStr">
        <is>
          <t>FLEN</t>
        </is>
      </c>
      <c r="I84" t="n">
        <v>5.9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Fjällig taggsvamp s.str.
Gullklöver</t>
        </is>
      </c>
      <c r="W84">
        <f>HYPERLINK("https://klasma.github.io/Logging_0482/artfynd/A 33107-2022 artfynd.xlsx", "A 33107-2022")</f>
        <v/>
      </c>
      <c r="X84">
        <f>HYPERLINK("https://klasma.github.io/Logging_0482/kartor/A 33107-2022 karta.png", "A 33107-2022")</f>
        <v/>
      </c>
      <c r="Y84">
        <f>HYPERLINK("https://klasma.github.io/Logging_0482/kartor_geotiff/A 33107-2022 georefererad karta.tif", "A 33107-2022")</f>
        <v/>
      </c>
      <c r="AA84">
        <f>HYPERLINK("https://klasma.github.io/Logging_0482/klagomål/A 33107-2022 FSC-klagomål.docx", "A 33107-2022")</f>
        <v/>
      </c>
      <c r="AB84">
        <f>HYPERLINK("https://klasma.github.io/Logging_0482/klagomålsmail/A 33107-2022 FSC-klagomål mail.docx", "A 33107-2022")</f>
        <v/>
      </c>
      <c r="AC84">
        <f>HYPERLINK("https://klasma.github.io/Logging_0482/tillsyn/A 33107-2022 tillsynsbegäran.docx", "A 33107-2022")</f>
        <v/>
      </c>
      <c r="AD84">
        <f>HYPERLINK("https://klasma.github.io/Logging_0482/tillsynsmail/A 33107-2022 tillsynsbegäran mail.docx", "A 33107-2022")</f>
        <v/>
      </c>
    </row>
    <row r="85" ht="15" customHeight="1">
      <c r="A85" t="inlineStr">
        <is>
          <t>A 52858-2023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46252</v>
      </c>
      <c r="F85" t="inlineStr">
        <is>
          <t>SÖDERMANLANDS LÄN</t>
        </is>
      </c>
      <c r="G85" t="inlineStr">
        <is>
          <t>FLEN</t>
        </is>
      </c>
      <c r="I85" t="n">
        <v>3.6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1</v>
      </c>
      <c r="V85" s="2" t="inlineStr">
        <is>
          <t>Mindre hackspett
Tallticka</t>
        </is>
      </c>
      <c r="W85">
        <f>HYPERLINK("https://klasma.github.io/Logging_0482/artfynd/A 52858-2023 artfynd.xlsx", "A 52858-2023")</f>
        <v/>
      </c>
      <c r="X85">
        <f>HYPERLINK("https://klasma.github.io/Logging_0482/kartor/A 52858-2023 karta.png", "A 52858-2023")</f>
        <v/>
      </c>
      <c r="Y85">
        <f>HYPERLINK("https://klasma.github.io/Logging_0482/kartor_geotiff/A 52858-2023 georefererad karta.tif", "A 52858-2023")</f>
        <v/>
      </c>
      <c r="AA85">
        <f>HYPERLINK("https://klasma.github.io/Logging_0482/klagomål/A 52858-2023 FSC-klagomål.docx", "A 52858-2023")</f>
        <v/>
      </c>
      <c r="AB85">
        <f>HYPERLINK("https://klasma.github.io/Logging_0482/klagomålsmail/A 52858-2023 FSC-klagomål mail.docx", "A 52858-2023")</f>
        <v/>
      </c>
      <c r="AC85">
        <f>HYPERLINK("https://klasma.github.io/Logging_0482/tillsyn/A 52858-2023 tillsynsbegäran.docx", "A 52858-2023")</f>
        <v/>
      </c>
      <c r="AD85">
        <f>HYPERLINK("https://klasma.github.io/Logging_0482/tillsynsmail/A 52858-2023 tillsynsbegäran mail.docx", "A 52858-2023")</f>
        <v/>
      </c>
      <c r="AE85">
        <f>HYPERLINK("https://klasma.github.io/Logging_0482/fåglar/A 52858-2023 prioriterade fågelarter.docx", "A 52858-2023")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46252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11103-2023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46252</v>
      </c>
      <c r="F87" t="inlineStr">
        <is>
          <t>SÖDERMANLANDS LÄN</t>
        </is>
      </c>
      <c r="G87" t="inlineStr">
        <is>
          <t>FLEN</t>
        </is>
      </c>
      <c r="I87" t="n">
        <v>8.9</v>
      </c>
      <c r="J87" t="n">
        <v>0</v>
      </c>
      <c r="K87" t="n">
        <v>1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Ask
Blåmossa</t>
        </is>
      </c>
      <c r="W87">
        <f>HYPERLINK("https://klasma.github.io/Logging_0482/artfynd/A 11103-2023 artfynd.xlsx", "A 11103-2023")</f>
        <v/>
      </c>
      <c r="X87">
        <f>HYPERLINK("https://klasma.github.io/Logging_0482/kartor/A 11103-2023 karta.png", "A 11103-2023")</f>
        <v/>
      </c>
      <c r="Y87">
        <f>HYPERLINK("https://klasma.github.io/Logging_0482/kartor_geotiff/A 11103-2023 georefererad karta.tif", "A 11103-2023")</f>
        <v/>
      </c>
      <c r="AA87">
        <f>HYPERLINK("https://klasma.github.io/Logging_0482/klagomål/A 11103-2023 FSC-klagomål.docx", "A 11103-2023")</f>
        <v/>
      </c>
      <c r="AB87">
        <f>HYPERLINK("https://klasma.github.io/Logging_0482/klagomålsmail/A 11103-2023 FSC-klagomål mail.docx", "A 11103-2023")</f>
        <v/>
      </c>
      <c r="AC87">
        <f>HYPERLINK("https://klasma.github.io/Logging_0482/tillsyn/A 11103-2023 tillsynsbegäran.docx", "A 11103-2023")</f>
        <v/>
      </c>
      <c r="AD87">
        <f>HYPERLINK("https://klasma.github.io/Logging_0482/tillsynsmail/A 11103-2023 tillsynsbegäran mail.docx", "A 11103-2023")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46252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46252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46252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46252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Mandelriska</t>
        </is>
      </c>
      <c r="W91">
        <f>HYPERLINK("https://klasma.github.io/Logging_0482/artfynd/A 19994-2022 artfynd.xlsx", "A 19994-2022")</f>
        <v/>
      </c>
      <c r="X91">
        <f>HYPERLINK("https://klasma.github.io/Logging_0482/kartor/A 19994-2022 karta.png", "A 19994-2022")</f>
        <v/>
      </c>
      <c r="Y91">
        <f>HYPERLINK("https://klasma.github.io/Logging_0482/kartor_geotiff/A 19994-2022 georefererad karta.tif", "A 19994-2022")</f>
        <v/>
      </c>
      <c r="AA91">
        <f>HYPERLINK("https://klasma.github.io/Logging_0482/klagomål/A 19994-2022 FSC-klagomål.docx", "A 19994-2022")</f>
        <v/>
      </c>
      <c r="AB91">
        <f>HYPERLINK("https://klasma.github.io/Logging_0482/klagomålsmail/A 19994-2022 FSC-klagomål mail.docx", "A 19994-2022")</f>
        <v/>
      </c>
      <c r="AC91">
        <f>HYPERLINK("https://klasma.github.io/Logging_0482/tillsyn/A 19994-2022 tillsynsbegäran.docx", "A 19994-2022")</f>
        <v/>
      </c>
      <c r="AD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46252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HYPERLINK("https://klasma.github.io/Logging_0482/artfynd/A 28153-2022 artfynd.xlsx", "A 28153-2022")</f>
        <v/>
      </c>
      <c r="X92">
        <f>HYPERLINK("https://klasma.github.io/Logging_0482/kartor/A 28153-2022 karta.png", "A 28153-2022")</f>
        <v/>
      </c>
      <c r="Y92">
        <f>HYPERLINK("https://klasma.github.io/Logging_0482/kartor_geotiff/A 28153-2022 georefererad karta.tif", "A 28153-2022")</f>
        <v/>
      </c>
      <c r="AA92">
        <f>HYPERLINK("https://klasma.github.io/Logging_0482/klagomål/A 28153-2022 FSC-klagomål.docx", "A 28153-2022")</f>
        <v/>
      </c>
      <c r="AB92">
        <f>HYPERLINK("https://klasma.github.io/Logging_0482/klagomålsmail/A 28153-2022 FSC-klagomål mail.docx", "A 28153-2022")</f>
        <v/>
      </c>
      <c r="AC92">
        <f>HYPERLINK("https://klasma.github.io/Logging_0482/tillsyn/A 28153-2022 tillsynsbegäran.docx", "A 28153-2022")</f>
        <v/>
      </c>
      <c r="AD92">
        <f>HYPERLINK("https://klasma.github.io/Logging_0482/tillsynsmail/A 28153-2022 tillsynsbegäran mail.docx", "A 28153-2022")</f>
        <v/>
      </c>
    </row>
    <row r="93" ht="15" customHeight="1">
      <c r="A93" t="inlineStr">
        <is>
          <t>A 62355-2021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46252</v>
      </c>
      <c r="F93" t="inlineStr">
        <is>
          <t>SÖDERMANLANDS LÄN</t>
        </is>
      </c>
      <c r="G93" t="inlineStr">
        <is>
          <t>FLEN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HYPERLINK("https://klasma.github.io/Logging_0482/artfynd/A 62355-2021 artfynd.xlsx", "A 62355-2021")</f>
        <v/>
      </c>
      <c r="X93">
        <f>HYPERLINK("https://klasma.github.io/Logging_0482/kartor/A 62355-2021 karta.png", "A 62355-2021")</f>
        <v/>
      </c>
      <c r="Y93">
        <f>HYPERLINK("https://klasma.github.io/Logging_0482/kartor_geotiff/A 62355-2021 georefererad karta.tif", "A 62355-2021")</f>
        <v/>
      </c>
      <c r="AA93">
        <f>HYPERLINK("https://klasma.github.io/Logging_0482/klagomål/A 62355-2021 FSC-klagomål.docx", "A 62355-2021")</f>
        <v/>
      </c>
      <c r="AB93">
        <f>HYPERLINK("https://klasma.github.io/Logging_0482/klagomålsmail/A 62355-2021 FSC-klagomål mail.docx", "A 62355-2021")</f>
        <v/>
      </c>
      <c r="AC93">
        <f>HYPERLINK("https://klasma.github.io/Logging_0482/tillsyn/A 62355-2021 tillsynsbegäran.docx", "A 62355-2021")</f>
        <v/>
      </c>
      <c r="AD93">
        <f>HYPERLINK("https://klasma.github.io/Logging_0482/tillsynsmail/A 62355-2021 tillsynsbegäran mail.docx", "A 62355-2021")</f>
        <v/>
      </c>
    </row>
    <row r="94" ht="15" customHeight="1">
      <c r="A94" t="inlineStr">
        <is>
          <t>A 7883-2022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46252</v>
      </c>
      <c r="F94" t="inlineStr">
        <is>
          <t>SÖDERMANLANDS LÄN</t>
        </is>
      </c>
      <c r="G94" t="inlineStr">
        <is>
          <t>FLEN</t>
        </is>
      </c>
      <c r="H94" t="inlineStr">
        <is>
          <t>Övriga statliga verk och myndigheter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Plattlummer</t>
        </is>
      </c>
      <c r="W94">
        <f>HYPERLINK("https://klasma.github.io/Logging_0482/artfynd/A 7883-2022 artfynd.xlsx", "A 7883-2022")</f>
        <v/>
      </c>
      <c r="X94">
        <f>HYPERLINK("https://klasma.github.io/Logging_0482/kartor/A 7883-2022 karta.png", "A 7883-2022")</f>
        <v/>
      </c>
      <c r="Y94">
        <f>HYPERLINK("https://klasma.github.io/Logging_0482/kartor_geotiff/A 7883-2022 georefererad karta.tif", "A 7883-2022")</f>
        <v/>
      </c>
      <c r="AA94">
        <f>HYPERLINK("https://klasma.github.io/Logging_0482/klagomål/A 7883-2022 FSC-klagomål.docx", "A 7883-2022")</f>
        <v/>
      </c>
      <c r="AB94">
        <f>HYPERLINK("https://klasma.github.io/Logging_0482/klagomålsmail/A 7883-2022 FSC-klagomål mail.docx", "A 7883-2022")</f>
        <v/>
      </c>
      <c r="AC94">
        <f>HYPERLINK("https://klasma.github.io/Logging_0482/tillsyn/A 7883-2022 tillsynsbegäran.docx", "A 7883-2022")</f>
        <v/>
      </c>
      <c r="AD94">
        <f>HYPERLINK("https://klasma.github.io/Logging_0482/tillsynsmail/A 7883-2022 tillsynsbegäran mail.docx", "A 7883-2022")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46252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46252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38829-2025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46252</v>
      </c>
      <c r="F97" t="inlineStr">
        <is>
          <t>SÖDERMANLANDS LÄN</t>
        </is>
      </c>
      <c r="G97" t="inlineStr">
        <is>
          <t>FLEN</t>
        </is>
      </c>
      <c r="I97" t="n">
        <v>4.2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Svinrot</t>
        </is>
      </c>
      <c r="W97">
        <f>HYPERLINK("https://klasma.github.io/Logging_0482/artfynd/A 38829-2025 artfynd.xlsx", "A 38829-2025")</f>
        <v/>
      </c>
      <c r="X97">
        <f>HYPERLINK("https://klasma.github.io/Logging_0482/kartor/A 38829-2025 karta.png", "A 38829-2025")</f>
        <v/>
      </c>
      <c r="Y97">
        <f>HYPERLINK("https://klasma.github.io/Logging_0482/kartor_geotiff/A 38829-2025 georefererad karta.tif", "A 38829-2025")</f>
        <v/>
      </c>
      <c r="AA97">
        <f>HYPERLINK("https://klasma.github.io/Logging_0482/klagomål/A 38829-2025 FSC-klagomål.docx", "A 38829-2025")</f>
        <v/>
      </c>
      <c r="AB97">
        <f>HYPERLINK("https://klasma.github.io/Logging_0482/klagomålsmail/A 38829-2025 FSC-klagomål mail.docx", "A 38829-2025")</f>
        <v/>
      </c>
      <c r="AC97">
        <f>HYPERLINK("https://klasma.github.io/Logging_0482/tillsyn/A 38829-2025 tillsynsbegäran.docx", "A 38829-2025")</f>
        <v/>
      </c>
      <c r="AD97">
        <f>HYPERLINK("https://klasma.github.io/Logging_0482/tillsynsmail/A 38829-2025 tillsynsbegäran mail.docx", "A 38829-2025")</f>
        <v/>
      </c>
    </row>
    <row r="98" ht="15" customHeight="1">
      <c r="A98" t="inlineStr">
        <is>
          <t>A 43008-2023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45182</v>
      </c>
      <c r="E98" s="1" t="n">
        <v>46252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Gullklöver</t>
        </is>
      </c>
      <c r="W98">
        <f>HYPERLINK("https://klasma.github.io/Logging_0482/artfynd/A 43008-2023 artfynd.xlsx", "A 43008-2023")</f>
        <v/>
      </c>
      <c r="X98">
        <f>HYPERLINK("https://klasma.github.io/Logging_0482/kartor/A 43008-2023 karta.png", "A 43008-2023")</f>
        <v/>
      </c>
      <c r="Y98">
        <f>HYPERLINK("https://klasma.github.io/Logging_0482/kartor_geotiff/A 43008-2023 georefererad karta.tif", "A 43008-2023")</f>
        <v/>
      </c>
      <c r="AA98">
        <f>HYPERLINK("https://klasma.github.io/Logging_0482/klagomål/A 43008-2023 FSC-klagomål.docx", "A 43008-2023")</f>
        <v/>
      </c>
      <c r="AB98">
        <f>HYPERLINK("https://klasma.github.io/Logging_0482/klagomålsmail/A 43008-2023 FSC-klagomål mail.docx", "A 43008-2023")</f>
        <v/>
      </c>
      <c r="AC98">
        <f>HYPERLINK("https://klasma.github.io/Logging_0482/tillsyn/A 43008-2023 tillsynsbegäran.docx", "A 43008-2023")</f>
        <v/>
      </c>
      <c r="AD98">
        <f>HYPERLINK("https://klasma.github.io/Logging_0482/tillsynsmail/A 43008-2023 tillsynsbegäran mail.docx", "A 43008-2023")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46252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46252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34721-2023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45141</v>
      </c>
      <c r="E101" s="1" t="n">
        <v>46252</v>
      </c>
      <c r="F101" t="inlineStr">
        <is>
          <t>SÖDERMANLANDS LÄN</t>
        </is>
      </c>
      <c r="G101" t="inlineStr">
        <is>
          <t>FLEN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34721-2023 artfynd.xlsx", "A 34721-2023")</f>
        <v/>
      </c>
      <c r="X101">
        <f>HYPERLINK("https://klasma.github.io/Logging_0482/kartor/A 34721-2023 karta.png", "A 34721-2023")</f>
        <v/>
      </c>
      <c r="Y101">
        <f>HYPERLINK("https://klasma.github.io/Logging_0482/kartor_geotiff/A 34721-2023 georefererad karta.tif", "A 34721-2023")</f>
        <v/>
      </c>
      <c r="AA101">
        <f>HYPERLINK("https://klasma.github.io/Logging_0482/klagomål/A 34721-2023 FSC-klagomål.docx", "A 34721-2023")</f>
        <v/>
      </c>
      <c r="AB101">
        <f>HYPERLINK("https://klasma.github.io/Logging_0482/klagomålsmail/A 34721-2023 FSC-klagomål mail.docx", "A 34721-2023")</f>
        <v/>
      </c>
      <c r="AC101">
        <f>HYPERLINK("https://klasma.github.io/Logging_0482/tillsyn/A 34721-2023 tillsynsbegäran.docx", "A 34721-2023")</f>
        <v/>
      </c>
      <c r="AD101">
        <f>HYPERLINK("https://klasma.github.io/Logging_0482/tillsynsmail/A 34721-2023 tillsynsbegäran mail.docx", "A 34721-2023")</f>
        <v/>
      </c>
    </row>
    <row r="102" ht="15" customHeight="1">
      <c r="A102" t="inlineStr">
        <is>
          <t>A 66230-2021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46252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66230-2021 artfynd.xlsx", "A 66230-2021")</f>
        <v/>
      </c>
      <c r="X102">
        <f>HYPERLINK("https://klasma.github.io/Logging_0482/kartor/A 66230-2021 karta.png", "A 66230-2021")</f>
        <v/>
      </c>
      <c r="Y102">
        <f>HYPERLINK("https://klasma.github.io/Logging_0482/kartor_geotiff/A 66230-2021 georefererad karta.tif", "A 66230-2021")</f>
        <v/>
      </c>
      <c r="AA102">
        <f>HYPERLINK("https://klasma.github.io/Logging_0482/klagomål/A 66230-2021 FSC-klagomål.docx", "A 66230-2021")</f>
        <v/>
      </c>
      <c r="AB102">
        <f>HYPERLINK("https://klasma.github.io/Logging_0482/klagomålsmail/A 66230-2021 FSC-klagomål mail.docx", "A 66230-2021")</f>
        <v/>
      </c>
      <c r="AC102">
        <f>HYPERLINK("https://klasma.github.io/Logging_0482/tillsyn/A 66230-2021 tillsynsbegäran.docx", "A 66230-2021")</f>
        <v/>
      </c>
      <c r="AD102">
        <f>HYPERLINK("https://klasma.github.io/Logging_0482/tillsynsmail/A 66230-2021 tillsynsbegäran mail.docx", "A 66230-2021")</f>
        <v/>
      </c>
    </row>
    <row r="103" ht="15" customHeight="1">
      <c r="A103" t="inlineStr">
        <is>
          <t>A 1242-2022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46252</v>
      </c>
      <c r="F103" t="inlineStr">
        <is>
          <t>SÖDERMANLANDS LÄN</t>
        </is>
      </c>
      <c r="G103" t="inlineStr">
        <is>
          <t>FLEN</t>
        </is>
      </c>
      <c r="H103" t="inlineStr">
        <is>
          <t>Övriga statliga verk och myndigheter</t>
        </is>
      </c>
      <c r="I103" t="n">
        <v>9.300000000000001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Slåtterfibbla</t>
        </is>
      </c>
      <c r="W103">
        <f>HYPERLINK("https://klasma.github.io/Logging_0482/artfynd/A 1242-2022 artfynd.xlsx", "A 1242-2022")</f>
        <v/>
      </c>
      <c r="X103">
        <f>HYPERLINK("https://klasma.github.io/Logging_0482/kartor/A 1242-2022 karta.png", "A 1242-2022")</f>
        <v/>
      </c>
      <c r="Y103">
        <f>HYPERLINK("https://klasma.github.io/Logging_0482/kartor_geotiff/A 1242-2022 georefererad karta.tif", "A 1242-2022")</f>
        <v/>
      </c>
      <c r="AA103">
        <f>HYPERLINK("https://klasma.github.io/Logging_0482/klagomål/A 1242-2022 FSC-klagomål.docx", "A 1242-2022")</f>
        <v/>
      </c>
      <c r="AB103">
        <f>HYPERLINK("https://klasma.github.io/Logging_0482/klagomålsmail/A 1242-2022 FSC-klagomål mail.docx", "A 1242-2022")</f>
        <v/>
      </c>
      <c r="AC103">
        <f>HYPERLINK("https://klasma.github.io/Logging_0482/tillsyn/A 1242-2022 tillsynsbegäran.docx", "A 1242-2022")</f>
        <v/>
      </c>
      <c r="AD103">
        <f>HYPERLINK("https://klasma.github.io/Logging_0482/tillsynsmail/A 1242-2022 tillsynsbegäran mail.docx", "A 1242-2022")</f>
        <v/>
      </c>
    </row>
    <row r="104" ht="15" customHeight="1">
      <c r="A104" t="inlineStr">
        <is>
          <t>A 14101-2025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46252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1.3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Motaggsvamp</t>
        </is>
      </c>
      <c r="W104">
        <f>HYPERLINK("https://klasma.github.io/Logging_0482/artfynd/A 14101-2025 artfynd.xlsx", "A 14101-2025")</f>
        <v/>
      </c>
      <c r="X104">
        <f>HYPERLINK("https://klasma.github.io/Logging_0482/kartor/A 14101-2025 karta.png", "A 14101-2025")</f>
        <v/>
      </c>
      <c r="Y104">
        <f>HYPERLINK("https://klasma.github.io/Logging_0482/kartor_geotiff/A 14101-2025 georefererad karta.tif", "A 14101-2025")</f>
        <v/>
      </c>
      <c r="AA104">
        <f>HYPERLINK("https://klasma.github.io/Logging_0482/klagomål/A 14101-2025 FSC-klagomål.docx", "A 14101-2025")</f>
        <v/>
      </c>
      <c r="AB104">
        <f>HYPERLINK("https://klasma.github.io/Logging_0482/klagomålsmail/A 14101-2025 FSC-klagomål mail.docx", "A 14101-2025")</f>
        <v/>
      </c>
      <c r="AC104">
        <f>HYPERLINK("https://klasma.github.io/Logging_0482/tillsyn/A 14101-2025 tillsynsbegäran.docx", "A 14101-2025")</f>
        <v/>
      </c>
      <c r="AD104">
        <f>HYPERLINK("https://klasma.github.io/Logging_0482/tillsynsmail/A 14101-2025 tillsynsbegäran mail.docx", "A 14101-2025")</f>
        <v/>
      </c>
    </row>
    <row r="105" ht="15" customHeight="1">
      <c r="A105" t="inlineStr">
        <is>
          <t>A 54737-2022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46252</v>
      </c>
      <c r="F105" t="inlineStr">
        <is>
          <t>SÖDERMANLANDS LÄN</t>
        </is>
      </c>
      <c r="G105" t="inlineStr">
        <is>
          <t>FLEN</t>
        </is>
      </c>
      <c r="I105" t="n">
        <v>5.7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54737-2022 artfynd.xlsx", "A 54737-2022")</f>
        <v/>
      </c>
      <c r="X105">
        <f>HYPERLINK("https://klasma.github.io/Logging_0482/kartor/A 54737-2022 karta.png", "A 54737-2022")</f>
        <v/>
      </c>
      <c r="Y105">
        <f>HYPERLINK("https://klasma.github.io/Logging_0482/kartor_geotiff/A 54737-2022 georefererad karta.tif", "A 54737-2022")</f>
        <v/>
      </c>
      <c r="AA105">
        <f>HYPERLINK("https://klasma.github.io/Logging_0482/klagomål/A 54737-2022 FSC-klagomål.docx", "A 54737-2022")</f>
        <v/>
      </c>
      <c r="AB105">
        <f>HYPERLINK("https://klasma.github.io/Logging_0482/klagomålsmail/A 54737-2022 FSC-klagomål mail.docx", "A 54737-2022")</f>
        <v/>
      </c>
      <c r="AC105">
        <f>HYPERLINK("https://klasma.github.io/Logging_0482/tillsyn/A 54737-2022 tillsynsbegäran.docx", "A 54737-2022")</f>
        <v/>
      </c>
      <c r="AD105">
        <f>HYPERLINK("https://klasma.github.io/Logging_0482/tillsynsmail/A 54737-2022 tillsynsbegäran mail.docx", "A 54737-2022")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46252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37317-2023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45156</v>
      </c>
      <c r="E107" s="1" t="n">
        <v>46252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5.1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Svavelriska</t>
        </is>
      </c>
      <c r="W107">
        <f>HYPERLINK("https://klasma.github.io/Logging_0482/artfynd/A 37317-2023 artfynd.xlsx", "A 37317-2023")</f>
        <v/>
      </c>
      <c r="X107">
        <f>HYPERLINK("https://klasma.github.io/Logging_0482/kartor/A 37317-2023 karta.png", "A 37317-2023")</f>
        <v/>
      </c>
      <c r="Y107">
        <f>HYPERLINK("https://klasma.github.io/Logging_0482/kartor_geotiff/A 37317-2023 georefererad karta.tif", "A 37317-2023")</f>
        <v/>
      </c>
      <c r="AA107">
        <f>HYPERLINK("https://klasma.github.io/Logging_0482/klagomål/A 37317-2023 FSC-klagomål.docx", "A 37317-2023")</f>
        <v/>
      </c>
      <c r="AB107">
        <f>HYPERLINK("https://klasma.github.io/Logging_0482/klagomålsmail/A 37317-2023 FSC-klagomål mail.docx", "A 37317-2023")</f>
        <v/>
      </c>
      <c r="AC107">
        <f>HYPERLINK("https://klasma.github.io/Logging_0482/tillsyn/A 37317-2023 tillsynsbegäran.docx", "A 37317-2023")</f>
        <v/>
      </c>
      <c r="AD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60529-2024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46252</v>
      </c>
      <c r="F108" t="inlineStr">
        <is>
          <t>SÖDERMANLANDS LÄN</t>
        </is>
      </c>
      <c r="G108" t="inlineStr">
        <is>
          <t>FLEN</t>
        </is>
      </c>
      <c r="I108" t="n">
        <v>2.5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Skarp dropptaggsvamp</t>
        </is>
      </c>
      <c r="W108">
        <f>HYPERLINK("https://klasma.github.io/Logging_0482/artfynd/A 60529-2024 artfynd.xlsx", "A 60529-2024")</f>
        <v/>
      </c>
      <c r="X108">
        <f>HYPERLINK("https://klasma.github.io/Logging_0482/kartor/A 60529-2024 karta.png", "A 60529-2024")</f>
        <v/>
      </c>
      <c r="Y108">
        <f>HYPERLINK("https://klasma.github.io/Logging_0482/kartor_geotiff/A 60529-2024 georefererad karta.tif", "A 60529-2024")</f>
        <v/>
      </c>
      <c r="AA108">
        <f>HYPERLINK("https://klasma.github.io/Logging_0482/klagomål/A 60529-2024 FSC-klagomål.docx", "A 60529-2024")</f>
        <v/>
      </c>
      <c r="AB108">
        <f>HYPERLINK("https://klasma.github.io/Logging_0482/klagomålsmail/A 60529-2024 FSC-klagomål mail.docx", "A 60529-2024")</f>
        <v/>
      </c>
      <c r="AC108">
        <f>HYPERLINK("https://klasma.github.io/Logging_0482/tillsyn/A 60529-2024 tillsynsbegäran.docx", "A 60529-2024")</f>
        <v/>
      </c>
      <c r="AD108">
        <f>HYPERLINK("https://klasma.github.io/Logging_0482/tillsynsmail/A 60529-2024 tillsynsbegäran mail.docx", "A 60529-2024")</f>
        <v/>
      </c>
    </row>
    <row r="109" ht="15" customHeight="1">
      <c r="A109" t="inlineStr">
        <is>
          <t>A 53339-2023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46252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Blåsippa</t>
        </is>
      </c>
      <c r="W109">
        <f>HYPERLINK("https://klasma.github.io/Logging_0482/artfynd/A 53339-2023 artfynd.xlsx", "A 53339-2023")</f>
        <v/>
      </c>
      <c r="X109">
        <f>HYPERLINK("https://klasma.github.io/Logging_0482/kartor/A 53339-2023 karta.png", "A 53339-2023")</f>
        <v/>
      </c>
      <c r="Y109">
        <f>HYPERLINK("https://klasma.github.io/Logging_0482/kartor_geotiff/A 53339-2023 georefererad karta.tif", "A 53339-2023")</f>
        <v/>
      </c>
      <c r="AA109">
        <f>HYPERLINK("https://klasma.github.io/Logging_0482/klagomål/A 53339-2023 FSC-klagomål.docx", "A 53339-2023")</f>
        <v/>
      </c>
      <c r="AB109">
        <f>HYPERLINK("https://klasma.github.io/Logging_0482/klagomålsmail/A 53339-2023 FSC-klagomål mail.docx", "A 53339-2023")</f>
        <v/>
      </c>
      <c r="AC109">
        <f>HYPERLINK("https://klasma.github.io/Logging_0482/tillsyn/A 53339-2023 tillsynsbegäran.docx", "A 53339-2023")</f>
        <v/>
      </c>
      <c r="AD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52563-2021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44463</v>
      </c>
      <c r="E110" s="1" t="n">
        <v>46252</v>
      </c>
      <c r="F110" t="inlineStr">
        <is>
          <t>SÖDERMANLANDS LÄN</t>
        </is>
      </c>
      <c r="G110" t="inlineStr">
        <is>
          <t>FLEN</t>
        </is>
      </c>
      <c r="I110" t="n">
        <v>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Gulsparv</t>
        </is>
      </c>
      <c r="W110">
        <f>HYPERLINK("https://klasma.github.io/Logging_0482/artfynd/A 52563-2021 artfynd.xlsx", "A 52563-2021")</f>
        <v/>
      </c>
      <c r="X110">
        <f>HYPERLINK("https://klasma.github.io/Logging_0482/kartor/A 52563-2021 karta.png", "A 52563-2021")</f>
        <v/>
      </c>
      <c r="Y110">
        <f>HYPERLINK("https://klasma.github.io/Logging_0482/kartor_geotiff/A 52563-2021 georefererad karta.tif", "A 52563-2021")</f>
        <v/>
      </c>
      <c r="AA110">
        <f>HYPERLINK("https://klasma.github.io/Logging_0482/klagomål/A 52563-2021 FSC-klagomål.docx", "A 52563-2021")</f>
        <v/>
      </c>
      <c r="AB110">
        <f>HYPERLINK("https://klasma.github.io/Logging_0482/klagomålsmail/A 52563-2021 FSC-klagomål mail.docx", "A 52563-2021")</f>
        <v/>
      </c>
      <c r="AC110">
        <f>HYPERLINK("https://klasma.github.io/Logging_0482/tillsyn/A 52563-2021 tillsynsbegäran.docx", "A 52563-2021")</f>
        <v/>
      </c>
      <c r="AD110">
        <f>HYPERLINK("https://klasma.github.io/Logging_0482/tillsynsmail/A 52563-2021 tillsynsbegäran mail.docx", "A 52563-2021")</f>
        <v/>
      </c>
      <c r="AE110">
        <f>HYPERLINK("https://klasma.github.io/Logging_0482/fåglar/A 52563-2021 prioriterade fågelarter.docx", "A 52563-2021")</f>
        <v/>
      </c>
    </row>
    <row r="111" ht="15" customHeight="1">
      <c r="A111" t="inlineStr">
        <is>
          <t>A 13858-2023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45007</v>
      </c>
      <c r="E111" s="1" t="n">
        <v>46252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Svedjenäva</t>
        </is>
      </c>
      <c r="W111">
        <f>HYPERLINK("https://klasma.github.io/Logging_0482/artfynd/A 13858-2023 artfynd.xlsx", "A 13858-2023")</f>
        <v/>
      </c>
      <c r="X111">
        <f>HYPERLINK("https://klasma.github.io/Logging_0482/kartor/A 13858-2023 karta.png", "A 13858-2023")</f>
        <v/>
      </c>
      <c r="Y111">
        <f>HYPERLINK("https://klasma.github.io/Logging_0482/kartor_geotiff/A 13858-2023 georefererad karta.tif", "A 13858-2023")</f>
        <v/>
      </c>
      <c r="AA111">
        <f>HYPERLINK("https://klasma.github.io/Logging_0482/klagomål/A 13858-2023 FSC-klagomål.docx", "A 13858-2023")</f>
        <v/>
      </c>
      <c r="AB111">
        <f>HYPERLINK("https://klasma.github.io/Logging_0482/klagomålsmail/A 13858-2023 FSC-klagomål mail.docx", "A 13858-2023")</f>
        <v/>
      </c>
      <c r="AC111">
        <f>HYPERLINK("https://klasma.github.io/Logging_0482/tillsyn/A 13858-2023 tillsynsbegäran.docx", "A 13858-2023")</f>
        <v/>
      </c>
      <c r="AD111">
        <f>HYPERLINK("https://klasma.github.io/Logging_0482/tillsynsmail/A 13858-2023 tillsynsbegäran mail.docx", "A 13858-2023")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46252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37283-2024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45540</v>
      </c>
      <c r="E113" s="1" t="n">
        <v>46252</v>
      </c>
      <c r="F113" t="inlineStr">
        <is>
          <t>SÖDERMANLANDS LÄN</t>
        </is>
      </c>
      <c r="G113" t="inlineStr">
        <is>
          <t>FLEN</t>
        </is>
      </c>
      <c r="I113" t="n">
        <v>1.5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37283-2024 artfynd.xlsx", "A 37283-2024")</f>
        <v/>
      </c>
      <c r="X113">
        <f>HYPERLINK("https://klasma.github.io/Logging_0482/kartor/A 37283-2024 karta.png", "A 37283-2024")</f>
        <v/>
      </c>
      <c r="Y113">
        <f>HYPERLINK("https://klasma.github.io/Logging_0482/kartor_geotiff/A 37283-2024 georefererad karta.tif", "A 37283-2024")</f>
        <v/>
      </c>
      <c r="AA113">
        <f>HYPERLINK("https://klasma.github.io/Logging_0482/klagomål/A 37283-2024 FSC-klagomål.docx", "A 37283-2024")</f>
        <v/>
      </c>
      <c r="AB113">
        <f>HYPERLINK("https://klasma.github.io/Logging_0482/klagomålsmail/A 37283-2024 FSC-klagomål mail.docx", "A 37283-2024")</f>
        <v/>
      </c>
      <c r="AC113">
        <f>HYPERLINK("https://klasma.github.io/Logging_0482/tillsyn/A 37283-2024 tillsynsbegäran.docx", "A 37283-2024")</f>
        <v/>
      </c>
      <c r="AD113">
        <f>HYPERLINK("https://klasma.github.io/Logging_0482/tillsynsmail/A 37283-2024 tillsynsbegäran mail.docx", "A 37283-2024")</f>
        <v/>
      </c>
    </row>
    <row r="114" ht="15" customHeight="1">
      <c r="A114" t="inlineStr">
        <is>
          <t>A 7525-2024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45348</v>
      </c>
      <c r="E114" s="1" t="n">
        <v>46252</v>
      </c>
      <c r="F114" t="inlineStr">
        <is>
          <t>SÖDERMANLANDS LÄN</t>
        </is>
      </c>
      <c r="G114" t="inlineStr">
        <is>
          <t>FLEN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Vanlig backsmörblomma</t>
        </is>
      </c>
      <c r="W114">
        <f>HYPERLINK("https://klasma.github.io/Logging_0482/artfynd/A 7525-2024 artfynd.xlsx", "A 7525-2024")</f>
        <v/>
      </c>
      <c r="X114">
        <f>HYPERLINK("https://klasma.github.io/Logging_0482/kartor/A 7525-2024 karta.png", "A 7525-2024")</f>
        <v/>
      </c>
      <c r="Y114">
        <f>HYPERLINK("https://klasma.github.io/Logging_0482/kartor_geotiff/A 7525-2024 georefererad karta.tif", "A 7525-2024")</f>
        <v/>
      </c>
      <c r="AA114">
        <f>HYPERLINK("https://klasma.github.io/Logging_0482/klagomål/A 7525-2024 FSC-klagomål.docx", "A 7525-2024")</f>
        <v/>
      </c>
      <c r="AB114">
        <f>HYPERLINK("https://klasma.github.io/Logging_0482/klagomålsmail/A 7525-2024 FSC-klagomål mail.docx", "A 7525-2024")</f>
        <v/>
      </c>
      <c r="AC114">
        <f>HYPERLINK("https://klasma.github.io/Logging_0482/tillsyn/A 7525-2024 tillsynsbegäran.docx", "A 7525-2024")</f>
        <v/>
      </c>
      <c r="AD114">
        <f>HYPERLINK("https://klasma.github.io/Logging_0482/tillsynsmail/A 7525-2024 tillsynsbegäran mail.docx", "A 7525-2024")</f>
        <v/>
      </c>
    </row>
    <row r="115" ht="15" customHeight="1">
      <c r="A115" t="inlineStr">
        <is>
          <t>A 52546-2021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46252</v>
      </c>
      <c r="F115" t="inlineStr">
        <is>
          <t>SÖDERMANLANDS LÄN</t>
        </is>
      </c>
      <c r="G115" t="inlineStr">
        <is>
          <t>FLEN</t>
        </is>
      </c>
      <c r="I115" t="n">
        <v>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Mindre bastardsvärmare</t>
        </is>
      </c>
      <c r="W115">
        <f>HYPERLINK("https://klasma.github.io/Logging_0482/artfynd/A 52546-2021 artfynd.xlsx", "A 52546-2021")</f>
        <v/>
      </c>
      <c r="X115">
        <f>HYPERLINK("https://klasma.github.io/Logging_0482/kartor/A 52546-2021 karta.png", "A 52546-2021")</f>
        <v/>
      </c>
      <c r="Y115">
        <f>HYPERLINK("https://klasma.github.io/Logging_0482/kartor_geotiff/A 52546-2021 georefererad karta.tif", "A 52546-2021")</f>
        <v/>
      </c>
      <c r="AA115">
        <f>HYPERLINK("https://klasma.github.io/Logging_0482/klagomål/A 52546-2021 FSC-klagomål.docx", "A 52546-2021")</f>
        <v/>
      </c>
      <c r="AB115">
        <f>HYPERLINK("https://klasma.github.io/Logging_0482/klagomålsmail/A 52546-2021 FSC-klagomål mail.docx", "A 52546-2021")</f>
        <v/>
      </c>
      <c r="AC115">
        <f>HYPERLINK("https://klasma.github.io/Logging_0482/tillsyn/A 52546-2021 tillsynsbegäran.docx", "A 52546-2021")</f>
        <v/>
      </c>
      <c r="AD115">
        <f>HYPERLINK("https://klasma.github.io/Logging_0482/tillsynsmail/A 52546-2021 tillsynsbegäran mail.docx", "A 52546-2021")</f>
        <v/>
      </c>
    </row>
    <row r="116" ht="15" customHeight="1">
      <c r="A116" t="inlineStr">
        <is>
          <t>A 45120-2021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44439</v>
      </c>
      <c r="E116" s="1" t="n">
        <v>46252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Svinrot</t>
        </is>
      </c>
      <c r="W116">
        <f>HYPERLINK("https://klasma.github.io/Logging_0482/artfynd/A 45120-2021 artfynd.xlsx", "A 45120-2021")</f>
        <v/>
      </c>
      <c r="X116">
        <f>HYPERLINK("https://klasma.github.io/Logging_0482/kartor/A 45120-2021 karta.png", "A 45120-2021")</f>
        <v/>
      </c>
      <c r="Y116">
        <f>HYPERLINK("https://klasma.github.io/Logging_0482/kartor_geotiff/A 45120-2021 georefererad karta.tif", "A 45120-2021")</f>
        <v/>
      </c>
      <c r="AA116">
        <f>HYPERLINK("https://klasma.github.io/Logging_0482/klagomål/A 45120-2021 FSC-klagomål.docx", "A 45120-2021")</f>
        <v/>
      </c>
      <c r="AB116">
        <f>HYPERLINK("https://klasma.github.io/Logging_0482/klagomålsmail/A 45120-2021 FSC-klagomål mail.docx", "A 45120-2021")</f>
        <v/>
      </c>
      <c r="AC116">
        <f>HYPERLINK("https://klasma.github.io/Logging_0482/tillsyn/A 45120-2021 tillsynsbegäran.docx", "A 45120-2021")</f>
        <v/>
      </c>
      <c r="AD116">
        <f>HYPERLINK("https://klasma.github.io/Logging_0482/tillsynsmail/A 45120-2021 tillsynsbegäran mail.docx", "A 45120-2021")</f>
        <v/>
      </c>
    </row>
    <row r="117" ht="15" customHeight="1">
      <c r="A117" t="inlineStr">
        <is>
          <t>A 31427-2022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46252</v>
      </c>
      <c r="F117" t="inlineStr">
        <is>
          <t>SÖDERMANLANDS LÄN</t>
        </is>
      </c>
      <c r="G117" t="inlineStr">
        <is>
          <t>FLEN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HYPERLINK("https://klasma.github.io/Logging_0482/artfynd/A 31427-2022 artfynd.xlsx", "A 31427-2022")</f>
        <v/>
      </c>
      <c r="X117">
        <f>HYPERLINK("https://klasma.github.io/Logging_0482/kartor/A 31427-2022 karta.png", "A 31427-2022")</f>
        <v/>
      </c>
      <c r="Y117">
        <f>HYPERLINK("https://klasma.github.io/Logging_0482/kartor_geotiff/A 31427-2022 georefererad karta.tif", "A 31427-2022")</f>
        <v/>
      </c>
      <c r="AA117">
        <f>HYPERLINK("https://klasma.github.io/Logging_0482/klagomål/A 31427-2022 FSC-klagomål.docx", "A 31427-2022")</f>
        <v/>
      </c>
      <c r="AB117">
        <f>HYPERLINK("https://klasma.github.io/Logging_0482/klagomålsmail/A 31427-2022 FSC-klagomål mail.docx", "A 31427-2022")</f>
        <v/>
      </c>
      <c r="AC117">
        <f>HYPERLINK("https://klasma.github.io/Logging_0482/tillsyn/A 31427-2022 tillsynsbegäran.docx", "A 31427-2022")</f>
        <v/>
      </c>
      <c r="AD117">
        <f>HYPERLINK("https://klasma.github.io/Logging_0482/tillsynsmail/A 31427-2022 tillsynsbegäran mail.docx", "A 31427-2022")</f>
        <v/>
      </c>
    </row>
    <row r="118" ht="15" customHeight="1">
      <c r="A118" t="inlineStr">
        <is>
          <t>A 46987-2024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46252</v>
      </c>
      <c r="F118" t="inlineStr">
        <is>
          <t>SÖDERMANLANDS LÄN</t>
        </is>
      </c>
      <c r="G118" t="inlineStr">
        <is>
          <t>FLEN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Svinrot</t>
        </is>
      </c>
      <c r="W118">
        <f>HYPERLINK("https://klasma.github.io/Logging_0482/artfynd/A 46987-2024 artfynd.xlsx", "A 46987-2024")</f>
        <v/>
      </c>
      <c r="X118">
        <f>HYPERLINK("https://klasma.github.io/Logging_0482/kartor/A 46987-2024 karta.png", "A 46987-2024")</f>
        <v/>
      </c>
      <c r="Y118">
        <f>HYPERLINK("https://klasma.github.io/Logging_0482/kartor_geotiff/A 46987-2024 georefererad karta.tif", "A 46987-2024")</f>
        <v/>
      </c>
      <c r="AA118">
        <f>HYPERLINK("https://klasma.github.io/Logging_0482/klagomål/A 46987-2024 FSC-klagomål.docx", "A 46987-2024")</f>
        <v/>
      </c>
      <c r="AB118">
        <f>HYPERLINK("https://klasma.github.io/Logging_0482/klagomålsmail/A 46987-2024 FSC-klagomål mail.docx", "A 46987-2024")</f>
        <v/>
      </c>
      <c r="AC118">
        <f>HYPERLINK("https://klasma.github.io/Logging_0482/tillsyn/A 46987-2024 tillsynsbegäran.docx", "A 46987-2024")</f>
        <v/>
      </c>
      <c r="AD118">
        <f>HYPERLINK("https://klasma.github.io/Logging_0482/tillsynsmail/A 46987-2024 tillsynsbegäran mail.docx", "A 46987-2024")</f>
        <v/>
      </c>
    </row>
    <row r="119" ht="15" customHeight="1">
      <c r="A119" t="inlineStr">
        <is>
          <t>A 14113-2025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46252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3.6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HYPERLINK("https://klasma.github.io/Logging_0482/artfynd/A 14113-2025 artfynd.xlsx", "A 14113-2025")</f>
        <v/>
      </c>
      <c r="X119">
        <f>HYPERLINK("https://klasma.github.io/Logging_0482/kartor/A 14113-2025 karta.png", "A 14113-2025")</f>
        <v/>
      </c>
      <c r="Y119">
        <f>HYPERLINK("https://klasma.github.io/Logging_0482/kartor_geotiff/A 14113-2025 georefererad karta.tif", "A 14113-2025")</f>
        <v/>
      </c>
      <c r="AA119">
        <f>HYPERLINK("https://klasma.github.io/Logging_0482/klagomål/A 14113-2025 FSC-klagomål.docx", "A 14113-2025")</f>
        <v/>
      </c>
      <c r="AB119">
        <f>HYPERLINK("https://klasma.github.io/Logging_0482/klagomålsmail/A 14113-2025 FSC-klagomål mail.docx", "A 14113-2025")</f>
        <v/>
      </c>
      <c r="AC119">
        <f>HYPERLINK("https://klasma.github.io/Logging_0482/tillsyn/A 14113-2025 tillsynsbegäran.docx", "A 14113-2025")</f>
        <v/>
      </c>
      <c r="AD119">
        <f>HYPERLINK("https://klasma.github.io/Logging_0482/tillsynsmail/A 14113-2025 tillsynsbegäran mail.docx", "A 14113-2025")</f>
        <v/>
      </c>
    </row>
    <row r="120" ht="15" customHeight="1">
      <c r="A120" t="inlineStr">
        <is>
          <t>A 10770-2022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46252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10770-2022 artfynd.xlsx", "A 10770-2022")</f>
        <v/>
      </c>
      <c r="X120">
        <f>HYPERLINK("https://klasma.github.io/Logging_0482/kartor/A 10770-2022 karta.png", "A 10770-2022")</f>
        <v/>
      </c>
      <c r="Y120">
        <f>HYPERLINK("https://klasma.github.io/Logging_0482/kartor_geotiff/A 10770-2022 georefererad karta.tif", "A 10770-2022")</f>
        <v/>
      </c>
      <c r="AA120">
        <f>HYPERLINK("https://klasma.github.io/Logging_0482/klagomål/A 10770-2022 FSC-klagomål.docx", "A 10770-2022")</f>
        <v/>
      </c>
      <c r="AB120">
        <f>HYPERLINK("https://klasma.github.io/Logging_0482/klagomålsmail/A 10770-2022 FSC-klagomål mail.docx", "A 10770-2022")</f>
        <v/>
      </c>
      <c r="AC120">
        <f>HYPERLINK("https://klasma.github.io/Logging_0482/tillsyn/A 10770-2022 tillsynsbegäran.docx", "A 10770-2022")</f>
        <v/>
      </c>
      <c r="AD120">
        <f>HYPERLINK("https://klasma.github.io/Logging_0482/tillsynsmail/A 10770-2022 tillsynsbegäran mail.docx", "A 10770-2022")</f>
        <v/>
      </c>
    </row>
    <row r="121" ht="15" customHeight="1">
      <c r="A121" t="inlineStr">
        <is>
          <t>A 39036-2023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46252</v>
      </c>
      <c r="F121" t="inlineStr">
        <is>
          <t>SÖDERMANLANDS LÄN</t>
        </is>
      </c>
      <c r="G121" t="inlineStr">
        <is>
          <t>FLEN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HYPERLINK("https://klasma.github.io/Logging_0482/artfynd/A 39036-2023 artfynd.xlsx", "A 39036-2023")</f>
        <v/>
      </c>
      <c r="X121">
        <f>HYPERLINK("https://klasma.github.io/Logging_0482/kartor/A 39036-2023 karta.png", "A 39036-2023")</f>
        <v/>
      </c>
      <c r="Y121">
        <f>HYPERLINK("https://klasma.github.io/Logging_0482/kartor_geotiff/A 39036-2023 georefererad karta.tif", "A 39036-2023")</f>
        <v/>
      </c>
      <c r="AA121">
        <f>HYPERLINK("https://klasma.github.io/Logging_0482/klagomål/A 39036-2023 FSC-klagomål.docx", "A 39036-2023")</f>
        <v/>
      </c>
      <c r="AB121">
        <f>HYPERLINK("https://klasma.github.io/Logging_0482/klagomålsmail/A 39036-2023 FSC-klagomål mail.docx", "A 39036-2023")</f>
        <v/>
      </c>
      <c r="AC121">
        <f>HYPERLINK("https://klasma.github.io/Logging_0482/tillsyn/A 39036-2023 tillsynsbegäran.docx", "A 39036-2023")</f>
        <v/>
      </c>
      <c r="AD121">
        <f>HYPERLINK("https://klasma.github.io/Logging_0482/tillsynsmail/A 39036-2023 tillsynsbegäran mail.docx", "A 39036-2023")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46252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26310-2026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46252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HYPERLINK("https://klasma.github.io/Logging_0482/artfynd/A 26310-2026 artfynd.xlsx", "A 26310-2026")</f>
        <v/>
      </c>
      <c r="X123">
        <f>HYPERLINK("https://klasma.github.io/Logging_0482/kartor/A 26310-2026 karta.png", "A 26310-2026")</f>
        <v/>
      </c>
      <c r="Y123">
        <f>HYPERLINK("https://klasma.github.io/Logging_0482/kartor_geotiff/A 26310-2026 georefererad karta.tif", "A 26310-2026")</f>
        <v/>
      </c>
      <c r="AA123">
        <f>HYPERLINK("https://klasma.github.io/Logging_0482/klagomål/A 26310-2026 FSC-klagomål.docx", "A 26310-2026")</f>
        <v/>
      </c>
      <c r="AB123">
        <f>HYPERLINK("https://klasma.github.io/Logging_0482/klagomålsmail/A 26310-2026 FSC-klagomål mail.docx", "A 26310-2026")</f>
        <v/>
      </c>
      <c r="AC123">
        <f>HYPERLINK("https://klasma.github.io/Logging_0482/tillsyn/A 26310-2026 tillsynsbegäran.docx", "A 26310-2026")</f>
        <v/>
      </c>
      <c r="AD123">
        <f>HYPERLINK("https://klasma.github.io/Logging_0482/tillsynsmail/A 26310-2026 tillsynsbegäran mail.docx", "A 26310-2026")</f>
        <v/>
      </c>
      <c r="AE123">
        <f>HYPERLINK("https://klasma.github.io/Logging_0482/fåglar/A 26310-2026 prioriterade fågelarter.docx", "A 26310-2026")</f>
        <v/>
      </c>
    </row>
    <row r="124" ht="15" customHeight="1">
      <c r="A124" t="inlineStr">
        <is>
          <t>A 60591-2022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46252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Grönpyrola</t>
        </is>
      </c>
      <c r="W124">
        <f>HYPERLINK("https://klasma.github.io/Logging_0482/artfynd/A 60591-2022 artfynd.xlsx", "A 60591-2022")</f>
        <v/>
      </c>
      <c r="X124">
        <f>HYPERLINK("https://klasma.github.io/Logging_0482/kartor/A 60591-2022 karta.png", "A 60591-2022")</f>
        <v/>
      </c>
      <c r="Y124">
        <f>HYPERLINK("https://klasma.github.io/Logging_0482/kartor_geotiff/A 60591-2022 georefererad karta.tif", "A 60591-2022")</f>
        <v/>
      </c>
      <c r="AA124">
        <f>HYPERLINK("https://klasma.github.io/Logging_0482/klagomål/A 60591-2022 FSC-klagomål.docx", "A 60591-2022")</f>
        <v/>
      </c>
      <c r="AB124">
        <f>HYPERLINK("https://klasma.github.io/Logging_0482/klagomålsmail/A 60591-2022 FSC-klagomål mail.docx", "A 60591-2022")</f>
        <v/>
      </c>
      <c r="AC124">
        <f>HYPERLINK("https://klasma.github.io/Logging_0482/tillsyn/A 60591-2022 tillsynsbegäran.docx", "A 60591-2022")</f>
        <v/>
      </c>
      <c r="AD124">
        <f>HYPERLINK("https://klasma.github.io/Logging_0482/tillsynsmail/A 60591-2022 tillsynsbegäran mail.docx", "A 60591-2022")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46252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2043-2026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46252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2.1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Scharlakansvaxing</t>
        </is>
      </c>
      <c r="W126">
        <f>HYPERLINK("https://klasma.github.io/Logging_0482/artfynd/A 2043-2026 artfynd.xlsx", "A 2043-2026")</f>
        <v/>
      </c>
      <c r="X126">
        <f>HYPERLINK("https://klasma.github.io/Logging_0482/kartor/A 2043-2026 karta.png", "A 2043-2026")</f>
        <v/>
      </c>
      <c r="Y126">
        <f>HYPERLINK("https://klasma.github.io/Logging_0482/kartor_geotiff/A 2043-2026 georefererad karta.tif", "A 2043-2026")</f>
        <v/>
      </c>
      <c r="AA126">
        <f>HYPERLINK("https://klasma.github.io/Logging_0482/klagomål/A 2043-2026 FSC-klagomål.docx", "A 2043-2026")</f>
        <v/>
      </c>
      <c r="AB126">
        <f>HYPERLINK("https://klasma.github.io/Logging_0482/klagomålsmail/A 2043-2026 FSC-klagomål mail.docx", "A 2043-2026")</f>
        <v/>
      </c>
      <c r="AC126">
        <f>HYPERLINK("https://klasma.github.io/Logging_0482/tillsyn/A 2043-2026 tillsynsbegäran.docx", "A 2043-2026")</f>
        <v/>
      </c>
      <c r="AD126">
        <f>HYPERLINK("https://klasma.github.io/Logging_0482/tillsynsmail/A 2043-2026 tillsynsbegäran mail.docx", "A 2043-2026")</f>
        <v/>
      </c>
    </row>
    <row r="127" ht="15" customHeight="1">
      <c r="A127" t="inlineStr">
        <is>
          <t>A 2036-2026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46252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0.6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Knärot</t>
        </is>
      </c>
      <c r="W127">
        <f>HYPERLINK("https://klasma.github.io/Logging_0482/artfynd/A 2036-2026 artfynd.xlsx", "A 2036-2026")</f>
        <v/>
      </c>
      <c r="X127">
        <f>HYPERLINK("https://klasma.github.io/Logging_0482/kartor/A 2036-2026 karta.png", "A 2036-2026")</f>
        <v/>
      </c>
      <c r="Y127">
        <f>HYPERLINK("https://klasma.github.io/Logging_0482/kartor_geotiff/A 2036-2026 georefererad karta.tif", "A 2036-2026")</f>
        <v/>
      </c>
      <c r="Z127">
        <f>HYPERLINK("https://klasma.github.io/Logging_0482/knärot/A 2036-2026 karta knärot.png", "A 2036-2026")</f>
        <v/>
      </c>
      <c r="AA127">
        <f>HYPERLINK("https://klasma.github.io/Logging_0482/klagomål/A 2036-2026 FSC-klagomål.docx", "A 2036-2026")</f>
        <v/>
      </c>
      <c r="AB127">
        <f>HYPERLINK("https://klasma.github.io/Logging_0482/klagomålsmail/A 2036-2026 FSC-klagomål mail.docx", "A 2036-2026")</f>
        <v/>
      </c>
      <c r="AC127">
        <f>HYPERLINK("https://klasma.github.io/Logging_0482/tillsyn/A 2036-2026 tillsynsbegäran.docx", "A 2036-2026")</f>
        <v/>
      </c>
      <c r="AD127">
        <f>HYPERLINK("https://klasma.github.io/Logging_0482/tillsynsmail/A 2036-2026 tillsynsbegäran mail.docx", "A 2036-2026")</f>
        <v/>
      </c>
    </row>
    <row r="128" ht="15" customHeight="1">
      <c r="A128" t="inlineStr">
        <is>
          <t>A 12306-2022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46252</v>
      </c>
      <c r="F128" t="inlineStr">
        <is>
          <t>SÖDERMANLANDS LÄN</t>
        </is>
      </c>
      <c r="G128" t="inlineStr">
        <is>
          <t>FLEN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Järnsparv</t>
        </is>
      </c>
      <c r="W128">
        <f>HYPERLINK("https://klasma.github.io/Logging_0482/artfynd/A 12306-2022 artfynd.xlsx", "A 12306-2022")</f>
        <v/>
      </c>
      <c r="X128">
        <f>HYPERLINK("https://klasma.github.io/Logging_0482/kartor/A 12306-2022 karta.png", "A 12306-2022")</f>
        <v/>
      </c>
      <c r="Y128">
        <f>HYPERLINK("https://klasma.github.io/Logging_0482/kartor_geotiff/A 12306-2022 georefererad karta.tif", "A 12306-2022")</f>
        <v/>
      </c>
      <c r="AA128">
        <f>HYPERLINK("https://klasma.github.io/Logging_0482/klagomål/A 12306-2022 FSC-klagomål.docx", "A 12306-2022")</f>
        <v/>
      </c>
      <c r="AB128">
        <f>HYPERLINK("https://klasma.github.io/Logging_0482/klagomålsmail/A 12306-2022 FSC-klagomål mail.docx", "A 12306-2022")</f>
        <v/>
      </c>
      <c r="AC128">
        <f>HYPERLINK("https://klasma.github.io/Logging_0482/tillsyn/A 12306-2022 tillsynsbegäran.docx", "A 12306-2022")</f>
        <v/>
      </c>
      <c r="AD128">
        <f>HYPERLINK("https://klasma.github.io/Logging_0482/tillsynsmail/A 12306-2022 tillsynsbegäran mail.docx", "A 12306-2022")</f>
        <v/>
      </c>
      <c r="AE128">
        <f>HYPERLINK("https://klasma.github.io/Logging_0482/fåglar/A 12306-2022 prioriterade fågelarter.docx", "A 12306-2022")</f>
        <v/>
      </c>
    </row>
    <row r="129" ht="15" customHeight="1">
      <c r="A129" t="inlineStr">
        <is>
          <t>A 29195-2023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46252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3.9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HYPERLINK("https://klasma.github.io/Logging_0482/artfynd/A 29195-2023 artfynd.xlsx", "A 29195-2023")</f>
        <v/>
      </c>
      <c r="X129">
        <f>HYPERLINK("https://klasma.github.io/Logging_0482/kartor/A 29195-2023 karta.png", "A 29195-2023")</f>
        <v/>
      </c>
      <c r="Y129">
        <f>HYPERLINK("https://klasma.github.io/Logging_0482/kartor_geotiff/A 29195-2023 georefererad karta.tif", "A 29195-2023")</f>
        <v/>
      </c>
      <c r="AA129">
        <f>HYPERLINK("https://klasma.github.io/Logging_0482/klagomål/A 29195-2023 FSC-klagomål.docx", "A 29195-2023")</f>
        <v/>
      </c>
      <c r="AB129">
        <f>HYPERLINK("https://klasma.github.io/Logging_0482/klagomålsmail/A 29195-2023 FSC-klagomål mail.docx", "A 29195-2023")</f>
        <v/>
      </c>
      <c r="AC129">
        <f>HYPERLINK("https://klasma.github.io/Logging_0482/tillsyn/A 29195-2023 tillsynsbegäran.docx", "A 29195-2023")</f>
        <v/>
      </c>
      <c r="AD129">
        <f>HYPERLINK("https://klasma.github.io/Logging_0482/tillsynsmail/A 29195-2023 tillsynsbegäran mail.docx", "A 29195-2023")</f>
        <v/>
      </c>
    </row>
    <row r="130" ht="15" customHeight="1">
      <c r="A130" t="inlineStr">
        <is>
          <t>A 6982-2024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46252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Fläcknycklar</t>
        </is>
      </c>
      <c r="W130">
        <f>HYPERLINK("https://klasma.github.io/Logging_0482/artfynd/A 6982-2024 artfynd.xlsx", "A 6982-2024")</f>
        <v/>
      </c>
      <c r="X130">
        <f>HYPERLINK("https://klasma.github.io/Logging_0482/kartor/A 6982-2024 karta.png", "A 6982-2024")</f>
        <v/>
      </c>
      <c r="Y130">
        <f>HYPERLINK("https://klasma.github.io/Logging_0482/kartor_geotiff/A 6982-2024 georefererad karta.tif", "A 6982-2024")</f>
        <v/>
      </c>
      <c r="AA130">
        <f>HYPERLINK("https://klasma.github.io/Logging_0482/klagomål/A 6982-2024 FSC-klagomål.docx", "A 6982-2024")</f>
        <v/>
      </c>
      <c r="AB130">
        <f>HYPERLINK("https://klasma.github.io/Logging_0482/klagomålsmail/A 6982-2024 FSC-klagomål mail.docx", "A 6982-2024")</f>
        <v/>
      </c>
      <c r="AC130">
        <f>HYPERLINK("https://klasma.github.io/Logging_0482/tillsyn/A 6982-2024 tillsynsbegäran.docx", "A 6982-2024")</f>
        <v/>
      </c>
      <c r="AD130">
        <f>HYPERLINK("https://klasma.github.io/Logging_0482/tillsynsmail/A 6982-2024 tillsynsbegäran mail.docx", "A 6982-2024")</f>
        <v/>
      </c>
    </row>
    <row r="131" ht="15" customHeight="1">
      <c r="A131" t="inlineStr">
        <is>
          <t>A 26052-2026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46252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HYPERLINK("https://klasma.github.io/Logging_0482/artfynd/A 26052-2026 artfynd.xlsx", "A 26052-2026")</f>
        <v/>
      </c>
      <c r="X131">
        <f>HYPERLINK("https://klasma.github.io/Logging_0482/kartor/A 26052-2026 karta.png", "A 26052-2026")</f>
        <v/>
      </c>
      <c r="Y131">
        <f>HYPERLINK("https://klasma.github.io/Logging_0482/kartor_geotiff/A 26052-2026 georefererad karta.tif", "A 26052-2026")</f>
        <v/>
      </c>
      <c r="AA131">
        <f>HYPERLINK("https://klasma.github.io/Logging_0482/klagomål/A 26052-2026 FSC-klagomål.docx", "A 26052-2026")</f>
        <v/>
      </c>
      <c r="AB131">
        <f>HYPERLINK("https://klasma.github.io/Logging_0482/klagomålsmail/A 26052-2026 FSC-klagomål mail.docx", "A 26052-2026")</f>
        <v/>
      </c>
      <c r="AC131">
        <f>HYPERLINK("https://klasma.github.io/Logging_0482/tillsyn/A 26052-2026 tillsynsbegäran.docx", "A 26052-2026")</f>
        <v/>
      </c>
      <c r="AD131">
        <f>HYPERLINK("https://klasma.github.io/Logging_0482/tillsynsmail/A 26052-2026 tillsynsbegäran mail.docx", "A 26052-2026")</f>
        <v/>
      </c>
    </row>
    <row r="132" ht="15" customHeight="1">
      <c r="A132" t="inlineStr">
        <is>
          <t>A 6714-2026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46252</v>
      </c>
      <c r="F132" t="inlineStr">
        <is>
          <t>SÖDERMANLANDS LÄN</t>
        </is>
      </c>
      <c r="G132" t="inlineStr">
        <is>
          <t>FLEN</t>
        </is>
      </c>
      <c r="I132" t="n">
        <v>4.6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6714-2026 artfynd.xlsx", "A 6714-2026")</f>
        <v/>
      </c>
      <c r="X132">
        <f>HYPERLINK("https://klasma.github.io/Logging_0482/kartor/A 6714-2026 karta.png", "A 6714-2026")</f>
        <v/>
      </c>
      <c r="Y132">
        <f>HYPERLINK("https://klasma.github.io/Logging_0482/kartor_geotiff/A 6714-2026 georefererad karta.tif", "A 6714-2026")</f>
        <v/>
      </c>
      <c r="AA132">
        <f>HYPERLINK("https://klasma.github.io/Logging_0482/klagomål/A 6714-2026 FSC-klagomål.docx", "A 6714-2026")</f>
        <v/>
      </c>
      <c r="AB132">
        <f>HYPERLINK("https://klasma.github.io/Logging_0482/klagomålsmail/A 6714-2026 FSC-klagomål mail.docx", "A 6714-2026")</f>
        <v/>
      </c>
      <c r="AC132">
        <f>HYPERLINK("https://klasma.github.io/Logging_0482/tillsyn/A 6714-2026 tillsynsbegäran.docx", "A 6714-2026")</f>
        <v/>
      </c>
      <c r="AD132">
        <f>HYPERLINK("https://klasma.github.io/Logging_0482/tillsynsmail/A 6714-2026 tillsynsbegäran mail.docx", "A 6714-2026")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46252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60562-2021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46252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Gullklöver</t>
        </is>
      </c>
      <c r="W134">
        <f>HYPERLINK("https://klasma.github.io/Logging_0482/artfynd/A 60562-2021 artfynd.xlsx", "A 60562-2021")</f>
        <v/>
      </c>
      <c r="X134">
        <f>HYPERLINK("https://klasma.github.io/Logging_0482/kartor/A 60562-2021 karta.png", "A 60562-2021")</f>
        <v/>
      </c>
      <c r="Y134">
        <f>HYPERLINK("https://klasma.github.io/Logging_0482/kartor_geotiff/A 60562-2021 georefererad karta.tif", "A 60562-2021")</f>
        <v/>
      </c>
      <c r="AA134">
        <f>HYPERLINK("https://klasma.github.io/Logging_0482/klagomål/A 60562-2021 FSC-klagomål.docx", "A 60562-2021")</f>
        <v/>
      </c>
      <c r="AB134">
        <f>HYPERLINK("https://klasma.github.io/Logging_0482/klagomålsmail/A 60562-2021 FSC-klagomål mail.docx", "A 60562-2021")</f>
        <v/>
      </c>
      <c r="AC134">
        <f>HYPERLINK("https://klasma.github.io/Logging_0482/tillsyn/A 60562-2021 tillsynsbegäran.docx", "A 60562-2021")</f>
        <v/>
      </c>
      <c r="AD134">
        <f>HYPERLINK("https://klasma.github.io/Logging_0482/tillsynsmail/A 60562-2021 tillsynsbegäran mail.docx", "A 60562-2021")</f>
        <v/>
      </c>
    </row>
    <row r="135" ht="15" customHeight="1">
      <c r="A135" t="inlineStr">
        <is>
          <t>A 50202-2022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46252</v>
      </c>
      <c r="F135" t="inlineStr">
        <is>
          <t>SÖDERMANLANDS LÄN</t>
        </is>
      </c>
      <c r="G135" t="inlineStr">
        <is>
          <t>FLEN</t>
        </is>
      </c>
      <c r="H135" t="inlineStr">
        <is>
          <t>Kyrkan</t>
        </is>
      </c>
      <c r="I135" t="n">
        <v>5.8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50202-2022 artfynd.xlsx", "A 50202-2022")</f>
        <v/>
      </c>
      <c r="X135">
        <f>HYPERLINK("https://klasma.github.io/Logging_0482/kartor/A 50202-2022 karta.png", "A 50202-2022")</f>
        <v/>
      </c>
      <c r="Y135">
        <f>HYPERLINK("https://klasma.github.io/Logging_0482/kartor_geotiff/A 50202-2022 georefererad karta.tif", "A 50202-2022")</f>
        <v/>
      </c>
      <c r="AA135">
        <f>HYPERLINK("https://klasma.github.io/Logging_0482/klagomål/A 50202-2022 FSC-klagomål.docx", "A 50202-2022")</f>
        <v/>
      </c>
      <c r="AB135">
        <f>HYPERLINK("https://klasma.github.io/Logging_0482/klagomålsmail/A 50202-2022 FSC-klagomål mail.docx", "A 50202-2022")</f>
        <v/>
      </c>
      <c r="AC135">
        <f>HYPERLINK("https://klasma.github.io/Logging_0482/tillsyn/A 50202-2022 tillsynsbegäran.docx", "A 50202-2022")</f>
        <v/>
      </c>
      <c r="AD135">
        <f>HYPERLINK("https://klasma.github.io/Logging_0482/tillsynsmail/A 50202-2022 tillsynsbegäran mail.docx", "A 50202-2022")</f>
        <v/>
      </c>
    </row>
    <row r="136" ht="15" customHeight="1">
      <c r="A136" t="inlineStr">
        <is>
          <t>A 10999-2026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46252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HYPERLINK("https://klasma.github.io/Logging_0482/artfynd/A 10999-2026 artfynd.xlsx", "A 10999-2026")</f>
        <v/>
      </c>
      <c r="X136">
        <f>HYPERLINK("https://klasma.github.io/Logging_0482/kartor/A 10999-2026 karta.png", "A 10999-2026")</f>
        <v/>
      </c>
      <c r="Y136">
        <f>HYPERLINK("https://klasma.github.io/Logging_0482/kartor_geotiff/A 10999-2026 georefererad karta.tif", "A 10999-2026")</f>
        <v/>
      </c>
      <c r="AA136">
        <f>HYPERLINK("https://klasma.github.io/Logging_0482/klagomål/A 10999-2026 FSC-klagomål.docx", "A 10999-2026")</f>
        <v/>
      </c>
      <c r="AB136">
        <f>HYPERLINK("https://klasma.github.io/Logging_0482/klagomålsmail/A 10999-2026 FSC-klagomål mail.docx", "A 10999-2026")</f>
        <v/>
      </c>
      <c r="AC136">
        <f>HYPERLINK("https://klasma.github.io/Logging_0482/tillsyn/A 10999-2026 tillsynsbegäran.docx", "A 10999-2026")</f>
        <v/>
      </c>
      <c r="AD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46252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12056-2024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46252</v>
      </c>
      <c r="F138" t="inlineStr">
        <is>
          <t>SÖDERMANLANDS LÄN</t>
        </is>
      </c>
      <c r="G138" t="inlineStr">
        <is>
          <t>FLEN</t>
        </is>
      </c>
      <c r="I138" t="n">
        <v>8.4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Fjällig taggsvamp s.str.</t>
        </is>
      </c>
      <c r="W138">
        <f>HYPERLINK("https://klasma.github.io/Logging_0482/artfynd/A 12056-2024 artfynd.xlsx", "A 12056-2024")</f>
        <v/>
      </c>
      <c r="X138">
        <f>HYPERLINK("https://klasma.github.io/Logging_0482/kartor/A 12056-2024 karta.png", "A 12056-2024")</f>
        <v/>
      </c>
      <c r="Y138">
        <f>HYPERLINK("https://klasma.github.io/Logging_0482/kartor_geotiff/A 12056-2024 georefererad karta.tif", "A 12056-2024")</f>
        <v/>
      </c>
      <c r="AA138">
        <f>HYPERLINK("https://klasma.github.io/Logging_0482/klagomål/A 12056-2024 FSC-klagomål.docx", "A 12056-2024")</f>
        <v/>
      </c>
      <c r="AB138">
        <f>HYPERLINK("https://klasma.github.io/Logging_0482/klagomålsmail/A 12056-2024 FSC-klagomål mail.docx", "A 12056-2024")</f>
        <v/>
      </c>
      <c r="AC138">
        <f>HYPERLINK("https://klasma.github.io/Logging_0482/tillsyn/A 12056-2024 tillsynsbegäran.docx", "A 12056-2024")</f>
        <v/>
      </c>
      <c r="AD138">
        <f>HYPERLINK("https://klasma.github.io/Logging_0482/tillsynsmail/A 12056-2024 tillsynsbegäran mail.docx", "A 12056-2024")</f>
        <v/>
      </c>
    </row>
    <row r="139" ht="15" customHeight="1">
      <c r="A139" t="inlineStr">
        <is>
          <t>A 47756-2022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46252</v>
      </c>
      <c r="F139" t="inlineStr">
        <is>
          <t>SÖDERMANLANDS LÄN</t>
        </is>
      </c>
      <c r="G139" t="inlineStr">
        <is>
          <t>FLEN</t>
        </is>
      </c>
      <c r="I139" t="n">
        <v>2.4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Svinrot</t>
        </is>
      </c>
      <c r="W139">
        <f>HYPERLINK("https://klasma.github.io/Logging_0482/artfynd/A 47756-2022 artfynd.xlsx", "A 47756-2022")</f>
        <v/>
      </c>
      <c r="X139">
        <f>HYPERLINK("https://klasma.github.io/Logging_0482/kartor/A 47756-2022 karta.png", "A 47756-2022")</f>
        <v/>
      </c>
      <c r="Y139">
        <f>HYPERLINK("https://klasma.github.io/Logging_0482/kartor_geotiff/A 47756-2022 georefererad karta.tif", "A 47756-2022")</f>
        <v/>
      </c>
      <c r="AA139">
        <f>HYPERLINK("https://klasma.github.io/Logging_0482/klagomål/A 47756-2022 FSC-klagomål.docx", "A 47756-2022")</f>
        <v/>
      </c>
      <c r="AB139">
        <f>HYPERLINK("https://klasma.github.io/Logging_0482/klagomålsmail/A 47756-2022 FSC-klagomål mail.docx", "A 47756-2022")</f>
        <v/>
      </c>
      <c r="AC139">
        <f>HYPERLINK("https://klasma.github.io/Logging_0482/tillsyn/A 47756-2022 tillsynsbegäran.docx", "A 47756-2022")</f>
        <v/>
      </c>
      <c r="AD139">
        <f>HYPERLINK("https://klasma.github.io/Logging_0482/tillsynsmail/A 47756-2022 tillsynsbegäran mail.docx", "A 47756-2022")</f>
        <v/>
      </c>
    </row>
    <row r="140" ht="15" customHeight="1">
      <c r="A140" t="inlineStr">
        <is>
          <t>A 62535-2021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46252</v>
      </c>
      <c r="F140" t="inlineStr">
        <is>
          <t>SÖDERMANLANDS LÄN</t>
        </is>
      </c>
      <c r="G140" t="inlineStr">
        <is>
          <t>FLEN</t>
        </is>
      </c>
      <c r="I140" t="n">
        <v>0.6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62535-2021 artfynd.xlsx", "A 62535-2021")</f>
        <v/>
      </c>
      <c r="X140">
        <f>HYPERLINK("https://klasma.github.io/Logging_0482/kartor/A 62535-2021 karta.png", "A 62535-2021")</f>
        <v/>
      </c>
      <c r="Y140">
        <f>HYPERLINK("https://klasma.github.io/Logging_0482/kartor_geotiff/A 62535-2021 georefererad karta.tif", "A 62535-2021")</f>
        <v/>
      </c>
      <c r="AA140">
        <f>HYPERLINK("https://klasma.github.io/Logging_0482/klagomål/A 62535-2021 FSC-klagomål.docx", "A 62535-2021")</f>
        <v/>
      </c>
      <c r="AB140">
        <f>HYPERLINK("https://klasma.github.io/Logging_0482/klagomålsmail/A 62535-2021 FSC-klagomål mail.docx", "A 62535-2021")</f>
        <v/>
      </c>
      <c r="AC140">
        <f>HYPERLINK("https://klasma.github.io/Logging_0482/tillsyn/A 62535-2021 tillsynsbegäran.docx", "A 62535-2021")</f>
        <v/>
      </c>
      <c r="AD140">
        <f>HYPERLINK("https://klasma.github.io/Logging_0482/tillsynsmail/A 62535-2021 tillsynsbegäran mail.docx", "A 62535-2021")</f>
        <v/>
      </c>
    </row>
    <row r="141" ht="15" customHeight="1">
      <c r="A141" t="inlineStr">
        <is>
          <t>A 14273-2025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46252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Vedskivlav</t>
        </is>
      </c>
      <c r="W141">
        <f>HYPERLINK("https://klasma.github.io/Logging_0482/artfynd/A 14273-2025 artfynd.xlsx", "A 14273-2025")</f>
        <v/>
      </c>
      <c r="X141">
        <f>HYPERLINK("https://klasma.github.io/Logging_0482/kartor/A 14273-2025 karta.png", "A 14273-2025")</f>
        <v/>
      </c>
      <c r="Y141">
        <f>HYPERLINK("https://klasma.github.io/Logging_0482/kartor_geotiff/A 14273-2025 georefererad karta.tif", "A 14273-2025")</f>
        <v/>
      </c>
      <c r="AA141">
        <f>HYPERLINK("https://klasma.github.io/Logging_0482/klagomål/A 14273-2025 FSC-klagomål.docx", "A 14273-2025")</f>
        <v/>
      </c>
      <c r="AB141">
        <f>HYPERLINK("https://klasma.github.io/Logging_0482/klagomålsmail/A 14273-2025 FSC-klagomål mail.docx", "A 14273-2025")</f>
        <v/>
      </c>
      <c r="AC141">
        <f>HYPERLINK("https://klasma.github.io/Logging_0482/tillsyn/A 14273-2025 tillsynsbegäran.docx", "A 14273-2025")</f>
        <v/>
      </c>
      <c r="AD141">
        <f>HYPERLINK("https://klasma.github.io/Logging_0482/tillsynsmail/A 14273-2025 tillsynsbegäran mail.docx", "A 14273-2025")</f>
        <v/>
      </c>
    </row>
    <row r="142" ht="15" customHeight="1">
      <c r="A142" t="inlineStr">
        <is>
          <t>A 49820-2023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46252</v>
      </c>
      <c r="F142" t="inlineStr">
        <is>
          <t>SÖDERMANLANDS LÄN</t>
        </is>
      </c>
      <c r="G142" t="inlineStr">
        <is>
          <t>FLEN</t>
        </is>
      </c>
      <c r="I142" t="n">
        <v>3.2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Gullviva</t>
        </is>
      </c>
      <c r="W142">
        <f>HYPERLINK("https://klasma.github.io/Logging_0482/artfynd/A 49820-2023 artfynd.xlsx", "A 49820-2023")</f>
        <v/>
      </c>
      <c r="X142">
        <f>HYPERLINK("https://klasma.github.io/Logging_0482/kartor/A 49820-2023 karta.png", "A 49820-2023")</f>
        <v/>
      </c>
      <c r="Y142">
        <f>HYPERLINK("https://klasma.github.io/Logging_0482/kartor_geotiff/A 49820-2023 georefererad karta.tif", "A 49820-2023")</f>
        <v/>
      </c>
      <c r="AA142">
        <f>HYPERLINK("https://klasma.github.io/Logging_0482/klagomål/A 49820-2023 FSC-klagomål.docx", "A 49820-2023")</f>
        <v/>
      </c>
      <c r="AB142">
        <f>HYPERLINK("https://klasma.github.io/Logging_0482/klagomålsmail/A 49820-2023 FSC-klagomål mail.docx", "A 49820-2023")</f>
        <v/>
      </c>
      <c r="AC142">
        <f>HYPERLINK("https://klasma.github.io/Logging_0482/tillsyn/A 49820-2023 tillsynsbegäran.docx", "A 49820-2023")</f>
        <v/>
      </c>
      <c r="AD142">
        <f>HYPERLINK("https://klasma.github.io/Logging_0482/tillsynsmail/A 49820-2023 tillsynsbegäran mail.docx", "A 49820-2023")</f>
        <v/>
      </c>
    </row>
    <row r="143" ht="15" customHeight="1">
      <c r="A143" t="inlineStr">
        <is>
          <t>A 45107-2023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46252</v>
      </c>
      <c r="F143" t="inlineStr">
        <is>
          <t>SÖDERMANLANDS LÄN</t>
        </is>
      </c>
      <c r="G143" t="inlineStr">
        <is>
          <t>FLEN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Brudborste</t>
        </is>
      </c>
      <c r="W143">
        <f>HYPERLINK("https://klasma.github.io/Logging_0482/artfynd/A 45107-2023 artfynd.xlsx", "A 45107-2023")</f>
        <v/>
      </c>
      <c r="X143">
        <f>HYPERLINK("https://klasma.github.io/Logging_0482/kartor/A 45107-2023 karta.png", "A 45107-2023")</f>
        <v/>
      </c>
      <c r="Y143">
        <f>HYPERLINK("https://klasma.github.io/Logging_0482/kartor_geotiff/A 45107-2023 georefererad karta.tif", "A 45107-2023")</f>
        <v/>
      </c>
      <c r="AA143">
        <f>HYPERLINK("https://klasma.github.io/Logging_0482/klagomål/A 45107-2023 FSC-klagomål.docx", "A 45107-2023")</f>
        <v/>
      </c>
      <c r="AB143">
        <f>HYPERLINK("https://klasma.github.io/Logging_0482/klagomålsmail/A 45107-2023 FSC-klagomål mail.docx", "A 45107-2023")</f>
        <v/>
      </c>
      <c r="AC143">
        <f>HYPERLINK("https://klasma.github.io/Logging_0482/tillsyn/A 45107-2023 tillsynsbegäran.docx", "A 45107-2023")</f>
        <v/>
      </c>
      <c r="AD143">
        <f>HYPERLINK("https://klasma.github.io/Logging_0482/tillsynsmail/A 45107-2023 tillsynsbegäran mail.docx", "A 45107-2023")</f>
        <v/>
      </c>
    </row>
    <row r="144" ht="15" customHeight="1">
      <c r="A144" t="inlineStr">
        <is>
          <t>A 30406-2026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46209</v>
      </c>
      <c r="E144" s="1" t="n">
        <v>46252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HYPERLINK("https://klasma.github.io/Logging_0482/artfynd/A 30406-2026 artfynd.xlsx", "A 30406-2026")</f>
        <v/>
      </c>
      <c r="X144">
        <f>HYPERLINK("https://klasma.github.io/Logging_0482/kartor/A 30406-2026 karta.png", "A 30406-2026")</f>
        <v/>
      </c>
      <c r="Y144">
        <f>HYPERLINK("https://klasma.github.io/Logging_0482/kartor_geotiff/A 30406-2026 georefererad karta.tif", "A 30406-2026")</f>
        <v/>
      </c>
      <c r="AA144">
        <f>HYPERLINK("https://klasma.github.io/Logging_0482/klagomål/A 30406-2026 FSC-klagomål.docx", "A 30406-2026")</f>
        <v/>
      </c>
      <c r="AB144">
        <f>HYPERLINK("https://klasma.github.io/Logging_0482/klagomålsmail/A 30406-2026 FSC-klagomål mail.docx", "A 30406-2026")</f>
        <v/>
      </c>
      <c r="AC144">
        <f>HYPERLINK("https://klasma.github.io/Logging_0482/tillsyn/A 30406-2026 tillsynsbegäran.docx", "A 30406-2026")</f>
        <v/>
      </c>
      <c r="AD144">
        <f>HYPERLINK("https://klasma.github.io/Logging_0482/tillsynsmail/A 30406-2026 tillsynsbegäran mail.docx", "A 30406-2026")</f>
        <v/>
      </c>
    </row>
    <row r="145" ht="15" customHeight="1">
      <c r="A145" t="inlineStr">
        <is>
          <t>A 21704-2026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46252</v>
      </c>
      <c r="F145" t="inlineStr">
        <is>
          <t>SÖDERMANLANDS LÄN</t>
        </is>
      </c>
      <c r="G145" t="inlineStr">
        <is>
          <t>FLEN</t>
        </is>
      </c>
      <c r="I145" t="n">
        <v>10.2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Kandelabersvamp</t>
        </is>
      </c>
      <c r="W145">
        <f>HYPERLINK("https://klasma.github.io/Logging_0482/artfynd/A 21704-2026 artfynd.xlsx", "A 21704-2026")</f>
        <v/>
      </c>
      <c r="X145">
        <f>HYPERLINK("https://klasma.github.io/Logging_0482/kartor/A 21704-2026 karta.png", "A 21704-2026")</f>
        <v/>
      </c>
      <c r="Y145">
        <f>HYPERLINK("https://klasma.github.io/Logging_0482/kartor_geotiff/A 21704-2026 georefererad karta.tif", "A 21704-2026")</f>
        <v/>
      </c>
      <c r="AA145">
        <f>HYPERLINK("https://klasma.github.io/Logging_0482/klagomål/A 21704-2026 FSC-klagomål.docx", "A 21704-2026")</f>
        <v/>
      </c>
      <c r="AB145">
        <f>HYPERLINK("https://klasma.github.io/Logging_0482/klagomålsmail/A 21704-2026 FSC-klagomål mail.docx", "A 21704-2026")</f>
        <v/>
      </c>
      <c r="AC145">
        <f>HYPERLINK("https://klasma.github.io/Logging_0482/tillsyn/A 21704-2026 tillsynsbegäran.docx", "A 21704-2026")</f>
        <v/>
      </c>
      <c r="AD145">
        <f>HYPERLINK("https://klasma.github.io/Logging_0482/tillsynsmail/A 21704-2026 tillsynsbegäran mail.docx", "A 21704-2026")</f>
        <v/>
      </c>
    </row>
    <row r="146" ht="15" customHeight="1">
      <c r="A146" t="inlineStr">
        <is>
          <t>A 46115-2023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46252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Ullticka</t>
        </is>
      </c>
      <c r="W146">
        <f>HYPERLINK("https://klasma.github.io/Logging_0482/artfynd/A 46115-2023 artfynd.xlsx", "A 46115-2023")</f>
        <v/>
      </c>
      <c r="X146">
        <f>HYPERLINK("https://klasma.github.io/Logging_0482/kartor/A 46115-2023 karta.png", "A 46115-2023")</f>
        <v/>
      </c>
      <c r="Y146">
        <f>HYPERLINK("https://klasma.github.io/Logging_0482/kartor_geotiff/A 46115-2023 georefererad karta.tif", "A 46115-2023")</f>
        <v/>
      </c>
      <c r="AA146">
        <f>HYPERLINK("https://klasma.github.io/Logging_0482/klagomål/A 46115-2023 FSC-klagomål.docx", "A 46115-2023")</f>
        <v/>
      </c>
      <c r="AB146">
        <f>HYPERLINK("https://klasma.github.io/Logging_0482/klagomålsmail/A 46115-2023 FSC-klagomål mail.docx", "A 46115-2023")</f>
        <v/>
      </c>
      <c r="AC146">
        <f>HYPERLINK("https://klasma.github.io/Logging_0482/tillsyn/A 46115-2023 tillsynsbegäran.docx", "A 46115-2023")</f>
        <v/>
      </c>
      <c r="AD146">
        <f>HYPERLINK("https://klasma.github.io/Logging_0482/tillsynsmail/A 46115-2023 tillsynsbegäran mail.docx", "A 46115-2023")</f>
        <v/>
      </c>
    </row>
    <row r="147" ht="15" customHeight="1">
      <c r="A147" t="inlineStr">
        <is>
          <t>A 54302-2025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46252</v>
      </c>
      <c r="F147" t="inlineStr">
        <is>
          <t>SÖDERMANLANDS LÄN</t>
        </is>
      </c>
      <c r="G147" t="inlineStr">
        <is>
          <t>FLEN</t>
        </is>
      </c>
      <c r="I147" t="n">
        <v>12.6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Dofttaggsvamp</t>
        </is>
      </c>
      <c r="W147">
        <f>HYPERLINK("https://klasma.github.io/Logging_0482/artfynd/A 54302-2025 artfynd.xlsx", "A 54302-2025")</f>
        <v/>
      </c>
      <c r="X147">
        <f>HYPERLINK("https://klasma.github.io/Logging_0482/kartor/A 54302-2025 karta.png", "A 54302-2025")</f>
        <v/>
      </c>
      <c r="Y147">
        <f>HYPERLINK("https://klasma.github.io/Logging_0482/kartor_geotiff/A 54302-2025 georefererad karta.tif", "A 54302-2025")</f>
        <v/>
      </c>
      <c r="AA147">
        <f>HYPERLINK("https://klasma.github.io/Logging_0482/klagomål/A 54302-2025 FSC-klagomål.docx", "A 54302-2025")</f>
        <v/>
      </c>
      <c r="AB147">
        <f>HYPERLINK("https://klasma.github.io/Logging_0482/klagomålsmail/A 54302-2025 FSC-klagomål mail.docx", "A 54302-2025")</f>
        <v/>
      </c>
      <c r="AC147">
        <f>HYPERLINK("https://klasma.github.io/Logging_0482/tillsyn/A 54302-2025 tillsynsbegäran.docx", "A 54302-2025")</f>
        <v/>
      </c>
      <c r="AD147">
        <f>HYPERLINK("https://klasma.github.io/Logging_0482/tillsynsmail/A 54302-2025 tillsynsbegäran mail.docx", "A 54302-2025")</f>
        <v/>
      </c>
    </row>
    <row r="148" ht="15" customHeight="1">
      <c r="A148" t="inlineStr">
        <is>
          <t>A 56308-2024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46252</v>
      </c>
      <c r="F148" t="inlineStr">
        <is>
          <t>SÖDERMANLANDS LÄN</t>
        </is>
      </c>
      <c r="G148" t="inlineStr">
        <is>
          <t>FLEN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56308-2024 artfynd.xlsx", "A 56308-2024")</f>
        <v/>
      </c>
      <c r="X148">
        <f>HYPERLINK("https://klasma.github.io/Logging_0482/kartor/A 56308-2024 karta.png", "A 56308-2024")</f>
        <v/>
      </c>
      <c r="Y148">
        <f>HYPERLINK("https://klasma.github.io/Logging_0482/kartor_geotiff/A 56308-2024 georefererad karta.tif", "A 56308-2024")</f>
        <v/>
      </c>
      <c r="AA148">
        <f>HYPERLINK("https://klasma.github.io/Logging_0482/klagomål/A 56308-2024 FSC-klagomål.docx", "A 56308-2024")</f>
        <v/>
      </c>
      <c r="AB148">
        <f>HYPERLINK("https://klasma.github.io/Logging_0482/klagomålsmail/A 56308-2024 FSC-klagomål mail.docx", "A 56308-2024")</f>
        <v/>
      </c>
      <c r="AC148">
        <f>HYPERLINK("https://klasma.github.io/Logging_0482/tillsyn/A 56308-2024 tillsynsbegäran.docx", "A 56308-2024")</f>
        <v/>
      </c>
      <c r="AD148">
        <f>HYPERLINK("https://klasma.github.io/Logging_0482/tillsynsmail/A 56308-2024 tillsynsbegäran mail.docx", "A 56308-2024")</f>
        <v/>
      </c>
    </row>
    <row r="149" ht="15" customHeight="1">
      <c r="A149" t="inlineStr">
        <is>
          <t>A 24179-2026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46252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24179-2026 artfynd.xlsx", "A 24179-2026")</f>
        <v/>
      </c>
      <c r="X149">
        <f>HYPERLINK("https://klasma.github.io/Logging_0482/kartor/A 24179-2026 karta.png", "A 24179-2026")</f>
        <v/>
      </c>
      <c r="Y149">
        <f>HYPERLINK("https://klasma.github.io/Logging_0482/kartor_geotiff/A 24179-2026 georefererad karta.tif", "A 24179-2026")</f>
        <v/>
      </c>
      <c r="AA149">
        <f>HYPERLINK("https://klasma.github.io/Logging_0482/klagomål/A 24179-2026 FSC-klagomål.docx", "A 24179-2026")</f>
        <v/>
      </c>
      <c r="AB149">
        <f>HYPERLINK("https://klasma.github.io/Logging_0482/klagomålsmail/A 24179-2026 FSC-klagomål mail.docx", "A 24179-2026")</f>
        <v/>
      </c>
      <c r="AC149">
        <f>HYPERLINK("https://klasma.github.io/Logging_0482/tillsyn/A 24179-2026 tillsynsbegäran.docx", "A 24179-2026")</f>
        <v/>
      </c>
      <c r="AD149">
        <f>HYPERLINK("https://klasma.github.io/Logging_0482/tillsynsmail/A 24179-2026 tillsynsbegäran mail.docx", "A 24179-2026")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46252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46252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46252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46252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46252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46252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46252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46252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46252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46252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46252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46252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46252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46252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46252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46252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46252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46252</v>
      </c>
      <c r="F167" t="inlineStr">
        <is>
          <t>SÖDERMANLANDS LÄN</t>
        </is>
      </c>
      <c r="G167" t="inlineStr">
        <is>
          <t>FLEN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46252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46252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46252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46252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46252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46252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46252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46252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46252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46252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44770</v>
      </c>
      <c r="E178" s="1" t="n">
        <v>46252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46252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46252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46252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46252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46252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46252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46252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46252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46252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46252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46252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46252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48298-2021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44450</v>
      </c>
      <c r="E191" s="1" t="n">
        <v>46252</v>
      </c>
      <c r="F191" t="inlineStr">
        <is>
          <t>SÖDERMANLANDS LÄN</t>
        </is>
      </c>
      <c r="G191" t="inlineStr">
        <is>
          <t>FLEN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46252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46252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46252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46252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46252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46252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46252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46252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46252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46252</v>
      </c>
      <c r="F201" t="inlineStr">
        <is>
          <t>SÖDERMANLANDS LÄN</t>
        </is>
      </c>
      <c r="G201" t="inlineStr">
        <is>
          <t>FLEN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45213</v>
      </c>
      <c r="E202" s="1" t="n">
        <v>46252</v>
      </c>
      <c r="F202" t="inlineStr">
        <is>
          <t>SÖDERMANLANDS LÄN</t>
        </is>
      </c>
      <c r="G202" t="inlineStr">
        <is>
          <t>FLEN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44566</v>
      </c>
      <c r="E203" s="1" t="n">
        <v>46252</v>
      </c>
      <c r="F203" t="inlineStr">
        <is>
          <t>SÖDERMANLANDS LÄN</t>
        </is>
      </c>
      <c r="G203" t="inlineStr">
        <is>
          <t>FLEN</t>
        </is>
      </c>
      <c r="H203" t="inlineStr">
        <is>
          <t>Kyrkan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46252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45104</v>
      </c>
      <c r="E205" s="1" t="n">
        <v>46252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46252</v>
      </c>
      <c r="F206" t="inlineStr">
        <is>
          <t>SÖDERMANLANDS LÄN</t>
        </is>
      </c>
      <c r="G206" t="inlineStr">
        <is>
          <t>FLEN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45322</v>
      </c>
      <c r="E207" s="1" t="n">
        <v>46252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46252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46252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44643</v>
      </c>
      <c r="E210" s="1" t="n">
        <v>46252</v>
      </c>
      <c r="F210" t="inlineStr">
        <is>
          <t>SÖDERMANLANDS LÄN</t>
        </is>
      </c>
      <c r="G210" t="inlineStr">
        <is>
          <t>FLEN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49828-2022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46252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67464-2021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46252</v>
      </c>
      <c r="F212" t="inlineStr">
        <is>
          <t>SÖDERMANLANDS LÄN</t>
        </is>
      </c>
      <c r="G212" t="inlineStr">
        <is>
          <t>FLEN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44448</v>
      </c>
      <c r="E213" s="1" t="n">
        <v>46252</v>
      </c>
      <c r="F213" t="inlineStr">
        <is>
          <t>SÖDERMANLANDS LÄN</t>
        </is>
      </c>
      <c r="G213" t="inlineStr">
        <is>
          <t>FLEN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45830</v>
      </c>
      <c r="E214" s="1" t="n">
        <v>46252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46252</v>
      </c>
      <c r="F215" t="inlineStr">
        <is>
          <t>SÖDERMANLANDS LÄN</t>
        </is>
      </c>
      <c r="G215" t="inlineStr">
        <is>
          <t>FLEN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66979-2021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46252</v>
      </c>
      <c r="F216" t="inlineStr">
        <is>
          <t>SÖDERMANLANDS LÄN</t>
        </is>
      </c>
      <c r="G216" t="inlineStr">
        <is>
          <t>FLEN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44705</v>
      </c>
      <c r="E217" s="1" t="n">
        <v>46252</v>
      </c>
      <c r="F217" t="inlineStr">
        <is>
          <t>SÖDERMANLANDS LÄN</t>
        </is>
      </c>
      <c r="G217" t="inlineStr">
        <is>
          <t>FLEN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45830</v>
      </c>
      <c r="E218" s="1" t="n">
        <v>46252</v>
      </c>
      <c r="F218" t="inlineStr">
        <is>
          <t>SÖDERMANLANDS LÄN</t>
        </is>
      </c>
      <c r="G218" t="inlineStr">
        <is>
          <t>FLEN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46252</v>
      </c>
      <c r="F219" t="inlineStr">
        <is>
          <t>SÖDERMANLANDS LÄN</t>
        </is>
      </c>
      <c r="G219" t="inlineStr">
        <is>
          <t>FLEN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46252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16908-2024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45411</v>
      </c>
      <c r="E221" s="1" t="n">
        <v>46252</v>
      </c>
      <c r="F221" t="inlineStr">
        <is>
          <t>SÖDERMANLANDS LÄN</t>
        </is>
      </c>
      <c r="G221" t="inlineStr">
        <is>
          <t>FLEN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46252</v>
      </c>
      <c r="F222" t="inlineStr">
        <is>
          <t>SÖDERMANLANDS LÄN</t>
        </is>
      </c>
      <c r="G222" t="inlineStr">
        <is>
          <t>FLEN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46252</v>
      </c>
      <c r="F223" t="inlineStr">
        <is>
          <t>SÖDERMANLANDS LÄN</t>
        </is>
      </c>
      <c r="G223" t="inlineStr">
        <is>
          <t>FLEN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44868</v>
      </c>
      <c r="E224" s="1" t="n">
        <v>46252</v>
      </c>
      <c r="F224" t="inlineStr">
        <is>
          <t>SÖDERMANLANDS LÄN</t>
        </is>
      </c>
      <c r="G224" t="inlineStr">
        <is>
          <t>FLEN</t>
        </is>
      </c>
      <c r="H224" t="inlineStr">
        <is>
          <t>Övriga statliga verk och myndigheter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45081</v>
      </c>
      <c r="E225" s="1" t="n">
        <v>46252</v>
      </c>
      <c r="F225" t="inlineStr">
        <is>
          <t>SÖDERMANLANDS LÄN</t>
        </is>
      </c>
      <c r="G225" t="inlineStr">
        <is>
          <t>FLEN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45081</v>
      </c>
      <c r="E226" s="1" t="n">
        <v>46252</v>
      </c>
      <c r="F226" t="inlineStr">
        <is>
          <t>SÖDERMANLANDS LÄN</t>
        </is>
      </c>
      <c r="G226" t="inlineStr">
        <is>
          <t>FLEN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45531</v>
      </c>
      <c r="E227" s="1" t="n">
        <v>46252</v>
      </c>
      <c r="F227" t="inlineStr">
        <is>
          <t>SÖDERMANLANDS LÄN</t>
        </is>
      </c>
      <c r="G227" t="inlineStr">
        <is>
          <t>FLEN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46252</v>
      </c>
      <c r="F228" t="inlineStr">
        <is>
          <t>SÖDERMANLANDS LÄN</t>
        </is>
      </c>
      <c r="G228" t="inlineStr">
        <is>
          <t>FLEN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44988</v>
      </c>
      <c r="E229" s="1" t="n">
        <v>46252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45228</v>
      </c>
      <c r="E230" s="1" t="n">
        <v>46252</v>
      </c>
      <c r="F230" t="inlineStr">
        <is>
          <t>SÖDERMANLANDS LÄN</t>
        </is>
      </c>
      <c r="G230" t="inlineStr">
        <is>
          <t>FLEN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46252</v>
      </c>
      <c r="F231" t="inlineStr">
        <is>
          <t>SÖDERMANLANDS LÄN</t>
        </is>
      </c>
      <c r="G231" t="inlineStr">
        <is>
          <t>FLEN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46252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46252</v>
      </c>
      <c r="F233" t="inlineStr">
        <is>
          <t>SÖDERMANLANDS LÄN</t>
        </is>
      </c>
      <c r="G233" t="inlineStr">
        <is>
          <t>FLEN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46252</v>
      </c>
      <c r="F234" t="inlineStr">
        <is>
          <t>SÖDERMANLANDS LÄN</t>
        </is>
      </c>
      <c r="G234" t="inlineStr">
        <is>
          <t>FLEN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46252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65869-2021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44517</v>
      </c>
      <c r="E236" s="1" t="n">
        <v>46252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44778</v>
      </c>
      <c r="E237" s="1" t="n">
        <v>46252</v>
      </c>
      <c r="F237" t="inlineStr">
        <is>
          <t>SÖDERMANLANDS LÄN</t>
        </is>
      </c>
      <c r="G237" t="inlineStr">
        <is>
          <t>FLEN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69588-2021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44531</v>
      </c>
      <c r="E238" s="1" t="n">
        <v>46252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52541-2021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44463</v>
      </c>
      <c r="E239" s="1" t="n">
        <v>46252</v>
      </c>
      <c r="F239" t="inlineStr">
        <is>
          <t>SÖDERMANLANDS LÄN</t>
        </is>
      </c>
      <c r="G239" t="inlineStr">
        <is>
          <t>FLEN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45331</v>
      </c>
      <c r="E240" s="1" t="n">
        <v>46252</v>
      </c>
      <c r="F240" t="inlineStr">
        <is>
          <t>SÖDERMANLANDS LÄN</t>
        </is>
      </c>
      <c r="G240" t="inlineStr">
        <is>
          <t>FLEN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45066</v>
      </c>
      <c r="E241" s="1" t="n">
        <v>46252</v>
      </c>
      <c r="F241" t="inlineStr">
        <is>
          <t>SÖDERMANLANDS LÄN</t>
        </is>
      </c>
      <c r="G241" t="inlineStr">
        <is>
          <t>FLEN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44979</v>
      </c>
      <c r="E242" s="1" t="n">
        <v>46252</v>
      </c>
      <c r="F242" t="inlineStr">
        <is>
          <t>SÖDERMANLANDS LÄN</t>
        </is>
      </c>
      <c r="G242" t="inlineStr">
        <is>
          <t>FLEN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46252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44785</v>
      </c>
      <c r="E244" s="1" t="n">
        <v>46252</v>
      </c>
      <c r="F244" t="inlineStr">
        <is>
          <t>SÖDERMANLANDS LÄN</t>
        </is>
      </c>
      <c r="G244" t="inlineStr">
        <is>
          <t>FLEN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44864</v>
      </c>
      <c r="E245" s="1" t="n">
        <v>46252</v>
      </c>
      <c r="F245" t="inlineStr">
        <is>
          <t>SÖDERMANLANDS LÄN</t>
        </is>
      </c>
      <c r="G245" t="inlineStr">
        <is>
          <t>FLEN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46252</v>
      </c>
      <c r="F246" t="inlineStr">
        <is>
          <t>SÖDERMANLANDS LÄN</t>
        </is>
      </c>
      <c r="G246" t="inlineStr">
        <is>
          <t>FLEN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46252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45250</v>
      </c>
      <c r="E248" s="1" t="n">
        <v>46252</v>
      </c>
      <c r="F248" t="inlineStr">
        <is>
          <t>SÖDERMANLANDS LÄN</t>
        </is>
      </c>
      <c r="G248" t="inlineStr">
        <is>
          <t>FLEN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44855</v>
      </c>
      <c r="E249" s="1" t="n">
        <v>46252</v>
      </c>
      <c r="F249" t="inlineStr">
        <is>
          <t>SÖDERMANLANDS LÄN</t>
        </is>
      </c>
      <c r="G249" t="inlineStr">
        <is>
          <t>FLEN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44986</v>
      </c>
      <c r="E250" s="1" t="n">
        <v>46252</v>
      </c>
      <c r="F250" t="inlineStr">
        <is>
          <t>SÖDERMANLANDS LÄN</t>
        </is>
      </c>
      <c r="G250" t="inlineStr">
        <is>
          <t>FLEN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46252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45528</v>
      </c>
      <c r="E252" s="1" t="n">
        <v>46252</v>
      </c>
      <c r="F252" t="inlineStr">
        <is>
          <t>SÖDERMANLANDS LÄN</t>
        </is>
      </c>
      <c r="G252" t="inlineStr">
        <is>
          <t>FLEN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46252</v>
      </c>
      <c r="F253" t="inlineStr">
        <is>
          <t>SÖDERMANLANDS LÄN</t>
        </is>
      </c>
      <c r="G253" t="inlineStr">
        <is>
          <t>FLEN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46252</v>
      </c>
      <c r="F254" t="inlineStr">
        <is>
          <t>SÖDERMANLANDS LÄN</t>
        </is>
      </c>
      <c r="G254" t="inlineStr">
        <is>
          <t>FLEN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46252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46252</v>
      </c>
      <c r="F256" t="inlineStr">
        <is>
          <t>SÖDERMANLANDS LÄN</t>
        </is>
      </c>
      <c r="G256" t="inlineStr">
        <is>
          <t>FLEN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60255-2021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44495</v>
      </c>
      <c r="E257" s="1" t="n">
        <v>46252</v>
      </c>
      <c r="F257" t="inlineStr">
        <is>
          <t>SÖDERMANLANDS LÄN</t>
        </is>
      </c>
      <c r="G257" t="inlineStr">
        <is>
          <t>FLEN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72314-2021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44544</v>
      </c>
      <c r="E258" s="1" t="n">
        <v>46252</v>
      </c>
      <c r="F258" t="inlineStr">
        <is>
          <t>SÖDERMANLANDS LÄN</t>
        </is>
      </c>
      <c r="G258" t="inlineStr">
        <is>
          <t>FLEN</t>
        </is>
      </c>
      <c r="I258" t="n">
        <v>13.8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45306</v>
      </c>
      <c r="E259" s="1" t="n">
        <v>46252</v>
      </c>
      <c r="F259" t="inlineStr">
        <is>
          <t>SÖDERMANLANDS LÄN</t>
        </is>
      </c>
      <c r="G259" t="inlineStr">
        <is>
          <t>FLEN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46252</v>
      </c>
      <c r="F260" t="inlineStr">
        <is>
          <t>SÖDERMANLANDS LÄN</t>
        </is>
      </c>
      <c r="G260" t="inlineStr">
        <is>
          <t>FLEN</t>
        </is>
      </c>
      <c r="H260" t="inlineStr">
        <is>
          <t>Övriga statliga verk och myndigheter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44899</v>
      </c>
      <c r="E261" s="1" t="n">
        <v>46252</v>
      </c>
      <c r="F261" t="inlineStr">
        <is>
          <t>SÖDERMANLANDS LÄN</t>
        </is>
      </c>
      <c r="G261" t="inlineStr">
        <is>
          <t>FLEN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46252</v>
      </c>
      <c r="F262" t="inlineStr">
        <is>
          <t>SÖDERMANLANDS LÄN</t>
        </is>
      </c>
      <c r="G262" t="inlineStr">
        <is>
          <t>FLEN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48497-2021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44449</v>
      </c>
      <c r="E263" s="1" t="n">
        <v>46252</v>
      </c>
      <c r="F263" t="inlineStr">
        <is>
          <t>SÖDERMANLANDS LÄN</t>
        </is>
      </c>
      <c r="G263" t="inlineStr">
        <is>
          <t>FLEN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54666-2021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44473</v>
      </c>
      <c r="E264" s="1" t="n">
        <v>46252</v>
      </c>
      <c r="F264" t="inlineStr">
        <is>
          <t>SÖDERMANLANDS LÄN</t>
        </is>
      </c>
      <c r="G264" t="inlineStr">
        <is>
          <t>FLEN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45636</v>
      </c>
      <c r="E265" s="1" t="n">
        <v>46252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45068</v>
      </c>
      <c r="E266" s="1" t="n">
        <v>46252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46252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45140</v>
      </c>
      <c r="E268" s="1" t="n">
        <v>46252</v>
      </c>
      <c r="F268" t="inlineStr">
        <is>
          <t>SÖDERMANLANDS LÄN</t>
        </is>
      </c>
      <c r="G268" t="inlineStr">
        <is>
          <t>FLEN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46252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45510</v>
      </c>
      <c r="E270" s="1" t="n">
        <v>46252</v>
      </c>
      <c r="F270" t="inlineStr">
        <is>
          <t>SÖDERMANLANDS LÄN</t>
        </is>
      </c>
      <c r="G270" t="inlineStr">
        <is>
          <t>FLEN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47604-2021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44448</v>
      </c>
      <c r="E271" s="1" t="n">
        <v>46252</v>
      </c>
      <c r="F271" t="inlineStr">
        <is>
          <t>SÖDERMANLANDS LÄN</t>
        </is>
      </c>
      <c r="G271" t="inlineStr">
        <is>
          <t>FLEN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45225</v>
      </c>
      <c r="E272" s="1" t="n">
        <v>46252</v>
      </c>
      <c r="F272" t="inlineStr">
        <is>
          <t>SÖDERMANLANDS LÄN</t>
        </is>
      </c>
      <c r="G272" t="inlineStr">
        <is>
          <t>FLEN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44796</v>
      </c>
      <c r="E273" s="1" t="n">
        <v>46252</v>
      </c>
      <c r="F273" t="inlineStr">
        <is>
          <t>SÖDERMANLANDS LÄN</t>
        </is>
      </c>
      <c r="G273" t="inlineStr">
        <is>
          <t>FLEN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45482</v>
      </c>
      <c r="E274" s="1" t="n">
        <v>46252</v>
      </c>
      <c r="F274" t="inlineStr">
        <is>
          <t>SÖDERMANLANDS LÄN</t>
        </is>
      </c>
      <c r="G274" t="inlineStr">
        <is>
          <t>FLEN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46252</v>
      </c>
      <c r="F275" t="inlineStr">
        <is>
          <t>SÖDERMANLANDS LÄN</t>
        </is>
      </c>
      <c r="G275" t="inlineStr">
        <is>
          <t>FLEN</t>
        </is>
      </c>
      <c r="H275" t="inlineStr">
        <is>
          <t>Övriga statliga verk och myndigheter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45713</v>
      </c>
      <c r="E276" s="1" t="n">
        <v>46252</v>
      </c>
      <c r="F276" t="inlineStr">
        <is>
          <t>SÖDERMANLANDS LÄN</t>
        </is>
      </c>
      <c r="G276" t="inlineStr">
        <is>
          <t>FLEN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46252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46252</v>
      </c>
      <c r="F278" t="inlineStr">
        <is>
          <t>SÖDERMANLANDS LÄN</t>
        </is>
      </c>
      <c r="G278" t="inlineStr">
        <is>
          <t>FLEN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45226</v>
      </c>
      <c r="E279" s="1" t="n">
        <v>46252</v>
      </c>
      <c r="F279" t="inlineStr">
        <is>
          <t>SÖDERMANLANDS LÄN</t>
        </is>
      </c>
      <c r="G279" t="inlineStr">
        <is>
          <t>FLEN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48852-2023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46252</v>
      </c>
      <c r="F280" t="inlineStr">
        <is>
          <t>SÖDERMANLANDS LÄN</t>
        </is>
      </c>
      <c r="G280" t="inlineStr">
        <is>
          <t>FLEN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46252</v>
      </c>
      <c r="F281" t="inlineStr">
        <is>
          <t>SÖDERMANLANDS LÄN</t>
        </is>
      </c>
      <c r="G281" t="inlineStr">
        <is>
          <t>FLEN</t>
        </is>
      </c>
      <c r="H281" t="inlineStr">
        <is>
          <t>Övriga statliga verk och myndigheter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44991</v>
      </c>
      <c r="E282" s="1" t="n">
        <v>46252</v>
      </c>
      <c r="F282" t="inlineStr">
        <is>
          <t>SÖDERMANLANDS LÄN</t>
        </is>
      </c>
      <c r="G282" t="inlineStr">
        <is>
          <t>FLEN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46252</v>
      </c>
      <c r="F283" t="inlineStr">
        <is>
          <t>SÖDERMANLANDS LÄN</t>
        </is>
      </c>
      <c r="G283" t="inlineStr">
        <is>
          <t>FLEN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62579-2023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45270</v>
      </c>
      <c r="E284" s="1" t="n">
        <v>46252</v>
      </c>
      <c r="F284" t="inlineStr">
        <is>
          <t>SÖDERMANLANDS LÄN</t>
        </is>
      </c>
      <c r="G284" t="inlineStr">
        <is>
          <t>FLEN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46252</v>
      </c>
      <c r="F285" t="inlineStr">
        <is>
          <t>SÖDERMANLANDS LÄN</t>
        </is>
      </c>
      <c r="G285" t="inlineStr">
        <is>
          <t>FLEN</t>
        </is>
      </c>
      <c r="H285" t="inlineStr">
        <is>
          <t>Kommuner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46252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19150-2023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46252</v>
      </c>
      <c r="F287" t="inlineStr">
        <is>
          <t>SÖDERMANLANDS LÄN</t>
        </is>
      </c>
      <c r="G287" t="inlineStr">
        <is>
          <t>FLEN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46252</v>
      </c>
      <c r="F288" t="inlineStr">
        <is>
          <t>SÖDERMANLANDS LÄN</t>
        </is>
      </c>
      <c r="G288" t="inlineStr">
        <is>
          <t>FLEN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45056</v>
      </c>
      <c r="E289" s="1" t="n">
        <v>46252</v>
      </c>
      <c r="F289" t="inlineStr">
        <is>
          <t>SÖDERMANLANDS LÄN</t>
        </is>
      </c>
      <c r="G289" t="inlineStr">
        <is>
          <t>FLEN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44561-2024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46252</v>
      </c>
      <c r="F290" t="inlineStr">
        <is>
          <t>SÖDERMANLANDS LÄN</t>
        </is>
      </c>
      <c r="G290" t="inlineStr">
        <is>
          <t>FLEN</t>
        </is>
      </c>
      <c r="H290" t="inlineStr">
        <is>
          <t>Övriga statliga verk och myndigheter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45230</v>
      </c>
      <c r="E291" s="1" t="n">
        <v>46252</v>
      </c>
      <c r="F291" t="inlineStr">
        <is>
          <t>SÖDERMANLANDS LÄN</t>
        </is>
      </c>
      <c r="G291" t="inlineStr">
        <is>
          <t>FLEN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45149</v>
      </c>
      <c r="E292" s="1" t="n">
        <v>46252</v>
      </c>
      <c r="F292" t="inlineStr">
        <is>
          <t>SÖDERMANLANDS LÄN</t>
        </is>
      </c>
      <c r="G292" t="inlineStr">
        <is>
          <t>FLEN</t>
        </is>
      </c>
      <c r="H292" t="inlineStr">
        <is>
          <t>Kyrkan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45309</v>
      </c>
      <c r="E293" s="1" t="n">
        <v>46252</v>
      </c>
      <c r="F293" t="inlineStr">
        <is>
          <t>SÖDERMANLANDS LÄN</t>
        </is>
      </c>
      <c r="G293" t="inlineStr">
        <is>
          <t>FLEN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46252</v>
      </c>
      <c r="F294" t="inlineStr">
        <is>
          <t>SÖDERMANLANDS LÄN</t>
        </is>
      </c>
      <c r="G294" t="inlineStr">
        <is>
          <t>FLEN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25823-2022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44733</v>
      </c>
      <c r="E295" s="1" t="n">
        <v>46252</v>
      </c>
      <c r="F295" t="inlineStr">
        <is>
          <t>SÖDERMANLANDS LÄN</t>
        </is>
      </c>
      <c r="G295" t="inlineStr">
        <is>
          <t>FLEN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44566</v>
      </c>
      <c r="E296" s="1" t="n">
        <v>46252</v>
      </c>
      <c r="F296" t="inlineStr">
        <is>
          <t>SÖDERMANLANDS LÄN</t>
        </is>
      </c>
      <c r="G296" t="inlineStr">
        <is>
          <t>FLEN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46252</v>
      </c>
      <c r="F297" t="inlineStr">
        <is>
          <t>SÖDERMANLANDS LÄN</t>
        </is>
      </c>
      <c r="G297" t="inlineStr">
        <is>
          <t>FLEN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46252</v>
      </c>
      <c r="F298" t="inlineStr">
        <is>
          <t>SÖDERMANLANDS LÄN</t>
        </is>
      </c>
      <c r="G298" t="inlineStr">
        <is>
          <t>FLEN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45209</v>
      </c>
      <c r="E299" s="1" t="n">
        <v>46252</v>
      </c>
      <c r="F299" t="inlineStr">
        <is>
          <t>SÖDERMANLANDS LÄN</t>
        </is>
      </c>
      <c r="G299" t="inlineStr">
        <is>
          <t>FLEN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46252</v>
      </c>
      <c r="F300" t="inlineStr">
        <is>
          <t>SÖDERMANLANDS LÄN</t>
        </is>
      </c>
      <c r="G300" t="inlineStr">
        <is>
          <t>FLEN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44624</v>
      </c>
      <c r="E301" s="1" t="n">
        <v>46252</v>
      </c>
      <c r="F301" t="inlineStr">
        <is>
          <t>SÖDERMANLANDS LÄN</t>
        </is>
      </c>
      <c r="G301" t="inlineStr">
        <is>
          <t>FLEN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66867-2021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44522</v>
      </c>
      <c r="E302" s="1" t="n">
        <v>46252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54283-2025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45964</v>
      </c>
      <c r="E303" s="1" t="n">
        <v>46252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54282-2025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45964</v>
      </c>
      <c r="E304" s="1" t="n">
        <v>46252</v>
      </c>
      <c r="F304" t="inlineStr">
        <is>
          <t>SÖDERMANLANDS LÄN</t>
        </is>
      </c>
      <c r="G304" t="inlineStr">
        <is>
          <t>FLEN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44931</v>
      </c>
      <c r="E305" s="1" t="n">
        <v>46252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46252</v>
      </c>
      <c r="F306" t="inlineStr">
        <is>
          <t>SÖDERMANLANDS LÄN</t>
        </is>
      </c>
      <c r="G306" t="inlineStr">
        <is>
          <t>FLEN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46252</v>
      </c>
      <c r="F307" t="inlineStr">
        <is>
          <t>SÖDERMANLANDS LÄN</t>
        </is>
      </c>
      <c r="G307" t="inlineStr">
        <is>
          <t>FLEN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46252</v>
      </c>
      <c r="F308" t="inlineStr">
        <is>
          <t>SÖDERMANLANDS LÄN</t>
        </is>
      </c>
      <c r="G308" t="inlineStr">
        <is>
          <t>FLEN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46252</v>
      </c>
      <c r="F309" t="inlineStr">
        <is>
          <t>SÖDERMANLANDS LÄN</t>
        </is>
      </c>
      <c r="G309" t="inlineStr">
        <is>
          <t>FLEN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46252</v>
      </c>
      <c r="F310" t="inlineStr">
        <is>
          <t>SÖDERMANLANDS LÄN</t>
        </is>
      </c>
      <c r="G310" t="inlineStr">
        <is>
          <t>FLEN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46252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46252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46252</v>
      </c>
      <c r="F313" t="inlineStr">
        <is>
          <t>SÖDERMANLANDS LÄN</t>
        </is>
      </c>
      <c r="G313" t="inlineStr">
        <is>
          <t>FLEN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45518</v>
      </c>
      <c r="E314" s="1" t="n">
        <v>46252</v>
      </c>
      <c r="F314" t="inlineStr">
        <is>
          <t>SÖDERMANLANDS LÄN</t>
        </is>
      </c>
      <c r="G314" t="inlineStr">
        <is>
          <t>FLEN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62763-2023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45271</v>
      </c>
      <c r="E315" s="1" t="n">
        <v>46252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48785-2022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46252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46252</v>
      </c>
      <c r="F317" t="inlineStr">
        <is>
          <t>SÖDERMANLANDS LÄN</t>
        </is>
      </c>
      <c r="G317" t="inlineStr">
        <is>
          <t>FLEN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46252</v>
      </c>
      <c r="F318" t="inlineStr">
        <is>
          <t>SÖDERMANLANDS LÄN</t>
        </is>
      </c>
      <c r="G318" t="inlineStr">
        <is>
          <t>FLEN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56573-2025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45974</v>
      </c>
      <c r="E319" s="1" t="n">
        <v>46252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46252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46252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46252</v>
      </c>
      <c r="F322" t="inlineStr">
        <is>
          <t>SÖDERMANLANDS LÄN</t>
        </is>
      </c>
      <c r="G322" t="inlineStr">
        <is>
          <t>FLEN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46252</v>
      </c>
      <c r="F323" t="inlineStr">
        <is>
          <t>SÖDERMANLANDS LÄN</t>
        </is>
      </c>
      <c r="G323" t="inlineStr">
        <is>
          <t>FLEN</t>
        </is>
      </c>
      <c r="H323" t="inlineStr">
        <is>
          <t>Övriga statliga verk och myndigheter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46252</v>
      </c>
      <c r="F324" t="inlineStr">
        <is>
          <t>SÖDERMANLANDS LÄN</t>
        </is>
      </c>
      <c r="G324" t="inlineStr">
        <is>
          <t>FLEN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46252</v>
      </c>
      <c r="F325" t="inlineStr">
        <is>
          <t>SÖDERMANLANDS LÄN</t>
        </is>
      </c>
      <c r="G325" t="inlineStr">
        <is>
          <t>FLEN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46252</v>
      </c>
      <c r="F326" t="inlineStr">
        <is>
          <t>SÖDERMANLANDS LÄN</t>
        </is>
      </c>
      <c r="G326" t="inlineStr">
        <is>
          <t>FLEN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46252</v>
      </c>
      <c r="F327" t="inlineStr">
        <is>
          <t>SÖDERMANLANDS LÄN</t>
        </is>
      </c>
      <c r="G327" t="inlineStr">
        <is>
          <t>FLEN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44676</v>
      </c>
      <c r="E328" s="1" t="n">
        <v>46252</v>
      </c>
      <c r="F328" t="inlineStr">
        <is>
          <t>SÖDERMANLANDS LÄN</t>
        </is>
      </c>
      <c r="G328" t="inlineStr">
        <is>
          <t>FLEN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14599-2023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45013</v>
      </c>
      <c r="E329" s="1" t="n">
        <v>46252</v>
      </c>
      <c r="F329" t="inlineStr">
        <is>
          <t>SÖDERMANLANDS LÄN</t>
        </is>
      </c>
      <c r="G329" t="inlineStr">
        <is>
          <t>FLEN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45311</v>
      </c>
      <c r="E330" s="1" t="n">
        <v>46252</v>
      </c>
      <c r="F330" t="inlineStr">
        <is>
          <t>SÖDERMANLANDS LÄN</t>
        </is>
      </c>
      <c r="G330" t="inlineStr">
        <is>
          <t>FLEN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44588</v>
      </c>
      <c r="E331" s="1" t="n">
        <v>46252</v>
      </c>
      <c r="F331" t="inlineStr">
        <is>
          <t>SÖDERMANLANDS LÄN</t>
        </is>
      </c>
      <c r="G331" t="inlineStr">
        <is>
          <t>FLEN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46252</v>
      </c>
      <c r="F332" t="inlineStr">
        <is>
          <t>SÖDERMANLANDS LÄN</t>
        </is>
      </c>
      <c r="G332" t="inlineStr">
        <is>
          <t>FLEN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46252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45299</v>
      </c>
      <c r="E334" s="1" t="n">
        <v>46252</v>
      </c>
      <c r="F334" t="inlineStr">
        <is>
          <t>SÖDERMANLANDS LÄN</t>
        </is>
      </c>
      <c r="G334" t="inlineStr">
        <is>
          <t>FLEN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57356-2022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46252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44872</v>
      </c>
      <c r="E336" s="1" t="n">
        <v>46252</v>
      </c>
      <c r="F336" t="inlineStr">
        <is>
          <t>SÖDERMANLANDS LÄN</t>
        </is>
      </c>
      <c r="G336" t="inlineStr">
        <is>
          <t>FLEN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46252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50796-2021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44459</v>
      </c>
      <c r="E338" s="1" t="n">
        <v>46252</v>
      </c>
      <c r="F338" t="inlineStr">
        <is>
          <t>SÖDERMANLANDS LÄN</t>
        </is>
      </c>
      <c r="G338" t="inlineStr">
        <is>
          <t>FLEN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59910-2025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45993</v>
      </c>
      <c r="E339" s="1" t="n">
        <v>46252</v>
      </c>
      <c r="F339" t="inlineStr">
        <is>
          <t>SÖDERMANLANDS LÄN</t>
        </is>
      </c>
      <c r="G339" t="inlineStr">
        <is>
          <t>FLEN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45993</v>
      </c>
      <c r="E340" s="1" t="n">
        <v>46252</v>
      </c>
      <c r="F340" t="inlineStr">
        <is>
          <t>SÖDERMANLANDS LÄN</t>
        </is>
      </c>
      <c r="G340" t="inlineStr">
        <is>
          <t>FLEN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46252</v>
      </c>
      <c r="F341" t="inlineStr">
        <is>
          <t>SÖDERMANLANDS LÄN</t>
        </is>
      </c>
      <c r="G341" t="inlineStr">
        <is>
          <t>FLEN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45057</v>
      </c>
      <c r="E342" s="1" t="n">
        <v>46252</v>
      </c>
      <c r="F342" t="inlineStr">
        <is>
          <t>SÖDERMANLANDS LÄN</t>
        </is>
      </c>
      <c r="G342" t="inlineStr">
        <is>
          <t>FLEN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53121-2023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45228</v>
      </c>
      <c r="E343" s="1" t="n">
        <v>46252</v>
      </c>
      <c r="F343" t="inlineStr">
        <is>
          <t>SÖDERMANLANDS LÄN</t>
        </is>
      </c>
      <c r="G343" t="inlineStr">
        <is>
          <t>FLEN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46252</v>
      </c>
      <c r="F344" t="inlineStr">
        <is>
          <t>SÖDERMANLANDS LÄN</t>
        </is>
      </c>
      <c r="G344" t="inlineStr">
        <is>
          <t>FLEN</t>
        </is>
      </c>
      <c r="H344" t="inlineStr">
        <is>
          <t>Kyrkan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46252</v>
      </c>
      <c r="F345" t="inlineStr">
        <is>
          <t>SÖDERMANLANDS LÄN</t>
        </is>
      </c>
      <c r="G345" t="inlineStr">
        <is>
          <t>FLEN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46252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46252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46252</v>
      </c>
      <c r="F348" t="inlineStr">
        <is>
          <t>SÖDERMANLANDS LÄN</t>
        </is>
      </c>
      <c r="G348" t="inlineStr">
        <is>
          <t>FLEN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46252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27146-2022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44741</v>
      </c>
      <c r="E350" s="1" t="n">
        <v>46252</v>
      </c>
      <c r="F350" t="inlineStr">
        <is>
          <t>SÖDERMANLANDS LÄN</t>
        </is>
      </c>
      <c r="G350" t="inlineStr">
        <is>
          <t>FLEN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12172-2022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44636</v>
      </c>
      <c r="E351" s="1" t="n">
        <v>46252</v>
      </c>
      <c r="F351" t="inlineStr">
        <is>
          <t>SÖDERMANLANDS LÄN</t>
        </is>
      </c>
      <c r="G351" t="inlineStr">
        <is>
          <t>FLEN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46252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6725-2022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44602</v>
      </c>
      <c r="E353" s="1" t="n">
        <v>46252</v>
      </c>
      <c r="F353" t="inlineStr">
        <is>
          <t>SÖDERMANLANDS LÄN</t>
        </is>
      </c>
      <c r="G353" t="inlineStr">
        <is>
          <t>FLEN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46252</v>
      </c>
      <c r="F354" t="inlineStr">
        <is>
          <t>SÖDERMANLANDS LÄN</t>
        </is>
      </c>
      <c r="G354" t="inlineStr">
        <is>
          <t>FLEN</t>
        </is>
      </c>
      <c r="I354" t="n">
        <v>11.3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45398</v>
      </c>
      <c r="E355" s="1" t="n">
        <v>46252</v>
      </c>
      <c r="F355" t="inlineStr">
        <is>
          <t>SÖDERMANLANDS LÄN</t>
        </is>
      </c>
      <c r="G355" t="inlineStr">
        <is>
          <t>FLEN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46252</v>
      </c>
      <c r="F356" t="inlineStr">
        <is>
          <t>SÖDERMANLANDS LÄN</t>
        </is>
      </c>
      <c r="G356" t="inlineStr">
        <is>
          <t>FLEN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46252</v>
      </c>
      <c r="F357" t="inlineStr">
        <is>
          <t>SÖDERMANLANDS LÄN</t>
        </is>
      </c>
      <c r="G357" t="inlineStr">
        <is>
          <t>FLEN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60609-2022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44911</v>
      </c>
      <c r="E358" s="1" t="n">
        <v>46252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45667</v>
      </c>
      <c r="E359" s="1" t="n">
        <v>46252</v>
      </c>
      <c r="F359" t="inlineStr">
        <is>
          <t>SÖDERMANLANDS LÄN</t>
        </is>
      </c>
      <c r="G359" t="inlineStr">
        <is>
          <t>FLEN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46252</v>
      </c>
      <c r="F360" t="inlineStr">
        <is>
          <t>SÖDERMANLANDS LÄN</t>
        </is>
      </c>
      <c r="G360" t="inlineStr">
        <is>
          <t>FLEN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30423-2022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44761</v>
      </c>
      <c r="E361" s="1" t="n">
        <v>46252</v>
      </c>
      <c r="F361" t="inlineStr">
        <is>
          <t>SÖDERMANLANDS LÄN</t>
        </is>
      </c>
      <c r="G361" t="inlineStr">
        <is>
          <t>FLEN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42731-2024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45566</v>
      </c>
      <c r="E362" s="1" t="n">
        <v>46252</v>
      </c>
      <c r="F362" t="inlineStr">
        <is>
          <t>SÖDERMANLANDS LÄN</t>
        </is>
      </c>
      <c r="G362" t="inlineStr">
        <is>
          <t>FLEN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46252</v>
      </c>
      <c r="F363" t="inlineStr">
        <is>
          <t>SÖDERMANLANDS LÄN</t>
        </is>
      </c>
      <c r="G363" t="inlineStr">
        <is>
          <t>FLEN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46106-2024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46252</v>
      </c>
      <c r="F364" t="inlineStr">
        <is>
          <t>SÖDERMANLANDS LÄN</t>
        </is>
      </c>
      <c r="G364" t="inlineStr">
        <is>
          <t>FLEN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46252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44006-2022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44838</v>
      </c>
      <c r="E366" s="1" t="n">
        <v>46252</v>
      </c>
      <c r="F366" t="inlineStr">
        <is>
          <t>SÖDERMANLANDS LÄN</t>
        </is>
      </c>
      <c r="G366" t="inlineStr">
        <is>
          <t>FLEN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45012</v>
      </c>
      <c r="E367" s="1" t="n">
        <v>46252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43394-2021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44432</v>
      </c>
      <c r="E368" s="1" t="n">
        <v>46252</v>
      </c>
      <c r="F368" t="inlineStr">
        <is>
          <t>SÖDERMANLANDS LÄN</t>
        </is>
      </c>
      <c r="G368" t="inlineStr">
        <is>
          <t>FLEN</t>
        </is>
      </c>
      <c r="I368" t="n">
        <v>14.4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9147-2024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45358</v>
      </c>
      <c r="E369" s="1" t="n">
        <v>46252</v>
      </c>
      <c r="F369" t="inlineStr">
        <is>
          <t>SÖDERMANLANDS LÄN</t>
        </is>
      </c>
      <c r="G369" t="inlineStr">
        <is>
          <t>FLEN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46252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44958</v>
      </c>
      <c r="E371" s="1" t="n">
        <v>46252</v>
      </c>
      <c r="F371" t="inlineStr">
        <is>
          <t>SÖDERMANLANDS LÄN</t>
        </is>
      </c>
      <c r="G371" t="inlineStr">
        <is>
          <t>FLEN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46252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44907</v>
      </c>
      <c r="E373" s="1" t="n">
        <v>46252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23835-2022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46252</v>
      </c>
      <c r="F374" t="inlineStr">
        <is>
          <t>SÖDERMANLANDS LÄN</t>
        </is>
      </c>
      <c r="G374" t="inlineStr">
        <is>
          <t>FLEN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44722</v>
      </c>
      <c r="E375" s="1" t="n">
        <v>46252</v>
      </c>
      <c r="F375" t="inlineStr">
        <is>
          <t>SÖDERMANLANDS LÄN</t>
        </is>
      </c>
      <c r="G375" t="inlineStr">
        <is>
          <t>FLEN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46252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46252</v>
      </c>
      <c r="F377" t="inlineStr">
        <is>
          <t>SÖDERMANLANDS LÄN</t>
        </is>
      </c>
      <c r="G377" t="inlineStr">
        <is>
          <t>FLEN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45072</v>
      </c>
      <c r="E378" s="1" t="n">
        <v>46252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33103-2022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44785</v>
      </c>
      <c r="E379" s="1" t="n">
        <v>46252</v>
      </c>
      <c r="F379" t="inlineStr">
        <is>
          <t>SÖDERMANLANDS LÄN</t>
        </is>
      </c>
      <c r="G379" t="inlineStr">
        <is>
          <t>FLEN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46252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44616</v>
      </c>
      <c r="E381" s="1" t="n">
        <v>46252</v>
      </c>
      <c r="F381" t="inlineStr">
        <is>
          <t>SÖDERMANLANDS LÄN</t>
        </is>
      </c>
      <c r="G381" t="inlineStr">
        <is>
          <t>FLEN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46252</v>
      </c>
      <c r="F382" t="inlineStr">
        <is>
          <t>SÖDERMANLANDS LÄN</t>
        </is>
      </c>
      <c r="G382" t="inlineStr">
        <is>
          <t>FLEN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45299</v>
      </c>
      <c r="E383" s="1" t="n">
        <v>46252</v>
      </c>
      <c r="F383" t="inlineStr">
        <is>
          <t>SÖDERMANLANDS LÄN</t>
        </is>
      </c>
      <c r="G383" t="inlineStr">
        <is>
          <t>FLEN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46252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46252</v>
      </c>
      <c r="F385" t="inlineStr">
        <is>
          <t>SÖDERMANLANDS LÄN</t>
        </is>
      </c>
      <c r="G385" t="inlineStr">
        <is>
          <t>FLEN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52692-2021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44466</v>
      </c>
      <c r="E386" s="1" t="n">
        <v>46252</v>
      </c>
      <c r="F386" t="inlineStr">
        <is>
          <t>SÖDERMANLANDS LÄN</t>
        </is>
      </c>
      <c r="G386" t="inlineStr">
        <is>
          <t>FLEN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45923-2023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46252</v>
      </c>
      <c r="F387" t="inlineStr">
        <is>
          <t>SÖDERMANLANDS LÄN</t>
        </is>
      </c>
      <c r="G387" t="inlineStr">
        <is>
          <t>FLEN</t>
        </is>
      </c>
      <c r="H387" t="inlineStr">
        <is>
          <t>Övriga statliga verk och myndigheter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45082</v>
      </c>
      <c r="E388" s="1" t="n">
        <v>46252</v>
      </c>
      <c r="F388" t="inlineStr">
        <is>
          <t>SÖDERMANLANDS LÄN</t>
        </is>
      </c>
      <c r="G388" t="inlineStr">
        <is>
          <t>FLEN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45553</v>
      </c>
      <c r="E389" s="1" t="n">
        <v>46252</v>
      </c>
      <c r="F389" t="inlineStr">
        <is>
          <t>SÖDERMANLANDS LÄN</t>
        </is>
      </c>
      <c r="G389" t="inlineStr">
        <is>
          <t>FLEN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46252</v>
      </c>
      <c r="F390" t="inlineStr">
        <is>
          <t>SÖDERMANLANDS LÄN</t>
        </is>
      </c>
      <c r="G390" t="inlineStr">
        <is>
          <t>FLEN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16580-2023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45030</v>
      </c>
      <c r="E391" s="1" t="n">
        <v>46252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44887</v>
      </c>
      <c r="E392" s="1" t="n">
        <v>46252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46252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44431</v>
      </c>
      <c r="E394" s="1" t="n">
        <v>46252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54340-2023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45225</v>
      </c>
      <c r="E395" s="1" t="n">
        <v>46252</v>
      </c>
      <c r="F395" t="inlineStr">
        <is>
          <t>SÖDERMANLANDS LÄN</t>
        </is>
      </c>
      <c r="G395" t="inlineStr">
        <is>
          <t>FLEN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45501</v>
      </c>
      <c r="E396" s="1" t="n">
        <v>46252</v>
      </c>
      <c r="F396" t="inlineStr">
        <is>
          <t>SÖDERMANLANDS LÄN</t>
        </is>
      </c>
      <c r="G396" t="inlineStr">
        <is>
          <t>FLEN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46252</v>
      </c>
      <c r="F397" t="inlineStr">
        <is>
          <t>SÖDERMANLANDS LÄN</t>
        </is>
      </c>
      <c r="G397" t="inlineStr">
        <is>
          <t>FLEN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40420-2024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45555</v>
      </c>
      <c r="E398" s="1" t="n">
        <v>46252</v>
      </c>
      <c r="F398" t="inlineStr">
        <is>
          <t>SÖDERMANLANDS LÄN</t>
        </is>
      </c>
      <c r="G398" t="inlineStr">
        <is>
          <t>FLEN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46252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46252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46185</v>
      </c>
      <c r="E401" s="1" t="n">
        <v>46252</v>
      </c>
      <c r="F401" t="inlineStr">
        <is>
          <t>SÖDERMANLANDS LÄN</t>
        </is>
      </c>
      <c r="G401" t="inlineStr">
        <is>
          <t>FLEN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46252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46185</v>
      </c>
      <c r="E403" s="1" t="n">
        <v>46252</v>
      </c>
      <c r="F403" t="inlineStr">
        <is>
          <t>SÖDERMANLANDS LÄN</t>
        </is>
      </c>
      <c r="G403" t="inlineStr">
        <is>
          <t>FLEN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44846</v>
      </c>
      <c r="E404" s="1" t="n">
        <v>46252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46252</v>
      </c>
      <c r="F405" t="inlineStr">
        <is>
          <t>SÖDERMANLANDS LÄN</t>
        </is>
      </c>
      <c r="G405" t="inlineStr">
        <is>
          <t>FLEN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46229</v>
      </c>
      <c r="E406" s="1" t="n">
        <v>46252</v>
      </c>
      <c r="F406" t="inlineStr">
        <is>
          <t>SÖDERMANLANDS LÄN</t>
        </is>
      </c>
      <c r="G406" t="inlineStr">
        <is>
          <t>FLEN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46252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46252</v>
      </c>
      <c r="F408" t="inlineStr">
        <is>
          <t>SÖDERMANLANDS LÄN</t>
        </is>
      </c>
      <c r="G408" t="inlineStr">
        <is>
          <t>FLEN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46252</v>
      </c>
      <c r="F409" t="inlineStr">
        <is>
          <t>SÖDERMANLANDS LÄN</t>
        </is>
      </c>
      <c r="G409" t="inlineStr">
        <is>
          <t>FLEN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46252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49811-2023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45211</v>
      </c>
      <c r="E411" s="1" t="n">
        <v>46252</v>
      </c>
      <c r="F411" t="inlineStr">
        <is>
          <t>SÖDERMANLANDS LÄN</t>
        </is>
      </c>
      <c r="G411" t="inlineStr">
        <is>
          <t>FLEN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46252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52481-2023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45225</v>
      </c>
      <c r="E413" s="1" t="n">
        <v>46252</v>
      </c>
      <c r="F413" t="inlineStr">
        <is>
          <t>SÖDERMANLANDS LÄN</t>
        </is>
      </c>
      <c r="G413" t="inlineStr">
        <is>
          <t>FLEN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46252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46252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46252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46252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46252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46252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46082</v>
      </c>
      <c r="E420" s="1" t="n">
        <v>46252</v>
      </c>
      <c r="F420" t="inlineStr">
        <is>
          <t>SÖDERMANLANDS LÄN</t>
        </is>
      </c>
      <c r="G420" t="inlineStr">
        <is>
          <t>FLEN</t>
        </is>
      </c>
      <c r="I420" t="n">
        <v>7.7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46252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46252</v>
      </c>
      <c r="F422" t="inlineStr">
        <is>
          <t>SÖDERMANLANDS LÄN</t>
        </is>
      </c>
      <c r="G422" t="inlineStr">
        <is>
          <t>FLEN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47187-2022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44848</v>
      </c>
      <c r="E423" s="1" t="n">
        <v>46252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46252</v>
      </c>
      <c r="F424" t="inlineStr">
        <is>
          <t>SÖDERMANLANDS LÄN</t>
        </is>
      </c>
      <c r="G424" t="inlineStr">
        <is>
          <t>FLEN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46252</v>
      </c>
      <c r="F425" t="inlineStr">
        <is>
          <t>SÖDERMANLANDS LÄN</t>
        </is>
      </c>
      <c r="G425" t="inlineStr">
        <is>
          <t>FLEN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44614</v>
      </c>
      <c r="E426" s="1" t="n">
        <v>46252</v>
      </c>
      <c r="F426" t="inlineStr">
        <is>
          <t>SÖDERMANLANDS LÄN</t>
        </is>
      </c>
      <c r="G426" t="inlineStr">
        <is>
          <t>FLEN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45720</v>
      </c>
      <c r="E427" s="1" t="n">
        <v>46252</v>
      </c>
      <c r="F427" t="inlineStr">
        <is>
          <t>SÖDERMANLANDS LÄN</t>
        </is>
      </c>
      <c r="G427" t="inlineStr">
        <is>
          <t>FLEN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46091</v>
      </c>
      <c r="E428" s="1" t="n">
        <v>46252</v>
      </c>
      <c r="F428" t="inlineStr">
        <is>
          <t>SÖDERMANLANDS LÄN</t>
        </is>
      </c>
      <c r="G428" t="inlineStr">
        <is>
          <t>FLEN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45230</v>
      </c>
      <c r="E429" s="1" t="n">
        <v>46252</v>
      </c>
      <c r="F429" t="inlineStr">
        <is>
          <t>SÖDERMANLANDS LÄN</t>
        </is>
      </c>
      <c r="G429" t="inlineStr">
        <is>
          <t>FLEN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37286-2024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45540</v>
      </c>
      <c r="E430" s="1" t="n">
        <v>46252</v>
      </c>
      <c r="F430" t="inlineStr">
        <is>
          <t>SÖDERMANLANDS LÄN</t>
        </is>
      </c>
      <c r="G430" t="inlineStr">
        <is>
          <t>FLEN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44614</v>
      </c>
      <c r="E431" s="1" t="n">
        <v>46252</v>
      </c>
      <c r="F431" t="inlineStr">
        <is>
          <t>SÖDERMANLANDS LÄN</t>
        </is>
      </c>
      <c r="G431" t="inlineStr">
        <is>
          <t>FLEN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44909</v>
      </c>
      <c r="E432" s="1" t="n">
        <v>46252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45327</v>
      </c>
      <c r="E433" s="1" t="n">
        <v>46252</v>
      </c>
      <c r="F433" t="inlineStr">
        <is>
          <t>SÖDERMANLANDS LÄN</t>
        </is>
      </c>
      <c r="G433" t="inlineStr">
        <is>
          <t>FLEN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46252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46252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46252</v>
      </c>
      <c r="F436" t="inlineStr">
        <is>
          <t>SÖDERMANLANDS LÄN</t>
        </is>
      </c>
      <c r="G436" t="inlineStr">
        <is>
          <t>FLEN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73923-2021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44553</v>
      </c>
      <c r="E437" s="1" t="n">
        <v>46252</v>
      </c>
      <c r="F437" t="inlineStr">
        <is>
          <t>SÖDERMANLANDS LÄN</t>
        </is>
      </c>
      <c r="G437" t="inlineStr">
        <is>
          <t>FLEN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46113</v>
      </c>
      <c r="E438" s="1" t="n">
        <v>46252</v>
      </c>
      <c r="F438" t="inlineStr">
        <is>
          <t>SÖDERMANLANDS LÄN</t>
        </is>
      </c>
      <c r="G438" t="inlineStr">
        <is>
          <t>FLEN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45345</v>
      </c>
      <c r="E439" s="1" t="n">
        <v>46252</v>
      </c>
      <c r="F439" t="inlineStr">
        <is>
          <t>SÖDERMANLANDS LÄN</t>
        </is>
      </c>
      <c r="G439" t="inlineStr">
        <is>
          <t>FLEN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46252</v>
      </c>
      <c r="F440" t="inlineStr">
        <is>
          <t>SÖDERMANLANDS LÄN</t>
        </is>
      </c>
      <c r="G440" t="inlineStr">
        <is>
          <t>FLEN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46252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46252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28316-2026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46252</v>
      </c>
      <c r="F443" t="inlineStr">
        <is>
          <t>SÖDERMANLANDS LÄN</t>
        </is>
      </c>
      <c r="G443" t="inlineStr">
        <is>
          <t>FLEN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46126</v>
      </c>
      <c r="E444" s="1" t="n">
        <v>46252</v>
      </c>
      <c r="F444" t="inlineStr">
        <is>
          <t>SÖDERMANLANDS LÄN</t>
        </is>
      </c>
      <c r="G444" t="inlineStr">
        <is>
          <t>FLEN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46121</v>
      </c>
      <c r="E445" s="1" t="n">
        <v>46252</v>
      </c>
      <c r="F445" t="inlineStr">
        <is>
          <t>SÖDERMANLANDS LÄN</t>
        </is>
      </c>
      <c r="G445" t="inlineStr">
        <is>
          <t>FLEN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46252</v>
      </c>
      <c r="F446" t="inlineStr">
        <is>
          <t>SÖDERMANLANDS LÄN</t>
        </is>
      </c>
      <c r="G446" t="inlineStr">
        <is>
          <t>FLEN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44648</v>
      </c>
      <c r="E447" s="1" t="n">
        <v>46252</v>
      </c>
      <c r="F447" t="inlineStr">
        <is>
          <t>SÖDERMANLANDS LÄN</t>
        </is>
      </c>
      <c r="G447" t="inlineStr">
        <is>
          <t>FLEN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46129</v>
      </c>
      <c r="E448" s="1" t="n">
        <v>46252</v>
      </c>
      <c r="F448" t="inlineStr">
        <is>
          <t>SÖDERMANLANDS LÄN</t>
        </is>
      </c>
      <c r="G448" t="inlineStr">
        <is>
          <t>FLEN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44739</v>
      </c>
      <c r="E449" s="1" t="n">
        <v>46252</v>
      </c>
      <c r="F449" t="inlineStr">
        <is>
          <t>SÖDERMANLANDS LÄN</t>
        </is>
      </c>
      <c r="G449" t="inlineStr">
        <is>
          <t>FLEN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23716-2024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45454</v>
      </c>
      <c r="E450" s="1" t="n">
        <v>46252</v>
      </c>
      <c r="F450" t="inlineStr">
        <is>
          <t>SÖDERMANLANDS LÄN</t>
        </is>
      </c>
      <c r="G450" t="inlineStr">
        <is>
          <t>FLEN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46121</v>
      </c>
      <c r="E451" s="1" t="n">
        <v>46252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45478</v>
      </c>
      <c r="E452" s="1" t="n">
        <v>46252</v>
      </c>
      <c r="F452" t="inlineStr">
        <is>
          <t>SÖDERMANLANDS LÄN</t>
        </is>
      </c>
      <c r="G452" t="inlineStr">
        <is>
          <t>FLEN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46252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46252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19102-2026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46132</v>
      </c>
      <c r="E455" s="1" t="n">
        <v>46252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45713</v>
      </c>
      <c r="E456" s="1" t="n">
        <v>46252</v>
      </c>
      <c r="F456" t="inlineStr">
        <is>
          <t>SÖDERMANLANDS LÄN</t>
        </is>
      </c>
      <c r="G456" t="inlineStr">
        <is>
          <t>FLEN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44580</v>
      </c>
      <c r="E457" s="1" t="n">
        <v>46252</v>
      </c>
      <c r="F457" t="inlineStr">
        <is>
          <t>SÖDERMANLANDS LÄN</t>
        </is>
      </c>
      <c r="G457" t="inlineStr">
        <is>
          <t>FLEN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45140</v>
      </c>
      <c r="E458" s="1" t="n">
        <v>46252</v>
      </c>
      <c r="F458" t="inlineStr">
        <is>
          <t>SÖDERMANLANDS LÄN</t>
        </is>
      </c>
      <c r="G458" t="inlineStr">
        <is>
          <t>FLEN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39891-2022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44819</v>
      </c>
      <c r="E459" s="1" t="n">
        <v>46252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19618-2026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46134</v>
      </c>
      <c r="E460" s="1" t="n">
        <v>46252</v>
      </c>
      <c r="F460" t="inlineStr">
        <is>
          <t>SÖDERMANLANDS LÄN</t>
        </is>
      </c>
      <c r="G460" t="inlineStr">
        <is>
          <t>FLEN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46252</v>
      </c>
      <c r="F461" t="inlineStr">
        <is>
          <t>SÖDERMANLANDS LÄN</t>
        </is>
      </c>
      <c r="G461" t="inlineStr">
        <is>
          <t>FLEN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45888</v>
      </c>
      <c r="E462" s="1" t="n">
        <v>46252</v>
      </c>
      <c r="F462" t="inlineStr">
        <is>
          <t>SÖDERMANLANDS LÄN</t>
        </is>
      </c>
      <c r="G462" t="inlineStr">
        <is>
          <t>FLEN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45805</v>
      </c>
      <c r="E463" s="1" t="n">
        <v>46252</v>
      </c>
      <c r="F463" t="inlineStr">
        <is>
          <t>SÖDERMANLANDS LÄN</t>
        </is>
      </c>
      <c r="G463" t="inlineStr">
        <is>
          <t>FLEN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45718</v>
      </c>
      <c r="E464" s="1" t="n">
        <v>46252</v>
      </c>
      <c r="F464" t="inlineStr">
        <is>
          <t>SÖDERMANLANDS LÄN</t>
        </is>
      </c>
      <c r="G464" t="inlineStr">
        <is>
          <t>FLEN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31083-2022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44769</v>
      </c>
      <c r="E465" s="1" t="n">
        <v>46252</v>
      </c>
      <c r="F465" t="inlineStr">
        <is>
          <t>SÖDERMANLANDS LÄN</t>
        </is>
      </c>
      <c r="G465" t="inlineStr">
        <is>
          <t>FLEN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45110</v>
      </c>
      <c r="E466" s="1" t="n">
        <v>46252</v>
      </c>
      <c r="F466" t="inlineStr">
        <is>
          <t>SÖDERMANLANDS LÄN</t>
        </is>
      </c>
      <c r="G466" t="inlineStr">
        <is>
          <t>FLEN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46252</v>
      </c>
      <c r="F467" t="inlineStr">
        <is>
          <t>SÖDERMANLANDS LÄN</t>
        </is>
      </c>
      <c r="G467" t="inlineStr">
        <is>
          <t>FLEN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38135-2023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45161</v>
      </c>
      <c r="E468" s="1" t="n">
        <v>46252</v>
      </c>
      <c r="F468" t="inlineStr">
        <is>
          <t>SÖDERMANLANDS LÄN</t>
        </is>
      </c>
      <c r="G468" t="inlineStr">
        <is>
          <t>FLEN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46252</v>
      </c>
      <c r="F469" t="inlineStr">
        <is>
          <t>SÖDERMANLANDS LÄN</t>
        </is>
      </c>
      <c r="G469" t="inlineStr">
        <is>
          <t>FLEN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46252</v>
      </c>
      <c r="F470" t="inlineStr">
        <is>
          <t>SÖDERMANLANDS LÄN</t>
        </is>
      </c>
      <c r="G470" t="inlineStr">
        <is>
          <t>FLEN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57046-2023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46252</v>
      </c>
      <c r="F471" t="inlineStr">
        <is>
          <t>SÖDERMANLANDS LÄN</t>
        </is>
      </c>
      <c r="G471" t="inlineStr">
        <is>
          <t>FLEN</t>
        </is>
      </c>
      <c r="H471" t="inlineStr">
        <is>
          <t>Övriga statliga verk och myndigheter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46252</v>
      </c>
      <c r="F472" t="inlineStr">
        <is>
          <t>SÖDERMANLANDS LÄN</t>
        </is>
      </c>
      <c r="G472" t="inlineStr">
        <is>
          <t>FLEN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46252</v>
      </c>
      <c r="F473" t="inlineStr">
        <is>
          <t>SÖDERMANLANDS LÄN</t>
        </is>
      </c>
      <c r="G473" t="inlineStr">
        <is>
          <t>FLEN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41630-2023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46252</v>
      </c>
      <c r="F474" t="inlineStr">
        <is>
          <t>SÖDERMANLANDS LÄN</t>
        </is>
      </c>
      <c r="G474" t="inlineStr">
        <is>
          <t>FLEN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45036</v>
      </c>
      <c r="E475" s="1" t="n">
        <v>46252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59439-2022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44907</v>
      </c>
      <c r="E476" s="1" t="n">
        <v>46252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45365</v>
      </c>
      <c r="E477" s="1" t="n">
        <v>46252</v>
      </c>
      <c r="F477" t="inlineStr">
        <is>
          <t>SÖDERMANLANDS LÄN</t>
        </is>
      </c>
      <c r="G477" t="inlineStr">
        <is>
          <t>FLEN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45244</v>
      </c>
      <c r="E478" s="1" t="n">
        <v>46252</v>
      </c>
      <c r="F478" t="inlineStr">
        <is>
          <t>SÖDERMANLANDS LÄN</t>
        </is>
      </c>
      <c r="G478" t="inlineStr">
        <is>
          <t>FLEN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56229-2025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46252</v>
      </c>
      <c r="F479" t="inlineStr">
        <is>
          <t>SÖDERMANLANDS LÄN</t>
        </is>
      </c>
      <c r="G479" t="inlineStr">
        <is>
          <t>FLEN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44634</v>
      </c>
      <c r="E480" s="1" t="n">
        <v>46252</v>
      </c>
      <c r="F480" t="inlineStr">
        <is>
          <t>SÖDERMANLANDS LÄN</t>
        </is>
      </c>
      <c r="G480" t="inlineStr">
        <is>
          <t>FLEN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45176</v>
      </c>
      <c r="E481" s="1" t="n">
        <v>46252</v>
      </c>
      <c r="F481" t="inlineStr">
        <is>
          <t>SÖDERMANLANDS LÄN</t>
        </is>
      </c>
      <c r="G481" t="inlineStr">
        <is>
          <t>FLEN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45895</v>
      </c>
      <c r="E482" s="1" t="n">
        <v>46252</v>
      </c>
      <c r="F482" t="inlineStr">
        <is>
          <t>SÖDERMANLANDS LÄN</t>
        </is>
      </c>
      <c r="G482" t="inlineStr">
        <is>
          <t>FLEN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45869</v>
      </c>
      <c r="E483" s="1" t="n">
        <v>46252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37256-2022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44807</v>
      </c>
      <c r="E484" s="1" t="n">
        <v>46252</v>
      </c>
      <c r="F484" t="inlineStr">
        <is>
          <t>SÖDERMANLANDS LÄN</t>
        </is>
      </c>
      <c r="G484" t="inlineStr">
        <is>
          <t>FLEN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45216</v>
      </c>
      <c r="E485" s="1" t="n">
        <v>46252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42388-2023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45180</v>
      </c>
      <c r="E486" s="1" t="n">
        <v>46252</v>
      </c>
      <c r="F486" t="inlineStr">
        <is>
          <t>SÖDERMANLANDS LÄN</t>
        </is>
      </c>
      <c r="G486" t="inlineStr">
        <is>
          <t>FLEN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46252</v>
      </c>
      <c r="F487" t="inlineStr">
        <is>
          <t>SÖDERMANLANDS LÄN</t>
        </is>
      </c>
      <c r="G487" t="inlineStr">
        <is>
          <t>FLEN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45256</v>
      </c>
      <c r="E488" s="1" t="n">
        <v>46252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45007</v>
      </c>
      <c r="E489" s="1" t="n">
        <v>46252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46252</v>
      </c>
      <c r="F490" t="inlineStr">
        <is>
          <t>SÖDERMANLANDS LÄN</t>
        </is>
      </c>
      <c r="G490" t="inlineStr">
        <is>
          <t>FLEN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45448</v>
      </c>
      <c r="E491" s="1" t="n">
        <v>46252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13233-2024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45386</v>
      </c>
      <c r="E492" s="1" t="n">
        <v>46252</v>
      </c>
      <c r="F492" t="inlineStr">
        <is>
          <t>SÖDERMANLANDS LÄN</t>
        </is>
      </c>
      <c r="G492" t="inlineStr">
        <is>
          <t>FLEN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44610</v>
      </c>
      <c r="E493" s="1" t="n">
        <v>46252</v>
      </c>
      <c r="F493" t="inlineStr">
        <is>
          <t>SÖDERMANLANDS LÄN</t>
        </is>
      </c>
      <c r="G493" t="inlineStr">
        <is>
          <t>FLEN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14755-2023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45014</v>
      </c>
      <c r="E494" s="1" t="n">
        <v>46252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45671</v>
      </c>
      <c r="E495" s="1" t="n">
        <v>46252</v>
      </c>
      <c r="F495" t="inlineStr">
        <is>
          <t>SÖDERMANLANDS LÄN</t>
        </is>
      </c>
      <c r="G495" t="inlineStr">
        <is>
          <t>FLEN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38753-2023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46252</v>
      </c>
      <c r="F496" t="inlineStr">
        <is>
          <t>SÖDERMANLANDS LÄN</t>
        </is>
      </c>
      <c r="G496" t="inlineStr">
        <is>
          <t>FLEN</t>
        </is>
      </c>
      <c r="I496" t="n">
        <v>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4899-2023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44958</v>
      </c>
      <c r="E497" s="1" t="n">
        <v>46252</v>
      </c>
      <c r="F497" t="inlineStr">
        <is>
          <t>SÖDERMANLANDS LÄN</t>
        </is>
      </c>
      <c r="G497" t="inlineStr">
        <is>
          <t>FLEN</t>
        </is>
      </c>
      <c r="H497" t="inlineStr">
        <is>
          <t>Kyrkan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46252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45777</v>
      </c>
      <c r="E499" s="1" t="n">
        <v>46252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46249</v>
      </c>
      <c r="E500" s="1" t="n">
        <v>46252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33727-2026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46252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33730-2026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46251</v>
      </c>
      <c r="E502" s="1" t="n">
        <v>46252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45414</v>
      </c>
      <c r="E503" s="1" t="n">
        <v>46252</v>
      </c>
      <c r="F503" t="inlineStr">
        <is>
          <t>SÖDERMANLANDS LÄN</t>
        </is>
      </c>
      <c r="G503" t="inlineStr">
        <is>
          <t>FLEN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46252</v>
      </c>
      <c r="F504" t="inlineStr">
        <is>
          <t>SÖDERMANLANDS LÄN</t>
        </is>
      </c>
      <c r="G504" t="inlineStr">
        <is>
          <t>FLEN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59051-2023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45252</v>
      </c>
      <c r="E505" s="1" t="n">
        <v>46252</v>
      </c>
      <c r="F505" t="inlineStr">
        <is>
          <t>SÖDERMANLANDS LÄN</t>
        </is>
      </c>
      <c r="G505" t="inlineStr">
        <is>
          <t>FLEN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7960-2024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45350</v>
      </c>
      <c r="E506" s="1" t="n">
        <v>46252</v>
      </c>
      <c r="F506" t="inlineStr">
        <is>
          <t>SÖDERMANLANDS LÄN</t>
        </is>
      </c>
      <c r="G506" t="inlineStr">
        <is>
          <t>FLEN</t>
        </is>
      </c>
      <c r="I506" t="n">
        <v>10.4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54736-2022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44883</v>
      </c>
      <c r="E507" s="1" t="n">
        <v>46252</v>
      </c>
      <c r="F507" t="inlineStr">
        <is>
          <t>SÖDERMANLANDS LÄN</t>
        </is>
      </c>
      <c r="G507" t="inlineStr">
        <is>
          <t>FLEN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47055-2022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44852</v>
      </c>
      <c r="E508" s="1" t="n">
        <v>46252</v>
      </c>
      <c r="F508" t="inlineStr">
        <is>
          <t>SÖDERMANLANDS LÄN</t>
        </is>
      </c>
      <c r="G508" t="inlineStr">
        <is>
          <t>FLEN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45008</v>
      </c>
      <c r="E509" s="1" t="n">
        <v>46252</v>
      </c>
      <c r="F509" t="inlineStr">
        <is>
          <t>SÖDERMANLANDS LÄN</t>
        </is>
      </c>
      <c r="G509" t="inlineStr">
        <is>
          <t>FLEN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45224</v>
      </c>
      <c r="E510" s="1" t="n">
        <v>46252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8.199999999999999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45790</v>
      </c>
      <c r="E511" s="1" t="n">
        <v>46252</v>
      </c>
      <c r="F511" t="inlineStr">
        <is>
          <t>SÖDERMANLANDS LÄN</t>
        </is>
      </c>
      <c r="G511" t="inlineStr">
        <is>
          <t>FLEN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46252</v>
      </c>
      <c r="F512" t="inlineStr">
        <is>
          <t>SÖDERMANLANDS LÄN</t>
        </is>
      </c>
      <c r="G512" t="inlineStr">
        <is>
          <t>FLEN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45790</v>
      </c>
      <c r="E513" s="1" t="n">
        <v>46252</v>
      </c>
      <c r="F513" t="inlineStr">
        <is>
          <t>SÖDERMANLANDS LÄN</t>
        </is>
      </c>
      <c r="G513" t="inlineStr">
        <is>
          <t>FLEN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46069</v>
      </c>
      <c r="E514" s="1" t="n">
        <v>46252</v>
      </c>
      <c r="F514" t="inlineStr">
        <is>
          <t>SÖDERMANLANDS LÄN</t>
        </is>
      </c>
      <c r="G514" t="inlineStr">
        <is>
          <t>FLEN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52775-2024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46252</v>
      </c>
      <c r="F515" t="inlineStr">
        <is>
          <t>SÖDERMANLANDS LÄN</t>
        </is>
      </c>
      <c r="G515" t="inlineStr">
        <is>
          <t>FLEN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40412-2024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45555</v>
      </c>
      <c r="E516" s="1" t="n">
        <v>46252</v>
      </c>
      <c r="F516" t="inlineStr">
        <is>
          <t>SÖDERMANLANDS LÄN</t>
        </is>
      </c>
      <c r="G516" t="inlineStr">
        <is>
          <t>FLEN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24414-2025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45797</v>
      </c>
      <c r="E517" s="1" t="n">
        <v>46252</v>
      </c>
      <c r="F517" t="inlineStr">
        <is>
          <t>SÖDERMANLANDS LÄN</t>
        </is>
      </c>
      <c r="G517" t="inlineStr">
        <is>
          <t>FLEN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46252</v>
      </c>
      <c r="F518" t="inlineStr">
        <is>
          <t>SÖDERMANLANDS LÄN</t>
        </is>
      </c>
      <c r="G518" t="inlineStr">
        <is>
          <t>FLEN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24557-2025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45798</v>
      </c>
      <c r="E519" s="1" t="n">
        <v>46252</v>
      </c>
      <c r="F519" t="inlineStr">
        <is>
          <t>SÖDERMANLANDS LÄN</t>
        </is>
      </c>
      <c r="G519" t="inlineStr">
        <is>
          <t>FLEN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46252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46252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45702</v>
      </c>
      <c r="E522" s="1" t="n">
        <v>46252</v>
      </c>
      <c r="F522" t="inlineStr">
        <is>
          <t>SÖDERMANLANDS LÄN</t>
        </is>
      </c>
      <c r="G522" t="inlineStr">
        <is>
          <t>FLEN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46252</v>
      </c>
      <c r="F523" t="inlineStr">
        <is>
          <t>SÖDERMANLANDS LÄN</t>
        </is>
      </c>
      <c r="G523" t="inlineStr">
        <is>
          <t>FLEN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46252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24526-2025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45798</v>
      </c>
      <c r="E525" s="1" t="n">
        <v>46252</v>
      </c>
      <c r="F525" t="inlineStr">
        <is>
          <t>SÖDERMANLANDS LÄN</t>
        </is>
      </c>
      <c r="G525" t="inlineStr">
        <is>
          <t>FLEN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45798</v>
      </c>
      <c r="E526" s="1" t="n">
        <v>46252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46252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46252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46121</v>
      </c>
      <c r="E529" s="1" t="n">
        <v>46252</v>
      </c>
      <c r="F529" t="inlineStr">
        <is>
          <t>SÖDERMANLANDS LÄN</t>
        </is>
      </c>
      <c r="G529" t="inlineStr">
        <is>
          <t>FLEN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46252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  <c r="Z530">
        <f>HYPERLINK("https://klasma.github.io/Logging_0482/knärot/A 24450-2026 karta knärot.png", "A 24450-2026")</f>
        <v/>
      </c>
      <c r="AA530">
        <f>HYPERLINK("https://klasma.github.io/Logging_0482/klagomål/A 24450-2026 FSC-klagomål.docx", "A 24450-2026")</f>
        <v/>
      </c>
      <c r="AB530">
        <f>HYPERLINK("https://klasma.github.io/Logging_0482/klagomålsmail/A 24450-2026 FSC-klagomål mail.docx", "A 24450-2026")</f>
        <v/>
      </c>
      <c r="AC530">
        <f>HYPERLINK("https://klasma.github.io/Logging_0482/tillsyn/A 24450-2026 tillsynsbegäran.docx", "A 24450-2026")</f>
        <v/>
      </c>
      <c r="AD530">
        <f>HYPERLINK("https://klasma.github.io/Logging_0482/tillsynsmail/A 24450-2026 tillsynsbegäran mail.docx", "A 24450-2026")</f>
        <v/>
      </c>
    </row>
    <row r="531" ht="15" customHeight="1">
      <c r="A531" t="inlineStr">
        <is>
          <t>A 24721-2026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46252</v>
      </c>
      <c r="F531" t="inlineStr">
        <is>
          <t>SÖDERMANLANDS LÄN</t>
        </is>
      </c>
      <c r="G531" t="inlineStr">
        <is>
          <t>FLEN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54781-2024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45618</v>
      </c>
      <c r="E532" s="1" t="n">
        <v>46252</v>
      </c>
      <c r="F532" t="inlineStr">
        <is>
          <t>SÖDERMANLANDS LÄN</t>
        </is>
      </c>
      <c r="G532" t="inlineStr">
        <is>
          <t>FLEN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47872-2025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45932</v>
      </c>
      <c r="E533" s="1" t="n">
        <v>46252</v>
      </c>
      <c r="F533" t="inlineStr">
        <is>
          <t>SÖDERMANLANDS LÄN</t>
        </is>
      </c>
      <c r="G533" t="inlineStr">
        <is>
          <t>FLEN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25121-2026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46252</v>
      </c>
      <c r="F534" t="inlineStr">
        <is>
          <t>SÖDERMANLANDS LÄN</t>
        </is>
      </c>
      <c r="G534" t="inlineStr">
        <is>
          <t>FLEN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46252</v>
      </c>
      <c r="F535" t="inlineStr">
        <is>
          <t>SÖDERMANLANDS LÄN</t>
        </is>
      </c>
      <c r="G535" t="inlineStr">
        <is>
          <t>FLEN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46252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458-2023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44964</v>
      </c>
      <c r="E537" s="1" t="n">
        <v>46252</v>
      </c>
      <c r="F537" t="inlineStr">
        <is>
          <t>SÖDERMANLANDS LÄN</t>
        </is>
      </c>
      <c r="G537" t="inlineStr">
        <is>
          <t>FLEN</t>
        </is>
      </c>
      <c r="H537" t="inlineStr">
        <is>
          <t>Kyrkan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292-2025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45686</v>
      </c>
      <c r="E538" s="1" t="n">
        <v>46252</v>
      </c>
      <c r="F538" t="inlineStr">
        <is>
          <t>SÖDERMANLANDS LÄN</t>
        </is>
      </c>
      <c r="G538" t="inlineStr">
        <is>
          <t>FLEN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3723-2022</t>
        </is>
      </c>
      <c r="B539" t="inlineStr">
        <is>
          <t>samrådsanmälan</t>
        </is>
      </c>
      <c r="C539" t="inlineStr">
        <is>
          <t>Åtgärd i nyckelbiotop</t>
        </is>
      </c>
      <c r="D539" s="1" t="n">
        <v>44742</v>
      </c>
      <c r="E539" s="1" t="n">
        <v>46252</v>
      </c>
      <c r="F539" t="inlineStr">
        <is>
          <t>SÖDERMANLANDS LÄN</t>
        </is>
      </c>
      <c r="G539" t="inlineStr">
        <is>
          <t>FLEN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482-2022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44588</v>
      </c>
      <c r="E540" s="1" t="n">
        <v>46252</v>
      </c>
      <c r="F540" t="inlineStr">
        <is>
          <t>SÖDERMANLANDS LÄN</t>
        </is>
      </c>
      <c r="G540" t="inlineStr">
        <is>
          <t>FLEN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2321-2022</t>
        </is>
      </c>
      <c r="B541" t="inlineStr">
        <is>
          <t>samrådsanmälan</t>
        </is>
      </c>
      <c r="C541" t="inlineStr">
        <is>
          <t>Åtgärd i nyckelbiotop</t>
        </is>
      </c>
      <c r="D541" s="1" t="n">
        <v>44685</v>
      </c>
      <c r="E541" s="1" t="n">
        <v>46252</v>
      </c>
      <c r="F541" t="inlineStr">
        <is>
          <t>SÖDERMANLANDS LÄN</t>
        </is>
      </c>
      <c r="G541" t="inlineStr">
        <is>
          <t>FLEN</t>
        </is>
      </c>
      <c r="H541" t="inlineStr">
        <is>
          <t>Kyrkan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1976-2024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45446</v>
      </c>
      <c r="E542" s="1" t="n">
        <v>46252</v>
      </c>
      <c r="F542" t="inlineStr">
        <is>
          <t>SÖDERMANLANDS LÄN</t>
        </is>
      </c>
      <c r="G542" t="inlineStr">
        <is>
          <t>FLEN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1287-2024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45403</v>
      </c>
      <c r="E543" s="1" t="n">
        <v>46252</v>
      </c>
      <c r="F543" t="inlineStr">
        <is>
          <t>SÖDERMANLANDS LÄN</t>
        </is>
      </c>
      <c r="G543" t="inlineStr">
        <is>
          <t>FLEN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>
      <c r="A544" t="inlineStr">
        <is>
          <t>S 1528-2026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46164</v>
      </c>
      <c r="E544" s="1" t="n">
        <v>46252</v>
      </c>
      <c r="F544" t="inlineStr">
        <is>
          <t>SÖDERMANLANDS LÄN</t>
        </is>
      </c>
      <c r="G544" t="inlineStr">
        <is>
          <t>FLEN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2026-08-18T01:44:18Z</dcterms:created>
  <dcterms:modified xmlns:dcterms="http://purl.org/dc/terms/" xmlns:xsi="http://www.w3.org/2001/XMLSchema-instance" xsi:type="dcterms:W3CDTF">2026-08-18T01:44:18Z</dcterms:modified>
</cp:coreProperties>
</file>