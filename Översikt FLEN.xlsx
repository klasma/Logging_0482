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46265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46265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46265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46265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46265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46265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46265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46265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46265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46265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46265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46265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46265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46265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2661-2026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46265</v>
      </c>
      <c r="F31" t="inlineStr">
        <is>
          <t>SÖDERMANLANDS LÄN</t>
        </is>
      </c>
      <c r="G31" t="inlineStr">
        <is>
          <t>FLEN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Blåsippa
Ekbräken
Hultbräken
Liljekonvalj
Majbräken</t>
        </is>
      </c>
      <c r="W31">
        <f>HYPERLINK("https://klasma.github.io/Logging_0482/artfynd/A 2661-2026 artfynd.xlsx", "A 2661-2026")</f>
        <v/>
      </c>
      <c r="X31">
        <f>HYPERLINK("https://klasma.github.io/Logging_0482/kartor/A 2661-2026 karta.png", "A 2661-2026")</f>
        <v/>
      </c>
      <c r="Y31">
        <f>HYPERLINK("https://klasma.github.io/Logging_0482/kartor_geotiff/A 2661-2026 georefererad karta.tif", "A 2661-2026")</f>
        <v/>
      </c>
      <c r="AA31">
        <f>HYPERLINK("https://klasma.github.io/Logging_0482/klagomål/A 2661-2026 FSC-klagomål.docx", "A 2661-2026")</f>
        <v/>
      </c>
      <c r="AB31">
        <f>HYPERLINK("https://klasma.github.io/Logging_0482/klagomålsmail/A 2661-2026 FSC-klagomål mail.docx", "A 2661-2026")</f>
        <v/>
      </c>
      <c r="AC31">
        <f>HYPERLINK("https://klasma.github.io/Logging_0482/tillsyn/A 2661-2026 tillsynsbegäran.docx", "A 2661-2026")</f>
        <v/>
      </c>
      <c r="AD31">
        <f>HYPERLINK("https://klasma.github.io/Logging_0482/tillsynsmail/A 2661-2026 tillsynsbegäran mail.docx", "A 2661-2026")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46265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46265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46265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46265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S 635-2025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45714</v>
      </c>
      <c r="E36" s="1" t="n">
        <v>46265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30.6</v>
      </c>
      <c r="J36" t="n">
        <v>2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Svedjenäva
Svinrot
Tibast
Blåsippa
Gullviva</t>
        </is>
      </c>
      <c r="W36">
        <f>HYPERLINK("https://klasma.github.io/Logging_0482/artfynd/S 635-2025 artfynd.xlsx", "S 635-2025")</f>
        <v/>
      </c>
      <c r="X36">
        <f>HYPERLINK("https://klasma.github.io/Logging_0482/kartor/S 635-2025 karta.png", "S 635-2025")</f>
        <v/>
      </c>
      <c r="Y36">
        <f>HYPERLINK("https://klasma.github.io/Logging_0482/kartor_geotiff/S 635-2025 georefererad karta.tif", "S 635-2025")</f>
        <v/>
      </c>
      <c r="AA36">
        <f>HYPERLINK("https://klasma.github.io/Logging_0482/klagomål/S 635-2025 FSC-klagomål.docx", "S 635-2025")</f>
        <v/>
      </c>
      <c r="AB36">
        <f>HYPERLINK("https://klasma.github.io/Logging_0482/klagomålsmail/S 635-2025 FSC-klagomål mail.docx", "S 635-2025")</f>
        <v/>
      </c>
      <c r="AC36">
        <f>HYPERLINK("https://klasma.github.io/Logging_0482/tillsyn/S 635-2025 tillsynsbegäran.docx", "S 635-2025")</f>
        <v/>
      </c>
      <c r="AD36">
        <f>HYPERLINK("https://klasma.github.io/Logging_0482/tillsynsmail/S 635-2025 tillsynsbegäran mail.docx", "S 635-2025")</f>
        <v/>
      </c>
    </row>
    <row r="37" ht="15" customHeight="1">
      <c r="A37" t="inlineStr">
        <is>
          <t>A 5859-2022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46265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Fällmossa
Granbarkgnagare
Svart trolldruva
Blåsippa</t>
        </is>
      </c>
      <c r="W37">
        <f>HYPERLINK("https://klasma.github.io/Logging_0482/artfynd/A 5859-2022 artfynd.xlsx", "A 5859-2022")</f>
        <v/>
      </c>
      <c r="X37">
        <f>HYPERLINK("https://klasma.github.io/Logging_0482/kartor/A 5859-2022 karta.png", "A 5859-2022")</f>
        <v/>
      </c>
      <c r="Y37">
        <f>HYPERLINK("https://klasma.github.io/Logging_0482/kartor_geotiff/A 5859-2022 georefererad karta.tif", "A 5859-2022")</f>
        <v/>
      </c>
      <c r="AA37">
        <f>HYPERLINK("https://klasma.github.io/Logging_0482/klagomål/A 5859-2022 FSC-klagomål.docx", "A 5859-2022")</f>
        <v/>
      </c>
      <c r="AB37">
        <f>HYPERLINK("https://klasma.github.io/Logging_0482/klagomålsmail/A 5859-2022 FSC-klagomål mail.docx", "A 5859-2022")</f>
        <v/>
      </c>
      <c r="AC37">
        <f>HYPERLINK("https://klasma.github.io/Logging_0482/tillsyn/A 5859-2022 tillsynsbegäran.docx", "A 5859-2022")</f>
        <v/>
      </c>
      <c r="AD37">
        <f>HYPERLINK("https://klasma.github.io/Logging_0482/tillsynsmail/A 5859-2022 tillsynsbegäran mail.docx", "A 5859-2022")</f>
        <v/>
      </c>
    </row>
    <row r="38" ht="15" customHeight="1">
      <c r="A38" t="inlineStr">
        <is>
          <t>A 54325-2021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44472</v>
      </c>
      <c r="E38" s="1" t="n">
        <v>46265</v>
      </c>
      <c r="F38" t="inlineStr">
        <is>
          <t>SÖDERMANLANDS LÄN</t>
        </is>
      </c>
      <c r="G38" t="inlineStr">
        <is>
          <t>FLEN</t>
        </is>
      </c>
      <c r="I38" t="n">
        <v>1.6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Gullklöver
Jungfrulin
Humleblomster
Ängskovall</t>
        </is>
      </c>
      <c r="W38">
        <f>HYPERLINK("https://klasma.github.io/Logging_0482/artfynd/A 54325-2021 artfynd.xlsx", "A 54325-2021")</f>
        <v/>
      </c>
      <c r="X38">
        <f>HYPERLINK("https://klasma.github.io/Logging_0482/kartor/A 54325-2021 karta.png", "A 54325-2021")</f>
        <v/>
      </c>
      <c r="Y38">
        <f>HYPERLINK("https://klasma.github.io/Logging_0482/kartor_geotiff/A 54325-2021 georefererad karta.tif", "A 54325-2021")</f>
        <v/>
      </c>
      <c r="AA38">
        <f>HYPERLINK("https://klasma.github.io/Logging_0482/klagomål/A 54325-2021 FSC-klagomål.docx", "A 54325-2021")</f>
        <v/>
      </c>
      <c r="AB38">
        <f>HYPERLINK("https://klasma.github.io/Logging_0482/klagomålsmail/A 54325-2021 FSC-klagomål mail.docx", "A 54325-2021")</f>
        <v/>
      </c>
      <c r="AC38">
        <f>HYPERLINK("https://klasma.github.io/Logging_0482/tillsyn/A 54325-2021 tillsynsbegäran.docx", "A 54325-2021")</f>
        <v/>
      </c>
      <c r="AD38">
        <f>HYPERLINK("https://klasma.github.io/Logging_0482/tillsynsmail/A 54325-2021 tillsynsbegäran mail.docx", "A 54325-2021")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46265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46265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46265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46265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46265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46265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46265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46265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46265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46265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46265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46265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46265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46265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46265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46265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9539-2026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46265</v>
      </c>
      <c r="F55" t="inlineStr">
        <is>
          <t>SÖDERMANLANDS LÄN</t>
        </is>
      </c>
      <c r="G55" t="inlineStr">
        <is>
          <t>FLEN</t>
        </is>
      </c>
      <c r="I55" t="n">
        <v>7.6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Ask
Slåtterfibbla
Blåsippa</t>
        </is>
      </c>
      <c r="W55">
        <f>HYPERLINK("https://klasma.github.io/Logging_0482/artfynd/A 9539-2026 artfynd.xlsx", "A 9539-2026")</f>
        <v/>
      </c>
      <c r="X55">
        <f>HYPERLINK("https://klasma.github.io/Logging_0482/kartor/A 9539-2026 karta.png", "A 9539-2026")</f>
        <v/>
      </c>
      <c r="Y55">
        <f>HYPERLINK("https://klasma.github.io/Logging_0482/kartor_geotiff/A 9539-2026 georefererad karta.tif", "A 9539-2026")</f>
        <v/>
      </c>
      <c r="AA55">
        <f>HYPERLINK("https://klasma.github.io/Logging_0482/klagomål/A 9539-2026 FSC-klagomål.docx", "A 9539-2026")</f>
        <v/>
      </c>
      <c r="AB55">
        <f>HYPERLINK("https://klasma.github.io/Logging_0482/klagomålsmail/A 9539-2026 FSC-klagomål mail.docx", "A 9539-2026")</f>
        <v/>
      </c>
      <c r="AC55">
        <f>HYPERLINK("https://klasma.github.io/Logging_0482/tillsyn/A 9539-2026 tillsynsbegäran.docx", "A 9539-2026")</f>
        <v/>
      </c>
      <c r="AD55">
        <f>HYPERLINK("https://klasma.github.io/Logging_0482/tillsynsmail/A 9539-2026 tillsynsbegäran mail.docx", "A 9539-2026")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46265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46265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46265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46265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46265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54302-2025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46265</v>
      </c>
      <c r="F61" t="inlineStr">
        <is>
          <t>SÖDERMANLANDS LÄN</t>
        </is>
      </c>
      <c r="G61" t="inlineStr">
        <is>
          <t>FLEN</t>
        </is>
      </c>
      <c r="I61" t="n">
        <v>12.6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Dofttaggsvamp
Svinrot
Mattlummer</t>
        </is>
      </c>
      <c r="W61">
        <f>HYPERLINK("https://klasma.github.io/Logging_0482/artfynd/A 54302-2025 artfynd.xlsx", "A 54302-2025")</f>
        <v/>
      </c>
      <c r="X61">
        <f>HYPERLINK("https://klasma.github.io/Logging_0482/kartor/A 54302-2025 karta.png", "A 54302-2025")</f>
        <v/>
      </c>
      <c r="Y61">
        <f>HYPERLINK("https://klasma.github.io/Logging_0482/kartor_geotiff/A 54302-2025 georefererad karta.tif", "A 54302-2025")</f>
        <v/>
      </c>
      <c r="AA61">
        <f>HYPERLINK("https://klasma.github.io/Logging_0482/klagomål/A 54302-2025 FSC-klagomål.docx", "A 54302-2025")</f>
        <v/>
      </c>
      <c r="AB61">
        <f>HYPERLINK("https://klasma.github.io/Logging_0482/klagomålsmail/A 54302-2025 FSC-klagomål mail.docx", "A 54302-2025")</f>
        <v/>
      </c>
      <c r="AC61">
        <f>HYPERLINK("https://klasma.github.io/Logging_0482/tillsyn/A 54302-2025 tillsynsbegäran.docx", "A 54302-2025")</f>
        <v/>
      </c>
      <c r="AD61">
        <f>HYPERLINK("https://klasma.github.io/Logging_0482/tillsynsmail/A 54302-2025 tillsynsbegäran mail.docx", "A 54302-2025")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46265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46265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46265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46265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46265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46265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46265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46265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46265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46265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24464-2025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46265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1.1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Motaggsvamp
Vedskivlav</t>
        </is>
      </c>
      <c r="W72">
        <f>HYPERLINK("https://klasma.github.io/Logging_0482/artfynd/A 24464-2025 artfynd.xlsx", "A 24464-2025")</f>
        <v/>
      </c>
      <c r="X72">
        <f>HYPERLINK("https://klasma.github.io/Logging_0482/kartor/A 24464-2025 karta.png", "A 24464-2025")</f>
        <v/>
      </c>
      <c r="Y72">
        <f>HYPERLINK("https://klasma.github.io/Logging_0482/kartor_geotiff/A 24464-2025 georefererad karta.tif", "A 24464-2025")</f>
        <v/>
      </c>
      <c r="AA72">
        <f>HYPERLINK("https://klasma.github.io/Logging_0482/klagomål/A 24464-2025 FSC-klagomål.docx", "A 24464-2025")</f>
        <v/>
      </c>
      <c r="AB72">
        <f>HYPERLINK("https://klasma.github.io/Logging_0482/klagomålsmail/A 24464-2025 FSC-klagomål mail.docx", "A 24464-2025")</f>
        <v/>
      </c>
      <c r="AC72">
        <f>HYPERLINK("https://klasma.github.io/Logging_0482/tillsyn/A 24464-2025 tillsynsbegäran.docx", "A 24464-2025")</f>
        <v/>
      </c>
      <c r="AD72">
        <f>HYPERLINK("https://klasma.github.io/Logging_0482/tillsynsmail/A 24464-2025 tillsynsbegäran mail.docx", "A 24464-2025")</f>
        <v/>
      </c>
    </row>
    <row r="73" ht="15" customHeight="1">
      <c r="A73" t="inlineStr">
        <is>
          <t>A 49816-2023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46265</v>
      </c>
      <c r="F73" t="inlineStr">
        <is>
          <t>SÖDERMANLANDS LÄN</t>
        </is>
      </c>
      <c r="G73" t="inlineStr">
        <is>
          <t>FLEN</t>
        </is>
      </c>
      <c r="I73" t="n">
        <v>4.6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Reliktbock
Tallticka</t>
        </is>
      </c>
      <c r="W73">
        <f>HYPERLINK("https://klasma.github.io/Logging_0482/artfynd/A 49816-2023 artfynd.xlsx", "A 49816-2023")</f>
        <v/>
      </c>
      <c r="X73">
        <f>HYPERLINK("https://klasma.github.io/Logging_0482/kartor/A 49816-2023 karta.png", "A 49816-2023")</f>
        <v/>
      </c>
      <c r="Y73">
        <f>HYPERLINK("https://klasma.github.io/Logging_0482/kartor_geotiff/A 49816-2023 georefererad karta.tif", "A 49816-2023")</f>
        <v/>
      </c>
      <c r="AA73">
        <f>HYPERLINK("https://klasma.github.io/Logging_0482/klagomål/A 49816-2023 FSC-klagomål.docx", "A 49816-2023")</f>
        <v/>
      </c>
      <c r="AB73">
        <f>HYPERLINK("https://klasma.github.io/Logging_0482/klagomålsmail/A 49816-2023 FSC-klagomål mail.docx", "A 49816-2023")</f>
        <v/>
      </c>
      <c r="AC73">
        <f>HYPERLINK("https://klasma.github.io/Logging_0482/tillsyn/A 49816-2023 tillsynsbegäran.docx", "A 49816-2023")</f>
        <v/>
      </c>
      <c r="AD73">
        <f>HYPERLINK("https://klasma.github.io/Logging_0482/tillsynsmail/A 49816-2023 tillsynsbegäran mail.docx", "A 49816-2023")</f>
        <v/>
      </c>
    </row>
    <row r="74" ht="15" customHeight="1">
      <c r="A74" t="inlineStr">
        <is>
          <t>A 41435-2022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46265</v>
      </c>
      <c r="F74" t="inlineStr">
        <is>
          <t>SÖDERMANLANDS LÄN</t>
        </is>
      </c>
      <c r="G74" t="inlineStr">
        <is>
          <t>FLEN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Vitsippa
Gullviva</t>
        </is>
      </c>
      <c r="W74">
        <f>HYPERLINK("https://klasma.github.io/Logging_0482/artfynd/A 41435-2022 artfynd.xlsx", "A 41435-2022")</f>
        <v/>
      </c>
      <c r="X74">
        <f>HYPERLINK("https://klasma.github.io/Logging_0482/kartor/A 41435-2022 karta.png", "A 41435-2022")</f>
        <v/>
      </c>
      <c r="Y74">
        <f>HYPERLINK("https://klasma.github.io/Logging_0482/kartor_geotiff/A 41435-2022 georefererad karta.tif", "A 41435-2022")</f>
        <v/>
      </c>
      <c r="AA74">
        <f>HYPERLINK("https://klasma.github.io/Logging_0482/klagomål/A 41435-2022 FSC-klagomål.docx", "A 41435-2022")</f>
        <v/>
      </c>
      <c r="AB74">
        <f>HYPERLINK("https://klasma.github.io/Logging_0482/klagomålsmail/A 41435-2022 FSC-klagomål mail.docx", "A 41435-2022")</f>
        <v/>
      </c>
      <c r="AC74">
        <f>HYPERLINK("https://klasma.github.io/Logging_0482/tillsyn/A 41435-2022 tillsynsbegäran.docx", "A 41435-2022")</f>
        <v/>
      </c>
      <c r="AD74">
        <f>HYPERLINK("https://klasma.github.io/Logging_0482/tillsynsmail/A 41435-2022 tillsynsbegäran mail.docx", "A 41435-2022")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46265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46265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46265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46265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46265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46265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8887-2026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46068</v>
      </c>
      <c r="E81" s="1" t="n">
        <v>46265</v>
      </c>
      <c r="F81" t="inlineStr">
        <is>
          <t>SÖDERMANLANDS LÄN</t>
        </is>
      </c>
      <c r="G81" t="inlineStr">
        <is>
          <t>FLEN</t>
        </is>
      </c>
      <c r="I81" t="n">
        <v>2.1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Större vattensalamander
Mindre vattensalamander</t>
        </is>
      </c>
      <c r="W81">
        <f>HYPERLINK("https://klasma.github.io/Logging_0482/artfynd/A 8887-2026 artfynd.xlsx", "A 8887-2026")</f>
        <v/>
      </c>
      <c r="X81">
        <f>HYPERLINK("https://klasma.github.io/Logging_0482/kartor/A 8887-2026 karta.png", "A 8887-2026")</f>
        <v/>
      </c>
      <c r="Y81">
        <f>HYPERLINK("https://klasma.github.io/Logging_0482/kartor_geotiff/A 8887-2026 georefererad karta.tif", "A 8887-2026")</f>
        <v/>
      </c>
      <c r="AA81">
        <f>HYPERLINK("https://klasma.github.io/Logging_0482/klagomål/A 8887-2026 FSC-klagomål.docx", "A 8887-2026")</f>
        <v/>
      </c>
      <c r="AB81">
        <f>HYPERLINK("https://klasma.github.io/Logging_0482/klagomålsmail/A 8887-2026 FSC-klagomål mail.docx", "A 8887-2026")</f>
        <v/>
      </c>
      <c r="AC81">
        <f>HYPERLINK("https://klasma.github.io/Logging_0482/tillsyn/A 8887-2026 tillsynsbegäran.docx", "A 8887-2026")</f>
        <v/>
      </c>
      <c r="AD81">
        <f>HYPERLINK("https://klasma.github.io/Logging_0482/tillsynsmail/A 8887-2026 tillsynsbegäran mail.docx", "A 8887-2026")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46265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46265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52858-2023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46265</v>
      </c>
      <c r="F84" t="inlineStr">
        <is>
          <t>SÖDERMANLANDS LÄN</t>
        </is>
      </c>
      <c r="G84" t="inlineStr">
        <is>
          <t>FLEN</t>
        </is>
      </c>
      <c r="I84" t="n">
        <v>3.6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1</v>
      </c>
      <c r="V84" s="2" t="inlineStr">
        <is>
          <t>Mindre hackspett
Tallticka</t>
        </is>
      </c>
      <c r="W84">
        <f>HYPERLINK("https://klasma.github.io/Logging_0482/artfynd/A 52858-2023 artfynd.xlsx", "A 52858-2023")</f>
        <v/>
      </c>
      <c r="X84">
        <f>HYPERLINK("https://klasma.github.io/Logging_0482/kartor/A 52858-2023 karta.png", "A 52858-2023")</f>
        <v/>
      </c>
      <c r="Y84">
        <f>HYPERLINK("https://klasma.github.io/Logging_0482/kartor_geotiff/A 52858-2023 georefererad karta.tif", "A 52858-2023")</f>
        <v/>
      </c>
      <c r="AA84">
        <f>HYPERLINK("https://klasma.github.io/Logging_0482/klagomål/A 52858-2023 FSC-klagomål.docx", "A 52858-2023")</f>
        <v/>
      </c>
      <c r="AB84">
        <f>HYPERLINK("https://klasma.github.io/Logging_0482/klagomålsmail/A 52858-2023 FSC-klagomål mail.docx", "A 52858-2023")</f>
        <v/>
      </c>
      <c r="AC84">
        <f>HYPERLINK("https://klasma.github.io/Logging_0482/tillsyn/A 52858-2023 tillsynsbegäran.docx", "A 52858-2023")</f>
        <v/>
      </c>
      <c r="AD84">
        <f>HYPERLINK("https://klasma.github.io/Logging_0482/tillsynsmail/A 52858-2023 tillsynsbegäran mail.docx", "A 52858-2023")</f>
        <v/>
      </c>
      <c r="AE84">
        <f>HYPERLINK("https://klasma.github.io/Logging_0482/fåglar/A 52858-2023 prioriterade fågelarter.docx", "A 52858-2023")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46265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46265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46265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Backstarr
Revlummer</t>
        </is>
      </c>
      <c r="W87">
        <f>HYPERLINK("https://klasma.github.io/Logging_0482/artfynd/A 49255-2021 artfynd.xlsx", "A 49255-2021")</f>
        <v/>
      </c>
      <c r="X87">
        <f>HYPERLINK("https://klasma.github.io/Logging_0482/kartor/A 49255-2021 karta.png", "A 49255-2021")</f>
        <v/>
      </c>
      <c r="Y87">
        <f>HYPERLINK("https://klasma.github.io/Logging_0482/kartor_geotiff/A 49255-2021 georefererad karta.tif", "A 49255-2021")</f>
        <v/>
      </c>
      <c r="AA87">
        <f>HYPERLINK("https://klasma.github.io/Logging_0482/klagomål/A 49255-2021 FSC-klagomål.docx", "A 49255-2021")</f>
        <v/>
      </c>
      <c r="AB87">
        <f>HYPERLINK("https://klasma.github.io/Logging_0482/klagomålsmail/A 49255-2021 FSC-klagomål mail.docx", "A 49255-2021")</f>
        <v/>
      </c>
      <c r="AC87">
        <f>HYPERLINK("https://klasma.github.io/Logging_0482/tillsyn/A 49255-2021 tillsynsbegäran.docx", "A 49255-2021")</f>
        <v/>
      </c>
      <c r="AD87">
        <f>HYPERLINK("https://klasma.github.io/Logging_0482/tillsynsmail/A 49255-2021 tillsynsbegäran mail.docx", "A 49255-2021")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46265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46265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22511-2026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46265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Ormbär
Skriftlav</t>
        </is>
      </c>
      <c r="W90">
        <f>HYPERLINK("https://klasma.github.io/Logging_0482/artfynd/A 22511-2026 artfynd.xlsx", "A 22511-2026")</f>
        <v/>
      </c>
      <c r="X90">
        <f>HYPERLINK("https://klasma.github.io/Logging_0482/kartor/A 22511-2026 karta.png", "A 22511-2026")</f>
        <v/>
      </c>
      <c r="Y90">
        <f>HYPERLINK("https://klasma.github.io/Logging_0482/kartor_geotiff/A 22511-2026 georefererad karta.tif", "A 22511-2026")</f>
        <v/>
      </c>
      <c r="AA90">
        <f>HYPERLINK("https://klasma.github.io/Logging_0482/klagomål/A 22511-2026 FSC-klagomål.docx", "A 22511-2026")</f>
        <v/>
      </c>
      <c r="AB90">
        <f>HYPERLINK("https://klasma.github.io/Logging_0482/klagomålsmail/A 22511-2026 FSC-klagomål mail.docx", "A 22511-2026")</f>
        <v/>
      </c>
      <c r="AC90">
        <f>HYPERLINK("https://klasma.github.io/Logging_0482/tillsyn/A 22511-2026 tillsynsbegäran.docx", "A 22511-2026")</f>
        <v/>
      </c>
      <c r="AD90">
        <f>HYPERLINK("https://klasma.github.io/Logging_0482/tillsynsmail/A 22511-2026 tillsynsbegäran mail.docx", "A 22511-2026")</f>
        <v/>
      </c>
    </row>
    <row r="91" ht="15" customHeight="1">
      <c r="A91" t="inlineStr">
        <is>
          <t>A 15557-2026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46265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Gullklöver
Svinrot</t>
        </is>
      </c>
      <c r="W91">
        <f>HYPERLINK("https://klasma.github.io/Logging_0482/artfynd/A 15557-2026 artfynd.xlsx", "A 15557-2026")</f>
        <v/>
      </c>
      <c r="X91">
        <f>HYPERLINK("https://klasma.github.io/Logging_0482/kartor/A 15557-2026 karta.png", "A 15557-2026")</f>
        <v/>
      </c>
      <c r="Y91">
        <f>HYPERLINK("https://klasma.github.io/Logging_0482/kartor_geotiff/A 15557-2026 georefererad karta.tif", "A 15557-2026")</f>
        <v/>
      </c>
      <c r="AA91">
        <f>HYPERLINK("https://klasma.github.io/Logging_0482/klagomål/A 15557-2026 FSC-klagomål.docx", "A 15557-2026")</f>
        <v/>
      </c>
      <c r="AB91">
        <f>HYPERLINK("https://klasma.github.io/Logging_0482/klagomålsmail/A 15557-2026 FSC-klagomål mail.docx", "A 15557-2026")</f>
        <v/>
      </c>
      <c r="AC91">
        <f>HYPERLINK("https://klasma.github.io/Logging_0482/tillsyn/A 15557-2026 tillsynsbegäran.docx", "A 15557-2026")</f>
        <v/>
      </c>
      <c r="AD91">
        <f>HYPERLINK("https://klasma.github.io/Logging_0482/tillsynsmail/A 15557-2026 tillsynsbegäran mail.docx", "A 15557-2026")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46265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46265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46265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46265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46265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46265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46265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46265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46115-2023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46265</v>
      </c>
      <c r="F100" t="inlineStr">
        <is>
          <t>SÖDERMANLANDS LÄN</t>
        </is>
      </c>
      <c r="G100" t="inlineStr">
        <is>
          <t>FLEN</t>
        </is>
      </c>
      <c r="H100" t="inlineStr">
        <is>
          <t>Kyrkan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HYPERLINK("https://klasma.github.io/Logging_0482/artfynd/A 46115-2023 artfynd.xlsx", "A 46115-2023")</f>
        <v/>
      </c>
      <c r="X100">
        <f>HYPERLINK("https://klasma.github.io/Logging_0482/kartor/A 46115-2023 karta.png", "A 46115-2023")</f>
        <v/>
      </c>
      <c r="Y100">
        <f>HYPERLINK("https://klasma.github.io/Logging_0482/kartor_geotiff/A 46115-2023 georefererad karta.tif", "A 46115-2023")</f>
        <v/>
      </c>
      <c r="AA100">
        <f>HYPERLINK("https://klasma.github.io/Logging_0482/klagomål/A 46115-2023 FSC-klagomål.docx", "A 46115-2023")</f>
        <v/>
      </c>
      <c r="AB100">
        <f>HYPERLINK("https://klasma.github.io/Logging_0482/klagomålsmail/A 46115-2023 FSC-klagomål mail.docx", "A 46115-2023")</f>
        <v/>
      </c>
      <c r="AC100">
        <f>HYPERLINK("https://klasma.github.io/Logging_0482/tillsyn/A 46115-2023 tillsynsbegäran.docx", "A 46115-2023")</f>
        <v/>
      </c>
      <c r="AD100">
        <f>HYPERLINK("https://klasma.github.io/Logging_0482/tillsynsmail/A 46115-2023 tillsynsbegäran mail.docx", "A 46115-2023")</f>
        <v/>
      </c>
    </row>
    <row r="101" ht="15" customHeight="1">
      <c r="A101" t="inlineStr">
        <is>
          <t>A 45120-2021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44439</v>
      </c>
      <c r="E101" s="1" t="n">
        <v>46265</v>
      </c>
      <c r="F101" t="inlineStr">
        <is>
          <t>SÖDERMANLANDS LÄN</t>
        </is>
      </c>
      <c r="G101" t="inlineStr">
        <is>
          <t>FLEN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45120-2021 artfynd.xlsx", "A 45120-2021")</f>
        <v/>
      </c>
      <c r="X101">
        <f>HYPERLINK("https://klasma.github.io/Logging_0482/kartor/A 45120-2021 karta.png", "A 45120-2021")</f>
        <v/>
      </c>
      <c r="Y101">
        <f>HYPERLINK("https://klasma.github.io/Logging_0482/kartor_geotiff/A 45120-2021 georefererad karta.tif", "A 45120-2021")</f>
        <v/>
      </c>
      <c r="AA101">
        <f>HYPERLINK("https://klasma.github.io/Logging_0482/klagomål/A 45120-2021 FSC-klagomål.docx", "A 45120-2021")</f>
        <v/>
      </c>
      <c r="AB101">
        <f>HYPERLINK("https://klasma.github.io/Logging_0482/klagomålsmail/A 45120-2021 FSC-klagomål mail.docx", "A 45120-2021")</f>
        <v/>
      </c>
      <c r="AC101">
        <f>HYPERLINK("https://klasma.github.io/Logging_0482/tillsyn/A 45120-2021 tillsynsbegäran.docx", "A 45120-2021")</f>
        <v/>
      </c>
      <c r="AD101">
        <f>HYPERLINK("https://klasma.github.io/Logging_0482/tillsynsmail/A 45120-2021 tillsynsbegäran mail.docx", "A 45120-2021")</f>
        <v/>
      </c>
    </row>
    <row r="102" ht="15" customHeight="1">
      <c r="A102" t="inlineStr">
        <is>
          <t>A 56308-2024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46265</v>
      </c>
      <c r="F102" t="inlineStr">
        <is>
          <t>SÖDERMANLANDS LÄN</t>
        </is>
      </c>
      <c r="G102" t="inlineStr">
        <is>
          <t>FLEN</t>
        </is>
      </c>
      <c r="I102" t="n">
        <v>2.1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56308-2024 artfynd.xlsx", "A 56308-2024")</f>
        <v/>
      </c>
      <c r="X102">
        <f>HYPERLINK("https://klasma.github.io/Logging_0482/kartor/A 56308-2024 karta.png", "A 56308-2024")</f>
        <v/>
      </c>
      <c r="Y102">
        <f>HYPERLINK("https://klasma.github.io/Logging_0482/kartor_geotiff/A 56308-2024 georefererad karta.tif", "A 56308-2024")</f>
        <v/>
      </c>
      <c r="AA102">
        <f>HYPERLINK("https://klasma.github.io/Logging_0482/klagomål/A 56308-2024 FSC-klagomål.docx", "A 56308-2024")</f>
        <v/>
      </c>
      <c r="AB102">
        <f>HYPERLINK("https://klasma.github.io/Logging_0482/klagomålsmail/A 56308-2024 FSC-klagomål mail.docx", "A 56308-2024")</f>
        <v/>
      </c>
      <c r="AC102">
        <f>HYPERLINK("https://klasma.github.io/Logging_0482/tillsyn/A 56308-2024 tillsynsbegäran.docx", "A 56308-2024")</f>
        <v/>
      </c>
      <c r="AD102">
        <f>HYPERLINK("https://klasma.github.io/Logging_0482/tillsynsmail/A 56308-2024 tillsynsbegäran mail.docx", "A 56308-2024")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46265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54737-2022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46265</v>
      </c>
      <c r="F104" t="inlineStr">
        <is>
          <t>SÖDERMANLANDS LÄN</t>
        </is>
      </c>
      <c r="G104" t="inlineStr">
        <is>
          <t>FLEN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54737-2022 artfynd.xlsx", "A 54737-2022")</f>
        <v/>
      </c>
      <c r="X104">
        <f>HYPERLINK("https://klasma.github.io/Logging_0482/kartor/A 54737-2022 karta.png", "A 54737-2022")</f>
        <v/>
      </c>
      <c r="Y104">
        <f>HYPERLINK("https://klasma.github.io/Logging_0482/kartor_geotiff/A 54737-2022 georefererad karta.tif", "A 54737-2022")</f>
        <v/>
      </c>
      <c r="AA104">
        <f>HYPERLINK("https://klasma.github.io/Logging_0482/klagomål/A 54737-2022 FSC-klagomål.docx", "A 54737-2022")</f>
        <v/>
      </c>
      <c r="AB104">
        <f>HYPERLINK("https://klasma.github.io/Logging_0482/klagomålsmail/A 54737-2022 FSC-klagomål mail.docx", "A 54737-2022")</f>
        <v/>
      </c>
      <c r="AC104">
        <f>HYPERLINK("https://klasma.github.io/Logging_0482/tillsyn/A 54737-2022 tillsynsbegäran.docx", "A 54737-2022")</f>
        <v/>
      </c>
      <c r="AD104">
        <f>HYPERLINK("https://klasma.github.io/Logging_0482/tillsynsmail/A 54737-2022 tillsynsbegäran mail.docx", "A 54737-2022")</f>
        <v/>
      </c>
    </row>
    <row r="105" ht="15" customHeight="1">
      <c r="A105" t="inlineStr">
        <is>
          <t>A 12056-2024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46265</v>
      </c>
      <c r="F105" t="inlineStr">
        <is>
          <t>SÖDERMANLANDS LÄN</t>
        </is>
      </c>
      <c r="G105" t="inlineStr">
        <is>
          <t>FLEN</t>
        </is>
      </c>
      <c r="I105" t="n">
        <v>8.4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HYPERLINK("https://klasma.github.io/Logging_0482/artfynd/A 12056-2024 artfynd.xlsx", "A 12056-2024")</f>
        <v/>
      </c>
      <c r="X105">
        <f>HYPERLINK("https://klasma.github.io/Logging_0482/kartor/A 12056-2024 karta.png", "A 12056-2024")</f>
        <v/>
      </c>
      <c r="Y105">
        <f>HYPERLINK("https://klasma.github.io/Logging_0482/kartor_geotiff/A 12056-2024 georefererad karta.tif", "A 12056-2024")</f>
        <v/>
      </c>
      <c r="AA105">
        <f>HYPERLINK("https://klasma.github.io/Logging_0482/klagomål/A 12056-2024 FSC-klagomål.docx", "A 12056-2024")</f>
        <v/>
      </c>
      <c r="AB105">
        <f>HYPERLINK("https://klasma.github.io/Logging_0482/klagomålsmail/A 12056-2024 FSC-klagomål mail.docx", "A 12056-2024")</f>
        <v/>
      </c>
      <c r="AC105">
        <f>HYPERLINK("https://klasma.github.io/Logging_0482/tillsyn/A 12056-2024 tillsynsbegäran.docx", "A 12056-2024")</f>
        <v/>
      </c>
      <c r="AD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52546-2021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44463</v>
      </c>
      <c r="E106" s="1" t="n">
        <v>46265</v>
      </c>
      <c r="F106" t="inlineStr">
        <is>
          <t>SÖDERMANLANDS LÄN</t>
        </is>
      </c>
      <c r="G106" t="inlineStr">
        <is>
          <t>FLEN</t>
        </is>
      </c>
      <c r="I106" t="n">
        <v>6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HYPERLINK("https://klasma.github.io/Logging_0482/artfynd/A 52546-2021 artfynd.xlsx", "A 52546-2021")</f>
        <v/>
      </c>
      <c r="X106">
        <f>HYPERLINK("https://klasma.github.io/Logging_0482/kartor/A 52546-2021 karta.png", "A 52546-2021")</f>
        <v/>
      </c>
      <c r="Y106">
        <f>HYPERLINK("https://klasma.github.io/Logging_0482/kartor_geotiff/A 52546-2021 georefererad karta.tif", "A 52546-2021")</f>
        <v/>
      </c>
      <c r="AA106">
        <f>HYPERLINK("https://klasma.github.io/Logging_0482/klagomål/A 52546-2021 FSC-klagomål.docx", "A 52546-2021")</f>
        <v/>
      </c>
      <c r="AB106">
        <f>HYPERLINK("https://klasma.github.io/Logging_0482/klagomålsmail/A 52546-2021 FSC-klagomål mail.docx", "A 52546-2021")</f>
        <v/>
      </c>
      <c r="AC106">
        <f>HYPERLINK("https://klasma.github.io/Logging_0482/tillsyn/A 52546-2021 tillsynsbegäran.docx", "A 52546-2021")</f>
        <v/>
      </c>
      <c r="AD106">
        <f>HYPERLINK("https://klasma.github.io/Logging_0482/tillsynsmail/A 52546-2021 tillsynsbegäran mail.docx", "A 52546-2021")</f>
        <v/>
      </c>
    </row>
    <row r="107" ht="15" customHeight="1">
      <c r="A107" t="inlineStr">
        <is>
          <t>A 10770-2022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46265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10770-2022 artfynd.xlsx", "A 10770-2022")</f>
        <v/>
      </c>
      <c r="X107">
        <f>HYPERLINK("https://klasma.github.io/Logging_0482/kartor/A 10770-2022 karta.png", "A 10770-2022")</f>
        <v/>
      </c>
      <c r="Y107">
        <f>HYPERLINK("https://klasma.github.io/Logging_0482/kartor_geotiff/A 10770-2022 georefererad karta.tif", "A 10770-2022")</f>
        <v/>
      </c>
      <c r="AA107">
        <f>HYPERLINK("https://klasma.github.io/Logging_0482/klagomål/A 10770-2022 FSC-klagomål.docx", "A 10770-2022")</f>
        <v/>
      </c>
      <c r="AB107">
        <f>HYPERLINK("https://klasma.github.io/Logging_0482/klagomålsmail/A 10770-2022 FSC-klagomål mail.docx", "A 10770-2022")</f>
        <v/>
      </c>
      <c r="AC107">
        <f>HYPERLINK("https://klasma.github.io/Logging_0482/tillsyn/A 10770-2022 tillsynsbegäran.docx", "A 10770-2022")</f>
        <v/>
      </c>
      <c r="AD107">
        <f>HYPERLINK("https://klasma.github.io/Logging_0482/tillsynsmail/A 10770-2022 tillsynsbegäran mail.docx", "A 10770-2022")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46265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14273-2025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46265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Vedskivlav</t>
        </is>
      </c>
      <c r="W109">
        <f>HYPERLINK("https://klasma.github.io/Logging_0482/artfynd/A 14273-2025 artfynd.xlsx", "A 14273-2025")</f>
        <v/>
      </c>
      <c r="X109">
        <f>HYPERLINK("https://klasma.github.io/Logging_0482/kartor/A 14273-2025 karta.png", "A 14273-2025")</f>
        <v/>
      </c>
      <c r="Y109">
        <f>HYPERLINK("https://klasma.github.io/Logging_0482/kartor_geotiff/A 14273-2025 georefererad karta.tif", "A 14273-2025")</f>
        <v/>
      </c>
      <c r="AA109">
        <f>HYPERLINK("https://klasma.github.io/Logging_0482/klagomål/A 14273-2025 FSC-klagomål.docx", "A 14273-2025")</f>
        <v/>
      </c>
      <c r="AB109">
        <f>HYPERLINK("https://klasma.github.io/Logging_0482/klagomålsmail/A 14273-2025 FSC-klagomål mail.docx", "A 14273-2025")</f>
        <v/>
      </c>
      <c r="AC109">
        <f>HYPERLINK("https://klasma.github.io/Logging_0482/tillsyn/A 14273-2025 tillsynsbegäran.docx", "A 14273-2025")</f>
        <v/>
      </c>
      <c r="AD109">
        <f>HYPERLINK("https://klasma.github.io/Logging_0482/tillsynsmail/A 14273-2025 tillsynsbegäran mail.docx", "A 14273-2025")</f>
        <v/>
      </c>
    </row>
    <row r="110" ht="15" customHeight="1">
      <c r="A110" t="inlineStr">
        <is>
          <t>A 31972-2024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46265</v>
      </c>
      <c r="F110" t="inlineStr">
        <is>
          <t>SÖDERMANLANDS LÄN</t>
        </is>
      </c>
      <c r="G110" t="inlineStr">
        <is>
          <t>FLEN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Åkerrödtoppa</t>
        </is>
      </c>
      <c r="W110">
        <f>HYPERLINK("https://klasma.github.io/Logging_0482/artfynd/A 31972-2024 artfynd.xlsx", "A 31972-2024")</f>
        <v/>
      </c>
      <c r="X110">
        <f>HYPERLINK("https://klasma.github.io/Logging_0482/kartor/A 31972-2024 karta.png", "A 31972-2024")</f>
        <v/>
      </c>
      <c r="Y110">
        <f>HYPERLINK("https://klasma.github.io/Logging_0482/kartor_geotiff/A 31972-2024 georefererad karta.tif", "A 31972-2024")</f>
        <v/>
      </c>
      <c r="AA110">
        <f>HYPERLINK("https://klasma.github.io/Logging_0482/klagomål/A 31972-2024 FSC-klagomål.docx", "A 31972-2024")</f>
        <v/>
      </c>
      <c r="AB110">
        <f>HYPERLINK("https://klasma.github.io/Logging_0482/klagomålsmail/A 31972-2024 FSC-klagomål mail.docx", "A 31972-2024")</f>
        <v/>
      </c>
      <c r="AC110">
        <f>HYPERLINK("https://klasma.github.io/Logging_0482/tillsyn/A 31972-2024 tillsynsbegäran.docx", "A 31972-2024")</f>
        <v/>
      </c>
      <c r="AD110">
        <f>HYPERLINK("https://klasma.github.io/Logging_0482/tillsynsmail/A 31972-2024 tillsynsbegäran mail.docx", "A 31972-2024")</f>
        <v/>
      </c>
    </row>
    <row r="111" ht="15" customHeight="1">
      <c r="A111" t="inlineStr">
        <is>
          <t>A 62535-2021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46265</v>
      </c>
      <c r="F111" t="inlineStr">
        <is>
          <t>SÖDERMANLANDS LÄN</t>
        </is>
      </c>
      <c r="G111" t="inlineStr">
        <is>
          <t>FLEN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62535-2021 artfynd.xlsx", "A 62535-2021")</f>
        <v/>
      </c>
      <c r="X111">
        <f>HYPERLINK("https://klasma.github.io/Logging_0482/kartor/A 62535-2021 karta.png", "A 62535-2021")</f>
        <v/>
      </c>
      <c r="Y111">
        <f>HYPERLINK("https://klasma.github.io/Logging_0482/kartor_geotiff/A 62535-2021 georefererad karta.tif", "A 62535-2021")</f>
        <v/>
      </c>
      <c r="AA111">
        <f>HYPERLINK("https://klasma.github.io/Logging_0482/klagomål/A 62535-2021 FSC-klagomål.docx", "A 62535-2021")</f>
        <v/>
      </c>
      <c r="AB111">
        <f>HYPERLINK("https://klasma.github.io/Logging_0482/klagomålsmail/A 62535-2021 FSC-klagomål mail.docx", "A 62535-2021")</f>
        <v/>
      </c>
      <c r="AC111">
        <f>HYPERLINK("https://klasma.github.io/Logging_0482/tillsyn/A 62535-2021 tillsynsbegäran.docx", "A 62535-2021")</f>
        <v/>
      </c>
      <c r="AD111">
        <f>HYPERLINK("https://klasma.github.io/Logging_0482/tillsynsmail/A 62535-2021 tillsynsbegäran mail.docx", "A 62535-2021")</f>
        <v/>
      </c>
    </row>
    <row r="112" ht="15" customHeight="1">
      <c r="A112" t="inlineStr">
        <is>
          <t>A 50202-2022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46265</v>
      </c>
      <c r="F112" t="inlineStr">
        <is>
          <t>SÖDERMANLANDS LÄN</t>
        </is>
      </c>
      <c r="G112" t="inlineStr">
        <is>
          <t>FLEN</t>
        </is>
      </c>
      <c r="H112" t="inlineStr">
        <is>
          <t>Kyrkan</t>
        </is>
      </c>
      <c r="I112" t="n">
        <v>5.8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Gullklöver</t>
        </is>
      </c>
      <c r="W112">
        <f>HYPERLINK("https://klasma.github.io/Logging_0482/artfynd/A 50202-2022 artfynd.xlsx", "A 50202-2022")</f>
        <v/>
      </c>
      <c r="X112">
        <f>HYPERLINK("https://klasma.github.io/Logging_0482/kartor/A 50202-2022 karta.png", "A 50202-2022")</f>
        <v/>
      </c>
      <c r="Y112">
        <f>HYPERLINK("https://klasma.github.io/Logging_0482/kartor_geotiff/A 50202-2022 georefererad karta.tif", "A 50202-2022")</f>
        <v/>
      </c>
      <c r="AA112">
        <f>HYPERLINK("https://klasma.github.io/Logging_0482/klagomål/A 50202-2022 FSC-klagomål.docx", "A 50202-2022")</f>
        <v/>
      </c>
      <c r="AB112">
        <f>HYPERLINK("https://klasma.github.io/Logging_0482/klagomålsmail/A 50202-2022 FSC-klagomål mail.docx", "A 50202-2022")</f>
        <v/>
      </c>
      <c r="AC112">
        <f>HYPERLINK("https://klasma.github.io/Logging_0482/tillsyn/A 50202-2022 tillsynsbegäran.docx", "A 50202-2022")</f>
        <v/>
      </c>
      <c r="AD112">
        <f>HYPERLINK("https://klasma.github.io/Logging_0482/tillsynsmail/A 50202-2022 tillsynsbegäran mail.docx", "A 50202-2022")</f>
        <v/>
      </c>
    </row>
    <row r="113" ht="15" customHeight="1">
      <c r="A113" t="inlineStr">
        <is>
          <t>A 2043-2026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46265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2.1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Scharlakansvaxing</t>
        </is>
      </c>
      <c r="W113">
        <f>HYPERLINK("https://klasma.github.io/Logging_0482/artfynd/A 2043-2026 artfynd.xlsx", "A 2043-2026")</f>
        <v/>
      </c>
      <c r="X113">
        <f>HYPERLINK("https://klasma.github.io/Logging_0482/kartor/A 2043-2026 karta.png", "A 2043-2026")</f>
        <v/>
      </c>
      <c r="Y113">
        <f>HYPERLINK("https://klasma.github.io/Logging_0482/kartor_geotiff/A 2043-2026 georefererad karta.tif", "A 2043-2026")</f>
        <v/>
      </c>
      <c r="AA113">
        <f>HYPERLINK("https://klasma.github.io/Logging_0482/klagomål/A 2043-2026 FSC-klagomål.docx", "A 2043-2026")</f>
        <v/>
      </c>
      <c r="AB113">
        <f>HYPERLINK("https://klasma.github.io/Logging_0482/klagomålsmail/A 2043-2026 FSC-klagomål mail.docx", "A 2043-2026")</f>
        <v/>
      </c>
      <c r="AC113">
        <f>HYPERLINK("https://klasma.github.io/Logging_0482/tillsyn/A 2043-2026 tillsynsbegäran.docx", "A 2043-2026")</f>
        <v/>
      </c>
      <c r="AD113">
        <f>HYPERLINK("https://klasma.github.io/Logging_0482/tillsynsmail/A 2043-2026 tillsynsbegäran mail.docx", "A 2043-2026")</f>
        <v/>
      </c>
    </row>
    <row r="114" ht="15" customHeight="1">
      <c r="A114" t="inlineStr">
        <is>
          <t>A 2036-2026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46265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HYPERLINK("https://klasma.github.io/Logging_0482/artfynd/A 2036-2026 artfynd.xlsx", "A 2036-2026")</f>
        <v/>
      </c>
      <c r="X114">
        <f>HYPERLINK("https://klasma.github.io/Logging_0482/kartor/A 2036-2026 karta.png", "A 2036-2026")</f>
        <v/>
      </c>
      <c r="Y114">
        <f>HYPERLINK("https://klasma.github.io/Logging_0482/kartor_geotiff/A 2036-2026 georefererad karta.tif", "A 2036-2026")</f>
        <v/>
      </c>
      <c r="Z114">
        <f>HYPERLINK("https://klasma.github.io/Logging_0482/knärot/A 2036-2026 karta knärot.png", "A 2036-2026")</f>
        <v/>
      </c>
      <c r="AA114">
        <f>HYPERLINK("https://klasma.github.io/Logging_0482/klagomål/A 2036-2026 FSC-klagomål.docx", "A 2036-2026")</f>
        <v/>
      </c>
      <c r="AB114">
        <f>HYPERLINK("https://klasma.github.io/Logging_0482/klagomålsmail/A 2036-2026 FSC-klagomål mail.docx", "A 2036-2026")</f>
        <v/>
      </c>
      <c r="AC114">
        <f>HYPERLINK("https://klasma.github.io/Logging_0482/tillsyn/A 2036-2026 tillsynsbegäran.docx", "A 2036-2026")</f>
        <v/>
      </c>
      <c r="AD114">
        <f>HYPERLINK("https://klasma.github.io/Logging_0482/tillsynsmail/A 2036-2026 tillsynsbegäran mail.docx", "A 2036-2026")</f>
        <v/>
      </c>
    </row>
    <row r="115" ht="15" customHeight="1">
      <c r="A115" t="inlineStr">
        <is>
          <t>A 52563-2021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46265</v>
      </c>
      <c r="F115" t="inlineStr">
        <is>
          <t>SÖDERMANLANDS LÄN</t>
        </is>
      </c>
      <c r="G115" t="inlineStr">
        <is>
          <t>FLEN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Gulsparv</t>
        </is>
      </c>
      <c r="W115">
        <f>HYPERLINK("https://klasma.github.io/Logging_0482/artfynd/A 52563-2021 artfynd.xlsx", "A 52563-2021")</f>
        <v/>
      </c>
      <c r="X115">
        <f>HYPERLINK("https://klasma.github.io/Logging_0482/kartor/A 52563-2021 karta.png", "A 52563-2021")</f>
        <v/>
      </c>
      <c r="Y115">
        <f>HYPERLINK("https://klasma.github.io/Logging_0482/kartor_geotiff/A 52563-2021 georefererad karta.tif", "A 52563-2021")</f>
        <v/>
      </c>
      <c r="AA115">
        <f>HYPERLINK("https://klasma.github.io/Logging_0482/klagomål/A 52563-2021 FSC-klagomål.docx", "A 52563-2021")</f>
        <v/>
      </c>
      <c r="AB115">
        <f>HYPERLINK("https://klasma.github.io/Logging_0482/klagomålsmail/A 52563-2021 FSC-klagomål mail.docx", "A 52563-2021")</f>
        <v/>
      </c>
      <c r="AC115">
        <f>HYPERLINK("https://klasma.github.io/Logging_0482/tillsyn/A 52563-2021 tillsynsbegäran.docx", "A 52563-2021")</f>
        <v/>
      </c>
      <c r="AD115">
        <f>HYPERLINK("https://klasma.github.io/Logging_0482/tillsynsmail/A 52563-2021 tillsynsbegäran mail.docx", "A 52563-2021")</f>
        <v/>
      </c>
      <c r="AE115">
        <f>HYPERLINK("https://klasma.github.io/Logging_0482/fåglar/A 52563-2021 prioriterade fågelarter.docx", "A 52563-2021")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46265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46265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60562-2021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44495</v>
      </c>
      <c r="E118" s="1" t="n">
        <v>46265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Gullklöver</t>
        </is>
      </c>
      <c r="W118">
        <f>HYPERLINK("https://klasma.github.io/Logging_0482/artfynd/A 60562-2021 artfynd.xlsx", "A 60562-2021")</f>
        <v/>
      </c>
      <c r="X118">
        <f>HYPERLINK("https://klasma.github.io/Logging_0482/kartor/A 60562-2021 karta.png", "A 60562-2021")</f>
        <v/>
      </c>
      <c r="Y118">
        <f>HYPERLINK("https://klasma.github.io/Logging_0482/kartor_geotiff/A 60562-2021 georefererad karta.tif", "A 60562-2021")</f>
        <v/>
      </c>
      <c r="AA118">
        <f>HYPERLINK("https://klasma.github.io/Logging_0482/klagomål/A 60562-2021 FSC-klagomål.docx", "A 60562-2021")</f>
        <v/>
      </c>
      <c r="AB118">
        <f>HYPERLINK("https://klasma.github.io/Logging_0482/klagomålsmail/A 60562-2021 FSC-klagomål mail.docx", "A 60562-2021")</f>
        <v/>
      </c>
      <c r="AC118">
        <f>HYPERLINK("https://klasma.github.io/Logging_0482/tillsyn/A 60562-2021 tillsynsbegäran.docx", "A 60562-2021")</f>
        <v/>
      </c>
      <c r="AD118">
        <f>HYPERLINK("https://klasma.github.io/Logging_0482/tillsynsmail/A 60562-2021 tillsynsbegäran mail.docx", "A 60562-2021")</f>
        <v/>
      </c>
    </row>
    <row r="119" ht="15" customHeight="1">
      <c r="A119" t="inlineStr">
        <is>
          <t>A 7525-2024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45348</v>
      </c>
      <c r="E119" s="1" t="n">
        <v>46265</v>
      </c>
      <c r="F119" t="inlineStr">
        <is>
          <t>SÖDERMANLANDS LÄN</t>
        </is>
      </c>
      <c r="G119" t="inlineStr">
        <is>
          <t>FLEN</t>
        </is>
      </c>
      <c r="I119" t="n">
        <v>2.3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Vanlig backsmörblomma</t>
        </is>
      </c>
      <c r="W119">
        <f>HYPERLINK("https://klasma.github.io/Logging_0482/artfynd/A 7525-2024 artfynd.xlsx", "A 7525-2024")</f>
        <v/>
      </c>
      <c r="X119">
        <f>HYPERLINK("https://klasma.github.io/Logging_0482/kartor/A 7525-2024 karta.png", "A 7525-2024")</f>
        <v/>
      </c>
      <c r="Y119">
        <f>HYPERLINK("https://klasma.github.io/Logging_0482/kartor_geotiff/A 7525-2024 georefererad karta.tif", "A 7525-2024")</f>
        <v/>
      </c>
      <c r="AA119">
        <f>HYPERLINK("https://klasma.github.io/Logging_0482/klagomål/A 7525-2024 FSC-klagomål.docx", "A 7525-2024")</f>
        <v/>
      </c>
      <c r="AB119">
        <f>HYPERLINK("https://klasma.github.io/Logging_0482/klagomålsmail/A 7525-2024 FSC-klagomål mail.docx", "A 7525-2024")</f>
        <v/>
      </c>
      <c r="AC119">
        <f>HYPERLINK("https://klasma.github.io/Logging_0482/tillsyn/A 7525-2024 tillsynsbegäran.docx", "A 7525-2024")</f>
        <v/>
      </c>
      <c r="AD119">
        <f>HYPERLINK("https://klasma.github.io/Logging_0482/tillsynsmail/A 7525-2024 tillsynsbegäran mail.docx", "A 7525-2024")</f>
        <v/>
      </c>
    </row>
    <row r="120" ht="15" customHeight="1">
      <c r="A120" t="inlineStr">
        <is>
          <t>A 13858-2023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46265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Svedjenäva</t>
        </is>
      </c>
      <c r="W120">
        <f>HYPERLINK("https://klasma.github.io/Logging_0482/artfynd/A 13858-2023 artfynd.xlsx", "A 13858-2023")</f>
        <v/>
      </c>
      <c r="X120">
        <f>HYPERLINK("https://klasma.github.io/Logging_0482/kartor/A 13858-2023 karta.png", "A 13858-2023")</f>
        <v/>
      </c>
      <c r="Y120">
        <f>HYPERLINK("https://klasma.github.io/Logging_0482/kartor_geotiff/A 13858-2023 georefererad karta.tif", "A 13858-2023")</f>
        <v/>
      </c>
      <c r="AA120">
        <f>HYPERLINK("https://klasma.github.io/Logging_0482/klagomål/A 13858-2023 FSC-klagomål.docx", "A 13858-2023")</f>
        <v/>
      </c>
      <c r="AB120">
        <f>HYPERLINK("https://klasma.github.io/Logging_0482/klagomålsmail/A 13858-2023 FSC-klagomål mail.docx", "A 13858-2023")</f>
        <v/>
      </c>
      <c r="AC120">
        <f>HYPERLINK("https://klasma.github.io/Logging_0482/tillsyn/A 13858-2023 tillsynsbegäran.docx", "A 13858-2023")</f>
        <v/>
      </c>
      <c r="AD120">
        <f>HYPERLINK("https://klasma.github.io/Logging_0482/tillsynsmail/A 13858-2023 tillsynsbegäran mail.docx", "A 13858-2023")</f>
        <v/>
      </c>
    </row>
    <row r="121" ht="15" customHeight="1">
      <c r="A121" t="inlineStr">
        <is>
          <t>A 9446-2026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46265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0.8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HYPERLINK("https://klasma.github.io/Logging_0482/artfynd/A 9446-2026 artfynd.xlsx", "A 9446-2026")</f>
        <v/>
      </c>
      <c r="X121">
        <f>HYPERLINK("https://klasma.github.io/Logging_0482/kartor/A 9446-2026 karta.png", "A 9446-2026")</f>
        <v/>
      </c>
      <c r="Y121">
        <f>HYPERLINK("https://klasma.github.io/Logging_0482/kartor_geotiff/A 9446-2026 georefererad karta.tif", "A 9446-2026")</f>
        <v/>
      </c>
      <c r="AA121">
        <f>HYPERLINK("https://klasma.github.io/Logging_0482/klagomål/A 9446-2026 FSC-klagomål.docx", "A 9446-2026")</f>
        <v/>
      </c>
      <c r="AB121">
        <f>HYPERLINK("https://klasma.github.io/Logging_0482/klagomålsmail/A 9446-2026 FSC-klagomål mail.docx", "A 9446-2026")</f>
        <v/>
      </c>
      <c r="AC121">
        <f>HYPERLINK("https://klasma.github.io/Logging_0482/tillsyn/A 9446-2026 tillsynsbegäran.docx", "A 9446-2026")</f>
        <v/>
      </c>
      <c r="AD121">
        <f>HYPERLINK("https://klasma.github.io/Logging_0482/tillsynsmail/A 9446-2026 tillsynsbegäran mail.docx", "A 9446-2026")</f>
        <v/>
      </c>
    </row>
    <row r="122" ht="15" customHeight="1">
      <c r="A122" t="inlineStr">
        <is>
          <t>A 10999-2026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46079</v>
      </c>
      <c r="E122" s="1" t="n">
        <v>46265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3.6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HYPERLINK("https://klasma.github.io/Logging_0482/artfynd/A 10999-2026 artfynd.xlsx", "A 10999-2026")</f>
        <v/>
      </c>
      <c r="X122">
        <f>HYPERLINK("https://klasma.github.io/Logging_0482/kartor/A 10999-2026 karta.png", "A 10999-2026")</f>
        <v/>
      </c>
      <c r="Y122">
        <f>HYPERLINK("https://klasma.github.io/Logging_0482/kartor_geotiff/A 10999-2026 georefererad karta.tif", "A 10999-2026")</f>
        <v/>
      </c>
      <c r="AA122">
        <f>HYPERLINK("https://klasma.github.io/Logging_0482/klagomål/A 10999-2026 FSC-klagomål.docx", "A 10999-2026")</f>
        <v/>
      </c>
      <c r="AB122">
        <f>HYPERLINK("https://klasma.github.io/Logging_0482/klagomålsmail/A 10999-2026 FSC-klagomål mail.docx", "A 10999-2026")</f>
        <v/>
      </c>
      <c r="AC122">
        <f>HYPERLINK("https://klasma.github.io/Logging_0482/tillsyn/A 10999-2026 tillsynsbegäran.docx", "A 10999-2026")</f>
        <v/>
      </c>
      <c r="AD122">
        <f>HYPERLINK("https://klasma.github.io/Logging_0482/tillsynsmail/A 10999-2026 tillsynsbegäran mail.docx", "A 10999-2026")</f>
        <v/>
      </c>
    </row>
    <row r="123" ht="15" customHeight="1">
      <c r="A123" t="inlineStr">
        <is>
          <t>A 45107-2023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46265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Brudborste</t>
        </is>
      </c>
      <c r="W123">
        <f>HYPERLINK("https://klasma.github.io/Logging_0482/artfynd/A 45107-2023 artfynd.xlsx", "A 45107-2023")</f>
        <v/>
      </c>
      <c r="X123">
        <f>HYPERLINK("https://klasma.github.io/Logging_0482/kartor/A 45107-2023 karta.png", "A 45107-2023")</f>
        <v/>
      </c>
      <c r="Y123">
        <f>HYPERLINK("https://klasma.github.io/Logging_0482/kartor_geotiff/A 45107-2023 georefererad karta.tif", "A 45107-2023")</f>
        <v/>
      </c>
      <c r="AA123">
        <f>HYPERLINK("https://klasma.github.io/Logging_0482/klagomål/A 45107-2023 FSC-klagomål.docx", "A 45107-2023")</f>
        <v/>
      </c>
      <c r="AB123">
        <f>HYPERLINK("https://klasma.github.io/Logging_0482/klagomålsmail/A 45107-2023 FSC-klagomål mail.docx", "A 45107-2023")</f>
        <v/>
      </c>
      <c r="AC123">
        <f>HYPERLINK("https://klasma.github.io/Logging_0482/tillsyn/A 45107-2023 tillsynsbegäran.docx", "A 45107-2023")</f>
        <v/>
      </c>
      <c r="AD123">
        <f>HYPERLINK("https://klasma.github.io/Logging_0482/tillsynsmail/A 45107-2023 tillsynsbegäran mail.docx", "A 45107-2023")</f>
        <v/>
      </c>
    </row>
    <row r="124" ht="15" customHeight="1">
      <c r="A124" t="inlineStr">
        <is>
          <t>A 1242-2022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46265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Slåtterfibbla</t>
        </is>
      </c>
      <c r="W124">
        <f>HYPERLINK("https://klasma.github.io/Logging_0482/artfynd/A 1242-2022 artfynd.xlsx", "A 1242-2022")</f>
        <v/>
      </c>
      <c r="X124">
        <f>HYPERLINK("https://klasma.github.io/Logging_0482/kartor/A 1242-2022 karta.png", "A 1242-2022")</f>
        <v/>
      </c>
      <c r="Y124">
        <f>HYPERLINK("https://klasma.github.io/Logging_0482/kartor_geotiff/A 1242-2022 georefererad karta.tif", "A 1242-2022")</f>
        <v/>
      </c>
      <c r="AA124">
        <f>HYPERLINK("https://klasma.github.io/Logging_0482/klagomål/A 1242-2022 FSC-klagomål.docx", "A 1242-2022")</f>
        <v/>
      </c>
      <c r="AB124">
        <f>HYPERLINK("https://klasma.github.io/Logging_0482/klagomålsmail/A 1242-2022 FSC-klagomål mail.docx", "A 1242-2022")</f>
        <v/>
      </c>
      <c r="AC124">
        <f>HYPERLINK("https://klasma.github.io/Logging_0482/tillsyn/A 1242-2022 tillsynsbegäran.docx", "A 1242-2022")</f>
        <v/>
      </c>
      <c r="AD124">
        <f>HYPERLINK("https://klasma.github.io/Logging_0482/tillsynsmail/A 1242-2022 tillsynsbegäran mail.docx", "A 1242-2022")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46265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14113-2025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46265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3.6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14113-2025 artfynd.xlsx", "A 14113-2025")</f>
        <v/>
      </c>
      <c r="X126">
        <f>HYPERLINK("https://klasma.github.io/Logging_0482/kartor/A 14113-2025 karta.png", "A 14113-2025")</f>
        <v/>
      </c>
      <c r="Y126">
        <f>HYPERLINK("https://klasma.github.io/Logging_0482/kartor_geotiff/A 14113-2025 georefererad karta.tif", "A 14113-2025")</f>
        <v/>
      </c>
      <c r="AA126">
        <f>HYPERLINK("https://klasma.github.io/Logging_0482/klagomål/A 14113-2025 FSC-klagomål.docx", "A 14113-2025")</f>
        <v/>
      </c>
      <c r="AB126">
        <f>HYPERLINK("https://klasma.github.io/Logging_0482/klagomålsmail/A 14113-2025 FSC-klagomål mail.docx", "A 14113-2025")</f>
        <v/>
      </c>
      <c r="AC126">
        <f>HYPERLINK("https://klasma.github.io/Logging_0482/tillsyn/A 14113-2025 tillsynsbegäran.docx", "A 14113-2025")</f>
        <v/>
      </c>
      <c r="AD126">
        <f>HYPERLINK("https://klasma.github.io/Logging_0482/tillsynsmail/A 14113-2025 tillsynsbegäran mail.docx", "A 14113-2025")</f>
        <v/>
      </c>
    </row>
    <row r="127" ht="15" customHeight="1">
      <c r="A127" t="inlineStr">
        <is>
          <t>A 39036-2023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46265</v>
      </c>
      <c r="F127" t="inlineStr">
        <is>
          <t>SÖDERMANLANDS LÄN</t>
        </is>
      </c>
      <c r="G127" t="inlineStr">
        <is>
          <t>FLEN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HYPERLINK("https://klasma.github.io/Logging_0482/artfynd/A 39036-2023 artfynd.xlsx", "A 39036-2023")</f>
        <v/>
      </c>
      <c r="X127">
        <f>HYPERLINK("https://klasma.github.io/Logging_0482/kartor/A 39036-2023 karta.png", "A 39036-2023")</f>
        <v/>
      </c>
      <c r="Y127">
        <f>HYPERLINK("https://klasma.github.io/Logging_0482/kartor_geotiff/A 39036-2023 georefererad karta.tif", "A 39036-2023")</f>
        <v/>
      </c>
      <c r="AA127">
        <f>HYPERLINK("https://klasma.github.io/Logging_0482/klagomål/A 39036-2023 FSC-klagomål.docx", "A 39036-2023")</f>
        <v/>
      </c>
      <c r="AB127">
        <f>HYPERLINK("https://klasma.github.io/Logging_0482/klagomålsmail/A 39036-2023 FSC-klagomål mail.docx", "A 39036-2023")</f>
        <v/>
      </c>
      <c r="AC127">
        <f>HYPERLINK("https://klasma.github.io/Logging_0482/tillsyn/A 39036-2023 tillsynsbegäran.docx", "A 39036-2023")</f>
        <v/>
      </c>
      <c r="AD127">
        <f>HYPERLINK("https://klasma.github.io/Logging_0482/tillsynsmail/A 39036-2023 tillsynsbegäran mail.docx", "A 39036-2023")</f>
        <v/>
      </c>
    </row>
    <row r="128" ht="15" customHeight="1">
      <c r="A128" t="inlineStr">
        <is>
          <t>A 31427-2022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46265</v>
      </c>
      <c r="F128" t="inlineStr">
        <is>
          <t>SÖDERMANLANDS LÄN</t>
        </is>
      </c>
      <c r="G128" t="inlineStr">
        <is>
          <t>FLEN</t>
        </is>
      </c>
      <c r="I128" t="n">
        <v>3.7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HYPERLINK("https://klasma.github.io/Logging_0482/artfynd/A 31427-2022 artfynd.xlsx", "A 31427-2022")</f>
        <v/>
      </c>
      <c r="X128">
        <f>HYPERLINK("https://klasma.github.io/Logging_0482/kartor/A 31427-2022 karta.png", "A 31427-2022")</f>
        <v/>
      </c>
      <c r="Y128">
        <f>HYPERLINK("https://klasma.github.io/Logging_0482/kartor_geotiff/A 31427-2022 georefererad karta.tif", "A 31427-2022")</f>
        <v/>
      </c>
      <c r="AA128">
        <f>HYPERLINK("https://klasma.github.io/Logging_0482/klagomål/A 31427-2022 FSC-klagomål.docx", "A 31427-2022")</f>
        <v/>
      </c>
      <c r="AB128">
        <f>HYPERLINK("https://klasma.github.io/Logging_0482/klagomålsmail/A 31427-2022 FSC-klagomål mail.docx", "A 31427-2022")</f>
        <v/>
      </c>
      <c r="AC128">
        <f>HYPERLINK("https://klasma.github.io/Logging_0482/tillsyn/A 31427-2022 tillsynsbegäran.docx", "A 31427-2022")</f>
        <v/>
      </c>
      <c r="AD128">
        <f>HYPERLINK("https://klasma.github.io/Logging_0482/tillsynsmail/A 31427-2022 tillsynsbegäran mail.docx", "A 31427-2022")</f>
        <v/>
      </c>
    </row>
    <row r="129" ht="15" customHeight="1">
      <c r="A129" t="inlineStr">
        <is>
          <t>A 47756-2022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46265</v>
      </c>
      <c r="F129" t="inlineStr">
        <is>
          <t>SÖDERMANLANDS LÄN</t>
        </is>
      </c>
      <c r="G129" t="inlineStr">
        <is>
          <t>FLEN</t>
        </is>
      </c>
      <c r="I129" t="n">
        <v>2.4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47756-2022 artfynd.xlsx", "A 47756-2022")</f>
        <v/>
      </c>
      <c r="X129">
        <f>HYPERLINK("https://klasma.github.io/Logging_0482/kartor/A 47756-2022 karta.png", "A 47756-2022")</f>
        <v/>
      </c>
      <c r="Y129">
        <f>HYPERLINK("https://klasma.github.io/Logging_0482/kartor_geotiff/A 47756-2022 georefererad karta.tif", "A 47756-2022")</f>
        <v/>
      </c>
      <c r="AA129">
        <f>HYPERLINK("https://klasma.github.io/Logging_0482/klagomål/A 47756-2022 FSC-klagomål.docx", "A 47756-2022")</f>
        <v/>
      </c>
      <c r="AB129">
        <f>HYPERLINK("https://klasma.github.io/Logging_0482/klagomålsmail/A 47756-2022 FSC-klagomål mail.docx", "A 47756-2022")</f>
        <v/>
      </c>
      <c r="AC129">
        <f>HYPERLINK("https://klasma.github.io/Logging_0482/tillsyn/A 47756-2022 tillsynsbegäran.docx", "A 47756-2022")</f>
        <v/>
      </c>
      <c r="AD129">
        <f>HYPERLINK("https://klasma.github.io/Logging_0482/tillsynsmail/A 47756-2022 tillsynsbegäran mail.docx", "A 47756-2022")</f>
        <v/>
      </c>
    </row>
    <row r="130" ht="15" customHeight="1">
      <c r="A130" t="inlineStr">
        <is>
          <t>A 6982-2024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46265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Fläcknycklar</t>
        </is>
      </c>
      <c r="W130">
        <f>HYPERLINK("https://klasma.github.io/Logging_0482/artfynd/A 6982-2024 artfynd.xlsx", "A 6982-2024")</f>
        <v/>
      </c>
      <c r="X130">
        <f>HYPERLINK("https://klasma.github.io/Logging_0482/kartor/A 6982-2024 karta.png", "A 6982-2024")</f>
        <v/>
      </c>
      <c r="Y130">
        <f>HYPERLINK("https://klasma.github.io/Logging_0482/kartor_geotiff/A 6982-2024 georefererad karta.tif", "A 6982-2024")</f>
        <v/>
      </c>
      <c r="AA130">
        <f>HYPERLINK("https://klasma.github.io/Logging_0482/klagomål/A 6982-2024 FSC-klagomål.docx", "A 6982-2024")</f>
        <v/>
      </c>
      <c r="AB130">
        <f>HYPERLINK("https://klasma.github.io/Logging_0482/klagomålsmail/A 6982-2024 FSC-klagomål mail.docx", "A 6982-2024")</f>
        <v/>
      </c>
      <c r="AC130">
        <f>HYPERLINK("https://klasma.github.io/Logging_0482/tillsyn/A 6982-2024 tillsynsbegäran.docx", "A 6982-2024")</f>
        <v/>
      </c>
      <c r="AD130">
        <f>HYPERLINK("https://klasma.github.io/Logging_0482/tillsynsmail/A 6982-2024 tillsynsbegäran mail.docx", "A 6982-2024")</f>
        <v/>
      </c>
    </row>
    <row r="131" ht="15" customHeight="1">
      <c r="A131" t="inlineStr">
        <is>
          <t>A 53339-2023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46265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53339-2023 artfynd.xlsx", "A 53339-2023")</f>
        <v/>
      </c>
      <c r="X131">
        <f>HYPERLINK("https://klasma.github.io/Logging_0482/kartor/A 53339-2023 karta.png", "A 53339-2023")</f>
        <v/>
      </c>
      <c r="Y131">
        <f>HYPERLINK("https://klasma.github.io/Logging_0482/kartor_geotiff/A 53339-2023 georefererad karta.tif", "A 53339-2023")</f>
        <v/>
      </c>
      <c r="AA131">
        <f>HYPERLINK("https://klasma.github.io/Logging_0482/klagomål/A 53339-2023 FSC-klagomål.docx", "A 53339-2023")</f>
        <v/>
      </c>
      <c r="AB131">
        <f>HYPERLINK("https://klasma.github.io/Logging_0482/klagomålsmail/A 53339-2023 FSC-klagomål mail.docx", "A 53339-2023")</f>
        <v/>
      </c>
      <c r="AC131">
        <f>HYPERLINK("https://klasma.github.io/Logging_0482/tillsyn/A 53339-2023 tillsynsbegäran.docx", "A 53339-2023")</f>
        <v/>
      </c>
      <c r="AD131">
        <f>HYPERLINK("https://klasma.github.io/Logging_0482/tillsynsmail/A 53339-2023 tillsynsbegäran mail.docx", "A 53339-2023")</f>
        <v/>
      </c>
    </row>
    <row r="132" ht="15" customHeight="1">
      <c r="A132" t="inlineStr">
        <is>
          <t>A 4259-2023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46265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4259-2023 artfynd.xlsx", "A 4259-2023")</f>
        <v/>
      </c>
      <c r="X132">
        <f>HYPERLINK("https://klasma.github.io/Logging_0482/kartor/A 4259-2023 karta.png", "A 4259-2023")</f>
        <v/>
      </c>
      <c r="Y132">
        <f>HYPERLINK("https://klasma.github.io/Logging_0482/kartor_geotiff/A 4259-2023 georefererad karta.tif", "A 4259-2023")</f>
        <v/>
      </c>
      <c r="AA132">
        <f>HYPERLINK("https://klasma.github.io/Logging_0482/klagomål/A 4259-2023 FSC-klagomål.docx", "A 4259-2023")</f>
        <v/>
      </c>
      <c r="AB132">
        <f>HYPERLINK("https://klasma.github.io/Logging_0482/klagomålsmail/A 4259-2023 FSC-klagomål mail.docx", "A 4259-2023")</f>
        <v/>
      </c>
      <c r="AC132">
        <f>HYPERLINK("https://klasma.github.io/Logging_0482/tillsyn/A 4259-2023 tillsynsbegäran.docx", "A 4259-2023")</f>
        <v/>
      </c>
      <c r="AD132">
        <f>HYPERLINK("https://klasma.github.io/Logging_0482/tillsynsmail/A 4259-2023 tillsynsbegäran mail.docx", "A 4259-2023")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46265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46987-2024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46265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HYPERLINK("https://klasma.github.io/Logging_0482/artfynd/A 46987-2024 artfynd.xlsx", "A 46987-2024")</f>
        <v/>
      </c>
      <c r="X134">
        <f>HYPERLINK("https://klasma.github.io/Logging_0482/kartor/A 46987-2024 karta.png", "A 46987-2024")</f>
        <v/>
      </c>
      <c r="Y134">
        <f>HYPERLINK("https://klasma.github.io/Logging_0482/kartor_geotiff/A 46987-2024 georefererad karta.tif", "A 46987-2024")</f>
        <v/>
      </c>
      <c r="AA134">
        <f>HYPERLINK("https://klasma.github.io/Logging_0482/klagomål/A 46987-2024 FSC-klagomål.docx", "A 46987-2024")</f>
        <v/>
      </c>
      <c r="AB134">
        <f>HYPERLINK("https://klasma.github.io/Logging_0482/klagomålsmail/A 46987-2024 FSC-klagomål mail.docx", "A 46987-2024")</f>
        <v/>
      </c>
      <c r="AC134">
        <f>HYPERLINK("https://klasma.github.io/Logging_0482/tillsyn/A 46987-2024 tillsynsbegäran.docx", "A 46987-2024")</f>
        <v/>
      </c>
      <c r="AD134">
        <f>HYPERLINK("https://klasma.github.io/Logging_0482/tillsynsmail/A 46987-2024 tillsynsbegäran mail.docx", "A 46987-2024")</f>
        <v/>
      </c>
    </row>
    <row r="135" ht="15" customHeight="1">
      <c r="A135" t="inlineStr">
        <is>
          <t>A 66230-2021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44518</v>
      </c>
      <c r="E135" s="1" t="n">
        <v>46265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Svinrot</t>
        </is>
      </c>
      <c r="W135">
        <f>HYPERLINK("https://klasma.github.io/Logging_0482/artfynd/A 66230-2021 artfynd.xlsx", "A 66230-2021")</f>
        <v/>
      </c>
      <c r="X135">
        <f>HYPERLINK("https://klasma.github.io/Logging_0482/kartor/A 66230-2021 karta.png", "A 66230-2021")</f>
        <v/>
      </c>
      <c r="Y135">
        <f>HYPERLINK("https://klasma.github.io/Logging_0482/kartor_geotiff/A 66230-2021 georefererad karta.tif", "A 66230-2021")</f>
        <v/>
      </c>
      <c r="AA135">
        <f>HYPERLINK("https://klasma.github.io/Logging_0482/klagomål/A 66230-2021 FSC-klagomål.docx", "A 66230-2021")</f>
        <v/>
      </c>
      <c r="AB135">
        <f>HYPERLINK("https://klasma.github.io/Logging_0482/klagomålsmail/A 66230-2021 FSC-klagomål mail.docx", "A 66230-2021")</f>
        <v/>
      </c>
      <c r="AC135">
        <f>HYPERLINK("https://klasma.github.io/Logging_0482/tillsyn/A 66230-2021 tillsynsbegäran.docx", "A 66230-2021")</f>
        <v/>
      </c>
      <c r="AD135">
        <f>HYPERLINK("https://klasma.github.io/Logging_0482/tillsynsmail/A 66230-2021 tillsynsbegäran mail.docx", "A 66230-2021")</f>
        <v/>
      </c>
    </row>
    <row r="136" ht="15" customHeight="1">
      <c r="A136" t="inlineStr">
        <is>
          <t>A 29195-2023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46265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3.9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HYPERLINK("https://klasma.github.io/Logging_0482/artfynd/A 29195-2023 artfynd.xlsx", "A 29195-2023")</f>
        <v/>
      </c>
      <c r="X136">
        <f>HYPERLINK("https://klasma.github.io/Logging_0482/kartor/A 29195-2023 karta.png", "A 29195-2023")</f>
        <v/>
      </c>
      <c r="Y136">
        <f>HYPERLINK("https://klasma.github.io/Logging_0482/kartor_geotiff/A 29195-2023 georefererad karta.tif", "A 29195-2023")</f>
        <v/>
      </c>
      <c r="AA136">
        <f>HYPERLINK("https://klasma.github.io/Logging_0482/klagomål/A 29195-2023 FSC-klagomål.docx", "A 29195-2023")</f>
        <v/>
      </c>
      <c r="AB136">
        <f>HYPERLINK("https://klasma.github.io/Logging_0482/klagomålsmail/A 29195-2023 FSC-klagomål mail.docx", "A 29195-2023")</f>
        <v/>
      </c>
      <c r="AC136">
        <f>HYPERLINK("https://klasma.github.io/Logging_0482/tillsyn/A 29195-2023 tillsynsbegäran.docx", "A 29195-2023")</f>
        <v/>
      </c>
      <c r="AD136">
        <f>HYPERLINK("https://klasma.github.io/Logging_0482/tillsynsmail/A 29195-2023 tillsynsbegäran mail.docx", "A 29195-2023")</f>
        <v/>
      </c>
    </row>
    <row r="137" ht="15" customHeight="1">
      <c r="A137" t="inlineStr">
        <is>
          <t>A 34721-2023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45141</v>
      </c>
      <c r="E137" s="1" t="n">
        <v>46265</v>
      </c>
      <c r="F137" t="inlineStr">
        <is>
          <t>SÖDERMANLANDS LÄN</t>
        </is>
      </c>
      <c r="G137" t="inlineStr">
        <is>
          <t>FLEN</t>
        </is>
      </c>
      <c r="I137" t="n">
        <v>4.1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34721-2023 artfynd.xlsx", "A 34721-2023")</f>
        <v/>
      </c>
      <c r="X137">
        <f>HYPERLINK("https://klasma.github.io/Logging_0482/kartor/A 34721-2023 karta.png", "A 34721-2023")</f>
        <v/>
      </c>
      <c r="Y137">
        <f>HYPERLINK("https://klasma.github.io/Logging_0482/kartor_geotiff/A 34721-2023 georefererad karta.tif", "A 34721-2023")</f>
        <v/>
      </c>
      <c r="AA137">
        <f>HYPERLINK("https://klasma.github.io/Logging_0482/klagomål/A 34721-2023 FSC-klagomål.docx", "A 34721-2023")</f>
        <v/>
      </c>
      <c r="AB137">
        <f>HYPERLINK("https://klasma.github.io/Logging_0482/klagomålsmail/A 34721-2023 FSC-klagomål mail.docx", "A 34721-2023")</f>
        <v/>
      </c>
      <c r="AC137">
        <f>HYPERLINK("https://klasma.github.io/Logging_0482/tillsyn/A 34721-2023 tillsynsbegäran.docx", "A 34721-2023")</f>
        <v/>
      </c>
      <c r="AD137">
        <f>HYPERLINK("https://klasma.github.io/Logging_0482/tillsynsmail/A 34721-2023 tillsynsbegäran mail.docx", "A 34721-2023")</f>
        <v/>
      </c>
    </row>
    <row r="138" ht="15" customHeight="1">
      <c r="A138" t="inlineStr">
        <is>
          <t>A 60591-2022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46265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1.3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Grönpyrola</t>
        </is>
      </c>
      <c r="W138">
        <f>HYPERLINK("https://klasma.github.io/Logging_0482/artfynd/A 60591-2022 artfynd.xlsx", "A 60591-2022")</f>
        <v/>
      </c>
      <c r="X138">
        <f>HYPERLINK("https://klasma.github.io/Logging_0482/kartor/A 60591-2022 karta.png", "A 60591-2022")</f>
        <v/>
      </c>
      <c r="Y138">
        <f>HYPERLINK("https://klasma.github.io/Logging_0482/kartor_geotiff/A 60591-2022 georefererad karta.tif", "A 60591-2022")</f>
        <v/>
      </c>
      <c r="AA138">
        <f>HYPERLINK("https://klasma.github.io/Logging_0482/klagomål/A 60591-2022 FSC-klagomål.docx", "A 60591-2022")</f>
        <v/>
      </c>
      <c r="AB138">
        <f>HYPERLINK("https://klasma.github.io/Logging_0482/klagomålsmail/A 60591-2022 FSC-klagomål mail.docx", "A 60591-2022")</f>
        <v/>
      </c>
      <c r="AC138">
        <f>HYPERLINK("https://klasma.github.io/Logging_0482/tillsyn/A 60591-2022 tillsynsbegäran.docx", "A 60591-2022")</f>
        <v/>
      </c>
      <c r="AD138">
        <f>HYPERLINK("https://klasma.github.io/Logging_0482/tillsynsmail/A 60591-2022 tillsynsbegäran mail.docx", "A 60591-2022")</f>
        <v/>
      </c>
    </row>
    <row r="139" ht="15" customHeight="1">
      <c r="A139" t="inlineStr">
        <is>
          <t>A 34823-2023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45140</v>
      </c>
      <c r="E139" s="1" t="n">
        <v>46265</v>
      </c>
      <c r="F139" t="inlineStr">
        <is>
          <t>SÖDERMANLANDS LÄN</t>
        </is>
      </c>
      <c r="G139" t="inlineStr">
        <is>
          <t>FLEN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Mörk dunört</t>
        </is>
      </c>
      <c r="W139">
        <f>HYPERLINK("https://klasma.github.io/Logging_0482/artfynd/A 34823-2023 artfynd.xlsx", "A 34823-2023")</f>
        <v/>
      </c>
      <c r="X139">
        <f>HYPERLINK("https://klasma.github.io/Logging_0482/kartor/A 34823-2023 karta.png", "A 34823-2023")</f>
        <v/>
      </c>
      <c r="Y139">
        <f>HYPERLINK("https://klasma.github.io/Logging_0482/kartor_geotiff/A 34823-2023 georefererad karta.tif", "A 34823-2023")</f>
        <v/>
      </c>
      <c r="AA139">
        <f>HYPERLINK("https://klasma.github.io/Logging_0482/klagomål/A 34823-2023 FSC-klagomål.docx", "A 34823-2023")</f>
        <v/>
      </c>
      <c r="AB139">
        <f>HYPERLINK("https://klasma.github.io/Logging_0482/klagomålsmail/A 34823-2023 FSC-klagomål mail.docx", "A 34823-2023")</f>
        <v/>
      </c>
      <c r="AC139">
        <f>HYPERLINK("https://klasma.github.io/Logging_0482/tillsyn/A 34823-2023 tillsynsbegäran.docx", "A 34823-2023")</f>
        <v/>
      </c>
      <c r="AD139">
        <f>HYPERLINK("https://klasma.github.io/Logging_0482/tillsynsmail/A 34823-2023 tillsynsbegäran mail.docx", "A 34823-2023")</f>
        <v/>
      </c>
    </row>
    <row r="140" ht="15" customHeight="1">
      <c r="A140" t="inlineStr">
        <is>
          <t>A 60529-2024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45643</v>
      </c>
      <c r="E140" s="1" t="n">
        <v>46265</v>
      </c>
      <c r="F140" t="inlineStr">
        <is>
          <t>SÖDERMANLANDS LÄN</t>
        </is>
      </c>
      <c r="G140" t="inlineStr">
        <is>
          <t>FLEN</t>
        </is>
      </c>
      <c r="I140" t="n">
        <v>2.5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Skarp dropptaggsvamp</t>
        </is>
      </c>
      <c r="W140">
        <f>HYPERLINK("https://klasma.github.io/Logging_0482/artfynd/A 60529-2024 artfynd.xlsx", "A 60529-2024")</f>
        <v/>
      </c>
      <c r="X140">
        <f>HYPERLINK("https://klasma.github.io/Logging_0482/kartor/A 60529-2024 karta.png", "A 60529-2024")</f>
        <v/>
      </c>
      <c r="Y140">
        <f>HYPERLINK("https://klasma.github.io/Logging_0482/kartor_geotiff/A 60529-2024 georefererad karta.tif", "A 60529-2024")</f>
        <v/>
      </c>
      <c r="AA140">
        <f>HYPERLINK("https://klasma.github.io/Logging_0482/klagomål/A 60529-2024 FSC-klagomål.docx", "A 60529-2024")</f>
        <v/>
      </c>
      <c r="AB140">
        <f>HYPERLINK("https://klasma.github.io/Logging_0482/klagomålsmail/A 60529-2024 FSC-klagomål mail.docx", "A 60529-2024")</f>
        <v/>
      </c>
      <c r="AC140">
        <f>HYPERLINK("https://klasma.github.io/Logging_0482/tillsyn/A 60529-2024 tillsynsbegäran.docx", "A 60529-2024")</f>
        <v/>
      </c>
      <c r="AD140">
        <f>HYPERLINK("https://klasma.github.io/Logging_0482/tillsynsmail/A 60529-2024 tillsynsbegäran mail.docx", "A 60529-2024")</f>
        <v/>
      </c>
    </row>
    <row r="141" ht="15" customHeight="1">
      <c r="A141" t="inlineStr">
        <is>
          <t>A 49820-2023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46265</v>
      </c>
      <c r="F141" t="inlineStr">
        <is>
          <t>SÖDERMANLANDS LÄN</t>
        </is>
      </c>
      <c r="G141" t="inlineStr">
        <is>
          <t>FLEN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Gullviva</t>
        </is>
      </c>
      <c r="W141">
        <f>HYPERLINK("https://klasma.github.io/Logging_0482/artfynd/A 49820-2023 artfynd.xlsx", "A 49820-2023")</f>
        <v/>
      </c>
      <c r="X141">
        <f>HYPERLINK("https://klasma.github.io/Logging_0482/kartor/A 49820-2023 karta.png", "A 49820-2023")</f>
        <v/>
      </c>
      <c r="Y141">
        <f>HYPERLINK("https://klasma.github.io/Logging_0482/kartor_geotiff/A 49820-2023 georefererad karta.tif", "A 49820-2023")</f>
        <v/>
      </c>
      <c r="AA141">
        <f>HYPERLINK("https://klasma.github.io/Logging_0482/klagomål/A 49820-2023 FSC-klagomål.docx", "A 49820-2023")</f>
        <v/>
      </c>
      <c r="AB141">
        <f>HYPERLINK("https://klasma.github.io/Logging_0482/klagomålsmail/A 49820-2023 FSC-klagomål mail.docx", "A 49820-2023")</f>
        <v/>
      </c>
      <c r="AC141">
        <f>HYPERLINK("https://klasma.github.io/Logging_0482/tillsyn/A 49820-2023 tillsynsbegäran.docx", "A 49820-2023")</f>
        <v/>
      </c>
      <c r="AD141">
        <f>HYPERLINK("https://klasma.github.io/Logging_0482/tillsynsmail/A 49820-2023 tillsynsbegäran mail.docx", "A 49820-2023")</f>
        <v/>
      </c>
    </row>
    <row r="142" ht="15" customHeight="1">
      <c r="A142" t="inlineStr">
        <is>
          <t>A 37283-2024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45540</v>
      </c>
      <c r="E142" s="1" t="n">
        <v>46265</v>
      </c>
      <c r="F142" t="inlineStr">
        <is>
          <t>SÖDERMANLANDS LÄN</t>
        </is>
      </c>
      <c r="G142" t="inlineStr">
        <is>
          <t>FLEN</t>
        </is>
      </c>
      <c r="I142" t="n">
        <v>1.5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Gullklöver</t>
        </is>
      </c>
      <c r="W142">
        <f>HYPERLINK("https://klasma.github.io/Logging_0482/artfynd/A 37283-2024 artfynd.xlsx", "A 37283-2024")</f>
        <v/>
      </c>
      <c r="X142">
        <f>HYPERLINK("https://klasma.github.io/Logging_0482/kartor/A 37283-2024 karta.png", "A 37283-2024")</f>
        <v/>
      </c>
      <c r="Y142">
        <f>HYPERLINK("https://klasma.github.io/Logging_0482/kartor_geotiff/A 37283-2024 georefererad karta.tif", "A 37283-2024")</f>
        <v/>
      </c>
      <c r="AA142">
        <f>HYPERLINK("https://klasma.github.io/Logging_0482/klagomål/A 37283-2024 FSC-klagomål.docx", "A 37283-2024")</f>
        <v/>
      </c>
      <c r="AB142">
        <f>HYPERLINK("https://klasma.github.io/Logging_0482/klagomålsmail/A 37283-2024 FSC-klagomål mail.docx", "A 37283-2024")</f>
        <v/>
      </c>
      <c r="AC142">
        <f>HYPERLINK("https://klasma.github.io/Logging_0482/tillsyn/A 37283-2024 tillsynsbegäran.docx", "A 37283-2024")</f>
        <v/>
      </c>
      <c r="AD142">
        <f>HYPERLINK("https://klasma.github.io/Logging_0482/tillsynsmail/A 37283-2024 tillsynsbegäran mail.docx", "A 37283-2024")</f>
        <v/>
      </c>
    </row>
    <row r="143" ht="15" customHeight="1">
      <c r="A143" t="inlineStr">
        <is>
          <t>A 7973-2024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46265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Vippärt</t>
        </is>
      </c>
      <c r="W143">
        <f>HYPERLINK("https://klasma.github.io/Logging_0482/artfynd/A 7973-2024 artfynd.xlsx", "A 7973-2024")</f>
        <v/>
      </c>
      <c r="X143">
        <f>HYPERLINK("https://klasma.github.io/Logging_0482/kartor/A 7973-2024 karta.png", "A 7973-2024")</f>
        <v/>
      </c>
      <c r="Y143">
        <f>HYPERLINK("https://klasma.github.io/Logging_0482/kartor_geotiff/A 7973-2024 georefererad karta.tif", "A 7973-2024")</f>
        <v/>
      </c>
      <c r="AA143">
        <f>HYPERLINK("https://klasma.github.io/Logging_0482/klagomål/A 7973-2024 FSC-klagomål.docx", "A 7973-2024")</f>
        <v/>
      </c>
      <c r="AB143">
        <f>HYPERLINK("https://klasma.github.io/Logging_0482/klagomålsmail/A 7973-2024 FSC-klagomål mail.docx", "A 7973-2024")</f>
        <v/>
      </c>
      <c r="AC143">
        <f>HYPERLINK("https://klasma.github.io/Logging_0482/tillsyn/A 7973-2024 tillsynsbegäran.docx", "A 7973-2024")</f>
        <v/>
      </c>
      <c r="AD143">
        <f>HYPERLINK("https://klasma.github.io/Logging_0482/tillsynsmail/A 7973-2024 tillsynsbegäran mail.docx", "A 7973-2024")</f>
        <v/>
      </c>
    </row>
    <row r="144" ht="15" customHeight="1">
      <c r="A144" t="inlineStr">
        <is>
          <t>A 43008-2023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46265</v>
      </c>
      <c r="F144" t="inlineStr">
        <is>
          <t>SÖDERMANLANDS LÄN</t>
        </is>
      </c>
      <c r="G144" t="inlineStr">
        <is>
          <t>FLEN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Gullklöver</t>
        </is>
      </c>
      <c r="W144">
        <f>HYPERLINK("https://klasma.github.io/Logging_0482/artfynd/A 43008-2023 artfynd.xlsx", "A 43008-2023")</f>
        <v/>
      </c>
      <c r="X144">
        <f>HYPERLINK("https://klasma.github.io/Logging_0482/kartor/A 43008-2023 karta.png", "A 43008-2023")</f>
        <v/>
      </c>
      <c r="Y144">
        <f>HYPERLINK("https://klasma.github.io/Logging_0482/kartor_geotiff/A 43008-2023 georefererad karta.tif", "A 43008-2023")</f>
        <v/>
      </c>
      <c r="AA144">
        <f>HYPERLINK("https://klasma.github.io/Logging_0482/klagomål/A 43008-2023 FSC-klagomål.docx", "A 43008-2023")</f>
        <v/>
      </c>
      <c r="AB144">
        <f>HYPERLINK("https://klasma.github.io/Logging_0482/klagomålsmail/A 43008-2023 FSC-klagomål mail.docx", "A 43008-2023")</f>
        <v/>
      </c>
      <c r="AC144">
        <f>HYPERLINK("https://klasma.github.io/Logging_0482/tillsyn/A 43008-2023 tillsynsbegäran.docx", "A 43008-2023")</f>
        <v/>
      </c>
      <c r="AD144">
        <f>HYPERLINK("https://klasma.github.io/Logging_0482/tillsynsmail/A 43008-2023 tillsynsbegäran mail.docx", "A 43008-2023")</f>
        <v/>
      </c>
    </row>
    <row r="145" ht="15" customHeight="1">
      <c r="A145" t="inlineStr">
        <is>
          <t>A 21704-2026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46265</v>
      </c>
      <c r="F145" t="inlineStr">
        <is>
          <t>SÖDERMANLANDS LÄN</t>
        </is>
      </c>
      <c r="G145" t="inlineStr">
        <is>
          <t>FLEN</t>
        </is>
      </c>
      <c r="I145" t="n">
        <v>10.2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Kandelabersvamp</t>
        </is>
      </c>
      <c r="W145">
        <f>HYPERLINK("https://klasma.github.io/Logging_0482/artfynd/A 21704-2026 artfynd.xlsx", "A 21704-2026")</f>
        <v/>
      </c>
      <c r="X145">
        <f>HYPERLINK("https://klasma.github.io/Logging_0482/kartor/A 21704-2026 karta.png", "A 21704-2026")</f>
        <v/>
      </c>
      <c r="Y145">
        <f>HYPERLINK("https://klasma.github.io/Logging_0482/kartor_geotiff/A 21704-2026 georefererad karta.tif", "A 21704-2026")</f>
        <v/>
      </c>
      <c r="AA145">
        <f>HYPERLINK("https://klasma.github.io/Logging_0482/klagomål/A 21704-2026 FSC-klagomål.docx", "A 21704-2026")</f>
        <v/>
      </c>
      <c r="AB145">
        <f>HYPERLINK("https://klasma.github.io/Logging_0482/klagomålsmail/A 21704-2026 FSC-klagomål mail.docx", "A 21704-2026")</f>
        <v/>
      </c>
      <c r="AC145">
        <f>HYPERLINK("https://klasma.github.io/Logging_0482/tillsyn/A 21704-2026 tillsynsbegäran.docx", "A 21704-2026")</f>
        <v/>
      </c>
      <c r="AD145">
        <f>HYPERLINK("https://klasma.github.io/Logging_0482/tillsynsmail/A 21704-2026 tillsynsbegäran mail.docx", "A 21704-2026")</f>
        <v/>
      </c>
    </row>
    <row r="146" ht="15" customHeight="1">
      <c r="A146" t="inlineStr">
        <is>
          <t>A 37317-2023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46265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5.1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Svavelriska</t>
        </is>
      </c>
      <c r="W146">
        <f>HYPERLINK("https://klasma.github.io/Logging_0482/artfynd/A 37317-2023 artfynd.xlsx", "A 37317-2023")</f>
        <v/>
      </c>
      <c r="X146">
        <f>HYPERLINK("https://klasma.github.io/Logging_0482/kartor/A 37317-2023 karta.png", "A 37317-2023")</f>
        <v/>
      </c>
      <c r="Y146">
        <f>HYPERLINK("https://klasma.github.io/Logging_0482/kartor_geotiff/A 37317-2023 georefererad karta.tif", "A 37317-2023")</f>
        <v/>
      </c>
      <c r="AA146">
        <f>HYPERLINK("https://klasma.github.io/Logging_0482/klagomål/A 37317-2023 FSC-klagomål.docx", "A 37317-2023")</f>
        <v/>
      </c>
      <c r="AB146">
        <f>HYPERLINK("https://klasma.github.io/Logging_0482/klagomålsmail/A 37317-2023 FSC-klagomål mail.docx", "A 37317-2023")</f>
        <v/>
      </c>
      <c r="AC146">
        <f>HYPERLINK("https://klasma.github.io/Logging_0482/tillsyn/A 37317-2023 tillsynsbegäran.docx", "A 37317-2023")</f>
        <v/>
      </c>
      <c r="AD146">
        <f>HYPERLINK("https://klasma.github.io/Logging_0482/tillsynsmail/A 37317-2023 tillsynsbegäran mail.docx", "A 37317-2023")</f>
        <v/>
      </c>
    </row>
    <row r="147" ht="15" customHeight="1">
      <c r="A147" t="inlineStr">
        <is>
          <t>A 24179-2026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46265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Gullklöver</t>
        </is>
      </c>
      <c r="W147">
        <f>HYPERLINK("https://klasma.github.io/Logging_0482/artfynd/A 24179-2026 artfynd.xlsx", "A 24179-2026")</f>
        <v/>
      </c>
      <c r="X147">
        <f>HYPERLINK("https://klasma.github.io/Logging_0482/kartor/A 24179-2026 karta.png", "A 24179-2026")</f>
        <v/>
      </c>
      <c r="Y147">
        <f>HYPERLINK("https://klasma.github.io/Logging_0482/kartor_geotiff/A 24179-2026 georefererad karta.tif", "A 24179-2026")</f>
        <v/>
      </c>
      <c r="AA147">
        <f>HYPERLINK("https://klasma.github.io/Logging_0482/klagomål/A 24179-2026 FSC-klagomål.docx", "A 24179-2026")</f>
        <v/>
      </c>
      <c r="AB147">
        <f>HYPERLINK("https://klasma.github.io/Logging_0482/klagomålsmail/A 24179-2026 FSC-klagomål mail.docx", "A 24179-2026")</f>
        <v/>
      </c>
      <c r="AC147">
        <f>HYPERLINK("https://klasma.github.io/Logging_0482/tillsyn/A 24179-2026 tillsynsbegäran.docx", "A 24179-2026")</f>
        <v/>
      </c>
      <c r="AD147">
        <f>HYPERLINK("https://klasma.github.io/Logging_0482/tillsynsmail/A 24179-2026 tillsynsbegäran mail.docx", "A 24179-2026")</f>
        <v/>
      </c>
    </row>
    <row r="148" ht="15" customHeight="1">
      <c r="A148" t="inlineStr">
        <is>
          <t>A 26310-2026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46265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Spillkråka</t>
        </is>
      </c>
      <c r="W148">
        <f>HYPERLINK("https://klasma.github.io/Logging_0482/artfynd/A 26310-2026 artfynd.xlsx", "A 26310-2026")</f>
        <v/>
      </c>
      <c r="X148">
        <f>HYPERLINK("https://klasma.github.io/Logging_0482/kartor/A 26310-2026 karta.png", "A 26310-2026")</f>
        <v/>
      </c>
      <c r="Y148">
        <f>HYPERLINK("https://klasma.github.io/Logging_0482/kartor_geotiff/A 26310-2026 georefererad karta.tif", "A 26310-2026")</f>
        <v/>
      </c>
      <c r="AA148">
        <f>HYPERLINK("https://klasma.github.io/Logging_0482/klagomål/A 26310-2026 FSC-klagomål.docx", "A 26310-2026")</f>
        <v/>
      </c>
      <c r="AB148">
        <f>HYPERLINK("https://klasma.github.io/Logging_0482/klagomålsmail/A 26310-2026 FSC-klagomål mail.docx", "A 26310-2026")</f>
        <v/>
      </c>
      <c r="AC148">
        <f>HYPERLINK("https://klasma.github.io/Logging_0482/tillsyn/A 26310-2026 tillsynsbegäran.docx", "A 26310-2026")</f>
        <v/>
      </c>
      <c r="AD148">
        <f>HYPERLINK("https://klasma.github.io/Logging_0482/tillsynsmail/A 26310-2026 tillsynsbegäran mail.docx", "A 26310-2026")</f>
        <v/>
      </c>
      <c r="AE148">
        <f>HYPERLINK("https://klasma.github.io/Logging_0482/fåglar/A 26310-2026 prioriterade fågelarter.docx", "A 26310-2026")</f>
        <v/>
      </c>
    </row>
    <row r="149" ht="15" customHeight="1">
      <c r="A149" t="inlineStr">
        <is>
          <t>A 26052-2026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46265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HYPERLINK("https://klasma.github.io/Logging_0482/artfynd/A 26052-2026 artfynd.xlsx", "A 26052-2026")</f>
        <v/>
      </c>
      <c r="X149">
        <f>HYPERLINK("https://klasma.github.io/Logging_0482/kartor/A 26052-2026 karta.png", "A 26052-2026")</f>
        <v/>
      </c>
      <c r="Y149">
        <f>HYPERLINK("https://klasma.github.io/Logging_0482/kartor_geotiff/A 26052-2026 georefererad karta.tif", "A 26052-2026")</f>
        <v/>
      </c>
      <c r="AA149">
        <f>HYPERLINK("https://klasma.github.io/Logging_0482/klagomål/A 26052-2026 FSC-klagomål.docx", "A 26052-2026")</f>
        <v/>
      </c>
      <c r="AB149">
        <f>HYPERLINK("https://klasma.github.io/Logging_0482/klagomålsmail/A 26052-2026 FSC-klagomål mail.docx", "A 26052-2026")</f>
        <v/>
      </c>
      <c r="AC149">
        <f>HYPERLINK("https://klasma.github.io/Logging_0482/tillsyn/A 26052-2026 tillsynsbegäran.docx", "A 26052-2026")</f>
        <v/>
      </c>
      <c r="AD149">
        <f>HYPERLINK("https://klasma.github.io/Logging_0482/tillsynsmail/A 26052-2026 tillsynsbegäran mail.docx", "A 26052-2026")</f>
        <v/>
      </c>
    </row>
    <row r="150" ht="15" customHeight="1">
      <c r="A150" t="inlineStr">
        <is>
          <t>A 30406-2026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46209</v>
      </c>
      <c r="E150" s="1" t="n">
        <v>46265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1.1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HYPERLINK("https://klasma.github.io/Logging_0482/artfynd/A 30406-2026 artfynd.xlsx", "A 30406-2026")</f>
        <v/>
      </c>
      <c r="X150">
        <f>HYPERLINK("https://klasma.github.io/Logging_0482/kartor/A 30406-2026 karta.png", "A 30406-2026")</f>
        <v/>
      </c>
      <c r="Y150">
        <f>HYPERLINK("https://klasma.github.io/Logging_0482/kartor_geotiff/A 30406-2026 georefererad karta.tif", "A 30406-2026")</f>
        <v/>
      </c>
      <c r="AA150">
        <f>HYPERLINK("https://klasma.github.io/Logging_0482/klagomål/A 30406-2026 FSC-klagomål.docx", "A 30406-2026")</f>
        <v/>
      </c>
      <c r="AB150">
        <f>HYPERLINK("https://klasma.github.io/Logging_0482/klagomålsmail/A 30406-2026 FSC-klagomål mail.docx", "A 30406-2026")</f>
        <v/>
      </c>
      <c r="AC150">
        <f>HYPERLINK("https://klasma.github.io/Logging_0482/tillsyn/A 30406-2026 tillsynsbegäran.docx", "A 30406-2026")</f>
        <v/>
      </c>
      <c r="AD150">
        <f>HYPERLINK("https://klasma.github.io/Logging_0482/tillsynsmail/A 30406-2026 tillsynsbegäran mail.docx", "A 30406-2026")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46265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46265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46265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46265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46265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46265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46265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46265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46265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46265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46265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46265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46265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46265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46265</v>
      </c>
      <c r="F165" t="inlineStr">
        <is>
          <t>SÖDERMANLANDS LÄN</t>
        </is>
      </c>
      <c r="G165" t="inlineStr">
        <is>
          <t>FLEN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46265</v>
      </c>
      <c r="F166" t="inlineStr">
        <is>
          <t>SÖDERMANLANDS LÄN</t>
        </is>
      </c>
      <c r="G166" t="inlineStr">
        <is>
          <t>FLEN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46265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46265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46265</v>
      </c>
      <c r="F169" t="inlineStr">
        <is>
          <t>SÖDERMANLANDS LÄN</t>
        </is>
      </c>
      <c r="G169" t="inlineStr">
        <is>
          <t>FLEN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46265</v>
      </c>
      <c r="F170" t="inlineStr">
        <is>
          <t>SÖDERMANLANDS LÄN</t>
        </is>
      </c>
      <c r="G170" t="inlineStr">
        <is>
          <t>FLEN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46265</v>
      </c>
      <c r="F171" t="inlineStr">
        <is>
          <t>SÖDERMANLANDS LÄN</t>
        </is>
      </c>
      <c r="G171" t="inlineStr">
        <is>
          <t>FLEN</t>
        </is>
      </c>
      <c r="I171" t="n">
        <v>14.7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46265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46265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46265</v>
      </c>
      <c r="F174" t="inlineStr">
        <is>
          <t>SÖDERMANLANDS LÄN</t>
        </is>
      </c>
      <c r="G174" t="inlineStr">
        <is>
          <t>FLEN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46265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48166-2021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46265</v>
      </c>
      <c r="F176" t="inlineStr">
        <is>
          <t>SÖDERMANLANDS LÄN</t>
        </is>
      </c>
      <c r="G176" t="inlineStr">
        <is>
          <t>FLEN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46265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46265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46265</v>
      </c>
      <c r="F179" t="inlineStr">
        <is>
          <t>SÖDERMANLANDS LÄN</t>
        </is>
      </c>
      <c r="G179" t="inlineStr">
        <is>
          <t>FLEN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44448</v>
      </c>
      <c r="E180" s="1" t="n">
        <v>46265</v>
      </c>
      <c r="F180" t="inlineStr">
        <is>
          <t>SÖDERMANLANDS LÄN</t>
        </is>
      </c>
      <c r="G180" t="inlineStr">
        <is>
          <t>FLEN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44640</v>
      </c>
      <c r="E181" s="1" t="n">
        <v>46265</v>
      </c>
      <c r="F181" t="inlineStr">
        <is>
          <t>SÖDERMANLANDS LÄN</t>
        </is>
      </c>
      <c r="G181" t="inlineStr">
        <is>
          <t>FLEN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46265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46265</v>
      </c>
      <c r="F183" t="inlineStr">
        <is>
          <t>SÖDERMANLANDS LÄN</t>
        </is>
      </c>
      <c r="G183" t="inlineStr">
        <is>
          <t>FLEN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46265</v>
      </c>
      <c r="F184" t="inlineStr">
        <is>
          <t>SÖDERMANLANDS LÄN</t>
        </is>
      </c>
      <c r="G184" t="inlineStr">
        <is>
          <t>FLEN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46265</v>
      </c>
      <c r="F185" t="inlineStr">
        <is>
          <t>SÖDERMANLANDS LÄN</t>
        </is>
      </c>
      <c r="G185" t="inlineStr">
        <is>
          <t>FLEN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46265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46265</v>
      </c>
      <c r="F187" t="inlineStr">
        <is>
          <t>SÖDERMANLANDS LÄN</t>
        </is>
      </c>
      <c r="G187" t="inlineStr">
        <is>
          <t>FLEN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46265</v>
      </c>
      <c r="F188" t="inlineStr">
        <is>
          <t>SÖDERMANLANDS LÄN</t>
        </is>
      </c>
      <c r="G188" t="inlineStr">
        <is>
          <t>FLEN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46265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46265</v>
      </c>
      <c r="F190" t="inlineStr">
        <is>
          <t>SÖDERMANLANDS LÄN</t>
        </is>
      </c>
      <c r="G190" t="inlineStr">
        <is>
          <t>FLEN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44854</v>
      </c>
      <c r="E191" s="1" t="n">
        <v>46265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46265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44450</v>
      </c>
      <c r="E193" s="1" t="n">
        <v>46265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46265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44769</v>
      </c>
      <c r="E195" s="1" t="n">
        <v>46265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46265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46265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46265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46265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46265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46265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46265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46265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46265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46265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46265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46265</v>
      </c>
      <c r="F207" t="inlineStr">
        <is>
          <t>SÖDERMANLANDS LÄN</t>
        </is>
      </c>
      <c r="G207" t="inlineStr">
        <is>
          <t>FLEN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44705</v>
      </c>
      <c r="E208" s="1" t="n">
        <v>46265</v>
      </c>
      <c r="F208" t="inlineStr">
        <is>
          <t>SÖDERMANLANDS LÄN</t>
        </is>
      </c>
      <c r="G208" t="inlineStr">
        <is>
          <t>FLEN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46265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46265</v>
      </c>
      <c r="F210" t="inlineStr">
        <is>
          <t>SÖDERMANLANDS LÄN</t>
        </is>
      </c>
      <c r="G210" t="inlineStr">
        <is>
          <t>FLEN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45311</v>
      </c>
      <c r="E211" s="1" t="n">
        <v>46265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46265</v>
      </c>
      <c r="F212" t="inlineStr">
        <is>
          <t>SÖDERMANLANDS LÄN</t>
        </is>
      </c>
      <c r="G212" t="inlineStr">
        <is>
          <t>FLEN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46265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46265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45228</v>
      </c>
      <c r="E215" s="1" t="n">
        <v>46265</v>
      </c>
      <c r="F215" t="inlineStr">
        <is>
          <t>SÖDERMANLANDS LÄN</t>
        </is>
      </c>
      <c r="G215" t="inlineStr">
        <is>
          <t>FLEN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46265</v>
      </c>
      <c r="F216" t="inlineStr">
        <is>
          <t>SÖDERMANLANDS LÄN</t>
        </is>
      </c>
      <c r="G216" t="inlineStr">
        <is>
          <t>FLEN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46265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46265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46265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45398</v>
      </c>
      <c r="E220" s="1" t="n">
        <v>46265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46265</v>
      </c>
      <c r="F221" t="inlineStr">
        <is>
          <t>SÖDERMANLANDS LÄN</t>
        </is>
      </c>
      <c r="G221" t="inlineStr">
        <is>
          <t>FLEN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46265</v>
      </c>
      <c r="F222" t="inlineStr">
        <is>
          <t>SÖDERMANLANDS LÄN</t>
        </is>
      </c>
      <c r="G222" t="inlineStr">
        <is>
          <t>FLEN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45350</v>
      </c>
      <c r="E223" s="1" t="n">
        <v>46265</v>
      </c>
      <c r="F223" t="inlineStr">
        <is>
          <t>SÖDERMANLANDS LÄN</t>
        </is>
      </c>
      <c r="G223" t="inlineStr">
        <is>
          <t>FLEN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46265</v>
      </c>
      <c r="F224" t="inlineStr">
        <is>
          <t>SÖDERMANLANDS LÄN</t>
        </is>
      </c>
      <c r="G224" t="inlineStr">
        <is>
          <t>FLEN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45008</v>
      </c>
      <c r="E225" s="1" t="n">
        <v>46265</v>
      </c>
      <c r="F225" t="inlineStr">
        <is>
          <t>SÖDERMANLANDS LÄN</t>
        </is>
      </c>
      <c r="G225" t="inlineStr">
        <is>
          <t>FLEN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46265</v>
      </c>
      <c r="F226" t="inlineStr">
        <is>
          <t>SÖDERMANLANDS LÄN</t>
        </is>
      </c>
      <c r="G226" t="inlineStr">
        <is>
          <t>FLEN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46265</v>
      </c>
      <c r="F227" t="inlineStr">
        <is>
          <t>SÖDERMANLANDS LÄN</t>
        </is>
      </c>
      <c r="G227" t="inlineStr">
        <is>
          <t>FLEN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46265</v>
      </c>
      <c r="F228" t="inlineStr">
        <is>
          <t>SÖDERMANLANDS LÄN</t>
        </is>
      </c>
      <c r="G228" t="inlineStr">
        <is>
          <t>FLEN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46265</v>
      </c>
      <c r="F229" t="inlineStr">
        <is>
          <t>SÖDERMANLANDS LÄN</t>
        </is>
      </c>
      <c r="G229" t="inlineStr">
        <is>
          <t>FLEN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46265</v>
      </c>
      <c r="F230" t="inlineStr">
        <is>
          <t>SÖDERMANLANDS LÄN</t>
        </is>
      </c>
      <c r="G230" t="inlineStr">
        <is>
          <t>FLEN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46265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46265</v>
      </c>
      <c r="F232" t="inlineStr">
        <is>
          <t>SÖDERMANLANDS LÄN</t>
        </is>
      </c>
      <c r="G232" t="inlineStr">
        <is>
          <t>FLEN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46265</v>
      </c>
      <c r="F233" t="inlineStr">
        <is>
          <t>SÖDERMANLANDS LÄN</t>
        </is>
      </c>
      <c r="G233" t="inlineStr">
        <is>
          <t>FLEN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54282-2025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45964</v>
      </c>
      <c r="E234" s="1" t="n">
        <v>46265</v>
      </c>
      <c r="F234" t="inlineStr">
        <is>
          <t>SÖDERMANLANDS LÄN</t>
        </is>
      </c>
      <c r="G234" t="inlineStr">
        <is>
          <t>FLEN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54283-2025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45964</v>
      </c>
      <c r="E235" s="1" t="n">
        <v>46265</v>
      </c>
      <c r="F235" t="inlineStr">
        <is>
          <t>SÖDERMANLANDS LÄN</t>
        </is>
      </c>
      <c r="G235" t="inlineStr">
        <is>
          <t>FLEN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44887</v>
      </c>
      <c r="E236" s="1" t="n">
        <v>46265</v>
      </c>
      <c r="F236" t="inlineStr">
        <is>
          <t>SÖDERMANLANDS LÄN</t>
        </is>
      </c>
      <c r="G236" t="inlineStr">
        <is>
          <t>FLEN</t>
        </is>
      </c>
      <c r="I236" t="n">
        <v>11.3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46265</v>
      </c>
      <c r="F237" t="inlineStr">
        <is>
          <t>SÖDERMANLANDS LÄN</t>
        </is>
      </c>
      <c r="G237" t="inlineStr">
        <is>
          <t>FLEN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46265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46265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65869-2021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46265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45322</v>
      </c>
      <c r="E241" s="1" t="n">
        <v>46265</v>
      </c>
      <c r="F241" t="inlineStr">
        <is>
          <t>SÖDERMANLANDS LÄN</t>
        </is>
      </c>
      <c r="G241" t="inlineStr">
        <is>
          <t>FLEN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45256</v>
      </c>
      <c r="E242" s="1" t="n">
        <v>46265</v>
      </c>
      <c r="F242" t="inlineStr">
        <is>
          <t>SÖDERMANLANDS LÄN</t>
        </is>
      </c>
      <c r="G242" t="inlineStr">
        <is>
          <t>FLEN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46265</v>
      </c>
      <c r="F243" t="inlineStr">
        <is>
          <t>SÖDERMANLANDS LÄN</t>
        </is>
      </c>
      <c r="G243" t="inlineStr">
        <is>
          <t>FLEN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46265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46265</v>
      </c>
      <c r="F245" t="inlineStr">
        <is>
          <t>SÖDERMANLANDS LÄN</t>
        </is>
      </c>
      <c r="G245" t="inlineStr">
        <is>
          <t>FLEN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45974</v>
      </c>
      <c r="E246" s="1" t="n">
        <v>46265</v>
      </c>
      <c r="F246" t="inlineStr">
        <is>
          <t>SÖDERMANLANDS LÄN</t>
        </is>
      </c>
      <c r="G246" t="inlineStr">
        <is>
          <t>FLEN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46265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46265</v>
      </c>
      <c r="F248" t="inlineStr">
        <is>
          <t>SÖDERMANLANDS LÄN</t>
        </is>
      </c>
      <c r="G248" t="inlineStr">
        <is>
          <t>FLEN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46265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45797</v>
      </c>
      <c r="E250" s="1" t="n">
        <v>46265</v>
      </c>
      <c r="F250" t="inlineStr">
        <is>
          <t>SÖDERMANLANDS LÄN</t>
        </is>
      </c>
      <c r="G250" t="inlineStr">
        <is>
          <t>FLEN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46265</v>
      </c>
      <c r="F251" t="inlineStr">
        <is>
          <t>SÖDERMANLANDS LÄN</t>
        </is>
      </c>
      <c r="G251" t="inlineStr">
        <is>
          <t>FLEN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46265</v>
      </c>
      <c r="F252" t="inlineStr">
        <is>
          <t>SÖDERMANLANDS LÄN</t>
        </is>
      </c>
      <c r="G252" t="inlineStr">
        <is>
          <t>FLEN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46265</v>
      </c>
      <c r="F253" t="inlineStr">
        <is>
          <t>SÖDERMANLANDS LÄN</t>
        </is>
      </c>
      <c r="G253" t="inlineStr">
        <is>
          <t>FLEN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66979-2021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44522</v>
      </c>
      <c r="E254" s="1" t="n">
        <v>46265</v>
      </c>
      <c r="F254" t="inlineStr">
        <is>
          <t>SÖDERMANLANDS LÄN</t>
        </is>
      </c>
      <c r="G254" t="inlineStr">
        <is>
          <t>FLEN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46265</v>
      </c>
      <c r="F255" t="inlineStr">
        <is>
          <t>SÖDERMANLANDS LÄN</t>
        </is>
      </c>
      <c r="G255" t="inlineStr">
        <is>
          <t>FLEN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46265</v>
      </c>
      <c r="F256" t="inlineStr">
        <is>
          <t>SÖDERMANLANDS LÄN</t>
        </is>
      </c>
      <c r="G256" t="inlineStr">
        <is>
          <t>FLEN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45702</v>
      </c>
      <c r="E257" s="1" t="n">
        <v>46265</v>
      </c>
      <c r="F257" t="inlineStr">
        <is>
          <t>SÖDERMANLANDS LÄN</t>
        </is>
      </c>
      <c r="G257" t="inlineStr">
        <is>
          <t>FLEN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46265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46265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46265</v>
      </c>
      <c r="F260" t="inlineStr">
        <is>
          <t>SÖDERMANLANDS LÄN</t>
        </is>
      </c>
      <c r="G260" t="inlineStr">
        <is>
          <t>FLEN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12172-2022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44636</v>
      </c>
      <c r="E261" s="1" t="n">
        <v>46265</v>
      </c>
      <c r="F261" t="inlineStr">
        <is>
          <t>SÖDERMANLANDS LÄN</t>
        </is>
      </c>
      <c r="G261" t="inlineStr">
        <is>
          <t>FLEN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46265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44859</v>
      </c>
      <c r="E263" s="1" t="n">
        <v>46265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46265</v>
      </c>
      <c r="F264" t="inlineStr">
        <is>
          <t>SÖDERMANLANDS LÄN</t>
        </is>
      </c>
      <c r="G264" t="inlineStr">
        <is>
          <t>FLEN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46265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46265</v>
      </c>
      <c r="F266" t="inlineStr">
        <is>
          <t>SÖDERMANLANDS LÄN</t>
        </is>
      </c>
      <c r="G266" t="inlineStr">
        <is>
          <t>FLEN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46265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46265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46265</v>
      </c>
      <c r="F269" t="inlineStr">
        <is>
          <t>SÖDERMANLANDS LÄN</t>
        </is>
      </c>
      <c r="G269" t="inlineStr">
        <is>
          <t>FLEN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46265</v>
      </c>
      <c r="F270" t="inlineStr">
        <is>
          <t>SÖDERMANLANDS LÄN</t>
        </is>
      </c>
      <c r="G270" t="inlineStr">
        <is>
          <t>FLEN</t>
        </is>
      </c>
      <c r="H270" t="inlineStr">
        <is>
          <t>Kyrkan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46265</v>
      </c>
      <c r="F271" t="inlineStr">
        <is>
          <t>SÖDERMANLANDS LÄN</t>
        </is>
      </c>
      <c r="G271" t="inlineStr">
        <is>
          <t>FLEN</t>
        </is>
      </c>
      <c r="H271" t="inlineStr">
        <is>
          <t>Kyrkan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45993</v>
      </c>
      <c r="E272" s="1" t="n">
        <v>46265</v>
      </c>
      <c r="F272" t="inlineStr">
        <is>
          <t>SÖDERMANLANDS LÄN</t>
        </is>
      </c>
      <c r="G272" t="inlineStr">
        <is>
          <t>FLEN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46265</v>
      </c>
      <c r="F273" t="inlineStr">
        <is>
          <t>SÖDERMANLANDS LÄN</t>
        </is>
      </c>
      <c r="G273" t="inlineStr">
        <is>
          <t>FLEN</t>
        </is>
      </c>
      <c r="H273" t="inlineStr">
        <is>
          <t>Övriga statliga verk och myndigheter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46265</v>
      </c>
      <c r="F274" t="inlineStr">
        <is>
          <t>SÖDERMANLANDS LÄN</t>
        </is>
      </c>
      <c r="G274" t="inlineStr">
        <is>
          <t>FLEN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46265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44616</v>
      </c>
      <c r="E276" s="1" t="n">
        <v>46265</v>
      </c>
      <c r="F276" t="inlineStr">
        <is>
          <t>SÖDERMANLANDS LÄN</t>
        </is>
      </c>
      <c r="G276" t="inlineStr">
        <is>
          <t>FLEN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45014</v>
      </c>
      <c r="E277" s="1" t="n">
        <v>46265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46265</v>
      </c>
      <c r="F278" t="inlineStr">
        <is>
          <t>SÖDERMANLANDS LÄN</t>
        </is>
      </c>
      <c r="G278" t="inlineStr">
        <is>
          <t>FLEN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44588</v>
      </c>
      <c r="E279" s="1" t="n">
        <v>46265</v>
      </c>
      <c r="F279" t="inlineStr">
        <is>
          <t>SÖDERMANLANDS LÄN</t>
        </is>
      </c>
      <c r="G279" t="inlineStr">
        <is>
          <t>FLEN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44838</v>
      </c>
      <c r="E280" s="1" t="n">
        <v>46265</v>
      </c>
      <c r="F280" t="inlineStr">
        <is>
          <t>SÖDERMANLANDS LÄN</t>
        </is>
      </c>
      <c r="G280" t="inlineStr">
        <is>
          <t>FLEN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4899-2023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44958</v>
      </c>
      <c r="E281" s="1" t="n">
        <v>46265</v>
      </c>
      <c r="F281" t="inlineStr">
        <is>
          <t>SÖDERMANLANDS LÄN</t>
        </is>
      </c>
      <c r="G281" t="inlineStr">
        <is>
          <t>FLEN</t>
        </is>
      </c>
      <c r="H281" t="inlineStr">
        <is>
          <t>Kyrkan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46265</v>
      </c>
      <c r="F282" t="inlineStr">
        <is>
          <t>SÖDERMANLANDS LÄN</t>
        </is>
      </c>
      <c r="G282" t="inlineStr">
        <is>
          <t>FLEN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46265</v>
      </c>
      <c r="F283" t="inlineStr">
        <is>
          <t>SÖDERMANLANDS LÄN</t>
        </is>
      </c>
      <c r="G283" t="inlineStr">
        <is>
          <t>FLEN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46265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45226</v>
      </c>
      <c r="E285" s="1" t="n">
        <v>46265</v>
      </c>
      <c r="F285" t="inlineStr">
        <is>
          <t>SÖDERMANLANDS LÄN</t>
        </is>
      </c>
      <c r="G285" t="inlineStr">
        <is>
          <t>FLEN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46265</v>
      </c>
      <c r="F286" t="inlineStr">
        <is>
          <t>SÖDERMANLANDS LÄN</t>
        </is>
      </c>
      <c r="G286" t="inlineStr">
        <is>
          <t>FLEN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39226-2023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46265</v>
      </c>
      <c r="F287" t="inlineStr">
        <is>
          <t>SÖDERMANLANDS LÄN</t>
        </is>
      </c>
      <c r="G287" t="inlineStr">
        <is>
          <t>FLEN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46265</v>
      </c>
      <c r="F288" t="inlineStr">
        <is>
          <t>SÖDERMANLANDS LÄN</t>
        </is>
      </c>
      <c r="G288" t="inlineStr">
        <is>
          <t>FLEN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45830</v>
      </c>
      <c r="E289" s="1" t="n">
        <v>46265</v>
      </c>
      <c r="F289" t="inlineStr">
        <is>
          <t>SÖDERMANLANDS LÄN</t>
        </is>
      </c>
      <c r="G289" t="inlineStr">
        <is>
          <t>FLEN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45830</v>
      </c>
      <c r="E290" s="1" t="n">
        <v>46265</v>
      </c>
      <c r="F290" t="inlineStr">
        <is>
          <t>SÖDERMANLANDS LÄN</t>
        </is>
      </c>
      <c r="G290" t="inlineStr">
        <is>
          <t>FLEN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67464-2021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46265</v>
      </c>
      <c r="F291" t="inlineStr">
        <is>
          <t>SÖDERMANLANDS LÄN</t>
        </is>
      </c>
      <c r="G291" t="inlineStr">
        <is>
          <t>FLEN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46265</v>
      </c>
      <c r="F292" t="inlineStr">
        <is>
          <t>SÖDERMANLANDS LÄN</t>
        </is>
      </c>
      <c r="G292" t="inlineStr">
        <is>
          <t>FLEN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47604-2021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44448</v>
      </c>
      <c r="E293" s="1" t="n">
        <v>46265</v>
      </c>
      <c r="F293" t="inlineStr">
        <is>
          <t>SÖDERMANLANDS LÄN</t>
        </is>
      </c>
      <c r="G293" t="inlineStr">
        <is>
          <t>FLEN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46265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44986</v>
      </c>
      <c r="E295" s="1" t="n">
        <v>46265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46265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44778</v>
      </c>
      <c r="E297" s="1" t="n">
        <v>46265</v>
      </c>
      <c r="F297" t="inlineStr">
        <is>
          <t>SÖDERMANLANDS LÄN</t>
        </is>
      </c>
      <c r="G297" t="inlineStr">
        <is>
          <t>FLEN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46265</v>
      </c>
      <c r="F298" t="inlineStr">
        <is>
          <t>SÖDERMANLANDS LÄN</t>
        </is>
      </c>
      <c r="G298" t="inlineStr">
        <is>
          <t>FLEN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22827-2024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45448</v>
      </c>
      <c r="E299" s="1" t="n">
        <v>46265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46265</v>
      </c>
      <c r="F300" t="inlineStr">
        <is>
          <t>SÖDERMANLANDS LÄN</t>
        </is>
      </c>
      <c r="G300" t="inlineStr">
        <is>
          <t>FLEN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46265</v>
      </c>
      <c r="F301" t="inlineStr">
        <is>
          <t>SÖDERMANLANDS LÄN</t>
        </is>
      </c>
      <c r="G301" t="inlineStr">
        <is>
          <t>FLEN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46265</v>
      </c>
      <c r="F302" t="inlineStr">
        <is>
          <t>SÖDERMANLANDS LÄN</t>
        </is>
      </c>
      <c r="G302" t="inlineStr">
        <is>
          <t>FLEN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46265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46265</v>
      </c>
      <c r="F304" t="inlineStr">
        <is>
          <t>SÖDERMANLANDS LÄN</t>
        </is>
      </c>
      <c r="G304" t="inlineStr">
        <is>
          <t>FLEN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44761</v>
      </c>
      <c r="E305" s="1" t="n">
        <v>46265</v>
      </c>
      <c r="F305" t="inlineStr">
        <is>
          <t>SÖDERMANLANDS LÄN</t>
        </is>
      </c>
      <c r="G305" t="inlineStr">
        <is>
          <t>FLEN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44899</v>
      </c>
      <c r="E306" s="1" t="n">
        <v>46265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46265</v>
      </c>
      <c r="F307" t="inlineStr">
        <is>
          <t>SÖDERMANLANDS LÄN</t>
        </is>
      </c>
      <c r="G307" t="inlineStr">
        <is>
          <t>FLEN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46265</v>
      </c>
      <c r="F308" t="inlineStr">
        <is>
          <t>SÖDERMANLANDS LÄN</t>
        </is>
      </c>
      <c r="G308" t="inlineStr">
        <is>
          <t>FLEN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46265</v>
      </c>
      <c r="F309" t="inlineStr">
        <is>
          <t>SÖDERMANLANDS LÄN</t>
        </is>
      </c>
      <c r="G309" t="inlineStr">
        <is>
          <t>FLEN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46265</v>
      </c>
      <c r="F310" t="inlineStr">
        <is>
          <t>SÖDERMANLANDS LÄN</t>
        </is>
      </c>
      <c r="G310" t="inlineStr">
        <is>
          <t>FLEN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46265</v>
      </c>
      <c r="F311" t="inlineStr">
        <is>
          <t>SÖDERMANLANDS LÄN</t>
        </is>
      </c>
      <c r="G311" t="inlineStr">
        <is>
          <t>FLEN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46265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46265</v>
      </c>
      <c r="F313" t="inlineStr">
        <is>
          <t>SÖDERMANLANDS LÄN</t>
        </is>
      </c>
      <c r="G313" t="inlineStr">
        <is>
          <t>FLEN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49775-2024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45597</v>
      </c>
      <c r="E314" s="1" t="n">
        <v>46265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45632</v>
      </c>
      <c r="E315" s="1" t="n">
        <v>46265</v>
      </c>
      <c r="F315" t="inlineStr">
        <is>
          <t>SÖDERMANLANDS LÄN</t>
        </is>
      </c>
      <c r="G315" t="inlineStr">
        <is>
          <t>FLEN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46265</v>
      </c>
      <c r="F316" t="inlineStr">
        <is>
          <t>SÖDERMANLANDS LÄN</t>
        </is>
      </c>
      <c r="G316" t="inlineStr">
        <is>
          <t>FLEN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45225</v>
      </c>
      <c r="E317" s="1" t="n">
        <v>46265</v>
      </c>
      <c r="F317" t="inlineStr">
        <is>
          <t>SÖDERMANLANDS LÄN</t>
        </is>
      </c>
      <c r="G317" t="inlineStr">
        <is>
          <t>FLEN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46265</v>
      </c>
      <c r="F318" t="inlineStr">
        <is>
          <t>SÖDERMANLANDS LÄN</t>
        </is>
      </c>
      <c r="G318" t="inlineStr">
        <is>
          <t>FLEN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46265</v>
      </c>
      <c r="F319" t="inlineStr">
        <is>
          <t>SÖDERMANLANDS LÄN</t>
        </is>
      </c>
      <c r="G319" t="inlineStr">
        <is>
          <t>FLEN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45228</v>
      </c>
      <c r="E320" s="1" t="n">
        <v>46265</v>
      </c>
      <c r="F320" t="inlineStr">
        <is>
          <t>SÖDERMANLANDS LÄN</t>
        </is>
      </c>
      <c r="G320" t="inlineStr">
        <is>
          <t>FLEN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66867-2021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44522</v>
      </c>
      <c r="E321" s="1" t="n">
        <v>46265</v>
      </c>
      <c r="F321" t="inlineStr">
        <is>
          <t>SÖDERMANLANDS LÄN</t>
        </is>
      </c>
      <c r="G321" t="inlineStr">
        <is>
          <t>FLEN</t>
        </is>
      </c>
      <c r="H321" t="inlineStr">
        <is>
          <t>Kyrkan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45211</v>
      </c>
      <c r="E322" s="1" t="n">
        <v>46265</v>
      </c>
      <c r="F322" t="inlineStr">
        <is>
          <t>SÖDERMANLANDS LÄN</t>
        </is>
      </c>
      <c r="G322" t="inlineStr">
        <is>
          <t>FLEN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46265</v>
      </c>
      <c r="F323" t="inlineStr">
        <is>
          <t>SÖDERMANLANDS LÄN</t>
        </is>
      </c>
      <c r="G323" t="inlineStr">
        <is>
          <t>FLEN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46265</v>
      </c>
      <c r="F324" t="inlineStr">
        <is>
          <t>SÖDERMANLANDS LÄN</t>
        </is>
      </c>
      <c r="G324" t="inlineStr">
        <is>
          <t>FLEN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46265</v>
      </c>
      <c r="F325" t="inlineStr">
        <is>
          <t>SÖDERMANLANDS LÄN</t>
        </is>
      </c>
      <c r="G325" t="inlineStr">
        <is>
          <t>FLEN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45345</v>
      </c>
      <c r="E326" s="1" t="n">
        <v>46265</v>
      </c>
      <c r="F326" t="inlineStr">
        <is>
          <t>SÖDERMANLANDS LÄN</t>
        </is>
      </c>
      <c r="G326" t="inlineStr">
        <is>
          <t>FLEN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24348-2023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45082</v>
      </c>
      <c r="E327" s="1" t="n">
        <v>46265</v>
      </c>
      <c r="F327" t="inlineStr">
        <is>
          <t>SÖDERMANLANDS LÄN</t>
        </is>
      </c>
      <c r="G327" t="inlineStr">
        <is>
          <t>FLEN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44909</v>
      </c>
      <c r="E328" s="1" t="n">
        <v>46265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45041</v>
      </c>
      <c r="E329" s="1" t="n">
        <v>46265</v>
      </c>
      <c r="F329" t="inlineStr">
        <is>
          <t>SÖDERMANLANDS LÄN</t>
        </is>
      </c>
      <c r="G329" t="inlineStr">
        <is>
          <t>FLEN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46265</v>
      </c>
      <c r="F330" t="inlineStr">
        <is>
          <t>SÖDERMANLANDS LÄN</t>
        </is>
      </c>
      <c r="G330" t="inlineStr">
        <is>
          <t>FLEN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46265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47187-2022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44848</v>
      </c>
      <c r="E332" s="1" t="n">
        <v>46265</v>
      </c>
      <c r="F332" t="inlineStr">
        <is>
          <t>SÖDERMANLANDS LÄN</t>
        </is>
      </c>
      <c r="G332" t="inlineStr">
        <is>
          <t>FLEN</t>
        </is>
      </c>
      <c r="H332" t="inlineStr">
        <is>
          <t>Övriga statliga verk och myndigheter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46265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46265</v>
      </c>
      <c r="F334" t="inlineStr">
        <is>
          <t>SÖDERMANLANDS LÄN</t>
        </is>
      </c>
      <c r="G334" t="inlineStr">
        <is>
          <t>FLEN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46265</v>
      </c>
      <c r="F335" t="inlineStr">
        <is>
          <t>SÖDERMANLANDS LÄN</t>
        </is>
      </c>
      <c r="G335" t="inlineStr">
        <is>
          <t>FLEN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44864</v>
      </c>
      <c r="E336" s="1" t="n">
        <v>46265</v>
      </c>
      <c r="F336" t="inlineStr">
        <is>
          <t>SÖDERMANLANDS LÄN</t>
        </is>
      </c>
      <c r="G336" t="inlineStr">
        <is>
          <t>FLEN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50796-2021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44459</v>
      </c>
      <c r="E337" s="1" t="n">
        <v>46265</v>
      </c>
      <c r="F337" t="inlineStr">
        <is>
          <t>SÖDERMANLANDS LÄN</t>
        </is>
      </c>
      <c r="G337" t="inlineStr">
        <is>
          <t>FLEN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45216</v>
      </c>
      <c r="E338" s="1" t="n">
        <v>46265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45555</v>
      </c>
      <c r="E339" s="1" t="n">
        <v>46265</v>
      </c>
      <c r="F339" t="inlineStr">
        <is>
          <t>SÖDERMANLANDS LÄN</t>
        </is>
      </c>
      <c r="G339" t="inlineStr">
        <is>
          <t>FLEN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52692-2021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44466</v>
      </c>
      <c r="E340" s="1" t="n">
        <v>46265</v>
      </c>
      <c r="F340" t="inlineStr">
        <is>
          <t>SÖDERMANLANDS LÄN</t>
        </is>
      </c>
      <c r="G340" t="inlineStr">
        <is>
          <t>FLEN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46265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46265</v>
      </c>
      <c r="F342" t="inlineStr">
        <is>
          <t>SÖDERMANLANDS LÄN</t>
        </is>
      </c>
      <c r="G342" t="inlineStr">
        <is>
          <t>FLEN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45260</v>
      </c>
      <c r="E343" s="1" t="n">
        <v>46265</v>
      </c>
      <c r="F343" t="inlineStr">
        <is>
          <t>SÖDERMANLANDS LÄN</t>
        </is>
      </c>
      <c r="G343" t="inlineStr">
        <is>
          <t>FLEN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45271</v>
      </c>
      <c r="E344" s="1" t="n">
        <v>46265</v>
      </c>
      <c r="F344" t="inlineStr">
        <is>
          <t>SÖDERMANLANDS LÄN</t>
        </is>
      </c>
      <c r="G344" t="inlineStr">
        <is>
          <t>FLEN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46265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46265</v>
      </c>
      <c r="F346" t="inlineStr">
        <is>
          <t>SÖDERMANLANDS LÄN</t>
        </is>
      </c>
      <c r="G346" t="inlineStr">
        <is>
          <t>FLEN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46265</v>
      </c>
      <c r="F347" t="inlineStr">
        <is>
          <t>SÖDERMANLANDS LÄN</t>
        </is>
      </c>
      <c r="G347" t="inlineStr">
        <is>
          <t>FLEN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45034</v>
      </c>
      <c r="E348" s="1" t="n">
        <v>46265</v>
      </c>
      <c r="F348" t="inlineStr">
        <is>
          <t>SÖDERMANLANDS LÄN</t>
        </is>
      </c>
      <c r="G348" t="inlineStr">
        <is>
          <t>FLEN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46265</v>
      </c>
      <c r="F349" t="inlineStr">
        <is>
          <t>SÖDERMANLANDS LÄN</t>
        </is>
      </c>
      <c r="G349" t="inlineStr">
        <is>
          <t>FLEN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45081</v>
      </c>
      <c r="E350" s="1" t="n">
        <v>46265</v>
      </c>
      <c r="F350" t="inlineStr">
        <is>
          <t>SÖDERMANLANDS LÄN</t>
        </is>
      </c>
      <c r="G350" t="inlineStr">
        <is>
          <t>FLEN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45081</v>
      </c>
      <c r="E351" s="1" t="n">
        <v>46265</v>
      </c>
      <c r="F351" t="inlineStr">
        <is>
          <t>SÖDERMANLANDS LÄN</t>
        </is>
      </c>
      <c r="G351" t="inlineStr">
        <is>
          <t>FLEN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46265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46265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73923-2021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44553</v>
      </c>
      <c r="E354" s="1" t="n">
        <v>46265</v>
      </c>
      <c r="F354" t="inlineStr">
        <is>
          <t>SÖDERMANLANDS LÄN</t>
        </is>
      </c>
      <c r="G354" t="inlineStr">
        <is>
          <t>FLEN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46265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46265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46265</v>
      </c>
      <c r="F357" t="inlineStr">
        <is>
          <t>SÖDERMANLANDS LÄN</t>
        </is>
      </c>
      <c r="G357" t="inlineStr">
        <is>
          <t>FLEN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46265</v>
      </c>
      <c r="F358" t="inlineStr">
        <is>
          <t>SÖDERMANLANDS LÄN</t>
        </is>
      </c>
      <c r="G358" t="inlineStr">
        <is>
          <t>FLEN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46265</v>
      </c>
      <c r="F359" t="inlineStr">
        <is>
          <t>SÖDERMANLANDS LÄN</t>
        </is>
      </c>
      <c r="G359" t="inlineStr">
        <is>
          <t>FLEN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44473</v>
      </c>
      <c r="E360" s="1" t="n">
        <v>46265</v>
      </c>
      <c r="F360" t="inlineStr">
        <is>
          <t>SÖDERMANLANDS LÄN</t>
        </is>
      </c>
      <c r="G360" t="inlineStr">
        <is>
          <t>FLEN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46265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44957</v>
      </c>
      <c r="E362" s="1" t="n">
        <v>46265</v>
      </c>
      <c r="F362" t="inlineStr">
        <is>
          <t>SÖDERMANLANDS LÄN</t>
        </is>
      </c>
      <c r="G362" t="inlineStr">
        <is>
          <t>FLEN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44614</v>
      </c>
      <c r="E363" s="1" t="n">
        <v>46265</v>
      </c>
      <c r="F363" t="inlineStr">
        <is>
          <t>SÖDERMANLANDS LÄN</t>
        </is>
      </c>
      <c r="G363" t="inlineStr">
        <is>
          <t>FLEN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46265</v>
      </c>
      <c r="F364" t="inlineStr">
        <is>
          <t>SÖDERMANLANDS LÄN</t>
        </is>
      </c>
      <c r="G364" t="inlineStr">
        <is>
          <t>FLEN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45528</v>
      </c>
      <c r="E365" s="1" t="n">
        <v>46265</v>
      </c>
      <c r="F365" t="inlineStr">
        <is>
          <t>SÖDERMANLANDS LÄN</t>
        </is>
      </c>
      <c r="G365" t="inlineStr">
        <is>
          <t>FLEN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46265</v>
      </c>
      <c r="F366" t="inlineStr">
        <is>
          <t>SÖDERMANLANDS LÄN</t>
        </is>
      </c>
      <c r="G366" t="inlineStr">
        <is>
          <t>FLEN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72314-2021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46265</v>
      </c>
      <c r="F367" t="inlineStr">
        <is>
          <t>SÖDERMANLANDS LÄN</t>
        </is>
      </c>
      <c r="G367" t="inlineStr">
        <is>
          <t>FLEN</t>
        </is>
      </c>
      <c r="I367" t="n">
        <v>13.8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46265</v>
      </c>
      <c r="F368" t="inlineStr">
        <is>
          <t>SÖDERMANLANDS LÄN</t>
        </is>
      </c>
      <c r="G368" t="inlineStr">
        <is>
          <t>FLEN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46265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46265</v>
      </c>
      <c r="F370" t="inlineStr">
        <is>
          <t>SÖDERMANLANDS LÄN</t>
        </is>
      </c>
      <c r="G370" t="inlineStr">
        <is>
          <t>FLEN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46265</v>
      </c>
      <c r="F371" t="inlineStr">
        <is>
          <t>SÖDERMANLANDS LÄN</t>
        </is>
      </c>
      <c r="G371" t="inlineStr">
        <is>
          <t>FLEN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46265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60255-2021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44495</v>
      </c>
      <c r="E373" s="1" t="n">
        <v>46265</v>
      </c>
      <c r="F373" t="inlineStr">
        <is>
          <t>SÖDERMANLANDS LÄN</t>
        </is>
      </c>
      <c r="G373" t="inlineStr">
        <is>
          <t>FLEN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46265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46265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46265</v>
      </c>
      <c r="F376" t="inlineStr">
        <is>
          <t>SÖDERMANLANDS LÄN</t>
        </is>
      </c>
      <c r="G376" t="inlineStr">
        <is>
          <t>FLEN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46265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46265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46265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46265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45327</v>
      </c>
      <c r="E381" s="1" t="n">
        <v>46265</v>
      </c>
      <c r="F381" t="inlineStr">
        <is>
          <t>SÖDERMANLANDS LÄN</t>
        </is>
      </c>
      <c r="G381" t="inlineStr">
        <is>
          <t>FLEN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45161</v>
      </c>
      <c r="E382" s="1" t="n">
        <v>46265</v>
      </c>
      <c r="F382" t="inlineStr">
        <is>
          <t>SÖDERMANLANDS LÄN</t>
        </is>
      </c>
      <c r="G382" t="inlineStr">
        <is>
          <t>FLEN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46265</v>
      </c>
      <c r="F383" t="inlineStr">
        <is>
          <t>SÖDERMANLANDS LÄN</t>
        </is>
      </c>
      <c r="G383" t="inlineStr">
        <is>
          <t>FLEN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44610</v>
      </c>
      <c r="E384" s="1" t="n">
        <v>46265</v>
      </c>
      <c r="F384" t="inlineStr">
        <is>
          <t>SÖDERMANLANDS LÄN</t>
        </is>
      </c>
      <c r="G384" t="inlineStr">
        <is>
          <t>FLEN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44602</v>
      </c>
      <c r="E385" s="1" t="n">
        <v>46265</v>
      </c>
      <c r="F385" t="inlineStr">
        <is>
          <t>SÖDERMANLANDS LÄN</t>
        </is>
      </c>
      <c r="G385" t="inlineStr">
        <is>
          <t>FLEN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46265</v>
      </c>
      <c r="F386" t="inlineStr">
        <is>
          <t>SÖDERMANLANDS LÄN</t>
        </is>
      </c>
      <c r="G386" t="inlineStr">
        <is>
          <t>FLEN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45328</v>
      </c>
      <c r="E387" s="1" t="n">
        <v>46265</v>
      </c>
      <c r="F387" t="inlineStr">
        <is>
          <t>SÖDERMANLANDS LÄN</t>
        </is>
      </c>
      <c r="G387" t="inlineStr">
        <is>
          <t>FLEN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45555</v>
      </c>
      <c r="E388" s="1" t="n">
        <v>46265</v>
      </c>
      <c r="F388" t="inlineStr">
        <is>
          <t>SÖDERMANLANDS LÄN</t>
        </is>
      </c>
      <c r="G388" t="inlineStr">
        <is>
          <t>FLEN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46265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69588-2021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44531</v>
      </c>
      <c r="E390" s="1" t="n">
        <v>46265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46265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46265</v>
      </c>
      <c r="F392" t="inlineStr">
        <is>
          <t>SÖDERMANLANDS LÄN</t>
        </is>
      </c>
      <c r="G392" t="inlineStr">
        <is>
          <t>FLEN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46265</v>
      </c>
      <c r="F393" t="inlineStr">
        <is>
          <t>SÖDERMANLANDS LÄN</t>
        </is>
      </c>
      <c r="G393" t="inlineStr">
        <is>
          <t>FLEN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44634</v>
      </c>
      <c r="E394" s="1" t="n">
        <v>46265</v>
      </c>
      <c r="F394" t="inlineStr">
        <is>
          <t>SÖDERMANLANDS LÄN</t>
        </is>
      </c>
      <c r="G394" t="inlineStr">
        <is>
          <t>FLEN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18000-2026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46125</v>
      </c>
      <c r="E395" s="1" t="n">
        <v>46265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46265</v>
      </c>
      <c r="F396" t="inlineStr">
        <is>
          <t>SÖDERMANLANDS LÄN</t>
        </is>
      </c>
      <c r="G396" t="inlineStr">
        <is>
          <t>FLEN</t>
        </is>
      </c>
      <c r="H396" t="inlineStr">
        <is>
          <t>Övriga statliga verk och myndigheter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46265</v>
      </c>
      <c r="F397" t="inlineStr">
        <is>
          <t>SÖDERMANLANDS LÄN</t>
        </is>
      </c>
      <c r="G397" t="inlineStr">
        <is>
          <t>FLEN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46265</v>
      </c>
      <c r="F398" t="inlineStr">
        <is>
          <t>SÖDERMANLANDS LÄN</t>
        </is>
      </c>
      <c r="G398" t="inlineStr">
        <is>
          <t>FLEN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46265</v>
      </c>
      <c r="F399" t="inlineStr">
        <is>
          <t>SÖDERMANLANDS LÄN</t>
        </is>
      </c>
      <c r="G399" t="inlineStr">
        <is>
          <t>FLEN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46265</v>
      </c>
      <c r="F400" t="inlineStr">
        <is>
          <t>SÖDERMANLANDS LÄN</t>
        </is>
      </c>
      <c r="G400" t="inlineStr">
        <is>
          <t>FLEN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46265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46265</v>
      </c>
      <c r="F402" t="inlineStr">
        <is>
          <t>SÖDERMANLANDS LÄN</t>
        </is>
      </c>
      <c r="G402" t="inlineStr">
        <is>
          <t>FLEN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46265</v>
      </c>
      <c r="F403" t="inlineStr">
        <is>
          <t>SÖDERMANLANDS LÄN</t>
        </is>
      </c>
      <c r="G403" t="inlineStr">
        <is>
          <t>FLEN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46265</v>
      </c>
      <c r="F404" t="inlineStr">
        <is>
          <t>SÖDERMANLANDS LÄN</t>
        </is>
      </c>
      <c r="G404" t="inlineStr">
        <is>
          <t>FLEN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44676</v>
      </c>
      <c r="E405" s="1" t="n">
        <v>46265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46265</v>
      </c>
      <c r="F406" t="inlineStr">
        <is>
          <t>SÖDERMANLANDS LÄN</t>
        </is>
      </c>
      <c r="G406" t="inlineStr">
        <is>
          <t>FLEN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46265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46265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23716-2024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45454</v>
      </c>
      <c r="E409" s="1" t="n">
        <v>46265</v>
      </c>
      <c r="F409" t="inlineStr">
        <is>
          <t>SÖDERMANLANDS LÄN</t>
        </is>
      </c>
      <c r="G409" t="inlineStr">
        <is>
          <t>FLEN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46134</v>
      </c>
      <c r="E410" s="1" t="n">
        <v>46265</v>
      </c>
      <c r="F410" t="inlineStr">
        <is>
          <t>SÖDERMANLANDS LÄN</t>
        </is>
      </c>
      <c r="G410" t="inlineStr">
        <is>
          <t>FLEN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46265</v>
      </c>
      <c r="F411" t="inlineStr">
        <is>
          <t>SÖDERMANLANDS LÄN</t>
        </is>
      </c>
      <c r="G411" t="inlineStr">
        <is>
          <t>FLEN</t>
        </is>
      </c>
      <c r="H411" t="inlineStr">
        <is>
          <t>Övriga statliga verk och myndigheter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46265</v>
      </c>
      <c r="F412" t="inlineStr">
        <is>
          <t>SÖDERMANLANDS LÄN</t>
        </is>
      </c>
      <c r="G412" t="inlineStr">
        <is>
          <t>FLEN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45789</v>
      </c>
      <c r="E413" s="1" t="n">
        <v>46265</v>
      </c>
      <c r="F413" t="inlineStr">
        <is>
          <t>SÖDERMANLANDS LÄN</t>
        </is>
      </c>
      <c r="G413" t="inlineStr">
        <is>
          <t>FLEN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44785</v>
      </c>
      <c r="E414" s="1" t="n">
        <v>46265</v>
      </c>
      <c r="F414" t="inlineStr">
        <is>
          <t>SÖDERMANLANDS LÄN</t>
        </is>
      </c>
      <c r="G414" t="inlineStr">
        <is>
          <t>FLEN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46265</v>
      </c>
      <c r="F415" t="inlineStr">
        <is>
          <t>SÖDERMANLANDS LÄN</t>
        </is>
      </c>
      <c r="G415" t="inlineStr">
        <is>
          <t>FLEN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46401-2022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46265</v>
      </c>
      <c r="F416" t="inlineStr">
        <is>
          <t>SÖDERMANLANDS LÄN</t>
        </is>
      </c>
      <c r="G416" t="inlineStr">
        <is>
          <t>FLEN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39891-2022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44819</v>
      </c>
      <c r="E417" s="1" t="n">
        <v>46265</v>
      </c>
      <c r="F417" t="inlineStr">
        <is>
          <t>SÖDERMANLANDS LÄN</t>
        </is>
      </c>
      <c r="G417" t="inlineStr">
        <is>
          <t>FLEN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21167-2023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46265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46265</v>
      </c>
      <c r="F419" t="inlineStr">
        <is>
          <t>SÖDERMANLANDS LÄN</t>
        </is>
      </c>
      <c r="G419" t="inlineStr">
        <is>
          <t>FLEN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46265</v>
      </c>
      <c r="F420" t="inlineStr">
        <is>
          <t>SÖDERMANLANDS LÄN</t>
        </is>
      </c>
      <c r="G420" t="inlineStr">
        <is>
          <t>FLEN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44733</v>
      </c>
      <c r="E421" s="1" t="n">
        <v>46265</v>
      </c>
      <c r="F421" t="inlineStr">
        <is>
          <t>SÖDERMANLANDS LÄN</t>
        </is>
      </c>
      <c r="G421" t="inlineStr">
        <is>
          <t>FLEN</t>
        </is>
      </c>
      <c r="I421" t="n">
        <v>8.699999999999999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37256-2022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44807</v>
      </c>
      <c r="E422" s="1" t="n">
        <v>46265</v>
      </c>
      <c r="F422" t="inlineStr">
        <is>
          <t>SÖDERMANLANDS LÄN</t>
        </is>
      </c>
      <c r="G422" t="inlineStr">
        <is>
          <t>FLEN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59599-2022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44907</v>
      </c>
      <c r="E423" s="1" t="n">
        <v>46265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45315</v>
      </c>
      <c r="E424" s="1" t="n">
        <v>46265</v>
      </c>
      <c r="F424" t="inlineStr">
        <is>
          <t>SÖDERMANLANDS LÄN</t>
        </is>
      </c>
      <c r="G424" t="inlineStr">
        <is>
          <t>FLEN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55445-2022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46265</v>
      </c>
      <c r="F425" t="inlineStr">
        <is>
          <t>SÖDERMANLANDS LÄN</t>
        </is>
      </c>
      <c r="G425" t="inlineStr">
        <is>
          <t>FLEN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45378</v>
      </c>
      <c r="E426" s="1" t="n">
        <v>46265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45163</v>
      </c>
      <c r="E427" s="1" t="n">
        <v>46265</v>
      </c>
      <c r="F427" t="inlineStr">
        <is>
          <t>SÖDERMANLANDS LÄN</t>
        </is>
      </c>
      <c r="G427" t="inlineStr">
        <is>
          <t>FLEN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46265</v>
      </c>
      <c r="F428" t="inlineStr">
        <is>
          <t>SÖDERMANLANDS LÄN</t>
        </is>
      </c>
      <c r="G428" t="inlineStr">
        <is>
          <t>FLEN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46265</v>
      </c>
      <c r="F429" t="inlineStr">
        <is>
          <t>SÖDERMANLANDS LÄN</t>
        </is>
      </c>
      <c r="G429" t="inlineStr">
        <is>
          <t>FLEN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44900</v>
      </c>
      <c r="E430" s="1" t="n">
        <v>46265</v>
      </c>
      <c r="F430" t="inlineStr">
        <is>
          <t>SÖDERMANLANDS LÄN</t>
        </is>
      </c>
      <c r="G430" t="inlineStr">
        <is>
          <t>FLEN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45309</v>
      </c>
      <c r="E431" s="1" t="n">
        <v>46265</v>
      </c>
      <c r="F431" t="inlineStr">
        <is>
          <t>SÖDERMANLANDS LÄN</t>
        </is>
      </c>
      <c r="G431" t="inlineStr">
        <is>
          <t>FLEN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46265</v>
      </c>
      <c r="F432" t="inlineStr">
        <is>
          <t>SÖDERMANLANDS LÄN</t>
        </is>
      </c>
      <c r="G432" t="inlineStr">
        <is>
          <t>FLEN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44868</v>
      </c>
      <c r="E433" s="1" t="n">
        <v>46265</v>
      </c>
      <c r="F433" t="inlineStr">
        <is>
          <t>SÖDERMANLANDS LÄN</t>
        </is>
      </c>
      <c r="G433" t="inlineStr">
        <is>
          <t>FLEN</t>
        </is>
      </c>
      <c r="H433" t="inlineStr">
        <is>
          <t>Övriga statliga verk och myndigheter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46265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44624</v>
      </c>
      <c r="E435" s="1" t="n">
        <v>46265</v>
      </c>
      <c r="F435" t="inlineStr">
        <is>
          <t>SÖDERMANLANDS LÄN</t>
        </is>
      </c>
      <c r="G435" t="inlineStr">
        <is>
          <t>FLEN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10828-2022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44624</v>
      </c>
      <c r="E436" s="1" t="n">
        <v>46265</v>
      </c>
      <c r="F436" t="inlineStr">
        <is>
          <t>SÖDERMANLANDS LÄN</t>
        </is>
      </c>
      <c r="G436" t="inlineStr">
        <is>
          <t>FLEN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16908-2024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45411</v>
      </c>
      <c r="E437" s="1" t="n">
        <v>46265</v>
      </c>
      <c r="F437" t="inlineStr">
        <is>
          <t>SÖDERMANLANDS LÄN</t>
        </is>
      </c>
      <c r="G437" t="inlineStr">
        <is>
          <t>FLEN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46265</v>
      </c>
      <c r="F438" t="inlineStr">
        <is>
          <t>SÖDERMANLANDS LÄN</t>
        </is>
      </c>
      <c r="G438" t="inlineStr">
        <is>
          <t>FLEN</t>
        </is>
      </c>
      <c r="H438" t="inlineStr">
        <is>
          <t>Kommuner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46265</v>
      </c>
      <c r="F439" t="inlineStr">
        <is>
          <t>SÖDERMANLANDS LÄN</t>
        </is>
      </c>
      <c r="G439" t="inlineStr">
        <is>
          <t>FLEN</t>
        </is>
      </c>
      <c r="H439" t="inlineStr">
        <is>
          <t>Övriga statliga verk och myndigheter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45244</v>
      </c>
      <c r="E440" s="1" t="n">
        <v>46265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39171-2025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45888</v>
      </c>
      <c r="E441" s="1" t="n">
        <v>46265</v>
      </c>
      <c r="F441" t="inlineStr">
        <is>
          <t>SÖDERMANLANDS LÄN</t>
        </is>
      </c>
      <c r="G441" t="inlineStr">
        <is>
          <t>FLEN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46265</v>
      </c>
      <c r="F442" t="inlineStr">
        <is>
          <t>SÖDERMANLANDS LÄN</t>
        </is>
      </c>
      <c r="G442" t="inlineStr">
        <is>
          <t>FLEN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46265</v>
      </c>
      <c r="F443" t="inlineStr">
        <is>
          <t>SÖDERMANLANDS LÄN</t>
        </is>
      </c>
      <c r="G443" t="inlineStr">
        <is>
          <t>FLEN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48826-2022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44859</v>
      </c>
      <c r="E444" s="1" t="n">
        <v>46265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31028-2024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45501</v>
      </c>
      <c r="E445" s="1" t="n">
        <v>46265</v>
      </c>
      <c r="F445" t="inlineStr">
        <is>
          <t>SÖDERMANLANDS LÄN</t>
        </is>
      </c>
      <c r="G445" t="inlineStr">
        <is>
          <t>FLEN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44566</v>
      </c>
      <c r="E446" s="1" t="n">
        <v>46265</v>
      </c>
      <c r="F446" t="inlineStr">
        <is>
          <t>SÖDERMANLANDS LÄN</t>
        </is>
      </c>
      <c r="G446" t="inlineStr">
        <is>
          <t>FLEN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45718</v>
      </c>
      <c r="E447" s="1" t="n">
        <v>46265</v>
      </c>
      <c r="F447" t="inlineStr">
        <is>
          <t>SÖDERMANLANDS LÄN</t>
        </is>
      </c>
      <c r="G447" t="inlineStr">
        <is>
          <t>FLEN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46265</v>
      </c>
      <c r="F448" t="inlineStr">
        <is>
          <t>SÖDERMANLANDS LÄN</t>
        </is>
      </c>
      <c r="G448" t="inlineStr">
        <is>
          <t>FLEN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48749-2022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46265</v>
      </c>
      <c r="F449" t="inlineStr">
        <is>
          <t>SÖDERMANLANDS LÄN</t>
        </is>
      </c>
      <c r="G449" t="inlineStr">
        <is>
          <t>FLEN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44855</v>
      </c>
      <c r="E450" s="1" t="n">
        <v>46265</v>
      </c>
      <c r="F450" t="inlineStr">
        <is>
          <t>SÖDERMANLANDS LÄN</t>
        </is>
      </c>
      <c r="G450" t="inlineStr">
        <is>
          <t>FLEN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46265</v>
      </c>
      <c r="F451" t="inlineStr">
        <is>
          <t>SÖDERMANLANDS LÄN</t>
        </is>
      </c>
      <c r="G451" t="inlineStr">
        <is>
          <t>FLEN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48497-2021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44449</v>
      </c>
      <c r="E452" s="1" t="n">
        <v>46265</v>
      </c>
      <c r="F452" t="inlineStr">
        <is>
          <t>SÖDERMANLANDS LÄN</t>
        </is>
      </c>
      <c r="G452" t="inlineStr">
        <is>
          <t>FLEN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46265</v>
      </c>
      <c r="F453" t="inlineStr">
        <is>
          <t>SÖDERMANLANDS LÄN</t>
        </is>
      </c>
      <c r="G453" t="inlineStr">
        <is>
          <t>FLEN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45482</v>
      </c>
      <c r="E454" s="1" t="n">
        <v>46265</v>
      </c>
      <c r="F454" t="inlineStr">
        <is>
          <t>SÖDERMANLANDS LÄN</t>
        </is>
      </c>
      <c r="G454" t="inlineStr">
        <is>
          <t>FLEN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46265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45510</v>
      </c>
      <c r="E456" s="1" t="n">
        <v>46265</v>
      </c>
      <c r="F456" t="inlineStr">
        <is>
          <t>SÖDERMANLANDS LÄN</t>
        </is>
      </c>
      <c r="G456" t="inlineStr">
        <is>
          <t>FLEN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60937-2022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46265</v>
      </c>
      <c r="F457" t="inlineStr">
        <is>
          <t>SÖDERMANLANDS LÄN</t>
        </is>
      </c>
      <c r="G457" t="inlineStr">
        <is>
          <t>FLEN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44785</v>
      </c>
      <c r="E458" s="1" t="n">
        <v>46265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44648</v>
      </c>
      <c r="E459" s="1" t="n">
        <v>46265</v>
      </c>
      <c r="F459" t="inlineStr">
        <is>
          <t>SÖDERMANLANDS LÄN</t>
        </is>
      </c>
      <c r="G459" t="inlineStr">
        <is>
          <t>FLEN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52541-2021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44463</v>
      </c>
      <c r="E460" s="1" t="n">
        <v>46265</v>
      </c>
      <c r="F460" t="inlineStr">
        <is>
          <t>SÖDERMANLANDS LÄN</t>
        </is>
      </c>
      <c r="G460" t="inlineStr">
        <is>
          <t>FLEN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44979</v>
      </c>
      <c r="E461" s="1" t="n">
        <v>46265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45056</v>
      </c>
      <c r="E462" s="1" t="n">
        <v>46265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46265</v>
      </c>
      <c r="F463" t="inlineStr">
        <is>
          <t>SÖDERMANLANDS LÄN</t>
        </is>
      </c>
      <c r="G463" t="inlineStr">
        <is>
          <t>FLEN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46265</v>
      </c>
      <c r="F464" t="inlineStr">
        <is>
          <t>SÖDERMANLANDS LÄN</t>
        </is>
      </c>
      <c r="G464" t="inlineStr">
        <is>
          <t>FLEN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46265</v>
      </c>
      <c r="F465" t="inlineStr">
        <is>
          <t>SÖDERMANLANDS LÄN</t>
        </is>
      </c>
      <c r="G465" t="inlineStr">
        <is>
          <t>FLEN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51872-2022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44872</v>
      </c>
      <c r="E466" s="1" t="n">
        <v>46265</v>
      </c>
      <c r="F466" t="inlineStr">
        <is>
          <t>SÖDERMANLANDS LÄN</t>
        </is>
      </c>
      <c r="G466" t="inlineStr">
        <is>
          <t>FLEN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23216-2025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46265</v>
      </c>
      <c r="F467" t="inlineStr">
        <is>
          <t>SÖDERMANLANDS LÄN</t>
        </is>
      </c>
      <c r="G467" t="inlineStr">
        <is>
          <t>FLEN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45239</v>
      </c>
      <c r="E468" s="1" t="n">
        <v>46265</v>
      </c>
      <c r="F468" t="inlineStr">
        <is>
          <t>SÖDERMANLANDS LÄN</t>
        </is>
      </c>
      <c r="G468" t="inlineStr">
        <is>
          <t>FLEN</t>
        </is>
      </c>
      <c r="H468" t="inlineStr">
        <is>
          <t>Övriga statliga verk och myndigheter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45244</v>
      </c>
      <c r="E469" s="1" t="n">
        <v>46265</v>
      </c>
      <c r="F469" t="inlineStr">
        <is>
          <t>SÖDERMANLANDS LÄN</t>
        </is>
      </c>
      <c r="G469" t="inlineStr">
        <is>
          <t>FLEN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46265</v>
      </c>
      <c r="F470" t="inlineStr">
        <is>
          <t>SÖDERMANLANDS LÄN</t>
        </is>
      </c>
      <c r="G470" t="inlineStr">
        <is>
          <t>FLEN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62579-2023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45270</v>
      </c>
      <c r="E471" s="1" t="n">
        <v>46265</v>
      </c>
      <c r="F471" t="inlineStr">
        <is>
          <t>SÖDERMANLANDS LÄN</t>
        </is>
      </c>
      <c r="G471" t="inlineStr">
        <is>
          <t>FLEN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46265</v>
      </c>
      <c r="F472" t="inlineStr">
        <is>
          <t>SÖDERMANLANDS LÄN</t>
        </is>
      </c>
      <c r="G472" t="inlineStr">
        <is>
          <t>FLEN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45518</v>
      </c>
      <c r="E473" s="1" t="n">
        <v>46265</v>
      </c>
      <c r="F473" t="inlineStr">
        <is>
          <t>SÖDERMANLANDS LÄN</t>
        </is>
      </c>
      <c r="G473" t="inlineStr">
        <is>
          <t>FLEN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46265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46265</v>
      </c>
      <c r="F475" t="inlineStr">
        <is>
          <t>SÖDERMANLANDS LÄN</t>
        </is>
      </c>
      <c r="G475" t="inlineStr">
        <is>
          <t>FLEN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45299</v>
      </c>
      <c r="E476" s="1" t="n">
        <v>46265</v>
      </c>
      <c r="F476" t="inlineStr">
        <is>
          <t>SÖDERMANLANDS LÄN</t>
        </is>
      </c>
      <c r="G476" t="inlineStr">
        <is>
          <t>FLEN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45299</v>
      </c>
      <c r="E477" s="1" t="n">
        <v>46265</v>
      </c>
      <c r="F477" t="inlineStr">
        <is>
          <t>SÖDERMANLANDS LÄN</t>
        </is>
      </c>
      <c r="G477" t="inlineStr">
        <is>
          <t>FLEN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59891-2025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46265</v>
      </c>
      <c r="F478" t="inlineStr">
        <is>
          <t>SÖDERMANLANDS LÄN</t>
        </is>
      </c>
      <c r="G478" t="inlineStr">
        <is>
          <t>FLEN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46265</v>
      </c>
      <c r="F479" t="inlineStr">
        <is>
          <t>SÖDERMANLANDS LÄN</t>
        </is>
      </c>
      <c r="G479" t="inlineStr">
        <is>
          <t>FLEN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46265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45149</v>
      </c>
      <c r="E481" s="1" t="n">
        <v>46265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45555</v>
      </c>
      <c r="E482" s="1" t="n">
        <v>46265</v>
      </c>
      <c r="F482" t="inlineStr">
        <is>
          <t>SÖDERMANLANDS LÄN</t>
        </is>
      </c>
      <c r="G482" t="inlineStr">
        <is>
          <t>FLEN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45331</v>
      </c>
      <c r="E483" s="1" t="n">
        <v>46265</v>
      </c>
      <c r="F483" t="inlineStr">
        <is>
          <t>SÖDERMANLANDS LÄN</t>
        </is>
      </c>
      <c r="G483" t="inlineStr">
        <is>
          <t>FLEN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46265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44931</v>
      </c>
      <c r="E485" s="1" t="n">
        <v>46265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44580</v>
      </c>
      <c r="E486" s="1" t="n">
        <v>46265</v>
      </c>
      <c r="F486" t="inlineStr">
        <is>
          <t>SÖDERMANLANDS LÄN</t>
        </is>
      </c>
      <c r="G486" t="inlineStr">
        <is>
          <t>FLEN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46265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45066</v>
      </c>
      <c r="E488" s="1" t="n">
        <v>46265</v>
      </c>
      <c r="F488" t="inlineStr">
        <is>
          <t>SÖDERMANLANDS LÄN</t>
        </is>
      </c>
      <c r="G488" t="inlineStr">
        <is>
          <t>FLEN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44907</v>
      </c>
      <c r="E489" s="1" t="n">
        <v>46265</v>
      </c>
      <c r="F489" t="inlineStr">
        <is>
          <t>SÖDERMANLANDS LÄN</t>
        </is>
      </c>
      <c r="G489" t="inlineStr">
        <is>
          <t>FLEN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46265</v>
      </c>
      <c r="F490" t="inlineStr">
        <is>
          <t>SÖDERMANLANDS LÄN</t>
        </is>
      </c>
      <c r="G490" t="inlineStr">
        <is>
          <t>FLEN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45230</v>
      </c>
      <c r="E491" s="1" t="n">
        <v>46265</v>
      </c>
      <c r="F491" t="inlineStr">
        <is>
          <t>SÖDERMANLANDS LÄN</t>
        </is>
      </c>
      <c r="G491" t="inlineStr">
        <is>
          <t>FLEN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46265</v>
      </c>
      <c r="F492" t="inlineStr">
        <is>
          <t>SÖDERMANLANDS LÄN</t>
        </is>
      </c>
      <c r="G492" t="inlineStr">
        <is>
          <t>FLEN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14599-2023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45013</v>
      </c>
      <c r="E493" s="1" t="n">
        <v>46265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42731-2024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45566</v>
      </c>
      <c r="E494" s="1" t="n">
        <v>46265</v>
      </c>
      <c r="F494" t="inlineStr">
        <is>
          <t>SÖDERMANLANDS LÄN</t>
        </is>
      </c>
      <c r="G494" t="inlineStr">
        <is>
          <t>FLEN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46265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13233-2024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45386</v>
      </c>
      <c r="E496" s="1" t="n">
        <v>46265</v>
      </c>
      <c r="F496" t="inlineStr">
        <is>
          <t>SÖDERMANLANDS LÄN</t>
        </is>
      </c>
      <c r="G496" t="inlineStr">
        <is>
          <t>FLEN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20952-2025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46265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46265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46265</v>
      </c>
      <c r="F499" t="inlineStr">
        <is>
          <t>SÖDERMANLANDS LÄN</t>
        </is>
      </c>
      <c r="G499" t="inlineStr">
        <is>
          <t>FLEN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46265</v>
      </c>
      <c r="F500" t="inlineStr">
        <is>
          <t>SÖDERMANLANDS LÄN</t>
        </is>
      </c>
      <c r="G500" t="inlineStr">
        <is>
          <t>FLEN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46265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46265</v>
      </c>
      <c r="F502" t="inlineStr">
        <is>
          <t>SÖDERMANLANDS LÄN</t>
        </is>
      </c>
      <c r="G502" t="inlineStr">
        <is>
          <t>FLEN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46265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46265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46265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24721-2026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46265</v>
      </c>
      <c r="F506" t="inlineStr">
        <is>
          <t>SÖDERMANLANDS LÄN</t>
        </is>
      </c>
      <c r="G506" t="inlineStr">
        <is>
          <t>FLEN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46265</v>
      </c>
      <c r="F507" t="inlineStr">
        <is>
          <t>SÖDERMANLANDS LÄN</t>
        </is>
      </c>
      <c r="G507" t="inlineStr">
        <is>
          <t>FLEN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54781-2024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45618</v>
      </c>
      <c r="E508" s="1" t="n">
        <v>46265</v>
      </c>
      <c r="F508" t="inlineStr">
        <is>
          <t>SÖDERMANLANDS LÄN</t>
        </is>
      </c>
      <c r="G508" t="inlineStr">
        <is>
          <t>FLEN</t>
        </is>
      </c>
      <c r="I508" t="n">
        <v>10.3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46265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  <c r="Z509">
        <f>HYPERLINK("https://klasma.github.io/Logging_0482/knärot/A 24450-2026 karta knärot.png", "A 24450-2026")</f>
        <v/>
      </c>
      <c r="AA509">
        <f>HYPERLINK("https://klasma.github.io/Logging_0482/klagomål/A 24450-2026 FSC-klagomål.docx", "A 24450-2026")</f>
        <v/>
      </c>
      <c r="AB509">
        <f>HYPERLINK("https://klasma.github.io/Logging_0482/klagomålsmail/A 24450-2026 FSC-klagomål mail.docx", "A 24450-2026")</f>
        <v/>
      </c>
      <c r="AC509">
        <f>HYPERLINK("https://klasma.github.io/Logging_0482/tillsyn/A 24450-2026 tillsynsbegäran.docx", "A 24450-2026")</f>
        <v/>
      </c>
      <c r="AD509">
        <f>HYPERLINK("https://klasma.github.io/Logging_0482/tillsynsmail/A 24450-2026 tillsynsbegäran mail.docx", "A 24450-2026")</f>
        <v/>
      </c>
    </row>
    <row r="510" ht="15" customHeight="1">
      <c r="A510" t="inlineStr">
        <is>
          <t>A 47872-2025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45932</v>
      </c>
      <c r="E510" s="1" t="n">
        <v>46265</v>
      </c>
      <c r="F510" t="inlineStr">
        <is>
          <t>SÖDERMANLANDS LÄN</t>
        </is>
      </c>
      <c r="G510" t="inlineStr">
        <is>
          <t>FLEN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46265</v>
      </c>
      <c r="F511" t="inlineStr">
        <is>
          <t>SÖDERMANLANDS LÄN</t>
        </is>
      </c>
      <c r="G511" t="inlineStr">
        <is>
          <t>FLEN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46265</v>
      </c>
      <c r="F512" t="inlineStr">
        <is>
          <t>SÖDERMANLANDS LÄN</t>
        </is>
      </c>
      <c r="G512" t="inlineStr">
        <is>
          <t>FLEN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46265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46265</v>
      </c>
      <c r="F514" t="inlineStr">
        <is>
          <t>SÖDERMANLANDS LÄN</t>
        </is>
      </c>
      <c r="G514" t="inlineStr">
        <is>
          <t>FLEN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46265</v>
      </c>
      <c r="F515" t="inlineStr">
        <is>
          <t>SÖDERMANLANDS LÄN</t>
        </is>
      </c>
      <c r="G515" t="inlineStr">
        <is>
          <t>FLEN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46265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46265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46265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46229</v>
      </c>
      <c r="E519" s="1" t="n">
        <v>46265</v>
      </c>
      <c r="F519" t="inlineStr">
        <is>
          <t>SÖDERMANLANDS LÄN</t>
        </is>
      </c>
      <c r="G519" t="inlineStr">
        <is>
          <t>FLEN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46265</v>
      </c>
      <c r="F520" t="inlineStr">
        <is>
          <t>SÖDERMANLANDS LÄN</t>
        </is>
      </c>
      <c r="G520" t="inlineStr">
        <is>
          <t>FLEN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46265</v>
      </c>
      <c r="F521" t="inlineStr">
        <is>
          <t>SÖDERMANLANDS LÄN</t>
        </is>
      </c>
      <c r="G521" t="inlineStr">
        <is>
          <t>FLEN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46265</v>
      </c>
      <c r="F522" t="inlineStr">
        <is>
          <t>SÖDERMANLANDS LÄN</t>
        </is>
      </c>
      <c r="G522" t="inlineStr">
        <is>
          <t>FLEN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46265</v>
      </c>
      <c r="F523" t="inlineStr">
        <is>
          <t>SÖDERMANLANDS LÄN</t>
        </is>
      </c>
      <c r="G523" t="inlineStr">
        <is>
          <t>FLEN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46265</v>
      </c>
      <c r="F524" t="inlineStr">
        <is>
          <t>SÖDERMANLANDS LÄN</t>
        </is>
      </c>
      <c r="G524" t="inlineStr">
        <is>
          <t>FLEN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46265</v>
      </c>
      <c r="F525" t="inlineStr">
        <is>
          <t>SÖDERMANLANDS LÄN</t>
        </is>
      </c>
      <c r="G525" t="inlineStr">
        <is>
          <t>FLEN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32693-2026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46240</v>
      </c>
      <c r="E526" s="1" t="n">
        <v>46265</v>
      </c>
      <c r="F526" t="inlineStr">
        <is>
          <t>SÖDERMANLANDS LÄN</t>
        </is>
      </c>
      <c r="G526" t="inlineStr">
        <is>
          <t>FLEN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46265</v>
      </c>
      <c r="F527" t="inlineStr">
        <is>
          <t>SÖDERMANLANDS LÄN</t>
        </is>
      </c>
      <c r="G527" t="inlineStr">
        <is>
          <t>FLEN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46265</v>
      </c>
      <c r="F528" t="inlineStr">
        <is>
          <t>SÖDERMANLANDS LÄN</t>
        </is>
      </c>
      <c r="G528" t="inlineStr">
        <is>
          <t>FLEN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46265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33936-2026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46250</v>
      </c>
      <c r="E530" s="1" t="n">
        <v>46265</v>
      </c>
      <c r="F530" t="inlineStr">
        <is>
          <t>SÖDERMANLANDS LÄN</t>
        </is>
      </c>
      <c r="G530" t="inlineStr">
        <is>
          <t>FLEN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46249</v>
      </c>
      <c r="E531" s="1" t="n">
        <v>46265</v>
      </c>
      <c r="F531" t="inlineStr">
        <is>
          <t>SÖDERMANLANDS LÄN</t>
        </is>
      </c>
      <c r="G531" t="inlineStr">
        <is>
          <t>FLEN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46265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46265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46265</v>
      </c>
      <c r="F534" t="inlineStr">
        <is>
          <t>SÖDERMANLANDS LÄN</t>
        </is>
      </c>
      <c r="G534" t="inlineStr">
        <is>
          <t>FLEN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46265</v>
      </c>
      <c r="F535" t="inlineStr">
        <is>
          <t>SÖDERMANLANDS LÄN</t>
        </is>
      </c>
      <c r="G535" t="inlineStr">
        <is>
          <t>FLEN</t>
        </is>
      </c>
      <c r="H535" t="inlineStr">
        <is>
          <t>Holmen skog AB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46265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46265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46265</v>
      </c>
      <c r="F538" t="inlineStr">
        <is>
          <t>SÖDERMANLANDS LÄN</t>
        </is>
      </c>
      <c r="G538" t="inlineStr">
        <is>
          <t>FLEN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46265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46265</v>
      </c>
      <c r="F540" t="inlineStr">
        <is>
          <t>SÖDERMANLANDS LÄN</t>
        </is>
      </c>
      <c r="G540" t="inlineStr">
        <is>
          <t>FLEN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46265</v>
      </c>
      <c r="F541" t="inlineStr">
        <is>
          <t>SÖDERMANLANDS LÄN</t>
        </is>
      </c>
      <c r="G541" t="inlineStr">
        <is>
          <t>FLEN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46265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46265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458-2023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44964</v>
      </c>
      <c r="E544" s="1" t="n">
        <v>46265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292-2025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45686</v>
      </c>
      <c r="E545" s="1" t="n">
        <v>46265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3723-2022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44742</v>
      </c>
      <c r="E546" s="1" t="n">
        <v>46265</v>
      </c>
      <c r="F546" t="inlineStr">
        <is>
          <t>SÖDERMANLANDS LÄN</t>
        </is>
      </c>
      <c r="G546" t="inlineStr">
        <is>
          <t>FLEN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46265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46265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46265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2026-08-31T10:01:16Z</dcterms:created>
  <dcterms:modified xmlns:dcterms="http://purl.org/dc/terms/" xmlns:xsi="http://www.w3.org/2001/XMLSchema-instance" xsi:type="dcterms:W3CDTF">2026-08-31T10:01:17Z</dcterms:modified>
</cp:coreProperties>
</file>