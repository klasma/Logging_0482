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46260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46260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46260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46260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46260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46260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46260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46260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46260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46260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46260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46260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46260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46260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46260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46260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46260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46260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46260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46260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46260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46260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46260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46260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46260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46260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50343-2024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46260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Svartöra
Tallticka
Blåsippa
Vildkaprifol</t>
        </is>
      </c>
      <c r="W41">
        <f>HYPERLINK("https://klasma.github.io/Logging_0482/artfynd/A 50343-2024 artfynd.xlsx", "A 50343-2024")</f>
        <v/>
      </c>
      <c r="X41">
        <f>HYPERLINK("https://klasma.github.io/Logging_0482/kartor/A 50343-2024 karta.png", "A 50343-2024")</f>
        <v/>
      </c>
      <c r="Y41">
        <f>HYPERLINK("https://klasma.github.io/Logging_0482/kartor_geotiff/A 50343-2024 georefererad karta.tif", "A 50343-2024")</f>
        <v/>
      </c>
      <c r="AA41">
        <f>HYPERLINK("https://klasma.github.io/Logging_0482/klagomål/A 50343-2024 FSC-klagomål.docx", "A 50343-2024")</f>
        <v/>
      </c>
      <c r="AB41">
        <f>HYPERLINK("https://klasma.github.io/Logging_0482/klagomålsmail/A 50343-2024 FSC-klagomål mail.docx", "A 50343-2024")</f>
        <v/>
      </c>
      <c r="AC41">
        <f>HYPERLINK("https://klasma.github.io/Logging_0482/tillsyn/A 50343-2024 tillsynsbegäran.docx", "A 50343-2024")</f>
        <v/>
      </c>
      <c r="AD41">
        <f>HYPERLINK("https://klasma.github.io/Logging_0482/tillsynsmail/A 50343-2024 tillsynsbegäran mail.docx", "A 50343-2024")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46260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Skogsklocka
Svinrot
Vippärt
Grönvit nattviol</t>
        </is>
      </c>
      <c r="W42">
        <f>HYPERLINK("https://klasma.github.io/Logging_0482/artfynd/A 33225-2024 artfynd.xlsx", "A 33225-2024")</f>
        <v/>
      </c>
      <c r="X42">
        <f>HYPERLINK("https://klasma.github.io/Logging_0482/kartor/A 33225-2024 karta.png", "A 33225-2024")</f>
        <v/>
      </c>
      <c r="Y42">
        <f>HYPERLINK("https://klasma.github.io/Logging_0482/kartor_geotiff/A 33225-2024 georefererad karta.tif", "A 33225-2024")</f>
        <v/>
      </c>
      <c r="AA42">
        <f>HYPERLINK("https://klasma.github.io/Logging_0482/klagomål/A 33225-2024 FSC-klagomål.docx", "A 33225-2024")</f>
        <v/>
      </c>
      <c r="AB42">
        <f>HYPERLINK("https://klasma.github.io/Logging_0482/klagomålsmail/A 33225-2024 FSC-klagomål mail.docx", "A 33225-2024")</f>
        <v/>
      </c>
      <c r="AC42">
        <f>HYPERLINK("https://klasma.github.io/Logging_0482/tillsyn/A 33225-2024 tillsynsbegäran.docx", "A 33225-2024")</f>
        <v/>
      </c>
      <c r="AD42">
        <f>HYPERLINK("https://klasma.github.io/Logging_0482/tillsynsmail/A 33225-2024 tillsynsbegäran mail.docx", "A 33225-2024")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46260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46260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46260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46260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46260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9539-2026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46260</v>
      </c>
      <c r="F48" t="inlineStr">
        <is>
          <t>SÖDERMANLANDS LÄN</t>
        </is>
      </c>
      <c r="G48" t="inlineStr">
        <is>
          <t>FLEN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Ask
Slåtterfibbla
Blåsippa</t>
        </is>
      </c>
      <c r="W48">
        <f>HYPERLINK("https://klasma.github.io/Logging_0482/artfynd/A 9539-2026 artfynd.xlsx", "A 9539-2026")</f>
        <v/>
      </c>
      <c r="X48">
        <f>HYPERLINK("https://klasma.github.io/Logging_0482/kartor/A 9539-2026 karta.png", "A 9539-2026")</f>
        <v/>
      </c>
      <c r="Y48">
        <f>HYPERLINK("https://klasma.github.io/Logging_0482/kartor_geotiff/A 9539-2026 georefererad karta.tif", "A 9539-2026")</f>
        <v/>
      </c>
      <c r="AA48">
        <f>HYPERLINK("https://klasma.github.io/Logging_0482/klagomål/A 9539-2026 FSC-klagomål.docx", "A 9539-2026")</f>
        <v/>
      </c>
      <c r="AB48">
        <f>HYPERLINK("https://klasma.github.io/Logging_0482/klagomålsmail/A 9539-2026 FSC-klagomål mail.docx", "A 9539-2026")</f>
        <v/>
      </c>
      <c r="AC48">
        <f>HYPERLINK("https://klasma.github.io/Logging_0482/tillsyn/A 9539-2026 tillsynsbegäran.docx", "A 9539-2026")</f>
        <v/>
      </c>
      <c r="AD48">
        <f>HYPERLINK("https://klasma.github.io/Logging_0482/tillsynsmail/A 9539-2026 tillsynsbegäran mail.docx", "A 9539-2026")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46260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46260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46260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Skogsalm
Skogsbräsma
Svart trolldruva</t>
        </is>
      </c>
      <c r="W51">
        <f>HYPERLINK("https://klasma.github.io/Logging_0482/artfynd/A 50739-2025 artfynd.xlsx", "A 50739-2025")</f>
        <v/>
      </c>
      <c r="X51">
        <f>HYPERLINK("https://klasma.github.io/Logging_0482/kartor/A 50739-2025 karta.png", "A 50739-2025")</f>
        <v/>
      </c>
      <c r="Y51">
        <f>HYPERLINK("https://klasma.github.io/Logging_0482/kartor_geotiff/A 50739-2025 georefererad karta.tif", "A 50739-2025")</f>
        <v/>
      </c>
      <c r="AA51">
        <f>HYPERLINK("https://klasma.github.io/Logging_0482/klagomål/A 50739-2025 FSC-klagomål.docx", "A 50739-2025")</f>
        <v/>
      </c>
      <c r="AB51">
        <f>HYPERLINK("https://klasma.github.io/Logging_0482/klagomålsmail/A 50739-2025 FSC-klagomål mail.docx", "A 50739-2025")</f>
        <v/>
      </c>
      <c r="AC51">
        <f>HYPERLINK("https://klasma.github.io/Logging_0482/tillsyn/A 50739-2025 tillsynsbegäran.docx", "A 50739-2025")</f>
        <v/>
      </c>
      <c r="AD51">
        <f>HYPERLINK("https://klasma.github.io/Logging_0482/tillsynsmail/A 50739-2025 tillsynsbegäran mail.docx", "A 50739-2025")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46260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54302-2025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46260</v>
      </c>
      <c r="F53" t="inlineStr">
        <is>
          <t>SÖDERMANLANDS LÄN</t>
        </is>
      </c>
      <c r="G53" t="inlineStr">
        <is>
          <t>FLEN</t>
        </is>
      </c>
      <c r="I53" t="n">
        <v>12.6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Dofttaggsvamp
Svinrot
Mattlummer</t>
        </is>
      </c>
      <c r="W53">
        <f>HYPERLINK("https://klasma.github.io/Logging_0482/artfynd/A 54302-2025 artfynd.xlsx", "A 54302-2025")</f>
        <v/>
      </c>
      <c r="X53">
        <f>HYPERLINK("https://klasma.github.io/Logging_0482/kartor/A 54302-2025 karta.png", "A 54302-2025")</f>
        <v/>
      </c>
      <c r="Y53">
        <f>HYPERLINK("https://klasma.github.io/Logging_0482/kartor_geotiff/A 54302-2025 georefererad karta.tif", "A 54302-2025")</f>
        <v/>
      </c>
      <c r="AA53">
        <f>HYPERLINK("https://klasma.github.io/Logging_0482/klagomål/A 54302-2025 FSC-klagomål.docx", "A 54302-2025")</f>
        <v/>
      </c>
      <c r="AB53">
        <f>HYPERLINK("https://klasma.github.io/Logging_0482/klagomålsmail/A 54302-2025 FSC-klagomål mail.docx", "A 54302-2025")</f>
        <v/>
      </c>
      <c r="AC53">
        <f>HYPERLINK("https://klasma.github.io/Logging_0482/tillsyn/A 54302-2025 tillsynsbegäran.docx", "A 54302-2025")</f>
        <v/>
      </c>
      <c r="AD53">
        <f>HYPERLINK("https://klasma.github.io/Logging_0482/tillsynsmail/A 54302-2025 tillsynsbegäran mail.docx", "A 54302-2025")</f>
        <v/>
      </c>
    </row>
    <row r="54" ht="15" customHeight="1">
      <c r="A54" t="inlineStr">
        <is>
          <t>A 38465-2025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46260</v>
      </c>
      <c r="F54" t="inlineStr">
        <is>
          <t>SÖDERMANLANDS LÄN</t>
        </is>
      </c>
      <c r="G54" t="inlineStr">
        <is>
          <t>FLEN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Skogsalm
Gullklöver
Nattviol</t>
        </is>
      </c>
      <c r="W54">
        <f>HYPERLINK("https://klasma.github.io/Logging_0482/artfynd/A 38465-2025 artfynd.xlsx", "A 38465-2025")</f>
        <v/>
      </c>
      <c r="X54">
        <f>HYPERLINK("https://klasma.github.io/Logging_0482/kartor/A 38465-2025 karta.png", "A 38465-2025")</f>
        <v/>
      </c>
      <c r="Y54">
        <f>HYPERLINK("https://klasma.github.io/Logging_0482/kartor_geotiff/A 38465-2025 georefererad karta.tif", "A 38465-2025")</f>
        <v/>
      </c>
      <c r="AA54">
        <f>HYPERLINK("https://klasma.github.io/Logging_0482/klagomål/A 38465-2025 FSC-klagomål.docx", "A 38465-2025")</f>
        <v/>
      </c>
      <c r="AB54">
        <f>HYPERLINK("https://klasma.github.io/Logging_0482/klagomålsmail/A 38465-2025 FSC-klagomål mail.docx", "A 38465-2025")</f>
        <v/>
      </c>
      <c r="AC54">
        <f>HYPERLINK("https://klasma.github.io/Logging_0482/tillsyn/A 38465-2025 tillsynsbegäran.docx", "A 38465-2025")</f>
        <v/>
      </c>
      <c r="AD54">
        <f>HYPERLINK("https://klasma.github.io/Logging_0482/tillsynsmail/A 38465-2025 tillsynsbegäran mail.docx", "A 38465-2025")</f>
        <v/>
      </c>
    </row>
    <row r="55" ht="15" customHeight="1">
      <c r="A55" t="inlineStr">
        <is>
          <t>A 38466-2025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46260</v>
      </c>
      <c r="F55" t="inlineStr">
        <is>
          <t>SÖDERMANLANDS LÄN</t>
        </is>
      </c>
      <c r="G55" t="inlineStr">
        <is>
          <t>FLEN</t>
        </is>
      </c>
      <c r="I55" t="n">
        <v>5.4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Svinrot
Blåsippa
Gullviva</t>
        </is>
      </c>
      <c r="W55">
        <f>HYPERLINK("https://klasma.github.io/Logging_0482/artfynd/A 38466-2025 artfynd.xlsx", "A 38466-2025")</f>
        <v/>
      </c>
      <c r="X55">
        <f>HYPERLINK("https://klasma.github.io/Logging_0482/kartor/A 38466-2025 karta.png", "A 38466-2025")</f>
        <v/>
      </c>
      <c r="Y55">
        <f>HYPERLINK("https://klasma.github.io/Logging_0482/kartor_geotiff/A 38466-2025 georefererad karta.tif", "A 38466-2025")</f>
        <v/>
      </c>
      <c r="AA55">
        <f>HYPERLINK("https://klasma.github.io/Logging_0482/klagomål/A 38466-2025 FSC-klagomål.docx", "A 38466-2025")</f>
        <v/>
      </c>
      <c r="AB55">
        <f>HYPERLINK("https://klasma.github.io/Logging_0482/klagomålsmail/A 38466-2025 FSC-klagomål mail.docx", "A 38466-2025")</f>
        <v/>
      </c>
      <c r="AC55">
        <f>HYPERLINK("https://klasma.github.io/Logging_0482/tillsyn/A 38466-2025 tillsynsbegäran.docx", "A 38466-2025")</f>
        <v/>
      </c>
      <c r="AD55">
        <f>HYPERLINK("https://klasma.github.io/Logging_0482/tillsynsmail/A 38466-2025 tillsynsbegäran mail.docx", "A 38466-2025")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46260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46260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46260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46260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46260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46260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46260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46260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46260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46260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46260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46260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46260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46260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46260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46260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46260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50215-2022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46260</v>
      </c>
      <c r="F73" t="inlineStr">
        <is>
          <t>SÖDERMANLANDS LÄN</t>
        </is>
      </c>
      <c r="G73" t="inlineStr">
        <is>
          <t>FLEN</t>
        </is>
      </c>
      <c r="H73" t="inlineStr">
        <is>
          <t>Kyrkan</t>
        </is>
      </c>
      <c r="I73" t="n">
        <v>2.2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Äkta lopplummer</t>
        </is>
      </c>
      <c r="W73">
        <f>HYPERLINK("https://klasma.github.io/Logging_0482/artfynd/A 50215-2022 artfynd.xlsx", "A 50215-2022")</f>
        <v/>
      </c>
      <c r="X73">
        <f>HYPERLINK("https://klasma.github.io/Logging_0482/kartor/A 50215-2022 karta.png", "A 50215-2022")</f>
        <v/>
      </c>
      <c r="Y73">
        <f>HYPERLINK("https://klasma.github.io/Logging_0482/kartor_geotiff/A 50215-2022 georefererad karta.tif", "A 50215-2022")</f>
        <v/>
      </c>
      <c r="Z73">
        <f>HYPERLINK("https://klasma.github.io/Logging_0482/knärot/A 50215-2022 karta knärot.png", "A 50215-2022")</f>
        <v/>
      </c>
      <c r="AA73">
        <f>HYPERLINK("https://klasma.github.io/Logging_0482/klagomål/A 50215-2022 FSC-klagomål.docx", "A 50215-2022")</f>
        <v/>
      </c>
      <c r="AB73">
        <f>HYPERLINK("https://klasma.github.io/Logging_0482/klagomålsmail/A 50215-2022 FSC-klagomål mail.docx", "A 50215-2022")</f>
        <v/>
      </c>
      <c r="AC73">
        <f>HYPERLINK("https://klasma.github.io/Logging_0482/tillsyn/A 50215-2022 tillsynsbegäran.docx", "A 50215-2022")</f>
        <v/>
      </c>
      <c r="AD73">
        <f>HYPERLINK("https://klasma.github.io/Logging_0482/tillsynsmail/A 50215-2022 tillsynsbegäran mail.docx", "A 50215-2022")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46260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46260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46260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46260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52858-2023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46260</v>
      </c>
      <c r="F78" t="inlineStr">
        <is>
          <t>SÖDERMANLANDS LÄN</t>
        </is>
      </c>
      <c r="G78" t="inlineStr">
        <is>
          <t>FLEN</t>
        </is>
      </c>
      <c r="I78" t="n">
        <v>3.6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1</v>
      </c>
      <c r="V78" s="2" t="inlineStr">
        <is>
          <t>Mindre hackspett
Tallticka</t>
        </is>
      </c>
      <c r="W78">
        <f>HYPERLINK("https://klasma.github.io/Logging_0482/artfynd/A 52858-2023 artfynd.xlsx", "A 52858-2023")</f>
        <v/>
      </c>
      <c r="X78">
        <f>HYPERLINK("https://klasma.github.io/Logging_0482/kartor/A 52858-2023 karta.png", "A 52858-2023")</f>
        <v/>
      </c>
      <c r="Y78">
        <f>HYPERLINK("https://klasma.github.io/Logging_0482/kartor_geotiff/A 52858-2023 georefererad karta.tif", "A 52858-2023")</f>
        <v/>
      </c>
      <c r="AA78">
        <f>HYPERLINK("https://klasma.github.io/Logging_0482/klagomål/A 52858-2023 FSC-klagomål.docx", "A 52858-2023")</f>
        <v/>
      </c>
      <c r="AB78">
        <f>HYPERLINK("https://klasma.github.io/Logging_0482/klagomålsmail/A 52858-2023 FSC-klagomål mail.docx", "A 52858-2023")</f>
        <v/>
      </c>
      <c r="AC78">
        <f>HYPERLINK("https://klasma.github.io/Logging_0482/tillsyn/A 52858-2023 tillsynsbegäran.docx", "A 52858-2023")</f>
        <v/>
      </c>
      <c r="AD78">
        <f>HYPERLINK("https://klasma.github.io/Logging_0482/tillsynsmail/A 52858-2023 tillsynsbegäran mail.docx", "A 52858-2023")</f>
        <v/>
      </c>
      <c r="AE78">
        <f>HYPERLINK("https://klasma.github.io/Logging_0482/fåglar/A 52858-2023 prioriterade fågelarter.docx", "A 52858-2023")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46260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22511-2026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46155</v>
      </c>
      <c r="E80" s="1" t="n">
        <v>46260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Ormbär
Skriftlav</t>
        </is>
      </c>
      <c r="W80">
        <f>HYPERLINK("https://klasma.github.io/Logging_0482/artfynd/A 22511-2026 artfynd.xlsx", "A 22511-2026")</f>
        <v/>
      </c>
      <c r="X80">
        <f>HYPERLINK("https://klasma.github.io/Logging_0482/kartor/A 22511-2026 karta.png", "A 22511-2026")</f>
        <v/>
      </c>
      <c r="Y80">
        <f>HYPERLINK("https://klasma.github.io/Logging_0482/kartor_geotiff/A 22511-2026 georefererad karta.tif", "A 22511-2026")</f>
        <v/>
      </c>
      <c r="AA80">
        <f>HYPERLINK("https://klasma.github.io/Logging_0482/klagomål/A 22511-2026 FSC-klagomål.docx", "A 22511-2026")</f>
        <v/>
      </c>
      <c r="AB80">
        <f>HYPERLINK("https://klasma.github.io/Logging_0482/klagomålsmail/A 22511-2026 FSC-klagomål mail.docx", "A 22511-2026")</f>
        <v/>
      </c>
      <c r="AC80">
        <f>HYPERLINK("https://klasma.github.io/Logging_0482/tillsyn/A 22511-2026 tillsynsbegäran.docx", "A 22511-2026")</f>
        <v/>
      </c>
      <c r="AD80">
        <f>HYPERLINK("https://klasma.github.io/Logging_0482/tillsynsmail/A 22511-2026 tillsynsbegäran mail.docx", "A 22511-2026")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46260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49816-2023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46260</v>
      </c>
      <c r="F82" t="inlineStr">
        <is>
          <t>SÖDERMANLANDS LÄN</t>
        </is>
      </c>
      <c r="G82" t="inlineStr">
        <is>
          <t>FLEN</t>
        </is>
      </c>
      <c r="I82" t="n">
        <v>4.6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Reliktbock
Tallticka</t>
        </is>
      </c>
      <c r="W82">
        <f>HYPERLINK("https://klasma.github.io/Logging_0482/artfynd/A 49816-2023 artfynd.xlsx", "A 49816-2023")</f>
        <v/>
      </c>
      <c r="X82">
        <f>HYPERLINK("https://klasma.github.io/Logging_0482/kartor/A 49816-2023 karta.png", "A 49816-2023")</f>
        <v/>
      </c>
      <c r="Y82">
        <f>HYPERLINK("https://klasma.github.io/Logging_0482/kartor_geotiff/A 49816-2023 georefererad karta.tif", "A 49816-2023")</f>
        <v/>
      </c>
      <c r="AA82">
        <f>HYPERLINK("https://klasma.github.io/Logging_0482/klagomål/A 49816-2023 FSC-klagomål.docx", "A 49816-2023")</f>
        <v/>
      </c>
      <c r="AB82">
        <f>HYPERLINK("https://klasma.github.io/Logging_0482/klagomålsmail/A 49816-2023 FSC-klagomål mail.docx", "A 49816-2023")</f>
        <v/>
      </c>
      <c r="AC82">
        <f>HYPERLINK("https://klasma.github.io/Logging_0482/tillsyn/A 49816-2023 tillsynsbegäran.docx", "A 49816-2023")</f>
        <v/>
      </c>
      <c r="AD82">
        <f>HYPERLINK("https://klasma.github.io/Logging_0482/tillsynsmail/A 49816-2023 tillsynsbegäran mail.docx", "A 49816-2023")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46260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46260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46260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46260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46260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34849-2026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46260</v>
      </c>
      <c r="F88" t="inlineStr">
        <is>
          <t>SÖDERMANLANDS LÄN</t>
        </is>
      </c>
      <c r="G88" t="inlineStr">
        <is>
          <t>FLEN</t>
        </is>
      </c>
      <c r="H88" t="inlineStr">
        <is>
          <t>Holmen skog AB</t>
        </is>
      </c>
      <c r="I88" t="n">
        <v>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5</v>
      </c>
      <c r="U88" t="n">
        <v>0</v>
      </c>
      <c r="V88" s="2" t="inlineStr">
        <is>
          <t>Motaggsvamp
Vedskivlav</t>
        </is>
      </c>
      <c r="W88">
        <f>HYPERLINK("https://klasma.github.io/Logging_0482/artfynd/A 34849-2026 artfynd.xlsx", "A 34849-2026")</f>
        <v/>
      </c>
      <c r="X88">
        <f>HYPERLINK("https://klasma.github.io/Logging_0482/kartor/A 34849-2026 karta.png", "A 34849-2026")</f>
        <v/>
      </c>
      <c r="Y88">
        <f>HYPERLINK("https://klasma.github.io/Logging_0482/kartor_geotiff/A 34849-2026 georefererad karta.tif", "A 34849-2026")</f>
        <v/>
      </c>
      <c r="AA88">
        <f>HYPERLINK("https://klasma.github.io/Logging_0482/klagomål/A 34849-2026 FSC-klagomål.docx", "A 34849-2026")</f>
        <v/>
      </c>
      <c r="AB88">
        <f>HYPERLINK("https://klasma.github.io/Logging_0482/klagomålsmail/A 34849-2026 FSC-klagomål mail.docx", "A 34849-2026")</f>
        <v/>
      </c>
      <c r="AC88">
        <f>HYPERLINK("https://klasma.github.io/Logging_0482/tillsyn/A 34849-2026 tillsynsbegäran.docx", "A 34849-2026")</f>
        <v/>
      </c>
      <c r="AD88">
        <f>HYPERLINK("https://klasma.github.io/Logging_0482/tillsynsmail/A 34849-2026 tillsynsbegäran mail.docx", "A 34849-2026")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46260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46260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46260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46260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46260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46260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46260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46260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46260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46260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46260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46260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46260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46260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46260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2043-2026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46260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Scharlakansvaxing</t>
        </is>
      </c>
      <c r="W104">
        <f>HYPERLINK("https://klasma.github.io/Logging_0482/artfynd/A 2043-2026 artfynd.xlsx", "A 2043-2026")</f>
        <v/>
      </c>
      <c r="X104">
        <f>HYPERLINK("https://klasma.github.io/Logging_0482/kartor/A 2043-2026 karta.png", "A 2043-2026")</f>
        <v/>
      </c>
      <c r="Y104">
        <f>HYPERLINK("https://klasma.github.io/Logging_0482/kartor_geotiff/A 2043-2026 georefererad karta.tif", "A 2043-2026")</f>
        <v/>
      </c>
      <c r="AA104">
        <f>HYPERLINK("https://klasma.github.io/Logging_0482/klagomål/A 2043-2026 FSC-klagomål.docx", "A 2043-2026")</f>
        <v/>
      </c>
      <c r="AB104">
        <f>HYPERLINK("https://klasma.github.io/Logging_0482/klagomålsmail/A 2043-2026 FSC-klagomål mail.docx", "A 2043-2026")</f>
        <v/>
      </c>
      <c r="AC104">
        <f>HYPERLINK("https://klasma.github.io/Logging_0482/tillsyn/A 2043-2026 tillsynsbegäran.docx", "A 2043-2026")</f>
        <v/>
      </c>
      <c r="AD104">
        <f>HYPERLINK("https://klasma.github.io/Logging_0482/tillsynsmail/A 2043-2026 tillsynsbegäran mail.docx", "A 2043-2026")</f>
        <v/>
      </c>
    </row>
    <row r="105" ht="15" customHeight="1">
      <c r="A105" t="inlineStr">
        <is>
          <t>A 2036-2026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46260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HYPERLINK("https://klasma.github.io/Logging_0482/artfynd/A 2036-2026 artfynd.xlsx", "A 2036-2026")</f>
        <v/>
      </c>
      <c r="X105">
        <f>HYPERLINK("https://klasma.github.io/Logging_0482/kartor/A 2036-2026 karta.png", "A 2036-2026")</f>
        <v/>
      </c>
      <c r="Y105">
        <f>HYPERLINK("https://klasma.github.io/Logging_0482/kartor_geotiff/A 2036-2026 georefererad karta.tif", "A 2036-2026")</f>
        <v/>
      </c>
      <c r="Z105">
        <f>HYPERLINK("https://klasma.github.io/Logging_0482/knärot/A 2036-2026 karta knärot.png", "A 2036-2026")</f>
        <v/>
      </c>
      <c r="AA105">
        <f>HYPERLINK("https://klasma.github.io/Logging_0482/klagomål/A 2036-2026 FSC-klagomål.docx", "A 2036-2026")</f>
        <v/>
      </c>
      <c r="AB105">
        <f>HYPERLINK("https://klasma.github.io/Logging_0482/klagomålsmail/A 2036-2026 FSC-klagomål mail.docx", "A 2036-2026")</f>
        <v/>
      </c>
      <c r="AC105">
        <f>HYPERLINK("https://klasma.github.io/Logging_0482/tillsyn/A 2036-2026 tillsynsbegäran.docx", "A 2036-2026")</f>
        <v/>
      </c>
      <c r="AD105">
        <f>HYPERLINK("https://klasma.github.io/Logging_0482/tillsynsmail/A 2036-2026 tillsynsbegäran mail.docx", "A 2036-2026")</f>
        <v/>
      </c>
    </row>
    <row r="106" ht="15" customHeight="1">
      <c r="A106" t="inlineStr">
        <is>
          <t>A 37283-2024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45540</v>
      </c>
      <c r="E106" s="1" t="n">
        <v>46260</v>
      </c>
      <c r="F106" t="inlineStr">
        <is>
          <t>SÖDERMANLANDS LÄN</t>
        </is>
      </c>
      <c r="G106" t="inlineStr">
        <is>
          <t>FLEN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Gullklöver</t>
        </is>
      </c>
      <c r="W106">
        <f>HYPERLINK("https://klasma.github.io/Logging_0482/artfynd/A 37283-2024 artfynd.xlsx", "A 37283-2024")</f>
        <v/>
      </c>
      <c r="X106">
        <f>HYPERLINK("https://klasma.github.io/Logging_0482/kartor/A 37283-2024 karta.png", "A 37283-2024")</f>
        <v/>
      </c>
      <c r="Y106">
        <f>HYPERLINK("https://klasma.github.io/Logging_0482/kartor_geotiff/A 37283-2024 georefererad karta.tif", "A 37283-2024")</f>
        <v/>
      </c>
      <c r="AA106">
        <f>HYPERLINK("https://klasma.github.io/Logging_0482/klagomål/A 37283-2024 FSC-klagomål.docx", "A 37283-2024")</f>
        <v/>
      </c>
      <c r="AB106">
        <f>HYPERLINK("https://klasma.github.io/Logging_0482/klagomålsmail/A 37283-2024 FSC-klagomål mail.docx", "A 37283-2024")</f>
        <v/>
      </c>
      <c r="AC106">
        <f>HYPERLINK("https://klasma.github.io/Logging_0482/tillsyn/A 37283-2024 tillsynsbegäran.docx", "A 37283-2024")</f>
        <v/>
      </c>
      <c r="AD106">
        <f>HYPERLINK("https://klasma.github.io/Logging_0482/tillsynsmail/A 37283-2024 tillsynsbegäran mail.docx", "A 37283-2024")</f>
        <v/>
      </c>
    </row>
    <row r="107" ht="15" customHeight="1">
      <c r="A107" t="inlineStr">
        <is>
          <t>A 38829-2025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46260</v>
      </c>
      <c r="F107" t="inlineStr">
        <is>
          <t>SÖDERMANLANDS LÄN</t>
        </is>
      </c>
      <c r="G107" t="inlineStr">
        <is>
          <t>FLEN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38829-2025 artfynd.xlsx", "A 38829-2025")</f>
        <v/>
      </c>
      <c r="X107">
        <f>HYPERLINK("https://klasma.github.io/Logging_0482/kartor/A 38829-2025 karta.png", "A 38829-2025")</f>
        <v/>
      </c>
      <c r="Y107">
        <f>HYPERLINK("https://klasma.github.io/Logging_0482/kartor_geotiff/A 38829-2025 georefererad karta.tif", "A 38829-2025")</f>
        <v/>
      </c>
      <c r="AA107">
        <f>HYPERLINK("https://klasma.github.io/Logging_0482/klagomål/A 38829-2025 FSC-klagomål.docx", "A 38829-2025")</f>
        <v/>
      </c>
      <c r="AB107">
        <f>HYPERLINK("https://klasma.github.io/Logging_0482/klagomålsmail/A 38829-2025 FSC-klagomål mail.docx", "A 38829-2025")</f>
        <v/>
      </c>
      <c r="AC107">
        <f>HYPERLINK("https://klasma.github.io/Logging_0482/tillsyn/A 38829-2025 tillsynsbegäran.docx", "A 38829-2025")</f>
        <v/>
      </c>
      <c r="AD107">
        <f>HYPERLINK("https://klasma.github.io/Logging_0482/tillsynsmail/A 38829-2025 tillsynsbegäran mail.docx", "A 38829-2025")</f>
        <v/>
      </c>
    </row>
    <row r="108" ht="15" customHeight="1">
      <c r="A108" t="inlineStr">
        <is>
          <t>A 7525-2024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45348</v>
      </c>
      <c r="E108" s="1" t="n">
        <v>46260</v>
      </c>
      <c r="F108" t="inlineStr">
        <is>
          <t>SÖDERMANLANDS LÄN</t>
        </is>
      </c>
      <c r="G108" t="inlineStr">
        <is>
          <t>FLEN</t>
        </is>
      </c>
      <c r="I108" t="n">
        <v>2.3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Vanlig backsmörblomma</t>
        </is>
      </c>
      <c r="W108">
        <f>HYPERLINK("https://klasma.github.io/Logging_0482/artfynd/A 7525-2024 artfynd.xlsx", "A 7525-2024")</f>
        <v/>
      </c>
      <c r="X108">
        <f>HYPERLINK("https://klasma.github.io/Logging_0482/kartor/A 7525-2024 karta.png", "A 7525-2024")</f>
        <v/>
      </c>
      <c r="Y108">
        <f>HYPERLINK("https://klasma.github.io/Logging_0482/kartor_geotiff/A 7525-2024 georefererad karta.tif", "A 7525-2024")</f>
        <v/>
      </c>
      <c r="AA108">
        <f>HYPERLINK("https://klasma.github.io/Logging_0482/klagomål/A 7525-2024 FSC-klagomål.docx", "A 7525-2024")</f>
        <v/>
      </c>
      <c r="AB108">
        <f>HYPERLINK("https://klasma.github.io/Logging_0482/klagomålsmail/A 7525-2024 FSC-klagomål mail.docx", "A 7525-2024")</f>
        <v/>
      </c>
      <c r="AC108">
        <f>HYPERLINK("https://klasma.github.io/Logging_0482/tillsyn/A 7525-2024 tillsynsbegäran.docx", "A 7525-2024")</f>
        <v/>
      </c>
      <c r="AD108">
        <f>HYPERLINK("https://klasma.github.io/Logging_0482/tillsynsmail/A 7525-2024 tillsynsbegäran mail.docx", "A 7525-2024")</f>
        <v/>
      </c>
    </row>
    <row r="109" ht="15" customHeight="1">
      <c r="A109" t="inlineStr">
        <is>
          <t>A 31427-2022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46260</v>
      </c>
      <c r="F109" t="inlineStr">
        <is>
          <t>SÖDERMANLANDS LÄN</t>
        </is>
      </c>
      <c r="G109" t="inlineStr">
        <is>
          <t>FLEN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HYPERLINK("https://klasma.github.io/Logging_0482/artfynd/A 31427-2022 artfynd.xlsx", "A 31427-2022")</f>
        <v/>
      </c>
      <c r="X109">
        <f>HYPERLINK("https://klasma.github.io/Logging_0482/kartor/A 31427-2022 karta.png", "A 31427-2022")</f>
        <v/>
      </c>
      <c r="Y109">
        <f>HYPERLINK("https://klasma.github.io/Logging_0482/kartor_geotiff/A 31427-2022 georefererad karta.tif", "A 31427-2022")</f>
        <v/>
      </c>
      <c r="AA109">
        <f>HYPERLINK("https://klasma.github.io/Logging_0482/klagomål/A 31427-2022 FSC-klagomål.docx", "A 31427-2022")</f>
        <v/>
      </c>
      <c r="AB109">
        <f>HYPERLINK("https://klasma.github.io/Logging_0482/klagomålsmail/A 31427-2022 FSC-klagomål mail.docx", "A 31427-2022")</f>
        <v/>
      </c>
      <c r="AC109">
        <f>HYPERLINK("https://klasma.github.io/Logging_0482/tillsyn/A 31427-2022 tillsynsbegäran.docx", "A 31427-2022")</f>
        <v/>
      </c>
      <c r="AD109">
        <f>HYPERLINK("https://klasma.github.io/Logging_0482/tillsynsmail/A 31427-2022 tillsynsbegäran mail.docx", "A 31427-2022")</f>
        <v/>
      </c>
    </row>
    <row r="110" ht="15" customHeight="1">
      <c r="A110" t="inlineStr">
        <is>
          <t>A 14113-2025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46260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14113-2025 artfynd.xlsx", "A 14113-2025")</f>
        <v/>
      </c>
      <c r="X110">
        <f>HYPERLINK("https://klasma.github.io/Logging_0482/kartor/A 14113-2025 karta.png", "A 14113-2025")</f>
        <v/>
      </c>
      <c r="Y110">
        <f>HYPERLINK("https://klasma.github.io/Logging_0482/kartor_geotiff/A 14113-2025 georefererad karta.tif", "A 14113-2025")</f>
        <v/>
      </c>
      <c r="AA110">
        <f>HYPERLINK("https://klasma.github.io/Logging_0482/klagomål/A 14113-2025 FSC-klagomål.docx", "A 14113-2025")</f>
        <v/>
      </c>
      <c r="AB110">
        <f>HYPERLINK("https://klasma.github.io/Logging_0482/klagomålsmail/A 14113-2025 FSC-klagomål mail.docx", "A 14113-2025")</f>
        <v/>
      </c>
      <c r="AC110">
        <f>HYPERLINK("https://klasma.github.io/Logging_0482/tillsyn/A 14113-2025 tillsynsbegäran.docx", "A 14113-2025")</f>
        <v/>
      </c>
      <c r="AD110">
        <f>HYPERLINK("https://klasma.github.io/Logging_0482/tillsynsmail/A 14113-2025 tillsynsbegäran mail.docx", "A 14113-2025")</f>
        <v/>
      </c>
    </row>
    <row r="111" ht="15" customHeight="1">
      <c r="A111" t="inlineStr">
        <is>
          <t>A 6714-2026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46260</v>
      </c>
      <c r="F111" t="inlineStr">
        <is>
          <t>SÖDERMANLANDS LÄN</t>
        </is>
      </c>
      <c r="G111" t="inlineStr">
        <is>
          <t>FLEN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6714-2026 artfynd.xlsx", "A 6714-2026")</f>
        <v/>
      </c>
      <c r="X111">
        <f>HYPERLINK("https://klasma.github.io/Logging_0482/kartor/A 6714-2026 karta.png", "A 6714-2026")</f>
        <v/>
      </c>
      <c r="Y111">
        <f>HYPERLINK("https://klasma.github.io/Logging_0482/kartor_geotiff/A 6714-2026 georefererad karta.tif", "A 6714-2026")</f>
        <v/>
      </c>
      <c r="AA111">
        <f>HYPERLINK("https://klasma.github.io/Logging_0482/klagomål/A 6714-2026 FSC-klagomål.docx", "A 6714-2026")</f>
        <v/>
      </c>
      <c r="AB111">
        <f>HYPERLINK("https://klasma.github.io/Logging_0482/klagomålsmail/A 6714-2026 FSC-klagomål mail.docx", "A 6714-2026")</f>
        <v/>
      </c>
      <c r="AC111">
        <f>HYPERLINK("https://klasma.github.io/Logging_0482/tillsyn/A 6714-2026 tillsynsbegäran.docx", "A 6714-2026")</f>
        <v/>
      </c>
      <c r="AD111">
        <f>HYPERLINK("https://klasma.github.io/Logging_0482/tillsynsmail/A 6714-2026 tillsynsbegäran mail.docx", "A 6714-2026")</f>
        <v/>
      </c>
    </row>
    <row r="112" ht="15" customHeight="1">
      <c r="A112" t="inlineStr">
        <is>
          <t>A 9446-2026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46071</v>
      </c>
      <c r="E112" s="1" t="n">
        <v>46260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HYPERLINK("https://klasma.github.io/Logging_0482/artfynd/A 9446-2026 artfynd.xlsx", "A 9446-2026")</f>
        <v/>
      </c>
      <c r="X112">
        <f>HYPERLINK("https://klasma.github.io/Logging_0482/kartor/A 9446-2026 karta.png", "A 9446-2026")</f>
        <v/>
      </c>
      <c r="Y112">
        <f>HYPERLINK("https://klasma.github.io/Logging_0482/kartor_geotiff/A 9446-2026 georefererad karta.tif", "A 9446-2026")</f>
        <v/>
      </c>
      <c r="AA112">
        <f>HYPERLINK("https://klasma.github.io/Logging_0482/klagomål/A 9446-2026 FSC-klagomål.docx", "A 9446-2026")</f>
        <v/>
      </c>
      <c r="AB112">
        <f>HYPERLINK("https://klasma.github.io/Logging_0482/klagomålsmail/A 9446-2026 FSC-klagomål mail.docx", "A 9446-2026")</f>
        <v/>
      </c>
      <c r="AC112">
        <f>HYPERLINK("https://klasma.github.io/Logging_0482/tillsyn/A 9446-2026 tillsynsbegäran.docx", "A 9446-2026")</f>
        <v/>
      </c>
      <c r="AD112">
        <f>HYPERLINK("https://klasma.github.io/Logging_0482/tillsynsmail/A 9446-2026 tillsynsbegäran mail.docx", "A 9446-2026")</f>
        <v/>
      </c>
    </row>
    <row r="113" ht="15" customHeight="1">
      <c r="A113" t="inlineStr">
        <is>
          <t>A 10999-2026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46079</v>
      </c>
      <c r="E113" s="1" t="n">
        <v>46260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3.6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10999-2026 artfynd.xlsx", "A 10999-2026")</f>
        <v/>
      </c>
      <c r="X113">
        <f>HYPERLINK("https://klasma.github.io/Logging_0482/kartor/A 10999-2026 karta.png", "A 10999-2026")</f>
        <v/>
      </c>
      <c r="Y113">
        <f>HYPERLINK("https://klasma.github.io/Logging_0482/kartor_geotiff/A 10999-2026 georefererad karta.tif", "A 10999-2026")</f>
        <v/>
      </c>
      <c r="AA113">
        <f>HYPERLINK("https://klasma.github.io/Logging_0482/klagomål/A 10999-2026 FSC-klagomål.docx", "A 10999-2026")</f>
        <v/>
      </c>
      <c r="AB113">
        <f>HYPERLINK("https://klasma.github.io/Logging_0482/klagomålsmail/A 10999-2026 FSC-klagomål mail.docx", "A 10999-2026")</f>
        <v/>
      </c>
      <c r="AC113">
        <f>HYPERLINK("https://klasma.github.io/Logging_0482/tillsyn/A 10999-2026 tillsynsbegäran.docx", "A 10999-2026")</f>
        <v/>
      </c>
      <c r="AD113">
        <f>HYPERLINK("https://klasma.github.io/Logging_0482/tillsynsmail/A 10999-2026 tillsynsbegäran mail.docx", "A 10999-2026")</f>
        <v/>
      </c>
    </row>
    <row r="114" ht="15" customHeight="1">
      <c r="A114" t="inlineStr">
        <is>
          <t>A 47581-2025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46260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47581-2025 artfynd.xlsx", "A 47581-2025")</f>
        <v/>
      </c>
      <c r="X114">
        <f>HYPERLINK("https://klasma.github.io/Logging_0482/kartor/A 47581-2025 karta.png", "A 47581-2025")</f>
        <v/>
      </c>
      <c r="Y114">
        <f>HYPERLINK("https://klasma.github.io/Logging_0482/kartor_geotiff/A 47581-2025 georefererad karta.tif", "A 47581-2025")</f>
        <v/>
      </c>
      <c r="AA114">
        <f>HYPERLINK("https://klasma.github.io/Logging_0482/klagomål/A 47581-2025 FSC-klagomål.docx", "A 47581-2025")</f>
        <v/>
      </c>
      <c r="AB114">
        <f>HYPERLINK("https://klasma.github.io/Logging_0482/klagomålsmail/A 47581-2025 FSC-klagomål mail.docx", "A 47581-2025")</f>
        <v/>
      </c>
      <c r="AC114">
        <f>HYPERLINK("https://klasma.github.io/Logging_0482/tillsyn/A 47581-2025 tillsynsbegäran.docx", "A 47581-2025")</f>
        <v/>
      </c>
      <c r="AD114">
        <f>HYPERLINK("https://klasma.github.io/Logging_0482/tillsynsmail/A 47581-2025 tillsynsbegäran mail.docx", "A 47581-2025")</f>
        <v/>
      </c>
    </row>
    <row r="115" ht="15" customHeight="1">
      <c r="A115" t="inlineStr">
        <is>
          <t>A 52579-2025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46260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4.5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52579-2025 artfynd.xlsx", "A 52579-2025")</f>
        <v/>
      </c>
      <c r="X115">
        <f>HYPERLINK("https://klasma.github.io/Logging_0482/kartor/A 52579-2025 karta.png", "A 52579-2025")</f>
        <v/>
      </c>
      <c r="Y115">
        <f>HYPERLINK("https://klasma.github.io/Logging_0482/kartor_geotiff/A 52579-2025 georefererad karta.tif", "A 52579-2025")</f>
        <v/>
      </c>
      <c r="AA115">
        <f>HYPERLINK("https://klasma.github.io/Logging_0482/klagomål/A 52579-2025 FSC-klagomål.docx", "A 52579-2025")</f>
        <v/>
      </c>
      <c r="AB115">
        <f>HYPERLINK("https://klasma.github.io/Logging_0482/klagomålsmail/A 52579-2025 FSC-klagomål mail.docx", "A 52579-2025")</f>
        <v/>
      </c>
      <c r="AC115">
        <f>HYPERLINK("https://klasma.github.io/Logging_0482/tillsyn/A 52579-2025 tillsynsbegäran.docx", "A 52579-2025")</f>
        <v/>
      </c>
      <c r="AD115">
        <f>HYPERLINK("https://klasma.github.io/Logging_0482/tillsynsmail/A 52579-2025 tillsynsbegäran mail.docx", "A 52579-2025")</f>
        <v/>
      </c>
    </row>
    <row r="116" ht="15" customHeight="1">
      <c r="A116" t="inlineStr">
        <is>
          <t>A 6982-2024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46260</v>
      </c>
      <c r="F116" t="inlineStr">
        <is>
          <t>SÖDERMANLANDS LÄN</t>
        </is>
      </c>
      <c r="G116" t="inlineStr">
        <is>
          <t>FLEN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Fläcknycklar</t>
        </is>
      </c>
      <c r="W116">
        <f>HYPERLINK("https://klasma.github.io/Logging_0482/artfynd/A 6982-2024 artfynd.xlsx", "A 6982-2024")</f>
        <v/>
      </c>
      <c r="X116">
        <f>HYPERLINK("https://klasma.github.io/Logging_0482/kartor/A 6982-2024 karta.png", "A 6982-2024")</f>
        <v/>
      </c>
      <c r="Y116">
        <f>HYPERLINK("https://klasma.github.io/Logging_0482/kartor_geotiff/A 6982-2024 georefererad karta.tif", "A 6982-2024")</f>
        <v/>
      </c>
      <c r="AA116">
        <f>HYPERLINK("https://klasma.github.io/Logging_0482/klagomål/A 6982-2024 FSC-klagomål.docx", "A 6982-2024")</f>
        <v/>
      </c>
      <c r="AB116">
        <f>HYPERLINK("https://klasma.github.io/Logging_0482/klagomålsmail/A 6982-2024 FSC-klagomål mail.docx", "A 6982-2024")</f>
        <v/>
      </c>
      <c r="AC116">
        <f>HYPERLINK("https://klasma.github.io/Logging_0482/tillsyn/A 6982-2024 tillsynsbegäran.docx", "A 6982-2024")</f>
        <v/>
      </c>
      <c r="AD116">
        <f>HYPERLINK("https://klasma.github.io/Logging_0482/tillsynsmail/A 6982-2024 tillsynsbegäran mail.docx", "A 6982-2024")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46260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46260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46260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46260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46260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21704-2026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46260</v>
      </c>
      <c r="F122" t="inlineStr">
        <is>
          <t>SÖDERMANLANDS LÄN</t>
        </is>
      </c>
      <c r="G122" t="inlineStr">
        <is>
          <t>FLEN</t>
        </is>
      </c>
      <c r="I122" t="n">
        <v>10.2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Kandelabersvamp</t>
        </is>
      </c>
      <c r="W122">
        <f>HYPERLINK("https://klasma.github.io/Logging_0482/artfynd/A 21704-2026 artfynd.xlsx", "A 21704-2026")</f>
        <v/>
      </c>
      <c r="X122">
        <f>HYPERLINK("https://klasma.github.io/Logging_0482/kartor/A 21704-2026 karta.png", "A 21704-2026")</f>
        <v/>
      </c>
      <c r="Y122">
        <f>HYPERLINK("https://klasma.github.io/Logging_0482/kartor_geotiff/A 21704-2026 georefererad karta.tif", "A 21704-2026")</f>
        <v/>
      </c>
      <c r="AA122">
        <f>HYPERLINK("https://klasma.github.io/Logging_0482/klagomål/A 21704-2026 FSC-klagomål.docx", "A 21704-2026")</f>
        <v/>
      </c>
      <c r="AB122">
        <f>HYPERLINK("https://klasma.github.io/Logging_0482/klagomålsmail/A 21704-2026 FSC-klagomål mail.docx", "A 21704-2026")</f>
        <v/>
      </c>
      <c r="AC122">
        <f>HYPERLINK("https://klasma.github.io/Logging_0482/tillsyn/A 21704-2026 tillsynsbegäran.docx", "A 21704-2026")</f>
        <v/>
      </c>
      <c r="AD122">
        <f>HYPERLINK("https://klasma.github.io/Logging_0482/tillsynsmail/A 21704-2026 tillsynsbegäran mail.docx", "A 21704-2026")</f>
        <v/>
      </c>
    </row>
    <row r="123" ht="15" customHeight="1">
      <c r="A123" t="inlineStr">
        <is>
          <t>A 37317-2023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46260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5.1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Svavelriska</t>
        </is>
      </c>
      <c r="W123">
        <f>HYPERLINK("https://klasma.github.io/Logging_0482/artfynd/A 37317-2023 artfynd.xlsx", "A 37317-2023")</f>
        <v/>
      </c>
      <c r="X123">
        <f>HYPERLINK("https://klasma.github.io/Logging_0482/kartor/A 37317-2023 karta.png", "A 37317-2023")</f>
        <v/>
      </c>
      <c r="Y123">
        <f>HYPERLINK("https://klasma.github.io/Logging_0482/kartor_geotiff/A 37317-2023 georefererad karta.tif", "A 37317-2023")</f>
        <v/>
      </c>
      <c r="AA123">
        <f>HYPERLINK("https://klasma.github.io/Logging_0482/klagomål/A 37317-2023 FSC-klagomål.docx", "A 37317-2023")</f>
        <v/>
      </c>
      <c r="AB123">
        <f>HYPERLINK("https://klasma.github.io/Logging_0482/klagomålsmail/A 37317-2023 FSC-klagomål mail.docx", "A 37317-2023")</f>
        <v/>
      </c>
      <c r="AC123">
        <f>HYPERLINK("https://klasma.github.io/Logging_0482/tillsyn/A 37317-2023 tillsynsbegäran.docx", "A 37317-2023")</f>
        <v/>
      </c>
      <c r="AD123">
        <f>HYPERLINK("https://klasma.github.io/Logging_0482/tillsynsmail/A 37317-2023 tillsynsbegäran mail.docx", "A 37317-2023")</f>
        <v/>
      </c>
    </row>
    <row r="124" ht="15" customHeight="1">
      <c r="A124" t="inlineStr">
        <is>
          <t>A 60529-2024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46260</v>
      </c>
      <c r="F124" t="inlineStr">
        <is>
          <t>SÖDERMANLANDS LÄN</t>
        </is>
      </c>
      <c r="G124" t="inlineStr">
        <is>
          <t>FLEN</t>
        </is>
      </c>
      <c r="I124" t="n">
        <v>2.5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Skarp dropptaggsvamp</t>
        </is>
      </c>
      <c r="W124">
        <f>HYPERLINK("https://klasma.github.io/Logging_0482/artfynd/A 60529-2024 artfynd.xlsx", "A 60529-2024")</f>
        <v/>
      </c>
      <c r="X124">
        <f>HYPERLINK("https://klasma.github.io/Logging_0482/kartor/A 60529-2024 karta.png", "A 60529-2024")</f>
        <v/>
      </c>
      <c r="Y124">
        <f>HYPERLINK("https://klasma.github.io/Logging_0482/kartor_geotiff/A 60529-2024 georefererad karta.tif", "A 60529-2024")</f>
        <v/>
      </c>
      <c r="AA124">
        <f>HYPERLINK("https://klasma.github.io/Logging_0482/klagomål/A 60529-2024 FSC-klagomål.docx", "A 60529-2024")</f>
        <v/>
      </c>
      <c r="AB124">
        <f>HYPERLINK("https://klasma.github.io/Logging_0482/klagomålsmail/A 60529-2024 FSC-klagomål mail.docx", "A 60529-2024")</f>
        <v/>
      </c>
      <c r="AC124">
        <f>HYPERLINK("https://klasma.github.io/Logging_0482/tillsyn/A 60529-2024 tillsynsbegäran.docx", "A 60529-2024")</f>
        <v/>
      </c>
      <c r="AD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53339-2023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46260</v>
      </c>
      <c r="F125" t="inlineStr">
        <is>
          <t>SÖDERMANLANDS LÄN</t>
        </is>
      </c>
      <c r="G125" t="inlineStr">
        <is>
          <t>FLEN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53339-2023 artfynd.xlsx", "A 53339-2023")</f>
        <v/>
      </c>
      <c r="X125">
        <f>HYPERLINK("https://klasma.github.io/Logging_0482/kartor/A 53339-2023 karta.png", "A 53339-2023")</f>
        <v/>
      </c>
      <c r="Y125">
        <f>HYPERLINK("https://klasma.github.io/Logging_0482/kartor_geotiff/A 53339-2023 georefererad karta.tif", "A 53339-2023")</f>
        <v/>
      </c>
      <c r="AA125">
        <f>HYPERLINK("https://klasma.github.io/Logging_0482/klagomål/A 53339-2023 FSC-klagomål.docx", "A 53339-2023")</f>
        <v/>
      </c>
      <c r="AB125">
        <f>HYPERLINK("https://klasma.github.io/Logging_0482/klagomålsmail/A 53339-2023 FSC-klagomål mail.docx", "A 53339-2023")</f>
        <v/>
      </c>
      <c r="AC125">
        <f>HYPERLINK("https://klasma.github.io/Logging_0482/tillsyn/A 53339-2023 tillsynsbegäran.docx", "A 53339-2023")</f>
        <v/>
      </c>
      <c r="AD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24179-2026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46168</v>
      </c>
      <c r="E126" s="1" t="n">
        <v>46260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1.8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Gullklöver</t>
        </is>
      </c>
      <c r="W126">
        <f>HYPERLINK("https://klasma.github.io/Logging_0482/artfynd/A 24179-2026 artfynd.xlsx", "A 24179-2026")</f>
        <v/>
      </c>
      <c r="X126">
        <f>HYPERLINK("https://klasma.github.io/Logging_0482/kartor/A 24179-2026 karta.png", "A 24179-2026")</f>
        <v/>
      </c>
      <c r="Y126">
        <f>HYPERLINK("https://klasma.github.io/Logging_0482/kartor_geotiff/A 24179-2026 georefererad karta.tif", "A 24179-2026")</f>
        <v/>
      </c>
      <c r="AA126">
        <f>HYPERLINK("https://klasma.github.io/Logging_0482/klagomål/A 24179-2026 FSC-klagomål.docx", "A 24179-2026")</f>
        <v/>
      </c>
      <c r="AB126">
        <f>HYPERLINK("https://klasma.github.io/Logging_0482/klagomålsmail/A 24179-2026 FSC-klagomål mail.docx", "A 24179-2026")</f>
        <v/>
      </c>
      <c r="AC126">
        <f>HYPERLINK("https://klasma.github.io/Logging_0482/tillsyn/A 24179-2026 tillsynsbegäran.docx", "A 24179-2026")</f>
        <v/>
      </c>
      <c r="AD126">
        <f>HYPERLINK("https://klasma.github.io/Logging_0482/tillsynsmail/A 24179-2026 tillsynsbegäran mail.docx", "A 24179-2026")</f>
        <v/>
      </c>
    </row>
    <row r="127" ht="15" customHeight="1">
      <c r="A127" t="inlineStr">
        <is>
          <t>A 52546-2021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46260</v>
      </c>
      <c r="F127" t="inlineStr">
        <is>
          <t>SÖDERMANLANDS LÄN</t>
        </is>
      </c>
      <c r="G127" t="inlineStr">
        <is>
          <t>FLEN</t>
        </is>
      </c>
      <c r="I127" t="n">
        <v>6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Mindre bastardsvärmare</t>
        </is>
      </c>
      <c r="W127">
        <f>HYPERLINK("https://klasma.github.io/Logging_0482/artfynd/A 52546-2021 artfynd.xlsx", "A 52546-2021")</f>
        <v/>
      </c>
      <c r="X127">
        <f>HYPERLINK("https://klasma.github.io/Logging_0482/kartor/A 52546-2021 karta.png", "A 52546-2021")</f>
        <v/>
      </c>
      <c r="Y127">
        <f>HYPERLINK("https://klasma.github.io/Logging_0482/kartor_geotiff/A 52546-2021 georefererad karta.tif", "A 52546-2021")</f>
        <v/>
      </c>
      <c r="AA127">
        <f>HYPERLINK("https://klasma.github.io/Logging_0482/klagomål/A 52546-2021 FSC-klagomål.docx", "A 52546-2021")</f>
        <v/>
      </c>
      <c r="AB127">
        <f>HYPERLINK("https://klasma.github.io/Logging_0482/klagomålsmail/A 52546-2021 FSC-klagomål mail.docx", "A 52546-2021")</f>
        <v/>
      </c>
      <c r="AC127">
        <f>HYPERLINK("https://klasma.github.io/Logging_0482/tillsyn/A 52546-2021 tillsynsbegäran.docx", "A 52546-2021")</f>
        <v/>
      </c>
      <c r="AD127">
        <f>HYPERLINK("https://klasma.github.io/Logging_0482/tillsynsmail/A 52546-2021 tillsynsbegäran mail.docx", "A 52546-2021")</f>
        <v/>
      </c>
    </row>
    <row r="128" ht="15" customHeight="1">
      <c r="A128" t="inlineStr">
        <is>
          <t>A 45120-2021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46260</v>
      </c>
      <c r="F128" t="inlineStr">
        <is>
          <t>SÖDERMANLANDS LÄN</t>
        </is>
      </c>
      <c r="G128" t="inlineStr">
        <is>
          <t>FLEN</t>
        </is>
      </c>
      <c r="I128" t="n">
        <v>1.5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45120-2021 artfynd.xlsx", "A 45120-2021")</f>
        <v/>
      </c>
      <c r="X128">
        <f>HYPERLINK("https://klasma.github.io/Logging_0482/kartor/A 45120-2021 karta.png", "A 45120-2021")</f>
        <v/>
      </c>
      <c r="Y128">
        <f>HYPERLINK("https://klasma.github.io/Logging_0482/kartor_geotiff/A 45120-2021 georefererad karta.tif", "A 45120-2021")</f>
        <v/>
      </c>
      <c r="AA128">
        <f>HYPERLINK("https://klasma.github.io/Logging_0482/klagomål/A 45120-2021 FSC-klagomål.docx", "A 45120-2021")</f>
        <v/>
      </c>
      <c r="AB128">
        <f>HYPERLINK("https://klasma.github.io/Logging_0482/klagomålsmail/A 45120-2021 FSC-klagomål mail.docx", "A 45120-2021")</f>
        <v/>
      </c>
      <c r="AC128">
        <f>HYPERLINK("https://klasma.github.io/Logging_0482/tillsyn/A 45120-2021 tillsynsbegäran.docx", "A 45120-2021")</f>
        <v/>
      </c>
      <c r="AD128">
        <f>HYPERLINK("https://klasma.github.io/Logging_0482/tillsynsmail/A 45120-2021 tillsynsbegäran mail.docx", "A 45120-2021")</f>
        <v/>
      </c>
    </row>
    <row r="129" ht="15" customHeight="1">
      <c r="A129" t="inlineStr">
        <is>
          <t>A 26310-2026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46260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Spillkråka</t>
        </is>
      </c>
      <c r="W129">
        <f>HYPERLINK("https://klasma.github.io/Logging_0482/artfynd/A 26310-2026 artfynd.xlsx", "A 26310-2026")</f>
        <v/>
      </c>
      <c r="X129">
        <f>HYPERLINK("https://klasma.github.io/Logging_0482/kartor/A 26310-2026 karta.png", "A 26310-2026")</f>
        <v/>
      </c>
      <c r="Y129">
        <f>HYPERLINK("https://klasma.github.io/Logging_0482/kartor_geotiff/A 26310-2026 georefererad karta.tif", "A 26310-2026")</f>
        <v/>
      </c>
      <c r="AA129">
        <f>HYPERLINK("https://klasma.github.io/Logging_0482/klagomål/A 26310-2026 FSC-klagomål.docx", "A 26310-2026")</f>
        <v/>
      </c>
      <c r="AB129">
        <f>HYPERLINK("https://klasma.github.io/Logging_0482/klagomålsmail/A 26310-2026 FSC-klagomål mail.docx", "A 26310-2026")</f>
        <v/>
      </c>
      <c r="AC129">
        <f>HYPERLINK("https://klasma.github.io/Logging_0482/tillsyn/A 26310-2026 tillsynsbegäran.docx", "A 26310-2026")</f>
        <v/>
      </c>
      <c r="AD129">
        <f>HYPERLINK("https://klasma.github.io/Logging_0482/tillsynsmail/A 26310-2026 tillsynsbegäran mail.docx", "A 26310-2026")</f>
        <v/>
      </c>
      <c r="AE129">
        <f>HYPERLINK("https://klasma.github.io/Logging_0482/fåglar/A 26310-2026 prioriterade fågelarter.docx", "A 26310-2026")</f>
        <v/>
      </c>
    </row>
    <row r="130" ht="15" customHeight="1">
      <c r="A130" t="inlineStr">
        <is>
          <t>A 46987-2024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46260</v>
      </c>
      <c r="F130" t="inlineStr">
        <is>
          <t>SÖDERMANLANDS LÄN</t>
        </is>
      </c>
      <c r="G130" t="inlineStr">
        <is>
          <t>FLEN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Svinrot</t>
        </is>
      </c>
      <c r="W130">
        <f>HYPERLINK("https://klasma.github.io/Logging_0482/artfynd/A 46987-2024 artfynd.xlsx", "A 46987-2024")</f>
        <v/>
      </c>
      <c r="X130">
        <f>HYPERLINK("https://klasma.github.io/Logging_0482/kartor/A 46987-2024 karta.png", "A 46987-2024")</f>
        <v/>
      </c>
      <c r="Y130">
        <f>HYPERLINK("https://klasma.github.io/Logging_0482/kartor_geotiff/A 46987-2024 georefererad karta.tif", "A 46987-2024")</f>
        <v/>
      </c>
      <c r="AA130">
        <f>HYPERLINK("https://klasma.github.io/Logging_0482/klagomål/A 46987-2024 FSC-klagomål.docx", "A 46987-2024")</f>
        <v/>
      </c>
      <c r="AB130">
        <f>HYPERLINK("https://klasma.github.io/Logging_0482/klagomålsmail/A 46987-2024 FSC-klagomål mail.docx", "A 46987-2024")</f>
        <v/>
      </c>
      <c r="AC130">
        <f>HYPERLINK("https://klasma.github.io/Logging_0482/tillsyn/A 46987-2024 tillsynsbegäran.docx", "A 46987-2024")</f>
        <v/>
      </c>
      <c r="AD130">
        <f>HYPERLINK("https://klasma.github.io/Logging_0482/tillsynsmail/A 46987-2024 tillsynsbegäran mail.docx", "A 46987-2024")</f>
        <v/>
      </c>
    </row>
    <row r="131" ht="15" customHeight="1">
      <c r="A131" t="inlineStr">
        <is>
          <t>A 10770-2022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44624</v>
      </c>
      <c r="E131" s="1" t="n">
        <v>46260</v>
      </c>
      <c r="F131" t="inlineStr">
        <is>
          <t>SÖDERMANLANDS LÄN</t>
        </is>
      </c>
      <c r="G131" t="inlineStr">
        <is>
          <t>FLEN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10770-2022 artfynd.xlsx", "A 10770-2022")</f>
        <v/>
      </c>
      <c r="X131">
        <f>HYPERLINK("https://klasma.github.io/Logging_0482/kartor/A 10770-2022 karta.png", "A 10770-2022")</f>
        <v/>
      </c>
      <c r="Y131">
        <f>HYPERLINK("https://klasma.github.io/Logging_0482/kartor_geotiff/A 10770-2022 georefererad karta.tif", "A 10770-2022")</f>
        <v/>
      </c>
      <c r="AA131">
        <f>HYPERLINK("https://klasma.github.io/Logging_0482/klagomål/A 10770-2022 FSC-klagomål.docx", "A 10770-2022")</f>
        <v/>
      </c>
      <c r="AB131">
        <f>HYPERLINK("https://klasma.github.io/Logging_0482/klagomålsmail/A 10770-2022 FSC-klagomål mail.docx", "A 10770-2022")</f>
        <v/>
      </c>
      <c r="AC131">
        <f>HYPERLINK("https://klasma.github.io/Logging_0482/tillsyn/A 10770-2022 tillsynsbegäran.docx", "A 10770-2022")</f>
        <v/>
      </c>
      <c r="AD131">
        <f>HYPERLINK("https://klasma.github.io/Logging_0482/tillsynsmail/A 10770-2022 tillsynsbegäran mail.docx", "A 10770-2022")</f>
        <v/>
      </c>
    </row>
    <row r="132" ht="15" customHeight="1">
      <c r="A132" t="inlineStr">
        <is>
          <t>A 26052-2026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46260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Revlummer</t>
        </is>
      </c>
      <c r="W132">
        <f>HYPERLINK("https://klasma.github.io/Logging_0482/artfynd/A 26052-2026 artfynd.xlsx", "A 26052-2026")</f>
        <v/>
      </c>
      <c r="X132">
        <f>HYPERLINK("https://klasma.github.io/Logging_0482/kartor/A 26052-2026 karta.png", "A 26052-2026")</f>
        <v/>
      </c>
      <c r="Y132">
        <f>HYPERLINK("https://klasma.github.io/Logging_0482/kartor_geotiff/A 26052-2026 georefererad karta.tif", "A 26052-2026")</f>
        <v/>
      </c>
      <c r="AA132">
        <f>HYPERLINK("https://klasma.github.io/Logging_0482/klagomål/A 26052-2026 FSC-klagomål.docx", "A 26052-2026")</f>
        <v/>
      </c>
      <c r="AB132">
        <f>HYPERLINK("https://klasma.github.io/Logging_0482/klagomålsmail/A 26052-2026 FSC-klagomål mail.docx", "A 26052-2026")</f>
        <v/>
      </c>
      <c r="AC132">
        <f>HYPERLINK("https://klasma.github.io/Logging_0482/tillsyn/A 26052-2026 tillsynsbegäran.docx", "A 26052-2026")</f>
        <v/>
      </c>
      <c r="AD132">
        <f>HYPERLINK("https://klasma.github.io/Logging_0482/tillsynsmail/A 26052-2026 tillsynsbegäran mail.docx", "A 26052-2026")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46260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12371-2022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46260</v>
      </c>
      <c r="F134" t="inlineStr">
        <is>
          <t>SÖDERMANLANDS LÄN</t>
        </is>
      </c>
      <c r="G134" t="inlineStr">
        <is>
          <t>FLEN</t>
        </is>
      </c>
      <c r="H134" t="inlineStr">
        <is>
          <t>Kommuner</t>
        </is>
      </c>
      <c r="I134" t="n">
        <v>2.1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12371-2022 artfynd.xlsx", "A 12371-2022")</f>
        <v/>
      </c>
      <c r="X134">
        <f>HYPERLINK("https://klasma.github.io/Logging_0482/kartor/A 12371-2022 karta.png", "A 12371-2022")</f>
        <v/>
      </c>
      <c r="Y134">
        <f>HYPERLINK("https://klasma.github.io/Logging_0482/kartor_geotiff/A 12371-2022 georefererad karta.tif", "A 12371-2022")</f>
        <v/>
      </c>
      <c r="AA134">
        <f>HYPERLINK("https://klasma.github.io/Logging_0482/klagomål/A 12371-2022 FSC-klagomål.docx", "A 12371-2022")</f>
        <v/>
      </c>
      <c r="AB134">
        <f>HYPERLINK("https://klasma.github.io/Logging_0482/klagomålsmail/A 12371-2022 FSC-klagomål mail.docx", "A 12371-2022")</f>
        <v/>
      </c>
      <c r="AC134">
        <f>HYPERLINK("https://klasma.github.io/Logging_0482/tillsyn/A 12371-2022 tillsynsbegäran.docx", "A 12371-2022")</f>
        <v/>
      </c>
      <c r="AD134">
        <f>HYPERLINK("https://klasma.github.io/Logging_0482/tillsynsmail/A 12371-2022 tillsynsbegäran mail.docx", "A 12371-2022")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46260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4259-2023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44953</v>
      </c>
      <c r="E136" s="1" t="n">
        <v>46260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HYPERLINK("https://klasma.github.io/Logging_0482/artfynd/A 4259-2023 artfynd.xlsx", "A 4259-2023")</f>
        <v/>
      </c>
      <c r="X136">
        <f>HYPERLINK("https://klasma.github.io/Logging_0482/kartor/A 4259-2023 karta.png", "A 4259-2023")</f>
        <v/>
      </c>
      <c r="Y136">
        <f>HYPERLINK("https://klasma.github.io/Logging_0482/kartor_geotiff/A 4259-2023 georefererad karta.tif", "A 4259-2023")</f>
        <v/>
      </c>
      <c r="AA136">
        <f>HYPERLINK("https://klasma.github.io/Logging_0482/klagomål/A 4259-2023 FSC-klagomål.docx", "A 4259-2023")</f>
        <v/>
      </c>
      <c r="AB136">
        <f>HYPERLINK("https://klasma.github.io/Logging_0482/klagomålsmail/A 4259-2023 FSC-klagomål mail.docx", "A 4259-2023")</f>
        <v/>
      </c>
      <c r="AC136">
        <f>HYPERLINK("https://klasma.github.io/Logging_0482/tillsyn/A 4259-2023 tillsynsbegäran.docx", "A 4259-2023")</f>
        <v/>
      </c>
      <c r="AD136">
        <f>HYPERLINK("https://klasma.github.io/Logging_0482/tillsynsmail/A 4259-2023 tillsynsbegäran mail.docx", "A 4259-2023")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46260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Järnsparv</t>
        </is>
      </c>
      <c r="W137">
        <f>HYPERLINK("https://klasma.github.io/Logging_0482/artfynd/A 12306-2022 artfynd.xlsx", "A 12306-2022")</f>
        <v/>
      </c>
      <c r="X137">
        <f>HYPERLINK("https://klasma.github.io/Logging_0482/kartor/A 12306-2022 karta.png", "A 12306-2022")</f>
        <v/>
      </c>
      <c r="Y137">
        <f>HYPERLINK("https://klasma.github.io/Logging_0482/kartor_geotiff/A 12306-2022 georefererad karta.tif", "A 12306-2022")</f>
        <v/>
      </c>
      <c r="AA137">
        <f>HYPERLINK("https://klasma.github.io/Logging_0482/klagomål/A 12306-2022 FSC-klagomål.docx", "A 12306-2022")</f>
        <v/>
      </c>
      <c r="AB137">
        <f>HYPERLINK("https://klasma.github.io/Logging_0482/klagomålsmail/A 12306-2022 FSC-klagomål mail.docx", "A 12306-2022")</f>
        <v/>
      </c>
      <c r="AC137">
        <f>HYPERLINK("https://klasma.github.io/Logging_0482/tillsyn/A 12306-2022 tillsynsbegäran.docx", "A 12306-2022")</f>
        <v/>
      </c>
      <c r="AD137">
        <f>HYPERLINK("https://klasma.github.io/Logging_0482/tillsynsmail/A 12306-2022 tillsynsbegäran mail.docx", "A 12306-2022")</f>
        <v/>
      </c>
      <c r="AE137">
        <f>HYPERLINK("https://klasma.github.io/Logging_0482/fåglar/A 12306-2022 prioriterade fågelarter.docx", "A 12306-2022")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46260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46260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60562-2021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44495</v>
      </c>
      <c r="E140" s="1" t="n">
        <v>46260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Gullklöver</t>
        </is>
      </c>
      <c r="W140">
        <f>HYPERLINK("https://klasma.github.io/Logging_0482/artfynd/A 60562-2021 artfynd.xlsx", "A 60562-2021")</f>
        <v/>
      </c>
      <c r="X140">
        <f>HYPERLINK("https://klasma.github.io/Logging_0482/kartor/A 60562-2021 karta.png", "A 60562-2021")</f>
        <v/>
      </c>
      <c r="Y140">
        <f>HYPERLINK("https://klasma.github.io/Logging_0482/kartor_geotiff/A 60562-2021 georefererad karta.tif", "A 60562-2021")</f>
        <v/>
      </c>
      <c r="AA140">
        <f>HYPERLINK("https://klasma.github.io/Logging_0482/klagomål/A 60562-2021 FSC-klagomål.docx", "A 60562-2021")</f>
        <v/>
      </c>
      <c r="AB140">
        <f>HYPERLINK("https://klasma.github.io/Logging_0482/klagomålsmail/A 60562-2021 FSC-klagomål mail.docx", "A 60562-2021")</f>
        <v/>
      </c>
      <c r="AC140">
        <f>HYPERLINK("https://klasma.github.io/Logging_0482/tillsyn/A 60562-2021 tillsynsbegäran.docx", "A 60562-2021")</f>
        <v/>
      </c>
      <c r="AD140">
        <f>HYPERLINK("https://klasma.github.io/Logging_0482/tillsynsmail/A 60562-2021 tillsynsbegäran mail.docx", "A 60562-2021")</f>
        <v/>
      </c>
    </row>
    <row r="141" ht="15" customHeight="1">
      <c r="A141" t="inlineStr">
        <is>
          <t>A 50202-2022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46260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5.8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50202-2022 artfynd.xlsx", "A 50202-2022")</f>
        <v/>
      </c>
      <c r="X141">
        <f>HYPERLINK("https://klasma.github.io/Logging_0482/kartor/A 50202-2022 karta.png", "A 50202-2022")</f>
        <v/>
      </c>
      <c r="Y141">
        <f>HYPERLINK("https://klasma.github.io/Logging_0482/kartor_geotiff/A 50202-2022 georefererad karta.tif", "A 50202-2022")</f>
        <v/>
      </c>
      <c r="AA141">
        <f>HYPERLINK("https://klasma.github.io/Logging_0482/klagomål/A 50202-2022 FSC-klagomål.docx", "A 50202-2022")</f>
        <v/>
      </c>
      <c r="AB141">
        <f>HYPERLINK("https://klasma.github.io/Logging_0482/klagomålsmail/A 50202-2022 FSC-klagomål mail.docx", "A 50202-2022")</f>
        <v/>
      </c>
      <c r="AC141">
        <f>HYPERLINK("https://klasma.github.io/Logging_0482/tillsyn/A 50202-2022 tillsynsbegäran.docx", "A 50202-2022")</f>
        <v/>
      </c>
      <c r="AD141">
        <f>HYPERLINK("https://klasma.github.io/Logging_0482/tillsynsmail/A 50202-2022 tillsynsbegäran mail.docx", "A 50202-2022")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46260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12056-2024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46260</v>
      </c>
      <c r="F143" t="inlineStr">
        <is>
          <t>SÖDERMANLANDS LÄN</t>
        </is>
      </c>
      <c r="G143" t="inlineStr">
        <is>
          <t>FLEN</t>
        </is>
      </c>
      <c r="I143" t="n">
        <v>8.4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Fjällig taggsvamp s.str.</t>
        </is>
      </c>
      <c r="W143">
        <f>HYPERLINK("https://klasma.github.io/Logging_0482/artfynd/A 12056-2024 artfynd.xlsx", "A 12056-2024")</f>
        <v/>
      </c>
      <c r="X143">
        <f>HYPERLINK("https://klasma.github.io/Logging_0482/kartor/A 12056-2024 karta.png", "A 12056-2024")</f>
        <v/>
      </c>
      <c r="Y143">
        <f>HYPERLINK("https://klasma.github.io/Logging_0482/kartor_geotiff/A 12056-2024 georefererad karta.tif", "A 12056-2024")</f>
        <v/>
      </c>
      <c r="AA143">
        <f>HYPERLINK("https://klasma.github.io/Logging_0482/klagomål/A 12056-2024 FSC-klagomål.docx", "A 12056-2024")</f>
        <v/>
      </c>
      <c r="AB143">
        <f>HYPERLINK("https://klasma.github.io/Logging_0482/klagomålsmail/A 12056-2024 FSC-klagomål mail.docx", "A 12056-2024")</f>
        <v/>
      </c>
      <c r="AC143">
        <f>HYPERLINK("https://klasma.github.io/Logging_0482/tillsyn/A 12056-2024 tillsynsbegäran.docx", "A 12056-2024")</f>
        <v/>
      </c>
      <c r="AD143">
        <f>HYPERLINK("https://klasma.github.io/Logging_0482/tillsynsmail/A 12056-2024 tillsynsbegäran mail.docx", "A 12056-2024")</f>
        <v/>
      </c>
    </row>
    <row r="144" ht="15" customHeight="1">
      <c r="A144" t="inlineStr">
        <is>
          <t>A 47756-2022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44854</v>
      </c>
      <c r="E144" s="1" t="n">
        <v>46260</v>
      </c>
      <c r="F144" t="inlineStr">
        <is>
          <t>SÖDERMANLANDS LÄN</t>
        </is>
      </c>
      <c r="G144" t="inlineStr">
        <is>
          <t>FLEN</t>
        </is>
      </c>
      <c r="I144" t="n">
        <v>2.4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Svinrot</t>
        </is>
      </c>
      <c r="W144">
        <f>HYPERLINK("https://klasma.github.io/Logging_0482/artfynd/A 47756-2022 artfynd.xlsx", "A 47756-2022")</f>
        <v/>
      </c>
      <c r="X144">
        <f>HYPERLINK("https://klasma.github.io/Logging_0482/kartor/A 47756-2022 karta.png", "A 47756-2022")</f>
        <v/>
      </c>
      <c r="Y144">
        <f>HYPERLINK("https://klasma.github.io/Logging_0482/kartor_geotiff/A 47756-2022 georefererad karta.tif", "A 47756-2022")</f>
        <v/>
      </c>
      <c r="AA144">
        <f>HYPERLINK("https://klasma.github.io/Logging_0482/klagomål/A 47756-2022 FSC-klagomål.docx", "A 47756-2022")</f>
        <v/>
      </c>
      <c r="AB144">
        <f>HYPERLINK("https://klasma.github.io/Logging_0482/klagomålsmail/A 47756-2022 FSC-klagomål mail.docx", "A 47756-2022")</f>
        <v/>
      </c>
      <c r="AC144">
        <f>HYPERLINK("https://klasma.github.io/Logging_0482/tillsyn/A 47756-2022 tillsynsbegäran.docx", "A 47756-2022")</f>
        <v/>
      </c>
      <c r="AD144">
        <f>HYPERLINK("https://klasma.github.io/Logging_0482/tillsynsmail/A 47756-2022 tillsynsbegäran mail.docx", "A 47756-2022")</f>
        <v/>
      </c>
    </row>
    <row r="145" ht="15" customHeight="1">
      <c r="A145" t="inlineStr">
        <is>
          <t>A 62535-2021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46260</v>
      </c>
      <c r="F145" t="inlineStr">
        <is>
          <t>SÖDERMANLANDS LÄN</t>
        </is>
      </c>
      <c r="G145" t="inlineStr">
        <is>
          <t>FLEN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62535-2021 artfynd.xlsx", "A 62535-2021")</f>
        <v/>
      </c>
      <c r="X145">
        <f>HYPERLINK("https://klasma.github.io/Logging_0482/kartor/A 62535-2021 karta.png", "A 62535-2021")</f>
        <v/>
      </c>
      <c r="Y145">
        <f>HYPERLINK("https://klasma.github.io/Logging_0482/kartor_geotiff/A 62535-2021 georefererad karta.tif", "A 62535-2021")</f>
        <v/>
      </c>
      <c r="AA145">
        <f>HYPERLINK("https://klasma.github.io/Logging_0482/klagomål/A 62535-2021 FSC-klagomål.docx", "A 62535-2021")</f>
        <v/>
      </c>
      <c r="AB145">
        <f>HYPERLINK("https://klasma.github.io/Logging_0482/klagomålsmail/A 62535-2021 FSC-klagomål mail.docx", "A 62535-2021")</f>
        <v/>
      </c>
      <c r="AC145">
        <f>HYPERLINK("https://klasma.github.io/Logging_0482/tillsyn/A 62535-2021 tillsynsbegäran.docx", "A 62535-2021")</f>
        <v/>
      </c>
      <c r="AD145">
        <f>HYPERLINK("https://klasma.github.io/Logging_0482/tillsynsmail/A 62535-2021 tillsynsbegäran mail.docx", "A 62535-2021")</f>
        <v/>
      </c>
    </row>
    <row r="146" ht="15" customHeight="1">
      <c r="A146" t="inlineStr">
        <is>
          <t>A 14273-2025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46260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HYPERLINK("https://klasma.github.io/Logging_0482/artfynd/A 14273-2025 artfynd.xlsx", "A 14273-2025")</f>
        <v/>
      </c>
      <c r="X146">
        <f>HYPERLINK("https://klasma.github.io/Logging_0482/kartor/A 14273-2025 karta.png", "A 14273-2025")</f>
        <v/>
      </c>
      <c r="Y146">
        <f>HYPERLINK("https://klasma.github.io/Logging_0482/kartor_geotiff/A 14273-2025 georefererad karta.tif", "A 14273-2025")</f>
        <v/>
      </c>
      <c r="AA146">
        <f>HYPERLINK("https://klasma.github.io/Logging_0482/klagomål/A 14273-2025 FSC-klagomål.docx", "A 14273-2025")</f>
        <v/>
      </c>
      <c r="AB146">
        <f>HYPERLINK("https://klasma.github.io/Logging_0482/klagomålsmail/A 14273-2025 FSC-klagomål mail.docx", "A 14273-2025")</f>
        <v/>
      </c>
      <c r="AC146">
        <f>HYPERLINK("https://klasma.github.io/Logging_0482/tillsyn/A 14273-2025 tillsynsbegäran.docx", "A 14273-2025")</f>
        <v/>
      </c>
      <c r="AD146">
        <f>HYPERLINK("https://klasma.github.io/Logging_0482/tillsynsmail/A 14273-2025 tillsynsbegäran mail.docx", "A 14273-2025")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46260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Gullviva</t>
        </is>
      </c>
      <c r="W147">
        <f>HYPERLINK("https://klasma.github.io/Logging_0482/artfynd/A 49820-2023 artfynd.xlsx", "A 49820-2023")</f>
        <v/>
      </c>
      <c r="X147">
        <f>HYPERLINK("https://klasma.github.io/Logging_0482/kartor/A 49820-2023 karta.png", "A 49820-2023")</f>
        <v/>
      </c>
      <c r="Y147">
        <f>HYPERLINK("https://klasma.github.io/Logging_0482/kartor_geotiff/A 49820-2023 georefererad karta.tif", "A 49820-2023")</f>
        <v/>
      </c>
      <c r="AA147">
        <f>HYPERLINK("https://klasma.github.io/Logging_0482/klagomål/A 49820-2023 FSC-klagomål.docx", "A 49820-2023")</f>
        <v/>
      </c>
      <c r="AB147">
        <f>HYPERLINK("https://klasma.github.io/Logging_0482/klagomålsmail/A 49820-2023 FSC-klagomål mail.docx", "A 49820-2023")</f>
        <v/>
      </c>
      <c r="AC147">
        <f>HYPERLINK("https://klasma.github.io/Logging_0482/tillsyn/A 49820-2023 tillsynsbegäran.docx", "A 49820-2023")</f>
        <v/>
      </c>
      <c r="AD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45107-2023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46260</v>
      </c>
      <c r="F148" t="inlineStr">
        <is>
          <t>SÖDERMANLANDS LÄN</t>
        </is>
      </c>
      <c r="G148" t="inlineStr">
        <is>
          <t>FLEN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Brudborste</t>
        </is>
      </c>
      <c r="W148">
        <f>HYPERLINK("https://klasma.github.io/Logging_0482/artfynd/A 45107-2023 artfynd.xlsx", "A 45107-2023")</f>
        <v/>
      </c>
      <c r="X148">
        <f>HYPERLINK("https://klasma.github.io/Logging_0482/kartor/A 45107-2023 karta.png", "A 45107-2023")</f>
        <v/>
      </c>
      <c r="Y148">
        <f>HYPERLINK("https://klasma.github.io/Logging_0482/kartor_geotiff/A 45107-2023 georefererad karta.tif", "A 45107-2023")</f>
        <v/>
      </c>
      <c r="AA148">
        <f>HYPERLINK("https://klasma.github.io/Logging_0482/klagomål/A 45107-2023 FSC-klagomål.docx", "A 45107-2023")</f>
        <v/>
      </c>
      <c r="AB148">
        <f>HYPERLINK("https://klasma.github.io/Logging_0482/klagomålsmail/A 45107-2023 FSC-klagomål mail.docx", "A 45107-2023")</f>
        <v/>
      </c>
      <c r="AC148">
        <f>HYPERLINK("https://klasma.github.io/Logging_0482/tillsyn/A 45107-2023 tillsynsbegäran.docx", "A 45107-2023")</f>
        <v/>
      </c>
      <c r="AD148">
        <f>HYPERLINK("https://klasma.github.io/Logging_0482/tillsynsmail/A 45107-2023 tillsynsbegäran mail.docx", "A 45107-2023")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46260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56308-2024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46260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56308-2024 artfynd.xlsx", "A 56308-2024")</f>
        <v/>
      </c>
      <c r="X150">
        <f>HYPERLINK("https://klasma.github.io/Logging_0482/kartor/A 56308-2024 karta.png", "A 56308-2024")</f>
        <v/>
      </c>
      <c r="Y150">
        <f>HYPERLINK("https://klasma.github.io/Logging_0482/kartor_geotiff/A 56308-2024 georefererad karta.tif", "A 56308-2024")</f>
        <v/>
      </c>
      <c r="AA150">
        <f>HYPERLINK("https://klasma.github.io/Logging_0482/klagomål/A 56308-2024 FSC-klagomål.docx", "A 56308-2024")</f>
        <v/>
      </c>
      <c r="AB150">
        <f>HYPERLINK("https://klasma.github.io/Logging_0482/klagomålsmail/A 56308-2024 FSC-klagomål mail.docx", "A 56308-2024")</f>
        <v/>
      </c>
      <c r="AC150">
        <f>HYPERLINK("https://klasma.github.io/Logging_0482/tillsyn/A 56308-2024 tillsynsbegäran.docx", "A 56308-2024")</f>
        <v/>
      </c>
      <c r="AD150">
        <f>HYPERLINK("https://klasma.github.io/Logging_0482/tillsynsmail/A 56308-2024 tillsynsbegäran mail.docx", "A 56308-2024")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46260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46260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46260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46260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46260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46260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46260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46260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46260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46260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46260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46260</v>
      </c>
      <c r="F162" t="inlineStr">
        <is>
          <t>SÖDERMANLANDS LÄN</t>
        </is>
      </c>
      <c r="G162" t="inlineStr">
        <is>
          <t>FLEN</t>
        </is>
      </c>
      <c r="H162" t="inlineStr">
        <is>
          <t>Övriga statliga verk och myndigheter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46260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46260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46260</v>
      </c>
      <c r="F165" t="inlineStr">
        <is>
          <t>SÖDERMANLANDS LÄN</t>
        </is>
      </c>
      <c r="G165" t="inlineStr">
        <is>
          <t>FLEN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46260</v>
      </c>
      <c r="F166" t="inlineStr">
        <is>
          <t>SÖDERMANLANDS LÄN</t>
        </is>
      </c>
      <c r="G166" t="inlineStr">
        <is>
          <t>FLEN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46260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46260</v>
      </c>
      <c r="F168" t="inlineStr">
        <is>
          <t>SÖDERMANLANDS LÄN</t>
        </is>
      </c>
      <c r="G168" t="inlineStr">
        <is>
          <t>FLEN</t>
        </is>
      </c>
      <c r="H168" t="inlineStr">
        <is>
          <t>Holmen skog AB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46260</v>
      </c>
      <c r="F169" t="inlineStr">
        <is>
          <t>SÖDERMANLANDS LÄN</t>
        </is>
      </c>
      <c r="G169" t="inlineStr">
        <is>
          <t>FLEN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46260</v>
      </c>
      <c r="F170" t="inlineStr">
        <is>
          <t>SÖDERMANLANDS LÄN</t>
        </is>
      </c>
      <c r="G170" t="inlineStr">
        <is>
          <t>FLEN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46260</v>
      </c>
      <c r="F171" t="inlineStr">
        <is>
          <t>SÖDERMANLANDS LÄN</t>
        </is>
      </c>
      <c r="G171" t="inlineStr">
        <is>
          <t>FLEN</t>
        </is>
      </c>
      <c r="I171" t="n">
        <v>14.7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44807</v>
      </c>
      <c r="E172" s="1" t="n">
        <v>46260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46260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46260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46260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46260</v>
      </c>
      <c r="F176" t="inlineStr">
        <is>
          <t>SÖDERMANLANDS LÄN</t>
        </is>
      </c>
      <c r="G176" t="inlineStr">
        <is>
          <t>FLEN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46260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46260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46260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46260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44640</v>
      </c>
      <c r="E181" s="1" t="n">
        <v>46260</v>
      </c>
      <c r="F181" t="inlineStr">
        <is>
          <t>SÖDERMANLANDS LÄN</t>
        </is>
      </c>
      <c r="G181" t="inlineStr">
        <is>
          <t>FLEN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46260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46260</v>
      </c>
      <c r="F183" t="inlineStr">
        <is>
          <t>SÖDERMANLANDS LÄN</t>
        </is>
      </c>
      <c r="G183" t="inlineStr">
        <is>
          <t>FLEN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46260</v>
      </c>
      <c r="F184" t="inlineStr">
        <is>
          <t>SÖDERMANLANDS LÄN</t>
        </is>
      </c>
      <c r="G184" t="inlineStr">
        <is>
          <t>FLEN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46260</v>
      </c>
      <c r="F185" t="inlineStr">
        <is>
          <t>SÖDERMANLANDS LÄN</t>
        </is>
      </c>
      <c r="G185" t="inlineStr">
        <is>
          <t>FLEN</t>
        </is>
      </c>
      <c r="H185" t="inlineStr">
        <is>
          <t>Holmen skog AB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46260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46260</v>
      </c>
      <c r="F187" t="inlineStr">
        <is>
          <t>SÖDERMANLANDS LÄN</t>
        </is>
      </c>
      <c r="G187" t="inlineStr">
        <is>
          <t>FLEN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46260</v>
      </c>
      <c r="F188" t="inlineStr">
        <is>
          <t>SÖDERMANLANDS LÄN</t>
        </is>
      </c>
      <c r="G188" t="inlineStr">
        <is>
          <t>FLEN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46260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46260</v>
      </c>
      <c r="F190" t="inlineStr">
        <is>
          <t>SÖDERMANLANDS LÄN</t>
        </is>
      </c>
      <c r="G190" t="inlineStr">
        <is>
          <t>FLEN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44854</v>
      </c>
      <c r="E191" s="1" t="n">
        <v>46260</v>
      </c>
      <c r="F191" t="inlineStr">
        <is>
          <t>SÖDERMANLANDS LÄN</t>
        </is>
      </c>
      <c r="G191" t="inlineStr">
        <is>
          <t>FLEN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46260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44450</v>
      </c>
      <c r="E193" s="1" t="n">
        <v>46260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46260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46260</v>
      </c>
      <c r="F195" t="inlineStr">
        <is>
          <t>SÖDERMANLANDS LÄN</t>
        </is>
      </c>
      <c r="G195" t="inlineStr">
        <is>
          <t>FLEN</t>
        </is>
      </c>
      <c r="H195" t="inlineStr">
        <is>
          <t>Övriga statliga verk och myndigheter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46260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46260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46260</v>
      </c>
      <c r="F198" t="inlineStr">
        <is>
          <t>SÖDERMANLANDS LÄN</t>
        </is>
      </c>
      <c r="G198" t="inlineStr">
        <is>
          <t>FLEN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46260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46260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44566</v>
      </c>
      <c r="E201" s="1" t="n">
        <v>46260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46260</v>
      </c>
      <c r="F202" t="inlineStr">
        <is>
          <t>SÖDERMANLANDS LÄN</t>
        </is>
      </c>
      <c r="G202" t="inlineStr">
        <is>
          <t>FLEN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46260</v>
      </c>
      <c r="F203" t="inlineStr">
        <is>
          <t>SÖDERMANLANDS LÄN</t>
        </is>
      </c>
      <c r="G203" t="inlineStr">
        <is>
          <t>FLEN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44643</v>
      </c>
      <c r="E204" s="1" t="n">
        <v>46260</v>
      </c>
      <c r="F204" t="inlineStr">
        <is>
          <t>SÖDERMANLANDS LÄN</t>
        </is>
      </c>
      <c r="G204" t="inlineStr">
        <is>
          <t>FLEN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46260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44705</v>
      </c>
      <c r="E206" s="1" t="n">
        <v>46260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46260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46260</v>
      </c>
      <c r="F208" t="inlineStr">
        <is>
          <t>SÖDERMANLANDS LÄN</t>
        </is>
      </c>
      <c r="G208" t="inlineStr">
        <is>
          <t>FLEN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46260</v>
      </c>
      <c r="F209" t="inlineStr">
        <is>
          <t>SÖDERMANLANDS LÄN</t>
        </is>
      </c>
      <c r="G209" t="inlineStr">
        <is>
          <t>FLEN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46260</v>
      </c>
      <c r="F210" t="inlineStr">
        <is>
          <t>SÖDERMANLANDS LÄN</t>
        </is>
      </c>
      <c r="G210" t="inlineStr">
        <is>
          <t>FLEN</t>
        </is>
      </c>
      <c r="H210" t="inlineStr">
        <is>
          <t>Övriga statliga verk och myndigheter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46260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46260</v>
      </c>
      <c r="F212" t="inlineStr">
        <is>
          <t>SÖDERMANLANDS LÄN</t>
        </is>
      </c>
      <c r="G212" t="inlineStr">
        <is>
          <t>FLEN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46260</v>
      </c>
      <c r="F213" t="inlineStr">
        <is>
          <t>SÖDERMANLANDS LÄN</t>
        </is>
      </c>
      <c r="G213" t="inlineStr">
        <is>
          <t>FLEN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69588-2021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46260</v>
      </c>
      <c r="F214" t="inlineStr">
        <is>
          <t>SÖDERMANLANDS LÄN</t>
        </is>
      </c>
      <c r="G214" t="inlineStr">
        <is>
          <t>FLEN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44785</v>
      </c>
      <c r="E215" s="1" t="n">
        <v>46260</v>
      </c>
      <c r="F215" t="inlineStr">
        <is>
          <t>SÖDERMANLANDS LÄN</t>
        </is>
      </c>
      <c r="G215" t="inlineStr">
        <is>
          <t>FLEN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46260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46260</v>
      </c>
      <c r="F217" t="inlineStr">
        <is>
          <t>SÖDERMANLANDS LÄN</t>
        </is>
      </c>
      <c r="G217" t="inlineStr">
        <is>
          <t>FLEN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60255-2021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44495</v>
      </c>
      <c r="E218" s="1" t="n">
        <v>46260</v>
      </c>
      <c r="F218" t="inlineStr">
        <is>
          <t>SÖDERMANLANDS LÄN</t>
        </is>
      </c>
      <c r="G218" t="inlineStr">
        <is>
          <t>FLEN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65869-2021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46260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72314-2021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44544</v>
      </c>
      <c r="E220" s="1" t="n">
        <v>46260</v>
      </c>
      <c r="F220" t="inlineStr">
        <is>
          <t>SÖDERMANLANDS LÄN</t>
        </is>
      </c>
      <c r="G220" t="inlineStr">
        <is>
          <t>FLEN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54666-2021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46260</v>
      </c>
      <c r="F221" t="inlineStr">
        <is>
          <t>SÖDERMANLANDS LÄN</t>
        </is>
      </c>
      <c r="G221" t="inlineStr">
        <is>
          <t>FLEN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46260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46260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45510</v>
      </c>
      <c r="E224" s="1" t="n">
        <v>46260</v>
      </c>
      <c r="F224" t="inlineStr">
        <is>
          <t>SÖDERMANLANDS LÄN</t>
        </is>
      </c>
      <c r="G224" t="inlineStr">
        <is>
          <t>FLEN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47604-2021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44448</v>
      </c>
      <c r="E225" s="1" t="n">
        <v>46260</v>
      </c>
      <c r="F225" t="inlineStr">
        <is>
          <t>SÖDERMANLANDS LÄN</t>
        </is>
      </c>
      <c r="G225" t="inlineStr">
        <is>
          <t>FLEN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46260</v>
      </c>
      <c r="F226" t="inlineStr">
        <is>
          <t>SÖDERMANLANDS LÄN</t>
        </is>
      </c>
      <c r="G226" t="inlineStr">
        <is>
          <t>FLEN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46260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46260</v>
      </c>
      <c r="F228" t="inlineStr">
        <is>
          <t>SÖDERMANLANDS LÄN</t>
        </is>
      </c>
      <c r="G228" t="inlineStr">
        <is>
          <t>FLEN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45597</v>
      </c>
      <c r="E229" s="1" t="n">
        <v>46260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46260</v>
      </c>
      <c r="F230" t="inlineStr">
        <is>
          <t>SÖDERMANLANDS LÄN</t>
        </is>
      </c>
      <c r="G230" t="inlineStr">
        <is>
          <t>FLEN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45482</v>
      </c>
      <c r="E231" s="1" t="n">
        <v>46260</v>
      </c>
      <c r="F231" t="inlineStr">
        <is>
          <t>SÖDERMANLANDS LÄN</t>
        </is>
      </c>
      <c r="G231" t="inlineStr">
        <is>
          <t>FLEN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62579-2023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45270</v>
      </c>
      <c r="E232" s="1" t="n">
        <v>46260</v>
      </c>
      <c r="F232" t="inlineStr">
        <is>
          <t>SÖDERMANLANDS LÄN</t>
        </is>
      </c>
      <c r="G232" t="inlineStr">
        <is>
          <t>FLEN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46260</v>
      </c>
      <c r="F233" t="inlineStr">
        <is>
          <t>SÖDERMANLANDS LÄN</t>
        </is>
      </c>
      <c r="G233" t="inlineStr">
        <is>
          <t>FLEN</t>
        </is>
      </c>
      <c r="H233" t="inlineStr">
        <is>
          <t>Kommuner</t>
        </is>
      </c>
      <c r="I233" t="n">
        <v>11.2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46260</v>
      </c>
      <c r="F234" t="inlineStr">
        <is>
          <t>SÖDERMANLANDS LÄN</t>
        </is>
      </c>
      <c r="G234" t="inlineStr">
        <is>
          <t>FLEN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46260</v>
      </c>
      <c r="F235" t="inlineStr">
        <is>
          <t>SÖDERMANLANDS LÄN</t>
        </is>
      </c>
      <c r="G235" t="inlineStr">
        <is>
          <t>FLEN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46260</v>
      </c>
      <c r="F236" t="inlineStr">
        <is>
          <t>SÖDERMANLANDS LÄN</t>
        </is>
      </c>
      <c r="G236" t="inlineStr">
        <is>
          <t>FLEN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44733</v>
      </c>
      <c r="E237" s="1" t="n">
        <v>46260</v>
      </c>
      <c r="F237" t="inlineStr">
        <is>
          <t>SÖDERMANLANDS LÄN</t>
        </is>
      </c>
      <c r="G237" t="inlineStr">
        <is>
          <t>FLEN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46260</v>
      </c>
      <c r="F238" t="inlineStr">
        <is>
          <t>SÖDERMANLANDS LÄN</t>
        </is>
      </c>
      <c r="G238" t="inlineStr">
        <is>
          <t>FLEN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66867-2021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44522</v>
      </c>
      <c r="E239" s="1" t="n">
        <v>46260</v>
      </c>
      <c r="F239" t="inlineStr">
        <is>
          <t>SÖDERMANLANDS LÄN</t>
        </is>
      </c>
      <c r="G239" t="inlineStr">
        <is>
          <t>FLEN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46260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46260</v>
      </c>
      <c r="F241" t="inlineStr">
        <is>
          <t>SÖDERMANLANDS LÄN</t>
        </is>
      </c>
      <c r="G241" t="inlineStr">
        <is>
          <t>FLEN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46260</v>
      </c>
      <c r="F242" t="inlineStr">
        <is>
          <t>SÖDERMANLANDS LÄN</t>
        </is>
      </c>
      <c r="G242" t="inlineStr">
        <is>
          <t>FLEN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46260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46260</v>
      </c>
      <c r="F244" t="inlineStr">
        <is>
          <t>SÖDERMANLANDS LÄN</t>
        </is>
      </c>
      <c r="G244" t="inlineStr">
        <is>
          <t>FLEN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44859</v>
      </c>
      <c r="E245" s="1" t="n">
        <v>46260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46260</v>
      </c>
      <c r="F246" t="inlineStr">
        <is>
          <t>SÖDERMANLANDS LÄN</t>
        </is>
      </c>
      <c r="G246" t="inlineStr">
        <is>
          <t>FLEN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44624</v>
      </c>
      <c r="E247" s="1" t="n">
        <v>46260</v>
      </c>
      <c r="F247" t="inlineStr">
        <is>
          <t>SÖDERMANLANDS LÄN</t>
        </is>
      </c>
      <c r="G247" t="inlineStr">
        <is>
          <t>FLEN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46260</v>
      </c>
      <c r="F248" t="inlineStr">
        <is>
          <t>SÖDERMANLANDS LÄN</t>
        </is>
      </c>
      <c r="G248" t="inlineStr">
        <is>
          <t>FLEN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46260</v>
      </c>
      <c r="F249" t="inlineStr">
        <is>
          <t>SÖDERMANLANDS LÄN</t>
        </is>
      </c>
      <c r="G249" t="inlineStr">
        <is>
          <t>FLEN</t>
        </is>
      </c>
      <c r="H249" t="inlineStr">
        <is>
          <t>Övriga statliga verk och myndigheter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46260</v>
      </c>
      <c r="F250" t="inlineStr">
        <is>
          <t>SÖDERMANLANDS LÄN</t>
        </is>
      </c>
      <c r="G250" t="inlineStr">
        <is>
          <t>FLEN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46260</v>
      </c>
      <c r="F251" t="inlineStr">
        <is>
          <t>SÖDERMANLANDS LÄN</t>
        </is>
      </c>
      <c r="G251" t="inlineStr">
        <is>
          <t>FLEN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46260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45311</v>
      </c>
      <c r="E253" s="1" t="n">
        <v>46260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44588</v>
      </c>
      <c r="E254" s="1" t="n">
        <v>46260</v>
      </c>
      <c r="F254" t="inlineStr">
        <is>
          <t>SÖDERMANLANDS LÄN</t>
        </is>
      </c>
      <c r="G254" t="inlineStr">
        <is>
          <t>FLEN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46260</v>
      </c>
      <c r="F255" t="inlineStr">
        <is>
          <t>SÖDERMANLANDS LÄN</t>
        </is>
      </c>
      <c r="G255" t="inlineStr">
        <is>
          <t>FLEN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46260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44872</v>
      </c>
      <c r="E257" s="1" t="n">
        <v>46260</v>
      </c>
      <c r="F257" t="inlineStr">
        <is>
          <t>SÖDERMANLANDS LÄN</t>
        </is>
      </c>
      <c r="G257" t="inlineStr">
        <is>
          <t>FLEN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46260</v>
      </c>
      <c r="F258" t="inlineStr">
        <is>
          <t>SÖDERMANLANDS LÄN</t>
        </is>
      </c>
      <c r="G258" t="inlineStr">
        <is>
          <t>FLEN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46260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44859</v>
      </c>
      <c r="E260" s="1" t="n">
        <v>46260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46260</v>
      </c>
      <c r="F261" t="inlineStr">
        <is>
          <t>SÖDERMANLANDS LÄN</t>
        </is>
      </c>
      <c r="G261" t="inlineStr">
        <is>
          <t>FLEN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45228</v>
      </c>
      <c r="E262" s="1" t="n">
        <v>46260</v>
      </c>
      <c r="F262" t="inlineStr">
        <is>
          <t>SÖDERMANLANDS LÄN</t>
        </is>
      </c>
      <c r="G262" t="inlineStr">
        <is>
          <t>FLEN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46260</v>
      </c>
      <c r="F263" t="inlineStr">
        <is>
          <t>SÖDERMANLANDS LÄN</t>
        </is>
      </c>
      <c r="G263" t="inlineStr">
        <is>
          <t>FLEN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46260</v>
      </c>
      <c r="F264" t="inlineStr">
        <is>
          <t>SÖDERMANLANDS LÄN</t>
        </is>
      </c>
      <c r="G264" t="inlineStr">
        <is>
          <t>FLEN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46260</v>
      </c>
      <c r="F265" t="inlineStr">
        <is>
          <t>SÖDERMANLANDS LÄN</t>
        </is>
      </c>
      <c r="G265" t="inlineStr">
        <is>
          <t>FLEN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46077</v>
      </c>
      <c r="E266" s="1" t="n">
        <v>46260</v>
      </c>
      <c r="F266" t="inlineStr">
        <is>
          <t>SÖDERMANLANDS LÄN</t>
        </is>
      </c>
      <c r="G266" t="inlineStr">
        <is>
          <t>FLEN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46080</v>
      </c>
      <c r="E267" s="1" t="n">
        <v>46260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46080</v>
      </c>
      <c r="E268" s="1" t="n">
        <v>46260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11004-2026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46260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46260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46260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46260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46082</v>
      </c>
      <c r="E273" s="1" t="n">
        <v>46260</v>
      </c>
      <c r="F273" t="inlineStr">
        <is>
          <t>SÖDERMANLANDS LÄN</t>
        </is>
      </c>
      <c r="G273" t="inlineStr">
        <is>
          <t>FLEN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46083</v>
      </c>
      <c r="E274" s="1" t="n">
        <v>46260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44602</v>
      </c>
      <c r="E275" s="1" t="n">
        <v>46260</v>
      </c>
      <c r="F275" t="inlineStr">
        <is>
          <t>SÖDERMANLANDS LÄN</t>
        </is>
      </c>
      <c r="G275" t="inlineStr">
        <is>
          <t>FLEN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46260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46260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12712-2026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46260</v>
      </c>
      <c r="F278" t="inlineStr">
        <is>
          <t>SÖDERMANLANDS LÄN</t>
        </is>
      </c>
      <c r="G278" t="inlineStr">
        <is>
          <t>FLEN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45398</v>
      </c>
      <c r="E279" s="1" t="n">
        <v>46260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46260</v>
      </c>
      <c r="F280" t="inlineStr">
        <is>
          <t>SÖDERMANLANDS LÄN</t>
        </is>
      </c>
      <c r="G280" t="inlineStr">
        <is>
          <t>FLEN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45667</v>
      </c>
      <c r="E281" s="1" t="n">
        <v>46260</v>
      </c>
      <c r="F281" t="inlineStr">
        <is>
          <t>SÖDERMANLANDS LÄN</t>
        </is>
      </c>
      <c r="G281" t="inlineStr">
        <is>
          <t>FLEN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46260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45932</v>
      </c>
      <c r="E283" s="1" t="n">
        <v>46260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44761</v>
      </c>
      <c r="E284" s="1" t="n">
        <v>46260</v>
      </c>
      <c r="F284" t="inlineStr">
        <is>
          <t>SÖDERMANLANDS LÄN</t>
        </is>
      </c>
      <c r="G284" t="inlineStr">
        <is>
          <t>FLEN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42731-2024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45566</v>
      </c>
      <c r="E285" s="1" t="n">
        <v>46260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46260</v>
      </c>
      <c r="F286" t="inlineStr">
        <is>
          <t>SÖDERMANLANDS LÄN</t>
        </is>
      </c>
      <c r="G286" t="inlineStr">
        <is>
          <t>FLEN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45260</v>
      </c>
      <c r="E287" s="1" t="n">
        <v>46260</v>
      </c>
      <c r="F287" t="inlineStr">
        <is>
          <t>SÖDERMANLANDS LÄN</t>
        </is>
      </c>
      <c r="G287" t="inlineStr">
        <is>
          <t>FLEN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44838</v>
      </c>
      <c r="E288" s="1" t="n">
        <v>46260</v>
      </c>
      <c r="F288" t="inlineStr">
        <is>
          <t>SÖDERMANLANDS LÄN</t>
        </is>
      </c>
      <c r="G288" t="inlineStr">
        <is>
          <t>FLEN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46260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46260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45358</v>
      </c>
      <c r="E291" s="1" t="n">
        <v>46260</v>
      </c>
      <c r="F291" t="inlineStr">
        <is>
          <t>SÖDERMANLANDS LÄN</t>
        </is>
      </c>
      <c r="G291" t="inlineStr">
        <is>
          <t>FLEN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46260</v>
      </c>
      <c r="F292" t="inlineStr">
        <is>
          <t>SÖDERMANLANDS LÄN</t>
        </is>
      </c>
      <c r="G292" t="inlineStr">
        <is>
          <t>FLEN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46260</v>
      </c>
      <c r="F293" t="inlineStr">
        <is>
          <t>SÖDERMANLANDS LÄN</t>
        </is>
      </c>
      <c r="G293" t="inlineStr">
        <is>
          <t>FLEN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46260</v>
      </c>
      <c r="F294" t="inlineStr">
        <is>
          <t>SÖDERMANLANDS LÄN</t>
        </is>
      </c>
      <c r="G294" t="inlineStr">
        <is>
          <t>FLEN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46260</v>
      </c>
      <c r="F295" t="inlineStr">
        <is>
          <t>SÖDERMANLANDS LÄN</t>
        </is>
      </c>
      <c r="G295" t="inlineStr">
        <is>
          <t>FLEN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44722</v>
      </c>
      <c r="E296" s="1" t="n">
        <v>46260</v>
      </c>
      <c r="F296" t="inlineStr">
        <is>
          <t>SÖDERMANLANDS LÄN</t>
        </is>
      </c>
      <c r="G296" t="inlineStr">
        <is>
          <t>FLEN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44785</v>
      </c>
      <c r="E297" s="1" t="n">
        <v>46260</v>
      </c>
      <c r="F297" t="inlineStr">
        <is>
          <t>SÖDERMANLANDS LÄN</t>
        </is>
      </c>
      <c r="G297" t="inlineStr">
        <is>
          <t>FLEN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44616</v>
      </c>
      <c r="E298" s="1" t="n">
        <v>46260</v>
      </c>
      <c r="F298" t="inlineStr">
        <is>
          <t>SÖDERMANLANDS LÄN</t>
        </is>
      </c>
      <c r="G298" t="inlineStr">
        <is>
          <t>FLEN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46260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46260</v>
      </c>
      <c r="F300" t="inlineStr">
        <is>
          <t>SÖDERMANLANDS LÄN</t>
        </is>
      </c>
      <c r="G300" t="inlineStr">
        <is>
          <t>FLEN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46260</v>
      </c>
      <c r="F301" t="inlineStr">
        <is>
          <t>SÖDERMANLANDS LÄN</t>
        </is>
      </c>
      <c r="G301" t="inlineStr">
        <is>
          <t>FLEN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46260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46260</v>
      </c>
      <c r="F303" t="inlineStr">
        <is>
          <t>SÖDERMANLANDS LÄN</t>
        </is>
      </c>
      <c r="G303" t="inlineStr">
        <is>
          <t>FLEN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46260</v>
      </c>
      <c r="F304" t="inlineStr">
        <is>
          <t>SÖDERMANLANDS LÄN</t>
        </is>
      </c>
      <c r="G304" t="inlineStr">
        <is>
          <t>FLEN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46260</v>
      </c>
      <c r="F305" t="inlineStr">
        <is>
          <t>SÖDERMANLANDS LÄN</t>
        </is>
      </c>
      <c r="G305" t="inlineStr">
        <is>
          <t>FLEN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45830</v>
      </c>
      <c r="E306" s="1" t="n">
        <v>46260</v>
      </c>
      <c r="F306" t="inlineStr">
        <is>
          <t>SÖDERMANLANDS LÄN</t>
        </is>
      </c>
      <c r="G306" t="inlineStr">
        <is>
          <t>FLEN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52692-2021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46260</v>
      </c>
      <c r="F307" t="inlineStr">
        <is>
          <t>SÖDERMANLANDS LÄN</t>
        </is>
      </c>
      <c r="G307" t="inlineStr">
        <is>
          <t>FLEN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46129</v>
      </c>
      <c r="E308" s="1" t="n">
        <v>46260</v>
      </c>
      <c r="F308" t="inlineStr">
        <is>
          <t>SÖDERMANLANDS LÄN</t>
        </is>
      </c>
      <c r="G308" t="inlineStr">
        <is>
          <t>FLEN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46260</v>
      </c>
      <c r="F309" t="inlineStr">
        <is>
          <t>SÖDERMANLANDS LÄN</t>
        </is>
      </c>
      <c r="G309" t="inlineStr">
        <is>
          <t>FLEN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54283-2025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45964</v>
      </c>
      <c r="E310" s="1" t="n">
        <v>46260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54282-2025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45964</v>
      </c>
      <c r="E311" s="1" t="n">
        <v>46260</v>
      </c>
      <c r="F311" t="inlineStr">
        <is>
          <t>SÖDERMANLANDS LÄN</t>
        </is>
      </c>
      <c r="G311" t="inlineStr">
        <is>
          <t>FLEN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46260</v>
      </c>
      <c r="F312" t="inlineStr">
        <is>
          <t>SÖDERMANLANDS LÄN</t>
        </is>
      </c>
      <c r="G312" t="inlineStr">
        <is>
          <t>FLEN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46260</v>
      </c>
      <c r="F313" t="inlineStr">
        <is>
          <t>SÖDERMANLANDS LÄN</t>
        </is>
      </c>
      <c r="G313" t="inlineStr">
        <is>
          <t>FLEN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46260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46260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45830</v>
      </c>
      <c r="E316" s="1" t="n">
        <v>46260</v>
      </c>
      <c r="F316" t="inlineStr">
        <is>
          <t>SÖDERMANLANDS LÄN</t>
        </is>
      </c>
      <c r="G316" t="inlineStr">
        <is>
          <t>FLEN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45213</v>
      </c>
      <c r="E317" s="1" t="n">
        <v>46260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46260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45104</v>
      </c>
      <c r="E319" s="1" t="n">
        <v>46260</v>
      </c>
      <c r="F319" t="inlineStr">
        <is>
          <t>SÖDERMANLANDS LÄN</t>
        </is>
      </c>
      <c r="G319" t="inlineStr">
        <is>
          <t>FLEN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46260</v>
      </c>
      <c r="F320" t="inlineStr">
        <is>
          <t>SÖDERMANLANDS LÄN</t>
        </is>
      </c>
      <c r="G320" t="inlineStr">
        <is>
          <t>FLEN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56573-2025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45974</v>
      </c>
      <c r="E321" s="1" t="n">
        <v>46260</v>
      </c>
      <c r="F321" t="inlineStr">
        <is>
          <t>SÖDERMANLANDS LÄN</t>
        </is>
      </c>
      <c r="G321" t="inlineStr">
        <is>
          <t>FLEN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46260</v>
      </c>
      <c r="F322" t="inlineStr">
        <is>
          <t>SÖDERMANLANDS LÄN</t>
        </is>
      </c>
      <c r="G322" t="inlineStr">
        <is>
          <t>FLEN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45322</v>
      </c>
      <c r="E323" s="1" t="n">
        <v>46260</v>
      </c>
      <c r="F323" t="inlineStr">
        <is>
          <t>SÖDERMANLANDS LÄN</t>
        </is>
      </c>
      <c r="G323" t="inlineStr">
        <is>
          <t>FLEN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45718</v>
      </c>
      <c r="E324" s="1" t="n">
        <v>46260</v>
      </c>
      <c r="F324" t="inlineStr">
        <is>
          <t>SÖDERMANLANDS LÄN</t>
        </is>
      </c>
      <c r="G324" t="inlineStr">
        <is>
          <t>FLEN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46260</v>
      </c>
      <c r="F325" t="inlineStr">
        <is>
          <t>SÖDERMANLANDS LÄN</t>
        </is>
      </c>
      <c r="G325" t="inlineStr">
        <is>
          <t>FLEN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44862</v>
      </c>
      <c r="E326" s="1" t="n">
        <v>46260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67464-2021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44524</v>
      </c>
      <c r="E327" s="1" t="n">
        <v>46260</v>
      </c>
      <c r="F327" t="inlineStr">
        <is>
          <t>SÖDERMANLANDS LÄN</t>
        </is>
      </c>
      <c r="G327" t="inlineStr">
        <is>
          <t>FLEN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66979-2021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44522</v>
      </c>
      <c r="E328" s="1" t="n">
        <v>46260</v>
      </c>
      <c r="F328" t="inlineStr">
        <is>
          <t>SÖDERMANLANDS LÄN</t>
        </is>
      </c>
      <c r="G328" t="inlineStr">
        <is>
          <t>FLEN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22839-2025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45789</v>
      </c>
      <c r="E329" s="1" t="n">
        <v>46260</v>
      </c>
      <c r="F329" t="inlineStr">
        <is>
          <t>SÖDERMANLANDS LÄN</t>
        </is>
      </c>
      <c r="G329" t="inlineStr">
        <is>
          <t>FLEN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16908-2024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45411</v>
      </c>
      <c r="E330" s="1" t="n">
        <v>46260</v>
      </c>
      <c r="F330" t="inlineStr">
        <is>
          <t>SÖDERMANLANDS LÄN</t>
        </is>
      </c>
      <c r="G330" t="inlineStr">
        <is>
          <t>FLEN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46260</v>
      </c>
      <c r="F331" t="inlineStr">
        <is>
          <t>SÖDERMANLANDS LÄN</t>
        </is>
      </c>
      <c r="G331" t="inlineStr">
        <is>
          <t>FLEN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46260</v>
      </c>
      <c r="F332" t="inlineStr">
        <is>
          <t>SÖDERMANLANDS LÄN</t>
        </is>
      </c>
      <c r="G332" t="inlineStr">
        <is>
          <t>FLEN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46260</v>
      </c>
      <c r="F333" t="inlineStr">
        <is>
          <t>SÖDERMANLANDS LÄN</t>
        </is>
      </c>
      <c r="G333" t="inlineStr">
        <is>
          <t>FLEN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59910-2025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46260</v>
      </c>
      <c r="F334" t="inlineStr">
        <is>
          <t>SÖDERMANLANDS LÄN</t>
        </is>
      </c>
      <c r="G334" t="inlineStr">
        <is>
          <t>FLEN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45993</v>
      </c>
      <c r="E335" s="1" t="n">
        <v>46260</v>
      </c>
      <c r="F335" t="inlineStr">
        <is>
          <t>SÖDERMANLANDS LÄN</t>
        </is>
      </c>
      <c r="G335" t="inlineStr">
        <is>
          <t>FLEN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45993</v>
      </c>
      <c r="E336" s="1" t="n">
        <v>46260</v>
      </c>
      <c r="F336" t="inlineStr">
        <is>
          <t>SÖDERMANLANDS LÄN</t>
        </is>
      </c>
      <c r="G336" t="inlineStr">
        <is>
          <t>FLEN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45081</v>
      </c>
      <c r="E337" s="1" t="n">
        <v>46260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45081</v>
      </c>
      <c r="E338" s="1" t="n">
        <v>46260</v>
      </c>
      <c r="F338" t="inlineStr">
        <is>
          <t>SÖDERMANLANDS LÄN</t>
        </is>
      </c>
      <c r="G338" t="inlineStr">
        <is>
          <t>FLEN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46260</v>
      </c>
      <c r="F339" t="inlineStr">
        <is>
          <t>SÖDERMANLANDS LÄN</t>
        </is>
      </c>
      <c r="G339" t="inlineStr">
        <is>
          <t>FLEN</t>
        </is>
      </c>
      <c r="H339" t="inlineStr">
        <is>
          <t>Kyrkan</t>
        </is>
      </c>
      <c r="I339" t="n">
        <v>9.699999999999999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46260</v>
      </c>
      <c r="F340" t="inlineStr">
        <is>
          <t>SÖDERMANLANDS LÄN</t>
        </is>
      </c>
      <c r="G340" t="inlineStr">
        <is>
          <t>FLEN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46260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44988</v>
      </c>
      <c r="E342" s="1" t="n">
        <v>46260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46260</v>
      </c>
      <c r="F343" t="inlineStr">
        <is>
          <t>SÖDERMANLANDS LÄN</t>
        </is>
      </c>
      <c r="G343" t="inlineStr">
        <is>
          <t>FLEN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45228</v>
      </c>
      <c r="E344" s="1" t="n">
        <v>46260</v>
      </c>
      <c r="F344" t="inlineStr">
        <is>
          <t>SÖDERMANLANDS LÄN</t>
        </is>
      </c>
      <c r="G344" t="inlineStr">
        <is>
          <t>FLEN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45022</v>
      </c>
      <c r="E345" s="1" t="n">
        <v>46260</v>
      </c>
      <c r="F345" t="inlineStr">
        <is>
          <t>SÖDERMANLANDS LÄN</t>
        </is>
      </c>
      <c r="G345" t="inlineStr">
        <is>
          <t>FLEN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45632</v>
      </c>
      <c r="E346" s="1" t="n">
        <v>46260</v>
      </c>
      <c r="F346" t="inlineStr">
        <is>
          <t>SÖDERMANLANDS LÄN</t>
        </is>
      </c>
      <c r="G346" t="inlineStr">
        <is>
          <t>FLEN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46260</v>
      </c>
      <c r="F347" t="inlineStr">
        <is>
          <t>SÖDERMANLANDS LÄN</t>
        </is>
      </c>
      <c r="G347" t="inlineStr">
        <is>
          <t>FLEN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46260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46260</v>
      </c>
      <c r="F349" t="inlineStr">
        <is>
          <t>SÖDERMANLANDS LÄN</t>
        </is>
      </c>
      <c r="G349" t="inlineStr">
        <is>
          <t>FLEN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46260</v>
      </c>
      <c r="F350" t="inlineStr">
        <is>
          <t>SÖDERMANLANDS LÄN</t>
        </is>
      </c>
      <c r="G350" t="inlineStr">
        <is>
          <t>FLEN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46260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46260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44807</v>
      </c>
      <c r="E353" s="1" t="n">
        <v>46260</v>
      </c>
      <c r="F353" t="inlineStr">
        <is>
          <t>SÖDERMANLANDS LÄN</t>
        </is>
      </c>
      <c r="G353" t="inlineStr">
        <is>
          <t>FLEN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44463</v>
      </c>
      <c r="E354" s="1" t="n">
        <v>46260</v>
      </c>
      <c r="F354" t="inlineStr">
        <is>
          <t>SÖDERMANLANDS LÄN</t>
        </is>
      </c>
      <c r="G354" t="inlineStr">
        <is>
          <t>FLEN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45331</v>
      </c>
      <c r="E355" s="1" t="n">
        <v>46260</v>
      </c>
      <c r="F355" t="inlineStr">
        <is>
          <t>SÖDERMANLANDS LÄN</t>
        </is>
      </c>
      <c r="G355" t="inlineStr">
        <is>
          <t>FLEN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45066</v>
      </c>
      <c r="E356" s="1" t="n">
        <v>46260</v>
      </c>
      <c r="F356" t="inlineStr">
        <is>
          <t>SÖDERMANLANDS LÄN</t>
        </is>
      </c>
      <c r="G356" t="inlineStr">
        <is>
          <t>FLEN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44979</v>
      </c>
      <c r="E357" s="1" t="n">
        <v>46260</v>
      </c>
      <c r="F357" t="inlineStr">
        <is>
          <t>SÖDERMANLANDS LÄN</t>
        </is>
      </c>
      <c r="G357" t="inlineStr">
        <is>
          <t>FLEN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45791</v>
      </c>
      <c r="E358" s="1" t="n">
        <v>46260</v>
      </c>
      <c r="F358" t="inlineStr">
        <is>
          <t>SÖDERMANLANDS LÄN</t>
        </is>
      </c>
      <c r="G358" t="inlineStr">
        <is>
          <t>FLEN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46260</v>
      </c>
      <c r="F359" t="inlineStr">
        <is>
          <t>SÖDERMANLANDS LÄN</t>
        </is>
      </c>
      <c r="G359" t="inlineStr">
        <is>
          <t>FLEN</t>
        </is>
      </c>
      <c r="H359" t="inlineStr">
        <is>
          <t>Övriga statliga verk och myndigheter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46260</v>
      </c>
      <c r="F360" t="inlineStr">
        <is>
          <t>SÖDERMANLANDS LÄN</t>
        </is>
      </c>
      <c r="G360" t="inlineStr">
        <is>
          <t>FLEN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44864</v>
      </c>
      <c r="E361" s="1" t="n">
        <v>46260</v>
      </c>
      <c r="F361" t="inlineStr">
        <is>
          <t>SÖDERMANLANDS LÄN</t>
        </is>
      </c>
      <c r="G361" t="inlineStr">
        <is>
          <t>FLEN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48749-2022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46260</v>
      </c>
      <c r="F362" t="inlineStr">
        <is>
          <t>SÖDERMANLANDS LÄN</t>
        </is>
      </c>
      <c r="G362" t="inlineStr">
        <is>
          <t>FLEN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46260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46260</v>
      </c>
      <c r="F364" t="inlineStr">
        <is>
          <t>SÖDERMANLANDS LÄN</t>
        </is>
      </c>
      <c r="G364" t="inlineStr">
        <is>
          <t>FLEN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44855</v>
      </c>
      <c r="E365" s="1" t="n">
        <v>46260</v>
      </c>
      <c r="F365" t="inlineStr">
        <is>
          <t>SÖDERMANLANDS LÄN</t>
        </is>
      </c>
      <c r="G365" t="inlineStr">
        <is>
          <t>FLEN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35118-2024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45528</v>
      </c>
      <c r="E366" s="1" t="n">
        <v>46260</v>
      </c>
      <c r="F366" t="inlineStr">
        <is>
          <t>SÖDERMANLANDS LÄN</t>
        </is>
      </c>
      <c r="G366" t="inlineStr">
        <is>
          <t>FLEN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45306</v>
      </c>
      <c r="E367" s="1" t="n">
        <v>46260</v>
      </c>
      <c r="F367" t="inlineStr">
        <is>
          <t>SÖDERMANLANDS LÄN</t>
        </is>
      </c>
      <c r="G367" t="inlineStr">
        <is>
          <t>FLEN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46260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46260</v>
      </c>
      <c r="F369" t="inlineStr">
        <is>
          <t>SÖDERMANLANDS LÄN</t>
        </is>
      </c>
      <c r="G369" t="inlineStr">
        <is>
          <t>FLEN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48497-2021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44449</v>
      </c>
      <c r="E370" s="1" t="n">
        <v>46260</v>
      </c>
      <c r="F370" t="inlineStr">
        <is>
          <t>SÖDERMANLANDS LÄN</t>
        </is>
      </c>
      <c r="G370" t="inlineStr">
        <is>
          <t>FLEN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46260</v>
      </c>
      <c r="F371" t="inlineStr">
        <is>
          <t>SÖDERMANLANDS LÄN</t>
        </is>
      </c>
      <c r="G371" t="inlineStr">
        <is>
          <t>FLEN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46260</v>
      </c>
      <c r="F372" t="inlineStr">
        <is>
          <t>SÖDERMANLANDS LÄN</t>
        </is>
      </c>
      <c r="G372" t="inlineStr">
        <is>
          <t>FLEN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44957</v>
      </c>
      <c r="E373" s="1" t="n">
        <v>46260</v>
      </c>
      <c r="F373" t="inlineStr">
        <is>
          <t>SÖDERMANLANDS LÄN</t>
        </is>
      </c>
      <c r="G373" t="inlineStr">
        <is>
          <t>FLEN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48852-2023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45209</v>
      </c>
      <c r="E374" s="1" t="n">
        <v>46260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52353-2023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46260</v>
      </c>
      <c r="F375" t="inlineStr">
        <is>
          <t>SÖDERMANLANDS LÄN</t>
        </is>
      </c>
      <c r="G375" t="inlineStr">
        <is>
          <t>FLEN</t>
        </is>
      </c>
      <c r="H375" t="inlineStr">
        <is>
          <t>Kyrkan</t>
        </is>
      </c>
      <c r="I375" t="n">
        <v>8.199999999999999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45244</v>
      </c>
      <c r="E376" s="1" t="n">
        <v>46260</v>
      </c>
      <c r="F376" t="inlineStr">
        <is>
          <t>SÖDERMANLANDS LÄN</t>
        </is>
      </c>
      <c r="G376" t="inlineStr">
        <is>
          <t>FLEN</t>
        </is>
      </c>
      <c r="H376" t="inlineStr">
        <is>
          <t>Övriga statliga verk och myndigheter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44991</v>
      </c>
      <c r="E377" s="1" t="n">
        <v>46260</v>
      </c>
      <c r="F377" t="inlineStr">
        <is>
          <t>SÖDERMANLANDS LÄN</t>
        </is>
      </c>
      <c r="G377" t="inlineStr">
        <is>
          <t>FLEN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45702</v>
      </c>
      <c r="E378" s="1" t="n">
        <v>46260</v>
      </c>
      <c r="F378" t="inlineStr">
        <is>
          <t>SÖDERMANLANDS LÄN</t>
        </is>
      </c>
      <c r="G378" t="inlineStr">
        <is>
          <t>FLEN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46260</v>
      </c>
      <c r="F379" t="inlineStr">
        <is>
          <t>SÖDERMANLANDS LÄN</t>
        </is>
      </c>
      <c r="G379" t="inlineStr">
        <is>
          <t>FLEN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45048</v>
      </c>
      <c r="E380" s="1" t="n">
        <v>46260</v>
      </c>
      <c r="F380" t="inlineStr">
        <is>
          <t>SÖDERMANLANDS LÄN</t>
        </is>
      </c>
      <c r="G380" t="inlineStr">
        <is>
          <t>FLEN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45729</v>
      </c>
      <c r="E381" s="1" t="n">
        <v>46260</v>
      </c>
      <c r="F381" t="inlineStr">
        <is>
          <t>SÖDERMANLANDS LÄN</t>
        </is>
      </c>
      <c r="G381" t="inlineStr">
        <is>
          <t>FLEN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45056</v>
      </c>
      <c r="E382" s="1" t="n">
        <v>46260</v>
      </c>
      <c r="F382" t="inlineStr">
        <is>
          <t>SÖDERMANLANDS LÄN</t>
        </is>
      </c>
      <c r="G382" t="inlineStr">
        <is>
          <t>FLEN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44561-2024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45574</v>
      </c>
      <c r="E383" s="1" t="n">
        <v>46260</v>
      </c>
      <c r="F383" t="inlineStr">
        <is>
          <t>SÖDERMANLANDS LÄN</t>
        </is>
      </c>
      <c r="G383" t="inlineStr">
        <is>
          <t>FLEN</t>
        </is>
      </c>
      <c r="H383" t="inlineStr">
        <is>
          <t>Övriga statliga verk och myndigheter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45230</v>
      </c>
      <c r="E384" s="1" t="n">
        <v>46260</v>
      </c>
      <c r="F384" t="inlineStr">
        <is>
          <t>SÖDERMANLANDS LÄN</t>
        </is>
      </c>
      <c r="G384" t="inlineStr">
        <is>
          <t>FLEN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45119</v>
      </c>
      <c r="E385" s="1" t="n">
        <v>46260</v>
      </c>
      <c r="F385" t="inlineStr">
        <is>
          <t>SÖDERMANLANDS LÄN</t>
        </is>
      </c>
      <c r="G385" t="inlineStr">
        <is>
          <t>FLEN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44566</v>
      </c>
      <c r="E386" s="1" t="n">
        <v>46260</v>
      </c>
      <c r="F386" t="inlineStr">
        <is>
          <t>SÖDERMANLANDS LÄN</t>
        </is>
      </c>
      <c r="G386" t="inlineStr">
        <is>
          <t>FLEN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46260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46260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10828-2022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44624</v>
      </c>
      <c r="E389" s="1" t="n">
        <v>46260</v>
      </c>
      <c r="F389" t="inlineStr">
        <is>
          <t>SÖDERMANLANDS LÄN</t>
        </is>
      </c>
      <c r="G389" t="inlineStr">
        <is>
          <t>FLEN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46260</v>
      </c>
      <c r="F390" t="inlineStr">
        <is>
          <t>SÖDERMANLANDS LÄN</t>
        </is>
      </c>
      <c r="G390" t="inlineStr">
        <is>
          <t>FLEN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46168</v>
      </c>
      <c r="E391" s="1" t="n">
        <v>46260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46260</v>
      </c>
      <c r="F392" t="inlineStr">
        <is>
          <t>SÖDERMANLANDS LÄN</t>
        </is>
      </c>
      <c r="G392" t="inlineStr">
        <is>
          <t>FLEN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46260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46121</v>
      </c>
      <c r="E394" s="1" t="n">
        <v>46260</v>
      </c>
      <c r="F394" t="inlineStr">
        <is>
          <t>SÖDERMANLANDS LÄN</t>
        </is>
      </c>
      <c r="G394" t="inlineStr">
        <is>
          <t>FLEN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46260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  <c r="Z395">
        <f>HYPERLINK("https://klasma.github.io/Logging_0482/knärot/A 24450-2026 karta knärot.png", "A 24450-2026")</f>
        <v/>
      </c>
      <c r="AA395">
        <f>HYPERLINK("https://klasma.github.io/Logging_0482/klagomål/A 24450-2026 FSC-klagomål.docx", "A 24450-2026")</f>
        <v/>
      </c>
      <c r="AB395">
        <f>HYPERLINK("https://klasma.github.io/Logging_0482/klagomålsmail/A 24450-2026 FSC-klagomål mail.docx", "A 24450-2026")</f>
        <v/>
      </c>
      <c r="AC395">
        <f>HYPERLINK("https://klasma.github.io/Logging_0482/tillsyn/A 24450-2026 tillsynsbegäran.docx", "A 24450-2026")</f>
        <v/>
      </c>
      <c r="AD395">
        <f>HYPERLINK("https://klasma.github.io/Logging_0482/tillsynsmail/A 24450-2026 tillsynsbegäran mail.docx", "A 24450-2026")</f>
        <v/>
      </c>
    </row>
    <row r="396" ht="15" customHeight="1">
      <c r="A396" t="inlineStr">
        <is>
          <t>A 24721-2026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46260</v>
      </c>
      <c r="F396" t="inlineStr">
        <is>
          <t>SÖDERMANLANDS LÄN</t>
        </is>
      </c>
      <c r="G396" t="inlineStr">
        <is>
          <t>FLEN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54781-2024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45618</v>
      </c>
      <c r="E397" s="1" t="n">
        <v>46260</v>
      </c>
      <c r="F397" t="inlineStr">
        <is>
          <t>SÖDERMANLANDS LÄN</t>
        </is>
      </c>
      <c r="G397" t="inlineStr">
        <is>
          <t>FLEN</t>
        </is>
      </c>
      <c r="I397" t="n">
        <v>10.3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57863-2022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44899</v>
      </c>
      <c r="E398" s="1" t="n">
        <v>46260</v>
      </c>
      <c r="F398" t="inlineStr">
        <is>
          <t>SÖDERMANLANDS LÄN</t>
        </is>
      </c>
      <c r="G398" t="inlineStr">
        <is>
          <t>FLEN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45041</v>
      </c>
      <c r="E399" s="1" t="n">
        <v>46260</v>
      </c>
      <c r="F399" t="inlineStr">
        <is>
          <t>SÖDERMANLANDS LÄN</t>
        </is>
      </c>
      <c r="G399" t="inlineStr">
        <is>
          <t>FLEN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46260</v>
      </c>
      <c r="F400" t="inlineStr">
        <is>
          <t>SÖDERMANLANDS LÄN</t>
        </is>
      </c>
      <c r="G400" t="inlineStr">
        <is>
          <t>FLEN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46260</v>
      </c>
      <c r="F401" t="inlineStr">
        <is>
          <t>SÖDERMANLANDS LÄN</t>
        </is>
      </c>
      <c r="G401" t="inlineStr">
        <is>
          <t>FLEN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20791-2022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44701</v>
      </c>
      <c r="E402" s="1" t="n">
        <v>46260</v>
      </c>
      <c r="F402" t="inlineStr">
        <is>
          <t>SÖDERMANLANDS LÄN</t>
        </is>
      </c>
      <c r="G402" t="inlineStr">
        <is>
          <t>FLEN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45740</v>
      </c>
      <c r="E403" s="1" t="n">
        <v>46260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47872-2025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45932</v>
      </c>
      <c r="E404" s="1" t="n">
        <v>46260</v>
      </c>
      <c r="F404" t="inlineStr">
        <is>
          <t>SÖDERMANLANDS LÄN</t>
        </is>
      </c>
      <c r="G404" t="inlineStr">
        <is>
          <t>FLEN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60150-2022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46260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45518</v>
      </c>
      <c r="E406" s="1" t="n">
        <v>46260</v>
      </c>
      <c r="F406" t="inlineStr">
        <is>
          <t>SÖDERMANLANDS LÄN</t>
        </is>
      </c>
      <c r="G406" t="inlineStr">
        <is>
          <t>FLEN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46260</v>
      </c>
      <c r="F407" t="inlineStr">
        <is>
          <t>SÖDERMANLANDS LÄN</t>
        </is>
      </c>
      <c r="G407" t="inlineStr">
        <is>
          <t>FLEN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45271</v>
      </c>
      <c r="E408" s="1" t="n">
        <v>46260</v>
      </c>
      <c r="F408" t="inlineStr">
        <is>
          <t>SÖDERMANLANDS LÄN</t>
        </is>
      </c>
      <c r="G408" t="inlineStr">
        <is>
          <t>FLEN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46260</v>
      </c>
      <c r="F409" t="inlineStr">
        <is>
          <t>SÖDERMANLANDS LÄN</t>
        </is>
      </c>
      <c r="G409" t="inlineStr">
        <is>
          <t>FLEN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46260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45257</v>
      </c>
      <c r="E411" s="1" t="n">
        <v>46260</v>
      </c>
      <c r="F411" t="inlineStr">
        <is>
          <t>SÖDERMANLANDS LÄN</t>
        </is>
      </c>
      <c r="G411" t="inlineStr">
        <is>
          <t>FLEN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46260</v>
      </c>
      <c r="F412" t="inlineStr">
        <is>
          <t>SÖDERMANLANDS LÄN</t>
        </is>
      </c>
      <c r="G412" t="inlineStr">
        <is>
          <t>FLEN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46260</v>
      </c>
      <c r="F413" t="inlineStr">
        <is>
          <t>SÖDERMANLANDS LÄN</t>
        </is>
      </c>
      <c r="G413" t="inlineStr">
        <is>
          <t>FLEN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46260</v>
      </c>
      <c r="F414" t="inlineStr">
        <is>
          <t>SÖDERMANLANDS LÄN</t>
        </is>
      </c>
      <c r="G414" t="inlineStr">
        <is>
          <t>FLEN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46260</v>
      </c>
      <c r="F415" t="inlineStr">
        <is>
          <t>SÖDERMANLANDS LÄN</t>
        </is>
      </c>
      <c r="G415" t="inlineStr">
        <is>
          <t>FLEN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46260</v>
      </c>
      <c r="F416" t="inlineStr">
        <is>
          <t>SÖDERMANLANDS LÄN</t>
        </is>
      </c>
      <c r="G416" t="inlineStr">
        <is>
          <t>FLEN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16937-2022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44676</v>
      </c>
      <c r="E417" s="1" t="n">
        <v>46260</v>
      </c>
      <c r="F417" t="inlineStr">
        <is>
          <t>SÖDERMANLANDS LÄN</t>
        </is>
      </c>
      <c r="G417" t="inlineStr">
        <is>
          <t>FLEN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14599-2023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45013</v>
      </c>
      <c r="E418" s="1" t="n">
        <v>46260</v>
      </c>
      <c r="F418" t="inlineStr">
        <is>
          <t>SÖDERMANLANDS LÄN</t>
        </is>
      </c>
      <c r="G418" t="inlineStr">
        <is>
          <t>FLEN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46260</v>
      </c>
      <c r="F419" t="inlineStr">
        <is>
          <t>SÖDERMANLANDS LÄN</t>
        </is>
      </c>
      <c r="G419" t="inlineStr">
        <is>
          <t>FLEN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45883</v>
      </c>
      <c r="E420" s="1" t="n">
        <v>46260</v>
      </c>
      <c r="F420" t="inlineStr">
        <is>
          <t>SÖDERMANLANDS LÄN</t>
        </is>
      </c>
      <c r="G420" t="inlineStr">
        <is>
          <t>FLEN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53507-2023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45230</v>
      </c>
      <c r="E421" s="1" t="n">
        <v>46260</v>
      </c>
      <c r="F421" t="inlineStr">
        <is>
          <t>SÖDERMANLANDS LÄN</t>
        </is>
      </c>
      <c r="G421" t="inlineStr">
        <is>
          <t>FLEN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45230</v>
      </c>
      <c r="E422" s="1" t="n">
        <v>46260</v>
      </c>
      <c r="F422" t="inlineStr">
        <is>
          <t>SÖDERMANLANDS LÄN</t>
        </is>
      </c>
      <c r="G422" t="inlineStr">
        <is>
          <t>FLEN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46260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50796-2021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44459</v>
      </c>
      <c r="E424" s="1" t="n">
        <v>46260</v>
      </c>
      <c r="F424" t="inlineStr">
        <is>
          <t>SÖDERMANLANDS LÄN</t>
        </is>
      </c>
      <c r="G424" t="inlineStr">
        <is>
          <t>FLEN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46260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46260</v>
      </c>
      <c r="F426" t="inlineStr">
        <is>
          <t>SÖDERMANLANDS LÄN</t>
        </is>
      </c>
      <c r="G426" t="inlineStr">
        <is>
          <t>FLEN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46260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46260</v>
      </c>
      <c r="F428" t="inlineStr">
        <is>
          <t>SÖDERMANLANDS LÄN</t>
        </is>
      </c>
      <c r="G428" t="inlineStr">
        <is>
          <t>FLEN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46229</v>
      </c>
      <c r="E429" s="1" t="n">
        <v>46260</v>
      </c>
      <c r="F429" t="inlineStr">
        <is>
          <t>SÖDERMANLANDS LÄN</t>
        </is>
      </c>
      <c r="G429" t="inlineStr">
        <is>
          <t>FLEN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46260</v>
      </c>
      <c r="F430" t="inlineStr">
        <is>
          <t>SÖDERMANLANDS LÄN</t>
        </is>
      </c>
      <c r="G430" t="inlineStr">
        <is>
          <t>FLEN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46260</v>
      </c>
      <c r="F431" t="inlineStr">
        <is>
          <t>SÖDERMANLANDS LÄN</t>
        </is>
      </c>
      <c r="G431" t="inlineStr">
        <is>
          <t>FLEN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46260</v>
      </c>
      <c r="F432" t="inlineStr">
        <is>
          <t>SÖDERMANLANDS LÄN</t>
        </is>
      </c>
      <c r="G432" t="inlineStr">
        <is>
          <t>FLEN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39053-2023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46260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44741</v>
      </c>
      <c r="E434" s="1" t="n">
        <v>46260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12172-2022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44636</v>
      </c>
      <c r="E435" s="1" t="n">
        <v>46260</v>
      </c>
      <c r="F435" t="inlineStr">
        <is>
          <t>SÖDERMANLANDS LÄN</t>
        </is>
      </c>
      <c r="G435" t="inlineStr">
        <is>
          <t>FLEN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46260</v>
      </c>
      <c r="F436" t="inlineStr">
        <is>
          <t>SÖDERMANLANDS LÄN</t>
        </is>
      </c>
      <c r="G436" t="inlineStr">
        <is>
          <t>FLEN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56393-2022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44887</v>
      </c>
      <c r="E437" s="1" t="n">
        <v>46260</v>
      </c>
      <c r="F437" t="inlineStr">
        <is>
          <t>SÖDERMANLANDS LÄN</t>
        </is>
      </c>
      <c r="G437" t="inlineStr">
        <is>
          <t>FLEN</t>
        </is>
      </c>
      <c r="I437" t="n">
        <v>11.3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38331-2023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45161</v>
      </c>
      <c r="E438" s="1" t="n">
        <v>46260</v>
      </c>
      <c r="F438" t="inlineStr">
        <is>
          <t>SÖDERMANLANDS LÄN</t>
        </is>
      </c>
      <c r="G438" t="inlineStr">
        <is>
          <t>FLEN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46240</v>
      </c>
      <c r="E439" s="1" t="n">
        <v>46260</v>
      </c>
      <c r="F439" t="inlineStr">
        <is>
          <t>SÖDERMANLANDS LÄN</t>
        </is>
      </c>
      <c r="G439" t="inlineStr">
        <is>
          <t>FLEN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46260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45114</v>
      </c>
      <c r="E441" s="1" t="n">
        <v>46260</v>
      </c>
      <c r="F441" t="inlineStr">
        <is>
          <t>SÖDERMANLANDS LÄN</t>
        </is>
      </c>
      <c r="G441" t="inlineStr">
        <is>
          <t>FLEN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38217-2023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46260</v>
      </c>
      <c r="F442" t="inlineStr">
        <is>
          <t>SÖDERMANLANDS LÄN</t>
        </is>
      </c>
      <c r="G442" t="inlineStr">
        <is>
          <t>FLEN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45012</v>
      </c>
      <c r="E443" s="1" t="n">
        <v>46260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46260</v>
      </c>
      <c r="F444" t="inlineStr">
        <is>
          <t>SÖDERMANLANDS LÄN</t>
        </is>
      </c>
      <c r="G444" t="inlineStr">
        <is>
          <t>FLEN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44887</v>
      </c>
      <c r="E445" s="1" t="n">
        <v>46260</v>
      </c>
      <c r="F445" t="inlineStr">
        <is>
          <t>SÖDERMANLANDS LÄN</t>
        </is>
      </c>
      <c r="G445" t="inlineStr">
        <is>
          <t>FLEN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44958</v>
      </c>
      <c r="E446" s="1" t="n">
        <v>46260</v>
      </c>
      <c r="F446" t="inlineStr">
        <is>
          <t>SÖDERMANLANDS LÄN</t>
        </is>
      </c>
      <c r="G446" t="inlineStr">
        <is>
          <t>FLEN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59599-2022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44907</v>
      </c>
      <c r="E447" s="1" t="n">
        <v>46260</v>
      </c>
      <c r="F447" t="inlineStr">
        <is>
          <t>SÖDERMANLANDS LÄN</t>
        </is>
      </c>
      <c r="G447" t="inlineStr">
        <is>
          <t>FLEN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44900</v>
      </c>
      <c r="E448" s="1" t="n">
        <v>46260</v>
      </c>
      <c r="F448" t="inlineStr">
        <is>
          <t>SÖDERMANLANDS LÄN</t>
        </is>
      </c>
      <c r="G448" t="inlineStr">
        <is>
          <t>FLEN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22957-2023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46260</v>
      </c>
      <c r="F449" t="inlineStr">
        <is>
          <t>SÖDERMANLANDS LÄN</t>
        </is>
      </c>
      <c r="G449" t="inlineStr">
        <is>
          <t>FLEN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45217</v>
      </c>
      <c r="E450" s="1" t="n">
        <v>46260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31352-2023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45114</v>
      </c>
      <c r="E451" s="1" t="n">
        <v>46260</v>
      </c>
      <c r="F451" t="inlineStr">
        <is>
          <t>SÖDERMANLANDS LÄN</t>
        </is>
      </c>
      <c r="G451" t="inlineStr">
        <is>
          <t>FLEN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46260</v>
      </c>
      <c r="F452" t="inlineStr">
        <is>
          <t>SÖDERMANLANDS LÄN</t>
        </is>
      </c>
      <c r="G452" t="inlineStr">
        <is>
          <t>FLEN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46260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46260</v>
      </c>
      <c r="F454" t="inlineStr">
        <is>
          <t>SÖDERMANLANDS LÄN</t>
        </is>
      </c>
      <c r="G454" t="inlineStr">
        <is>
          <t>FLEN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16580-2023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45030</v>
      </c>
      <c r="E455" s="1" t="n">
        <v>46260</v>
      </c>
      <c r="F455" t="inlineStr">
        <is>
          <t>SÖDERMANLANDS LÄN</t>
        </is>
      </c>
      <c r="G455" t="inlineStr">
        <is>
          <t>FLEN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55445-2022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44887</v>
      </c>
      <c r="E456" s="1" t="n">
        <v>46260</v>
      </c>
      <c r="F456" t="inlineStr">
        <is>
          <t>SÖDERMANLANDS LÄN</t>
        </is>
      </c>
      <c r="G456" t="inlineStr">
        <is>
          <t>FLEN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46251</v>
      </c>
      <c r="E457" s="1" t="n">
        <v>46260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40286-2023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45169</v>
      </c>
      <c r="E458" s="1" t="n">
        <v>46260</v>
      </c>
      <c r="F458" t="inlineStr">
        <is>
          <t>SÖDERMANLANDS LÄN</t>
        </is>
      </c>
      <c r="G458" t="inlineStr">
        <is>
          <t>FLEN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45225</v>
      </c>
      <c r="E459" s="1" t="n">
        <v>46260</v>
      </c>
      <c r="F459" t="inlineStr">
        <is>
          <t>SÖDERMANLANDS LÄN</t>
        </is>
      </c>
      <c r="G459" t="inlineStr">
        <is>
          <t>FLEN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31028-2024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45501</v>
      </c>
      <c r="E460" s="1" t="n">
        <v>46260</v>
      </c>
      <c r="F460" t="inlineStr">
        <is>
          <t>SÖDERMANLANDS LÄN</t>
        </is>
      </c>
      <c r="G460" t="inlineStr">
        <is>
          <t>FLEN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46249</v>
      </c>
      <c r="E461" s="1" t="n">
        <v>46260</v>
      </c>
      <c r="F461" t="inlineStr">
        <is>
          <t>SÖDERMANLANDS LÄN</t>
        </is>
      </c>
      <c r="G461" t="inlineStr">
        <is>
          <t>FLEN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33727-2026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46251</v>
      </c>
      <c r="E462" s="1" t="n">
        <v>46260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46260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40420-2024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45555</v>
      </c>
      <c r="E464" s="1" t="n">
        <v>46260</v>
      </c>
      <c r="F464" t="inlineStr">
        <is>
          <t>SÖDERMANLANDS LÄN</t>
        </is>
      </c>
      <c r="G464" t="inlineStr">
        <is>
          <t>FLEN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46260</v>
      </c>
      <c r="F465" t="inlineStr">
        <is>
          <t>SÖDERMANLANDS LÄN</t>
        </is>
      </c>
      <c r="G465" t="inlineStr">
        <is>
          <t>FLEN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46260</v>
      </c>
      <c r="F466" t="inlineStr">
        <is>
          <t>SÖDERMANLANDS LÄN</t>
        </is>
      </c>
      <c r="G466" t="inlineStr">
        <is>
          <t>FLEN</t>
        </is>
      </c>
      <c r="H466" t="inlineStr">
        <is>
          <t>Kyrkan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38209-2023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46260</v>
      </c>
      <c r="F467" t="inlineStr">
        <is>
          <t>SÖDERMANLANDS LÄN</t>
        </is>
      </c>
      <c r="G467" t="inlineStr">
        <is>
          <t>FLEN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33936-2026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46250</v>
      </c>
      <c r="E468" s="1" t="n">
        <v>46260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58267-2023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46260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14.7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46260</v>
      </c>
      <c r="F470" t="inlineStr">
        <is>
          <t>SÖDERMANLANDS LÄN</t>
        </is>
      </c>
      <c r="G470" t="inlineStr">
        <is>
          <t>FLEN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46198</v>
      </c>
      <c r="E471" s="1" t="n">
        <v>46260</v>
      </c>
      <c r="F471" t="inlineStr">
        <is>
          <t>SÖDERMANLANDS LÄN</t>
        </is>
      </c>
      <c r="G471" t="inlineStr">
        <is>
          <t>FLEN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52481-2023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46260</v>
      </c>
      <c r="F472" t="inlineStr">
        <is>
          <t>SÖDERMANLANDS LÄN</t>
        </is>
      </c>
      <c r="G472" t="inlineStr">
        <is>
          <t>FLEN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46253</v>
      </c>
      <c r="E473" s="1" t="n">
        <v>46260</v>
      </c>
      <c r="F473" t="inlineStr">
        <is>
          <t>SÖDERMANLANDS LÄN</t>
        </is>
      </c>
      <c r="G473" t="inlineStr">
        <is>
          <t>FLEN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47187-2022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44848</v>
      </c>
      <c r="E474" s="1" t="n">
        <v>46260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21476-2024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45441</v>
      </c>
      <c r="E475" s="1" t="n">
        <v>46260</v>
      </c>
      <c r="F475" t="inlineStr">
        <is>
          <t>SÖDERMANLANDS LÄN</t>
        </is>
      </c>
      <c r="G475" t="inlineStr">
        <is>
          <t>FLEN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46260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34844-2026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46260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34851-2026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46258</v>
      </c>
      <c r="E478" s="1" t="n">
        <v>46260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46260</v>
      </c>
      <c r="F479" t="inlineStr">
        <is>
          <t>SÖDERMANLANDS LÄN</t>
        </is>
      </c>
      <c r="G479" t="inlineStr">
        <is>
          <t>FLEN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46260</v>
      </c>
      <c r="F480" t="inlineStr">
        <is>
          <t>SÖDERMANLANDS LÄN</t>
        </is>
      </c>
      <c r="G480" t="inlineStr">
        <is>
          <t>FLEN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46260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37286-2024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45540</v>
      </c>
      <c r="E482" s="1" t="n">
        <v>46260</v>
      </c>
      <c r="F482" t="inlineStr">
        <is>
          <t>SÖDERMANLANDS LÄN</t>
        </is>
      </c>
      <c r="G482" t="inlineStr">
        <is>
          <t>FLEN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44614</v>
      </c>
      <c r="E483" s="1" t="n">
        <v>46260</v>
      </c>
      <c r="F483" t="inlineStr">
        <is>
          <t>SÖDERMANLANDS LÄN</t>
        </is>
      </c>
      <c r="G483" t="inlineStr">
        <is>
          <t>FLEN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44909</v>
      </c>
      <c r="E484" s="1" t="n">
        <v>46260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4536-2024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46260</v>
      </c>
      <c r="F485" t="inlineStr">
        <is>
          <t>SÖDERMANLANDS LÄN</t>
        </is>
      </c>
      <c r="G485" t="inlineStr">
        <is>
          <t>FLEN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45001</v>
      </c>
      <c r="E486" s="1" t="n">
        <v>46260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73923-2021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44553</v>
      </c>
      <c r="E487" s="1" t="n">
        <v>46260</v>
      </c>
      <c r="F487" t="inlineStr">
        <is>
          <t>SÖDERMANLANDS LÄN</t>
        </is>
      </c>
      <c r="G487" t="inlineStr">
        <is>
          <t>FLEN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45345</v>
      </c>
      <c r="E488" s="1" t="n">
        <v>46260</v>
      </c>
      <c r="F488" t="inlineStr">
        <is>
          <t>SÖDERMANLANDS LÄN</t>
        </is>
      </c>
      <c r="G488" t="inlineStr">
        <is>
          <t>FLEN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44648</v>
      </c>
      <c r="E489" s="1" t="n">
        <v>46260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44739</v>
      </c>
      <c r="E490" s="1" t="n">
        <v>46260</v>
      </c>
      <c r="F490" t="inlineStr">
        <is>
          <t>SÖDERMANLANDS LÄN</t>
        </is>
      </c>
      <c r="G490" t="inlineStr">
        <is>
          <t>FLEN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23716-2024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45454</v>
      </c>
      <c r="E491" s="1" t="n">
        <v>46260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45478</v>
      </c>
      <c r="E492" s="1" t="n">
        <v>46260</v>
      </c>
      <c r="F492" t="inlineStr">
        <is>
          <t>SÖDERMANLANDS LÄN</t>
        </is>
      </c>
      <c r="G492" t="inlineStr">
        <is>
          <t>FLEN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45713</v>
      </c>
      <c r="E493" s="1" t="n">
        <v>46260</v>
      </c>
      <c r="F493" t="inlineStr">
        <is>
          <t>SÖDERMANLANDS LÄN</t>
        </is>
      </c>
      <c r="G493" t="inlineStr">
        <is>
          <t>FLEN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44580</v>
      </c>
      <c r="E494" s="1" t="n">
        <v>46260</v>
      </c>
      <c r="F494" t="inlineStr">
        <is>
          <t>SÖDERMANLANDS LÄN</t>
        </is>
      </c>
      <c r="G494" t="inlineStr">
        <is>
          <t>FLEN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34612-2023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46260</v>
      </c>
      <c r="F495" t="inlineStr">
        <is>
          <t>SÖDERMANLANDS LÄN</t>
        </is>
      </c>
      <c r="G495" t="inlineStr">
        <is>
          <t>FLEN</t>
        </is>
      </c>
      <c r="H495" t="inlineStr">
        <is>
          <t>Kyrkan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39891-2022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44819</v>
      </c>
      <c r="E496" s="1" t="n">
        <v>46260</v>
      </c>
      <c r="F496" t="inlineStr">
        <is>
          <t>SÖDERMANLANDS LÄN</t>
        </is>
      </c>
      <c r="G496" t="inlineStr">
        <is>
          <t>FLEN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31083-2022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44769</v>
      </c>
      <c r="E497" s="1" t="n">
        <v>46260</v>
      </c>
      <c r="F497" t="inlineStr">
        <is>
          <t>SÖDERMANLANDS LÄN</t>
        </is>
      </c>
      <c r="G497" t="inlineStr">
        <is>
          <t>FLEN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46260</v>
      </c>
      <c r="F498" t="inlineStr">
        <is>
          <t>SÖDERMANLANDS LÄN</t>
        </is>
      </c>
      <c r="G498" t="inlineStr">
        <is>
          <t>FLEN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58926-2023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45250</v>
      </c>
      <c r="E499" s="1" t="n">
        <v>46260</v>
      </c>
      <c r="F499" t="inlineStr">
        <is>
          <t>SÖDERMANLANDS LÄN</t>
        </is>
      </c>
      <c r="G499" t="inlineStr">
        <is>
          <t>FLEN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46260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44960</v>
      </c>
      <c r="E501" s="1" t="n">
        <v>46260</v>
      </c>
      <c r="F501" t="inlineStr">
        <is>
          <t>SÖDERMANLANDS LÄN</t>
        </is>
      </c>
      <c r="G501" t="inlineStr">
        <is>
          <t>FLEN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57046-2023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46260</v>
      </c>
      <c r="F502" t="inlineStr">
        <is>
          <t>SÖDERMANLANDS LÄN</t>
        </is>
      </c>
      <c r="G502" t="inlineStr">
        <is>
          <t>FLEN</t>
        </is>
      </c>
      <c r="H502" t="inlineStr">
        <is>
          <t>Övriga statliga verk och myndigheter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46260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41630-2023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45175</v>
      </c>
      <c r="E504" s="1" t="n">
        <v>46260</v>
      </c>
      <c r="F504" t="inlineStr">
        <is>
          <t>SÖDERMANLANDS LÄN</t>
        </is>
      </c>
      <c r="G504" t="inlineStr">
        <is>
          <t>FLEN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45036</v>
      </c>
      <c r="E505" s="1" t="n">
        <v>46260</v>
      </c>
      <c r="F505" t="inlineStr">
        <is>
          <t>SÖDERMANLANDS LÄN</t>
        </is>
      </c>
      <c r="G505" t="inlineStr">
        <is>
          <t>FLEN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59439-2022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44907</v>
      </c>
      <c r="E506" s="1" t="n">
        <v>46260</v>
      </c>
      <c r="F506" t="inlineStr">
        <is>
          <t>SÖDERMANLANDS LÄN</t>
        </is>
      </c>
      <c r="G506" t="inlineStr">
        <is>
          <t>FLEN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10256-2024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45365</v>
      </c>
      <c r="E507" s="1" t="n">
        <v>46260</v>
      </c>
      <c r="F507" t="inlineStr">
        <is>
          <t>SÖDERMANLANDS LÄN</t>
        </is>
      </c>
      <c r="G507" t="inlineStr">
        <is>
          <t>FLEN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56991-2023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46260</v>
      </c>
      <c r="F508" t="inlineStr">
        <is>
          <t>SÖDERMANLANDS LÄN</t>
        </is>
      </c>
      <c r="G508" t="inlineStr">
        <is>
          <t>FLEN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11747-2022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44634</v>
      </c>
      <c r="E509" s="1" t="n">
        <v>46260</v>
      </c>
      <c r="F509" t="inlineStr">
        <is>
          <t>SÖDERMANLANDS LÄN</t>
        </is>
      </c>
      <c r="G509" t="inlineStr">
        <is>
          <t>FLEN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41806-2023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46260</v>
      </c>
      <c r="F510" t="inlineStr">
        <is>
          <t>SÖDERMANLANDS LÄN</t>
        </is>
      </c>
      <c r="G510" t="inlineStr">
        <is>
          <t>FLEN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46260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46260</v>
      </c>
      <c r="F512" t="inlineStr">
        <is>
          <t>SÖDERMANLANDS LÄN</t>
        </is>
      </c>
      <c r="G512" t="inlineStr">
        <is>
          <t>FLEN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45256</v>
      </c>
      <c r="E513" s="1" t="n">
        <v>46260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46260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45448</v>
      </c>
      <c r="E515" s="1" t="n">
        <v>46260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13233-2024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45386</v>
      </c>
      <c r="E516" s="1" t="n">
        <v>46260</v>
      </c>
      <c r="F516" t="inlineStr">
        <is>
          <t>SÖDERMANLANDS LÄN</t>
        </is>
      </c>
      <c r="G516" t="inlineStr">
        <is>
          <t>FLEN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8293-2022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44610</v>
      </c>
      <c r="E517" s="1" t="n">
        <v>46260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45014</v>
      </c>
      <c r="E518" s="1" t="n">
        <v>46260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46260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46260</v>
      </c>
      <c r="F520" t="inlineStr">
        <is>
          <t>SÖDERMANLANDS LÄN</t>
        </is>
      </c>
      <c r="G520" t="inlineStr">
        <is>
          <t>FLEN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4899-2023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44958</v>
      </c>
      <c r="E521" s="1" t="n">
        <v>46260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20952-2025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45777</v>
      </c>
      <c r="E522" s="1" t="n">
        <v>46260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45414</v>
      </c>
      <c r="E523" s="1" t="n">
        <v>46260</v>
      </c>
      <c r="F523" t="inlineStr">
        <is>
          <t>SÖDERMANLANDS LÄN</t>
        </is>
      </c>
      <c r="G523" t="inlineStr">
        <is>
          <t>FLEN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45252</v>
      </c>
      <c r="E524" s="1" t="n">
        <v>46260</v>
      </c>
      <c r="F524" t="inlineStr">
        <is>
          <t>SÖDERMANLANDS LÄN</t>
        </is>
      </c>
      <c r="G524" t="inlineStr">
        <is>
          <t>FLEN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46260</v>
      </c>
      <c r="F525" t="inlineStr">
        <is>
          <t>SÖDERMANLANDS LÄN</t>
        </is>
      </c>
      <c r="G525" t="inlineStr">
        <is>
          <t>FLEN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44883</v>
      </c>
      <c r="E526" s="1" t="n">
        <v>46260</v>
      </c>
      <c r="F526" t="inlineStr">
        <is>
          <t>SÖDERMANLANDS LÄN</t>
        </is>
      </c>
      <c r="G526" t="inlineStr">
        <is>
          <t>FLEN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47055-2022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44852</v>
      </c>
      <c r="E527" s="1" t="n">
        <v>46260</v>
      </c>
      <c r="F527" t="inlineStr">
        <is>
          <t>SÖDERMANLANDS LÄN</t>
        </is>
      </c>
      <c r="G527" t="inlineStr">
        <is>
          <t>FLEN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13909-2023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45008</v>
      </c>
      <c r="E528" s="1" t="n">
        <v>46260</v>
      </c>
      <c r="F528" t="inlineStr">
        <is>
          <t>SÖDERMANLANDS LÄN</t>
        </is>
      </c>
      <c r="G528" t="inlineStr">
        <is>
          <t>FLEN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46260</v>
      </c>
      <c r="F529" t="inlineStr">
        <is>
          <t>SÖDERMANLANDS LÄN</t>
        </is>
      </c>
      <c r="G529" t="inlineStr">
        <is>
          <t>FLEN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22998-2025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46260</v>
      </c>
      <c r="F530" t="inlineStr">
        <is>
          <t>SÖDERMANLANDS LÄN</t>
        </is>
      </c>
      <c r="G530" t="inlineStr">
        <is>
          <t>FLEN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46260</v>
      </c>
      <c r="F531" t="inlineStr">
        <is>
          <t>SÖDERMANLANDS LÄN</t>
        </is>
      </c>
      <c r="G531" t="inlineStr">
        <is>
          <t>FLEN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46260</v>
      </c>
      <c r="F532" t="inlineStr">
        <is>
          <t>SÖDERMANLANDS LÄN</t>
        </is>
      </c>
      <c r="G532" t="inlineStr">
        <is>
          <t>FLEN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40412-2024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45555</v>
      </c>
      <c r="E533" s="1" t="n">
        <v>46260</v>
      </c>
      <c r="F533" t="inlineStr">
        <is>
          <t>SÖDERMANLANDS LÄN</t>
        </is>
      </c>
      <c r="G533" t="inlineStr">
        <is>
          <t>FLEN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46260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45798</v>
      </c>
      <c r="E535" s="1" t="n">
        <v>46260</v>
      </c>
      <c r="F535" t="inlineStr">
        <is>
          <t>SÖDERMANLANDS LÄN</t>
        </is>
      </c>
      <c r="G535" t="inlineStr">
        <is>
          <t>FLEN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46260</v>
      </c>
      <c r="F536" t="inlineStr">
        <is>
          <t>SÖDERMANLANDS LÄN</t>
        </is>
      </c>
      <c r="G536" t="inlineStr">
        <is>
          <t>FLEN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45702</v>
      </c>
      <c r="E537" s="1" t="n">
        <v>46260</v>
      </c>
      <c r="F537" t="inlineStr">
        <is>
          <t>SÖDERMANLANDS LÄN</t>
        </is>
      </c>
      <c r="G537" t="inlineStr">
        <is>
          <t>FLEN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46260</v>
      </c>
      <c r="F538" t="inlineStr">
        <is>
          <t>SÖDERMANLANDS LÄN</t>
        </is>
      </c>
      <c r="G538" t="inlineStr">
        <is>
          <t>FLEN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24480-2025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46260</v>
      </c>
      <c r="F539" t="inlineStr">
        <is>
          <t>SÖDERMANLANDS LÄN</t>
        </is>
      </c>
      <c r="G539" t="inlineStr">
        <is>
          <t>FLEN</t>
        </is>
      </c>
      <c r="H539" t="inlineStr">
        <is>
          <t>Holmen skog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458-2023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44964</v>
      </c>
      <c r="E540" s="1" t="n">
        <v>46260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292-2025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45686</v>
      </c>
      <c r="E541" s="1" t="n">
        <v>46260</v>
      </c>
      <c r="F541" t="inlineStr">
        <is>
          <t>SÖDERMANLANDS LÄN</t>
        </is>
      </c>
      <c r="G541" t="inlineStr">
        <is>
          <t>FLEN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3723-2022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44742</v>
      </c>
      <c r="E542" s="1" t="n">
        <v>46260</v>
      </c>
      <c r="F542" t="inlineStr">
        <is>
          <t>SÖDERMANLANDS LÄN</t>
        </is>
      </c>
      <c r="G542" t="inlineStr">
        <is>
          <t>FLEN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482-2022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44588</v>
      </c>
      <c r="E543" s="1" t="n">
        <v>46260</v>
      </c>
      <c r="F543" t="inlineStr">
        <is>
          <t>SÖDERMANLANDS LÄN</t>
        </is>
      </c>
      <c r="G543" t="inlineStr">
        <is>
          <t>FLEN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2321-2022</t>
        </is>
      </c>
      <c r="B544" t="inlineStr">
        <is>
          <t>samrådsanmälan</t>
        </is>
      </c>
      <c r="C544" t="inlineStr">
        <is>
          <t>Åtgärd i nyckelbiotop</t>
        </is>
      </c>
      <c r="D544" s="1" t="n">
        <v>44685</v>
      </c>
      <c r="E544" s="1" t="n">
        <v>46260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1976-2024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45446</v>
      </c>
      <c r="E545" s="1" t="n">
        <v>46260</v>
      </c>
      <c r="F545" t="inlineStr">
        <is>
          <t>SÖDERMANLANDS LÄN</t>
        </is>
      </c>
      <c r="G545" t="inlineStr">
        <is>
          <t>FLEN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1287-2024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45403</v>
      </c>
      <c r="E546" s="1" t="n">
        <v>46260</v>
      </c>
      <c r="F546" t="inlineStr">
        <is>
          <t>SÖDERMANLANDS LÄN</t>
        </is>
      </c>
      <c r="G546" t="inlineStr">
        <is>
          <t>FLEN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1528-2026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46164</v>
      </c>
      <c r="E547" s="1" t="n">
        <v>46260</v>
      </c>
      <c r="F547" t="inlineStr">
        <is>
          <t>SÖDERMANLANDS LÄN</t>
        </is>
      </c>
      <c r="G547" t="inlineStr">
        <is>
          <t>FLEN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2026-08-26T01:49:43Z</dcterms:created>
  <dcterms:modified xmlns:dcterms="http://purl.org/dc/terms/" xmlns:xsi="http://www.w3.org/2001/XMLSchema-instance" xsi:type="dcterms:W3CDTF">2026-08-26T01:49:44Z</dcterms:modified>
</cp:coreProperties>
</file>