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46300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46300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46300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46300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9066-2025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45713</v>
      </c>
      <c r="E6" s="1" t="n">
        <v>46300</v>
      </c>
      <c r="F6" t="inlineStr">
        <is>
          <t>SÖDERMANLANDS LÄN</t>
        </is>
      </c>
      <c r="G6" t="inlineStr">
        <is>
          <t>FLEN</t>
        </is>
      </c>
      <c r="I6" t="n">
        <v>4.5</v>
      </c>
      <c r="J6" t="n">
        <v>2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15</v>
      </c>
      <c r="T6" t="n">
        <v>25</v>
      </c>
      <c r="U6" t="n">
        <v>21</v>
      </c>
      <c r="V6" s="2" t="inlineStr">
        <is>
          <t>Gullklöver
Jungfrulin
Svinrot
Vanlig backsmörblomma
Vårstarr
Bergsslok
Blåbär
Getrams
Humleblomster
Liljekonvalj
Sälg
Vitsippa
Ängskovall
Fläcknycklar
Gullviva</t>
        </is>
      </c>
      <c r="W6">
        <f>HYPERLINK("https://klasma.github.io/Logging_0482/artfynd/A 9066-2025 artfynd.xlsx", "A 9066-2025")</f>
        <v/>
      </c>
      <c r="X6">
        <f>HYPERLINK("https://klasma.github.io/Logging_0482/kartor/A 9066-2025 karta.png", "A 9066-2025")</f>
        <v/>
      </c>
      <c r="Y6">
        <f>HYPERLINK("https://klasma.github.io/Logging_0482/kartor_geotiff/A 9066-2025 georefererad karta.tif", "A 9066-2025")</f>
        <v/>
      </c>
      <c r="AA6">
        <f>HYPERLINK("https://klasma.github.io/Logging_0482/klagomål/A 9066-2025 FSC-klagomål.docx", "A 9066-2025")</f>
        <v/>
      </c>
      <c r="AB6">
        <f>HYPERLINK("https://klasma.github.io/Logging_0482/klagomålsmail/A 9066-2025 FSC-klagomål mail.docx", "A 9066-2025")</f>
        <v/>
      </c>
      <c r="AC6">
        <f>HYPERLINK("https://klasma.github.io/Logging_0482/tillsyn/A 9066-2025 tillsynsbegäran.docx", "A 9066-2025")</f>
        <v/>
      </c>
      <c r="AD6">
        <f>HYPERLINK("https://klasma.github.io/Logging_0482/tillsynsmail/A 9066-2025 tillsynsbegäran mail.docx", "A 9066-2025")</f>
        <v/>
      </c>
    </row>
    <row r="7" ht="15" customHeight="1">
      <c r="A7" t="inlineStr">
        <is>
          <t>A 25118-2026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46300</v>
      </c>
      <c r="F7" t="inlineStr">
        <is>
          <t>SÖDERMANLANDS LÄN</t>
        </is>
      </c>
      <c r="G7" t="inlineStr">
        <is>
          <t>FLEN</t>
        </is>
      </c>
      <c r="I7" t="n">
        <v>11.5</v>
      </c>
      <c r="J7" t="n">
        <v>4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15</v>
      </c>
      <c r="T7" t="n">
        <v>19</v>
      </c>
      <c r="U7" t="n">
        <v>19</v>
      </c>
      <c r="V7" s="2" t="inlineStr">
        <is>
          <t>Knärot
Talltita
Vedskivlav
Grönpyrola
Blåbär
Ekbräken
Ekorrbär
Hultbräken
Missne
Sälg
Timmerticka
Vitsippa
Ängskovall
Fläcknycklar
Revlummer</t>
        </is>
      </c>
      <c r="W7">
        <f>HYPERLINK("https://klasma.github.io/Logging_0482/artfynd/A 25118-2026 artfynd.xlsx", "A 25118-2026")</f>
        <v/>
      </c>
      <c r="X7">
        <f>HYPERLINK("https://klasma.github.io/Logging_0482/kartor/A 25118-2026 karta.png", "A 25118-2026")</f>
        <v/>
      </c>
      <c r="Y7">
        <f>HYPERLINK("https://klasma.github.io/Logging_0482/kartor_geotiff/A 25118-2026 georefererad karta.tif", "A 25118-2026")</f>
        <v/>
      </c>
      <c r="Z7">
        <f>HYPERLINK("https://klasma.github.io/Logging_0482/knärot/A 25118-2026 karta knärot.png", "A 25118-2026")</f>
        <v/>
      </c>
      <c r="AA7">
        <f>HYPERLINK("https://klasma.github.io/Logging_0482/klagomål/A 25118-2026 FSC-klagomål.docx", "A 25118-2026")</f>
        <v/>
      </c>
      <c r="AB7">
        <f>HYPERLINK("https://klasma.github.io/Logging_0482/klagomålsmail/A 25118-2026 FSC-klagomål mail.docx", "A 25118-2026")</f>
        <v/>
      </c>
      <c r="AC7">
        <f>HYPERLINK("https://klasma.github.io/Logging_0482/tillsyn/A 25118-2026 tillsynsbegäran.docx", "A 25118-2026")</f>
        <v/>
      </c>
      <c r="AD7">
        <f>HYPERLINK("https://klasma.github.io/Logging_0482/tillsynsmail/A 25118-2026 tillsynsbegäran mail.docx", "A 25118-2026")</f>
        <v/>
      </c>
      <c r="AE7">
        <f>HYPERLINK("https://klasma.github.io/Logging_0482/fåglar/A 25118-2026 prioriterade fågelarter.docx", "A 25118-2026")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46300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46300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46300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46300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46300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46300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46300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46300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46300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46300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46300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46300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46300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46300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46300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A 11065-2026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46300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4.6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7</v>
      </c>
      <c r="U23" t="n">
        <v>1</v>
      </c>
      <c r="V23" s="2" t="inlineStr">
        <is>
          <t>Gullklöver
Jungfrulin
Svinrot
Asphättemossa
Blåsippa
Gullviva</t>
        </is>
      </c>
      <c r="W23">
        <f>HYPERLINK("https://klasma.github.io/Logging_0482/artfynd/A 11065-2026 artfynd.xlsx", "A 11065-2026")</f>
        <v/>
      </c>
      <c r="X23">
        <f>HYPERLINK("https://klasma.github.io/Logging_0482/kartor/A 11065-2026 karta.png", "A 11065-2026")</f>
        <v/>
      </c>
      <c r="Y23">
        <f>HYPERLINK("https://klasma.github.io/Logging_0482/kartor_geotiff/A 11065-2026 georefererad karta.tif", "A 11065-2026")</f>
        <v/>
      </c>
      <c r="AA23">
        <f>HYPERLINK("https://klasma.github.io/Logging_0482/klagomål/A 11065-2026 FSC-klagomål.docx", "A 11065-2026")</f>
        <v/>
      </c>
      <c r="AB23">
        <f>HYPERLINK("https://klasma.github.io/Logging_0482/klagomålsmail/A 11065-2026 FSC-klagomål mail.docx", "A 11065-2026")</f>
        <v/>
      </c>
      <c r="AC23">
        <f>HYPERLINK("https://klasma.github.io/Logging_0482/tillsyn/A 11065-2026 tillsynsbegäran.docx", "A 11065-2026")</f>
        <v/>
      </c>
      <c r="AD23">
        <f>HYPERLINK("https://klasma.github.io/Logging_0482/tillsynsmail/A 11065-2026 tillsynsbegäran mail.docx", "A 11065-2026")</f>
        <v/>
      </c>
    </row>
    <row r="24" ht="15" customHeight="1">
      <c r="A24" t="inlineStr">
        <is>
          <t>A 16095-2026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46300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5</v>
      </c>
      <c r="V24" s="2" t="inlineStr">
        <is>
          <t>Bivråk
Brunag
Blåbär
Kärrviol
Missne
Stjärnstarr</t>
        </is>
      </c>
      <c r="W24">
        <f>HYPERLINK("https://klasma.github.io/Logging_0482/artfynd/A 16095-2026 artfynd.xlsx", "A 16095-2026")</f>
        <v/>
      </c>
      <c r="X24">
        <f>HYPERLINK("https://klasma.github.io/Logging_0482/kartor/A 16095-2026 karta.png", "A 16095-2026")</f>
        <v/>
      </c>
      <c r="Y24">
        <f>HYPERLINK("https://klasma.github.io/Logging_0482/kartor_geotiff/A 16095-2026 georefererad karta.tif", "A 16095-2026")</f>
        <v/>
      </c>
      <c r="AA24">
        <f>HYPERLINK("https://klasma.github.io/Logging_0482/klagomål/A 16095-2026 FSC-klagomål.docx", "A 16095-2026")</f>
        <v/>
      </c>
      <c r="AB24">
        <f>HYPERLINK("https://klasma.github.io/Logging_0482/klagomålsmail/A 16095-2026 FSC-klagomål mail.docx", "A 16095-2026")</f>
        <v/>
      </c>
      <c r="AC24">
        <f>HYPERLINK("https://klasma.github.io/Logging_0482/tillsyn/A 16095-2026 tillsynsbegäran.docx", "A 16095-2026")</f>
        <v/>
      </c>
      <c r="AD24">
        <f>HYPERLINK("https://klasma.github.io/Logging_0482/tillsynsmail/A 16095-2026 tillsynsbegäran mail.docx", "A 16095-2026")</f>
        <v/>
      </c>
      <c r="AE24">
        <f>HYPERLINK("https://klasma.github.io/Logging_0482/fåglar/A 16095-2026 prioriterade fågelarter.docx", "A 16095-2026")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46300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46300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46300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48952-2023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45209</v>
      </c>
      <c r="E28" s="1" t="n">
        <v>46300</v>
      </c>
      <c r="F28" t="inlineStr">
        <is>
          <t>SÖDERMANLANDS LÄN</t>
        </is>
      </c>
      <c r="G28" t="inlineStr">
        <is>
          <t>FLEN</t>
        </is>
      </c>
      <c r="H28" t="inlineStr">
        <is>
          <t>Holmen skog AB</t>
        </is>
      </c>
      <c r="I28" t="n">
        <v>12.8</v>
      </c>
      <c r="J28" t="n">
        <v>0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11</v>
      </c>
      <c r="U28" t="n">
        <v>0</v>
      </c>
      <c r="V28" s="2" t="inlineStr">
        <is>
          <t>Dropptaggsvamp
Tallticka
Vedskivlav
Blåmossa
Grovticka</t>
        </is>
      </c>
      <c r="W28">
        <f>HYPERLINK("https://klasma.github.io/Logging_0482/artfynd/A 48952-2023 artfynd.xlsx", "A 48952-2023")</f>
        <v/>
      </c>
      <c r="X28">
        <f>HYPERLINK("https://klasma.github.io/Logging_0482/kartor/A 48952-2023 karta.png", "A 48952-2023")</f>
        <v/>
      </c>
      <c r="Y28">
        <f>HYPERLINK("https://klasma.github.io/Logging_0482/kartor_geotiff/A 48952-2023 georefererad karta.tif", "A 48952-2023")</f>
        <v/>
      </c>
      <c r="AA28">
        <f>HYPERLINK("https://klasma.github.io/Logging_0482/klagomål/A 48952-2023 FSC-klagomål.docx", "A 48952-2023")</f>
        <v/>
      </c>
      <c r="AB28">
        <f>HYPERLINK("https://klasma.github.io/Logging_0482/klagomålsmail/A 48952-2023 FSC-klagomål mail.docx", "A 48952-2023")</f>
        <v/>
      </c>
      <c r="AC28">
        <f>HYPERLINK("https://klasma.github.io/Logging_0482/tillsyn/A 48952-2023 tillsynsbegäran.docx", "A 48952-2023")</f>
        <v/>
      </c>
      <c r="AD28">
        <f>HYPERLINK("https://klasma.github.io/Logging_0482/tillsynsmail/A 48952-2023 tillsynsbegäran mail.docx", "A 48952-2023")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46300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50343-2024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46300</v>
      </c>
      <c r="F30" t="inlineStr">
        <is>
          <t>SÖDERMANLANDS LÄN</t>
        </is>
      </c>
      <c r="G30" t="inlineStr">
        <is>
          <t>FLEN</t>
        </is>
      </c>
      <c r="H30" t="inlineStr">
        <is>
          <t>Övriga statliga verk och myndigheter</t>
        </is>
      </c>
      <c r="I30" t="n">
        <v>3.6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Svartöra
Tallticka
Blåsippa
Liljekonvalj
Vildkaprifol</t>
        </is>
      </c>
      <c r="W30">
        <f>HYPERLINK("https://klasma.github.io/Logging_0482/artfynd/A 50343-2024 artfynd.xlsx", "A 50343-2024")</f>
        <v/>
      </c>
      <c r="X30">
        <f>HYPERLINK("https://klasma.github.io/Logging_0482/kartor/A 50343-2024 karta.png", "A 50343-2024")</f>
        <v/>
      </c>
      <c r="Y30">
        <f>HYPERLINK("https://klasma.github.io/Logging_0482/kartor_geotiff/A 50343-2024 georefererad karta.tif", "A 50343-2024")</f>
        <v/>
      </c>
      <c r="AA30">
        <f>HYPERLINK("https://klasma.github.io/Logging_0482/klagomål/A 50343-2024 FSC-klagomål.docx", "A 50343-2024")</f>
        <v/>
      </c>
      <c r="AB30">
        <f>HYPERLINK("https://klasma.github.io/Logging_0482/klagomålsmail/A 50343-2024 FSC-klagomål mail.docx", "A 50343-2024")</f>
        <v/>
      </c>
      <c r="AC30">
        <f>HYPERLINK("https://klasma.github.io/Logging_0482/tillsyn/A 50343-2024 tillsynsbegäran.docx", "A 50343-2024")</f>
        <v/>
      </c>
      <c r="AD30">
        <f>HYPERLINK("https://klasma.github.io/Logging_0482/tillsynsmail/A 50343-2024 tillsynsbegäran mail.docx", "A 50343-2024")</f>
        <v/>
      </c>
    </row>
    <row r="31" ht="15" customHeight="1">
      <c r="A31" t="inlineStr">
        <is>
          <t>A 4551-2023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44956</v>
      </c>
      <c r="E31" s="1" t="n">
        <v>46300</v>
      </c>
      <c r="F31" t="inlineStr">
        <is>
          <t>SÖDERMANLANDS LÄN</t>
        </is>
      </c>
      <c r="G31" t="inlineStr">
        <is>
          <t>FLEN</t>
        </is>
      </c>
      <c r="I31" t="n">
        <v>6.6</v>
      </c>
      <c r="J31" t="n">
        <v>1</v>
      </c>
      <c r="K31" t="n">
        <v>0</v>
      </c>
      <c r="L31" t="n">
        <v>3</v>
      </c>
      <c r="M31" t="n">
        <v>0</v>
      </c>
      <c r="N31" t="n">
        <v>1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4</v>
      </c>
      <c r="V31" s="2" t="inlineStr">
        <is>
          <t>Ask
Krusfrö
Svinrot
Älg
Större vattensalamander</t>
        </is>
      </c>
      <c r="W31">
        <f>HYPERLINK("https://klasma.github.io/Logging_0482/artfynd/A 4551-2023 artfynd.xlsx", "A 4551-2023")</f>
        <v/>
      </c>
      <c r="X31">
        <f>HYPERLINK("https://klasma.github.io/Logging_0482/kartor/A 4551-2023 karta.png", "A 4551-2023")</f>
        <v/>
      </c>
      <c r="Y31">
        <f>HYPERLINK("https://klasma.github.io/Logging_0482/kartor_geotiff/A 4551-2023 georefererad karta.tif", "A 4551-2023")</f>
        <v/>
      </c>
      <c r="AA31">
        <f>HYPERLINK("https://klasma.github.io/Logging_0482/klagomål/A 4551-2023 FSC-klagomål.docx", "A 4551-2023")</f>
        <v/>
      </c>
      <c r="AB31">
        <f>HYPERLINK("https://klasma.github.io/Logging_0482/klagomålsmail/A 4551-2023 FSC-klagomål mail.docx", "A 4551-2023")</f>
        <v/>
      </c>
      <c r="AC31">
        <f>HYPERLINK("https://klasma.github.io/Logging_0482/tillsyn/A 4551-2023 tillsynsbegäran.docx", "A 4551-2023")</f>
        <v/>
      </c>
      <c r="AD31">
        <f>HYPERLINK("https://klasma.github.io/Logging_0482/tillsynsmail/A 4551-2023 tillsynsbegäran mail.docx", "A 4551-2023")</f>
        <v/>
      </c>
    </row>
    <row r="32" ht="15" customHeight="1">
      <c r="A32" t="inlineStr">
        <is>
          <t>A 13755-2026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46300</v>
      </c>
      <c r="F32" t="inlineStr">
        <is>
          <t>SÖDERMANLANDS LÄN</t>
        </is>
      </c>
      <c r="G32" t="inlineStr">
        <is>
          <t>FLEN</t>
        </is>
      </c>
      <c r="I32" t="n">
        <v>2.9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Åkerrättika
Jungfrulin
Svart trolldruva
Blåsippa
Grönvit nattviol</t>
        </is>
      </c>
      <c r="W32">
        <f>HYPERLINK("https://klasma.github.io/Logging_0482/artfynd/A 13755-2026 artfynd.xlsx", "A 13755-2026")</f>
        <v/>
      </c>
      <c r="X32">
        <f>HYPERLINK("https://klasma.github.io/Logging_0482/kartor/A 13755-2026 karta.png", "A 13755-2026")</f>
        <v/>
      </c>
      <c r="Y32">
        <f>HYPERLINK("https://klasma.github.io/Logging_0482/kartor_geotiff/A 13755-2026 georefererad karta.tif", "A 13755-2026")</f>
        <v/>
      </c>
      <c r="AA32">
        <f>HYPERLINK("https://klasma.github.io/Logging_0482/klagomål/A 13755-2026 FSC-klagomål.docx", "A 13755-2026")</f>
        <v/>
      </c>
      <c r="AB32">
        <f>HYPERLINK("https://klasma.github.io/Logging_0482/klagomålsmail/A 13755-2026 FSC-klagomål mail.docx", "A 13755-2026")</f>
        <v/>
      </c>
      <c r="AC32">
        <f>HYPERLINK("https://klasma.github.io/Logging_0482/tillsyn/A 13755-2026 tillsynsbegäran.docx", "A 13755-2026")</f>
        <v/>
      </c>
      <c r="AD32">
        <f>HYPERLINK("https://klasma.github.io/Logging_0482/tillsynsmail/A 13755-2026 tillsynsbegäran mail.docx", "A 13755-2026")</f>
        <v/>
      </c>
    </row>
    <row r="33" ht="15" customHeight="1">
      <c r="A33" t="inlineStr">
        <is>
          <t>A 17508-2026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46119</v>
      </c>
      <c r="E33" s="1" t="n">
        <v>46300</v>
      </c>
      <c r="F33" t="inlineStr">
        <is>
          <t>SÖDERMANLANDS LÄN</t>
        </is>
      </c>
      <c r="G33" t="inlineStr">
        <is>
          <t>FLEN</t>
        </is>
      </c>
      <c r="I33" t="n">
        <v>2.2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5</v>
      </c>
      <c r="U33" t="n">
        <v>2</v>
      </c>
      <c r="V33" s="2" t="inlineStr">
        <is>
          <t>Gulvaxing
Ekbräken
Spillkråka
Sälg
Gröngöling</t>
        </is>
      </c>
      <c r="W33">
        <f>HYPERLINK("https://klasma.github.io/Logging_0482/artfynd/A 17508-2026 artfynd.xlsx", "A 17508-2026")</f>
        <v/>
      </c>
      <c r="X33">
        <f>HYPERLINK("https://klasma.github.io/Logging_0482/kartor/A 17508-2026 karta.png", "A 17508-2026")</f>
        <v/>
      </c>
      <c r="Y33">
        <f>HYPERLINK("https://klasma.github.io/Logging_0482/kartor_geotiff/A 17508-2026 georefererad karta.tif", "A 17508-2026")</f>
        <v/>
      </c>
      <c r="AA33">
        <f>HYPERLINK("https://klasma.github.io/Logging_0482/klagomål/A 17508-2026 FSC-klagomål.docx", "A 17508-2026")</f>
        <v/>
      </c>
      <c r="AB33">
        <f>HYPERLINK("https://klasma.github.io/Logging_0482/klagomålsmail/A 17508-2026 FSC-klagomål mail.docx", "A 17508-2026")</f>
        <v/>
      </c>
      <c r="AC33">
        <f>HYPERLINK("https://klasma.github.io/Logging_0482/tillsyn/A 17508-2026 tillsynsbegäran.docx", "A 17508-2026")</f>
        <v/>
      </c>
      <c r="AD33">
        <f>HYPERLINK("https://klasma.github.io/Logging_0482/tillsynsmail/A 17508-2026 tillsynsbegäran mail.docx", "A 17508-2026")</f>
        <v/>
      </c>
      <c r="AE33">
        <f>HYPERLINK("https://klasma.github.io/Logging_0482/fåglar/A 17508-2026 prioriterade fågelarter.docx", "A 17508-2026")</f>
        <v/>
      </c>
    </row>
    <row r="34" ht="15" customHeight="1">
      <c r="A34" t="inlineStr">
        <is>
          <t>A 38832-2022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44814</v>
      </c>
      <c r="E34" s="1" t="n">
        <v>46300</v>
      </c>
      <c r="F34" t="inlineStr">
        <is>
          <t>SÖDERMANLANDS LÄN</t>
        </is>
      </c>
      <c r="G34" t="inlineStr">
        <is>
          <t>FLEN</t>
        </is>
      </c>
      <c r="I34" t="n">
        <v>1.8</v>
      </c>
      <c r="J34" t="n">
        <v>2</v>
      </c>
      <c r="K34" t="n">
        <v>0</v>
      </c>
      <c r="L34" t="n">
        <v>2</v>
      </c>
      <c r="M34" t="n">
        <v>1</v>
      </c>
      <c r="N34" t="n">
        <v>1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5</v>
      </c>
      <c r="U34" t="n">
        <v>1</v>
      </c>
      <c r="V34" s="2" t="inlineStr">
        <is>
          <t>Ask
Gulvit blekspik
Gulsparv
Tallticka
Skogsödla</t>
        </is>
      </c>
      <c r="W34">
        <f>HYPERLINK("https://klasma.github.io/Logging_0482/artfynd/A 38832-2022 artfynd.xlsx", "A 38832-2022")</f>
        <v/>
      </c>
      <c r="X34">
        <f>HYPERLINK("https://klasma.github.io/Logging_0482/kartor/A 38832-2022 karta.png", "A 38832-2022")</f>
        <v/>
      </c>
      <c r="Y34">
        <f>HYPERLINK("https://klasma.github.io/Logging_0482/kartor_geotiff/A 38832-2022 georefererad karta.tif", "A 38832-2022")</f>
        <v/>
      </c>
      <c r="AA34">
        <f>HYPERLINK("https://klasma.github.io/Logging_0482/klagomål/A 38832-2022 FSC-klagomål.docx", "A 38832-2022")</f>
        <v/>
      </c>
      <c r="AB34">
        <f>HYPERLINK("https://klasma.github.io/Logging_0482/klagomålsmail/A 38832-2022 FSC-klagomål mail.docx", "A 38832-2022")</f>
        <v/>
      </c>
      <c r="AC34">
        <f>HYPERLINK("https://klasma.github.io/Logging_0482/tillsyn/A 38832-2022 tillsynsbegäran.docx", "A 38832-2022")</f>
        <v/>
      </c>
      <c r="AD34">
        <f>HYPERLINK("https://klasma.github.io/Logging_0482/tillsynsmail/A 38832-2022 tillsynsbegäran mail.docx", "A 38832-2022")</f>
        <v/>
      </c>
      <c r="AE34">
        <f>HYPERLINK("https://klasma.github.io/Logging_0482/fåglar/A 38832-2022 prioriterade fågelarter.docx", "A 38832-2022")</f>
        <v/>
      </c>
    </row>
    <row r="35" ht="15" customHeight="1">
      <c r="A35" t="inlineStr">
        <is>
          <t>S 635-2025</t>
        </is>
      </c>
      <c r="B35" t="inlineStr">
        <is>
          <t>samrådsanmälan</t>
        </is>
      </c>
      <c r="C35" t="inlineStr">
        <is>
          <t>Skogsgödsling</t>
        </is>
      </c>
      <c r="D35" s="1" t="n">
        <v>45714</v>
      </c>
      <c r="E35" s="1" t="n">
        <v>46300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30.6</v>
      </c>
      <c r="J35" t="n">
        <v>2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Svedjenäva
Svinrot
Tibast
Blåsippa
Gullviva</t>
        </is>
      </c>
      <c r="W35">
        <f>HYPERLINK("https://klasma.github.io/Logging_0482/artfynd/S 635-2025 artfynd.xlsx", "S 635-2025")</f>
        <v/>
      </c>
      <c r="X35">
        <f>HYPERLINK("https://klasma.github.io/Logging_0482/kartor/S 635-2025 karta.png", "S 635-2025")</f>
        <v/>
      </c>
      <c r="Y35">
        <f>HYPERLINK("https://klasma.github.io/Logging_0482/kartor_geotiff/S 635-2025 georefererad karta.tif", "S 635-2025")</f>
        <v/>
      </c>
      <c r="AA35">
        <f>HYPERLINK("https://klasma.github.io/Logging_0482/klagomål/S 635-2025 FSC-klagomål.docx", "S 635-2025")</f>
        <v/>
      </c>
      <c r="AB35">
        <f>HYPERLINK("https://klasma.github.io/Logging_0482/klagomålsmail/S 635-2025 FSC-klagomål mail.docx", "S 635-2025")</f>
        <v/>
      </c>
      <c r="AC35">
        <f>HYPERLINK("https://klasma.github.io/Logging_0482/tillsyn/S 635-2025 tillsynsbegäran.docx", "S 635-2025")</f>
        <v/>
      </c>
      <c r="AD35">
        <f>HYPERLINK("https://klasma.github.io/Logging_0482/tillsynsmail/S 635-2025 tillsynsbegäran mail.docx", "S 635-2025")</f>
        <v/>
      </c>
    </row>
    <row r="36" ht="15" customHeight="1">
      <c r="A36" t="inlineStr">
        <is>
          <t>A 5859-2022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46300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Fällmossa
Granbarkgnagare
Svart trolldruva
Blåsippa</t>
        </is>
      </c>
      <c r="W36">
        <f>HYPERLINK("https://klasma.github.io/Logging_0482/artfynd/A 5859-2022 artfynd.xlsx", "A 5859-2022")</f>
        <v/>
      </c>
      <c r="X36">
        <f>HYPERLINK("https://klasma.github.io/Logging_0482/kartor/A 5859-2022 karta.png", "A 5859-2022")</f>
        <v/>
      </c>
      <c r="Y36">
        <f>HYPERLINK("https://klasma.github.io/Logging_0482/kartor_geotiff/A 5859-2022 georefererad karta.tif", "A 5859-2022")</f>
        <v/>
      </c>
      <c r="AA36">
        <f>HYPERLINK("https://klasma.github.io/Logging_0482/klagomål/A 5859-2022 FSC-klagomål.docx", "A 5859-2022")</f>
        <v/>
      </c>
      <c r="AB36">
        <f>HYPERLINK("https://klasma.github.io/Logging_0482/klagomålsmail/A 5859-2022 FSC-klagomål mail.docx", "A 5859-2022")</f>
        <v/>
      </c>
      <c r="AC36">
        <f>HYPERLINK("https://klasma.github.io/Logging_0482/tillsyn/A 5859-2022 tillsynsbegäran.docx", "A 5859-2022")</f>
        <v/>
      </c>
      <c r="AD36">
        <f>HYPERLINK("https://klasma.github.io/Logging_0482/tillsynsmail/A 5859-2022 tillsynsbegäran mail.docx", "A 5859-2022")</f>
        <v/>
      </c>
    </row>
    <row r="37" ht="15" customHeight="1">
      <c r="A37" t="inlineStr">
        <is>
          <t>A 54325-2021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44472</v>
      </c>
      <c r="E37" s="1" t="n">
        <v>46300</v>
      </c>
      <c r="F37" t="inlineStr">
        <is>
          <t>SÖDERMANLANDS LÄN</t>
        </is>
      </c>
      <c r="G37" t="inlineStr">
        <is>
          <t>FLEN</t>
        </is>
      </c>
      <c r="I37" t="n">
        <v>1.6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4</v>
      </c>
      <c r="V37" s="2" t="inlineStr">
        <is>
          <t>Gullklöver
Jungfrulin
Humleblomster
Ängskovall</t>
        </is>
      </c>
      <c r="W37">
        <f>HYPERLINK("https://klasma.github.io/Logging_0482/artfynd/A 54325-2021 artfynd.xlsx", "A 54325-2021")</f>
        <v/>
      </c>
      <c r="X37">
        <f>HYPERLINK("https://klasma.github.io/Logging_0482/kartor/A 54325-2021 karta.png", "A 54325-2021")</f>
        <v/>
      </c>
      <c r="Y37">
        <f>HYPERLINK("https://klasma.github.io/Logging_0482/kartor_geotiff/A 54325-2021 georefererad karta.tif", "A 54325-2021")</f>
        <v/>
      </c>
      <c r="AA37">
        <f>HYPERLINK("https://klasma.github.io/Logging_0482/klagomål/A 54325-2021 FSC-klagomål.docx", "A 54325-2021")</f>
        <v/>
      </c>
      <c r="AB37">
        <f>HYPERLINK("https://klasma.github.io/Logging_0482/klagomålsmail/A 54325-2021 FSC-klagomål mail.docx", "A 54325-2021")</f>
        <v/>
      </c>
      <c r="AC37">
        <f>HYPERLINK("https://klasma.github.io/Logging_0482/tillsyn/A 54325-2021 tillsynsbegäran.docx", "A 54325-2021")</f>
        <v/>
      </c>
      <c r="AD37">
        <f>HYPERLINK("https://klasma.github.io/Logging_0482/tillsynsmail/A 54325-2021 tillsynsbegäran mail.docx", "A 54325-2021")</f>
        <v/>
      </c>
    </row>
    <row r="38" ht="15" customHeight="1">
      <c r="A38" t="inlineStr">
        <is>
          <t>A 4290-2026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46044</v>
      </c>
      <c r="E38" s="1" t="n">
        <v>46300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3.4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Jungfrulin
Vanlig backsmörblomma
Mindre vattensalamander
Gullviva</t>
        </is>
      </c>
      <c r="W38">
        <f>HYPERLINK("https://klasma.github.io/Logging_0482/artfynd/A 4290-2026 artfynd.xlsx", "A 4290-2026")</f>
        <v/>
      </c>
      <c r="X38">
        <f>HYPERLINK("https://klasma.github.io/Logging_0482/kartor/A 4290-2026 karta.png", "A 4290-2026")</f>
        <v/>
      </c>
      <c r="Y38">
        <f>HYPERLINK("https://klasma.github.io/Logging_0482/kartor_geotiff/A 4290-2026 georefererad karta.tif", "A 4290-2026")</f>
        <v/>
      </c>
      <c r="AA38">
        <f>HYPERLINK("https://klasma.github.io/Logging_0482/klagomål/A 4290-2026 FSC-klagomål.docx", "A 4290-2026")</f>
        <v/>
      </c>
      <c r="AB38">
        <f>HYPERLINK("https://klasma.github.io/Logging_0482/klagomålsmail/A 4290-2026 FSC-klagomål mail.docx", "A 4290-2026")</f>
        <v/>
      </c>
      <c r="AC38">
        <f>HYPERLINK("https://klasma.github.io/Logging_0482/tillsyn/A 4290-2026 tillsynsbegäran.docx", "A 4290-2026")</f>
        <v/>
      </c>
      <c r="AD38">
        <f>HYPERLINK("https://klasma.github.io/Logging_0482/tillsynsmail/A 4290-2026 tillsynsbegäran mail.docx", "A 4290-2026")</f>
        <v/>
      </c>
    </row>
    <row r="39" ht="15" customHeight="1">
      <c r="A39" t="inlineStr">
        <is>
          <t>A 16503-2026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46300</v>
      </c>
      <c r="F39" t="inlineStr">
        <is>
          <t>SÖDERMANLANDS LÄN</t>
        </is>
      </c>
      <c r="G39" t="inlineStr">
        <is>
          <t>FLEN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1</v>
      </c>
      <c r="V39" s="2" t="inlineStr">
        <is>
          <t>Sexfläckig bastardsvärmare
Gullklöver
Jungfrulin
Svinrot</t>
        </is>
      </c>
      <c r="W39">
        <f>HYPERLINK("https://klasma.github.io/Logging_0482/artfynd/A 16503-2026 artfynd.xlsx", "A 16503-2026")</f>
        <v/>
      </c>
      <c r="X39">
        <f>HYPERLINK("https://klasma.github.io/Logging_0482/kartor/A 16503-2026 karta.png", "A 16503-2026")</f>
        <v/>
      </c>
      <c r="Y39">
        <f>HYPERLINK("https://klasma.github.io/Logging_0482/kartor_geotiff/A 16503-2026 georefererad karta.tif", "A 16503-2026")</f>
        <v/>
      </c>
      <c r="AA39">
        <f>HYPERLINK("https://klasma.github.io/Logging_0482/klagomål/A 16503-2026 FSC-klagomål.docx", "A 16503-2026")</f>
        <v/>
      </c>
      <c r="AB39">
        <f>HYPERLINK("https://klasma.github.io/Logging_0482/klagomålsmail/A 16503-2026 FSC-klagomål mail.docx", "A 16503-2026")</f>
        <v/>
      </c>
      <c r="AC39">
        <f>HYPERLINK("https://klasma.github.io/Logging_0482/tillsyn/A 16503-2026 tillsynsbegäran.docx", "A 16503-2026")</f>
        <v/>
      </c>
      <c r="AD39">
        <f>HYPERLINK("https://klasma.github.io/Logging_0482/tillsynsmail/A 16503-2026 tillsynsbegäran mail.docx", "A 16503-2026")</f>
        <v/>
      </c>
    </row>
    <row r="40" ht="15" customHeight="1">
      <c r="A40" t="inlineStr">
        <is>
          <t>A 49808-2023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46300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12.3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Svedjenäva
Svinrot
Mattlummer
Fläcknycklar</t>
        </is>
      </c>
      <c r="W40">
        <f>HYPERLINK("https://klasma.github.io/Logging_0482/artfynd/A 49808-2023 artfynd.xlsx", "A 49808-2023")</f>
        <v/>
      </c>
      <c r="X40">
        <f>HYPERLINK("https://klasma.github.io/Logging_0482/kartor/A 49808-2023 karta.png", "A 49808-2023")</f>
        <v/>
      </c>
      <c r="Y40">
        <f>HYPERLINK("https://klasma.github.io/Logging_0482/kartor_geotiff/A 49808-2023 georefererad karta.tif", "A 49808-2023")</f>
        <v/>
      </c>
      <c r="AA40">
        <f>HYPERLINK("https://klasma.github.io/Logging_0482/klagomål/A 49808-2023 FSC-klagomål.docx", "A 49808-2023")</f>
        <v/>
      </c>
      <c r="AB40">
        <f>HYPERLINK("https://klasma.github.io/Logging_0482/klagomålsmail/A 49808-2023 FSC-klagomål mail.docx", "A 49808-2023")</f>
        <v/>
      </c>
      <c r="AC40">
        <f>HYPERLINK("https://klasma.github.io/Logging_0482/tillsyn/A 49808-2023 tillsynsbegäran.docx", "A 49808-2023")</f>
        <v/>
      </c>
      <c r="AD40">
        <f>HYPERLINK("https://klasma.github.io/Logging_0482/tillsynsmail/A 49808-2023 tillsynsbegäran mail.docx", "A 49808-2023")</f>
        <v/>
      </c>
    </row>
    <row r="41" ht="15" customHeight="1">
      <c r="A41" t="inlineStr">
        <is>
          <t>A 33225-2024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45518</v>
      </c>
      <c r="E41" s="1" t="n">
        <v>46300</v>
      </c>
      <c r="F41" t="inlineStr">
        <is>
          <t>SÖDERMANLANDS LÄN</t>
        </is>
      </c>
      <c r="G41" t="inlineStr">
        <is>
          <t>FLEN</t>
        </is>
      </c>
      <c r="I41" t="n">
        <v>0.1</v>
      </c>
      <c r="J41" t="n">
        <v>1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Skogsklocka
Svinrot
Vippärt
Grönvit nattviol</t>
        </is>
      </c>
      <c r="W41">
        <f>HYPERLINK("https://klasma.github.io/Logging_0482/artfynd/A 33225-2024 artfynd.xlsx", "A 33225-2024")</f>
        <v/>
      </c>
      <c r="X41">
        <f>HYPERLINK("https://klasma.github.io/Logging_0482/kartor/A 33225-2024 karta.png", "A 33225-2024")</f>
        <v/>
      </c>
      <c r="Y41">
        <f>HYPERLINK("https://klasma.github.io/Logging_0482/kartor_geotiff/A 33225-2024 georefererad karta.tif", "A 33225-2024")</f>
        <v/>
      </c>
      <c r="AA41">
        <f>HYPERLINK("https://klasma.github.io/Logging_0482/klagomål/A 33225-2024 FSC-klagomål.docx", "A 33225-2024")</f>
        <v/>
      </c>
      <c r="AB41">
        <f>HYPERLINK("https://klasma.github.io/Logging_0482/klagomålsmail/A 33225-2024 FSC-klagomål mail.docx", "A 33225-2024")</f>
        <v/>
      </c>
      <c r="AC41">
        <f>HYPERLINK("https://klasma.github.io/Logging_0482/tillsyn/A 33225-2024 tillsynsbegäran.docx", "A 33225-2024")</f>
        <v/>
      </c>
      <c r="AD41">
        <f>HYPERLINK("https://klasma.github.io/Logging_0482/tillsynsmail/A 33225-2024 tillsynsbegäran mail.docx", "A 33225-2024")</f>
        <v/>
      </c>
    </row>
    <row r="42" ht="15" customHeight="1">
      <c r="A42" t="inlineStr">
        <is>
          <t>A 11115-2026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46079</v>
      </c>
      <c r="E42" s="1" t="n">
        <v>46300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7.8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6</v>
      </c>
      <c r="U42" t="n">
        <v>6</v>
      </c>
      <c r="V42" s="2" t="inlineStr">
        <is>
          <t>Dropptaggsvamp
Fönsterlav
Grå renlav
Gulvit renlav</t>
        </is>
      </c>
      <c r="W42">
        <f>HYPERLINK("https://klasma.github.io/Logging_0482/artfynd/A 11115-2026 artfynd.xlsx", "A 11115-2026")</f>
        <v/>
      </c>
      <c r="X42">
        <f>HYPERLINK("https://klasma.github.io/Logging_0482/kartor/A 11115-2026 karta.png", "A 11115-2026")</f>
        <v/>
      </c>
      <c r="Y42">
        <f>HYPERLINK("https://klasma.github.io/Logging_0482/kartor_geotiff/A 11115-2026 georefererad karta.tif", "A 11115-2026")</f>
        <v/>
      </c>
      <c r="AA42">
        <f>HYPERLINK("https://klasma.github.io/Logging_0482/klagomål/A 11115-2026 FSC-klagomål.docx", "A 11115-2026")</f>
        <v/>
      </c>
      <c r="AB42">
        <f>HYPERLINK("https://klasma.github.io/Logging_0482/klagomålsmail/A 11115-2026 FSC-klagomål mail.docx", "A 11115-2026")</f>
        <v/>
      </c>
      <c r="AC42">
        <f>HYPERLINK("https://klasma.github.io/Logging_0482/tillsyn/A 11115-2026 tillsynsbegäran.docx", "A 11115-2026")</f>
        <v/>
      </c>
      <c r="AD42">
        <f>HYPERLINK("https://klasma.github.io/Logging_0482/tillsynsmail/A 11115-2026 tillsynsbegäran mail.docx", "A 11115-2026")</f>
        <v/>
      </c>
    </row>
    <row r="43" ht="15" customHeight="1">
      <c r="A43" t="inlineStr">
        <is>
          <t>A 10107-2023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46300</v>
      </c>
      <c r="F43" t="inlineStr">
        <is>
          <t>SÖDERMANLANDS LÄN</t>
        </is>
      </c>
      <c r="G43" t="inlineStr">
        <is>
          <t>FLEN</t>
        </is>
      </c>
      <c r="I43" t="n">
        <v>21.1</v>
      </c>
      <c r="J43" t="n">
        <v>2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Bombmurkla
Svedjenäva
Blåmossa
Mattlummer</t>
        </is>
      </c>
      <c r="W43">
        <f>HYPERLINK("https://klasma.github.io/Logging_0482/artfynd/A 10107-2023 artfynd.xlsx", "A 10107-2023")</f>
        <v/>
      </c>
      <c r="X43">
        <f>HYPERLINK("https://klasma.github.io/Logging_0482/kartor/A 10107-2023 karta.png", "A 10107-2023")</f>
        <v/>
      </c>
      <c r="Y43">
        <f>HYPERLINK("https://klasma.github.io/Logging_0482/kartor_geotiff/A 10107-2023 georefererad karta.tif", "A 10107-2023")</f>
        <v/>
      </c>
      <c r="AA43">
        <f>HYPERLINK("https://klasma.github.io/Logging_0482/klagomål/A 10107-2023 FSC-klagomål.docx", "A 10107-2023")</f>
        <v/>
      </c>
      <c r="AB43">
        <f>HYPERLINK("https://klasma.github.io/Logging_0482/klagomålsmail/A 10107-2023 FSC-klagomål mail.docx", "A 10107-2023")</f>
        <v/>
      </c>
      <c r="AC43">
        <f>HYPERLINK("https://klasma.github.io/Logging_0482/tillsyn/A 10107-2023 tillsynsbegäran.docx", "A 10107-2023")</f>
        <v/>
      </c>
      <c r="AD43">
        <f>HYPERLINK("https://klasma.github.io/Logging_0482/tillsynsmail/A 10107-2023 tillsynsbegäran mail.docx", "A 10107-2023")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46300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Ask
Parknål
Tallticka
Brun nållav</t>
        </is>
      </c>
      <c r="W44">
        <f>HYPERLINK("https://klasma.github.io/Logging_0482/artfynd/A 21004-2025 artfynd.xlsx", "A 21004-2025")</f>
        <v/>
      </c>
      <c r="X44">
        <f>HYPERLINK("https://klasma.github.io/Logging_0482/kartor/A 21004-2025 karta.png", "A 21004-2025")</f>
        <v/>
      </c>
      <c r="Y44">
        <f>HYPERLINK("https://klasma.github.io/Logging_0482/kartor_geotiff/A 21004-2025 georefererad karta.tif", "A 21004-2025")</f>
        <v/>
      </c>
      <c r="AA44">
        <f>HYPERLINK("https://klasma.github.io/Logging_0482/klagomål/A 21004-2025 FSC-klagomål.docx", "A 21004-2025")</f>
        <v/>
      </c>
      <c r="AB44">
        <f>HYPERLINK("https://klasma.github.io/Logging_0482/klagomålsmail/A 21004-2025 FSC-klagomål mail.docx", "A 21004-2025")</f>
        <v/>
      </c>
      <c r="AC44">
        <f>HYPERLINK("https://klasma.github.io/Logging_0482/tillsyn/A 21004-2025 tillsynsbegäran.docx", "A 21004-2025")</f>
        <v/>
      </c>
      <c r="AD44">
        <f>HYPERLINK("https://klasma.github.io/Logging_0482/tillsynsmail/A 21004-2025 tillsynsbegäran mail.docx", "A 21004-2025")</f>
        <v/>
      </c>
    </row>
    <row r="45" ht="15" customHeight="1">
      <c r="A45" t="inlineStr">
        <is>
          <t>A 31238-2022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46300</v>
      </c>
      <c r="F45" t="inlineStr">
        <is>
          <t>SÖDERMANLANDS LÄN</t>
        </is>
      </c>
      <c r="G45" t="inlineStr">
        <is>
          <t>FLEN</t>
        </is>
      </c>
      <c r="I45" t="n">
        <v>7.5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5</v>
      </c>
      <c r="U45" t="n">
        <v>5</v>
      </c>
      <c r="V45" s="2" t="inlineStr">
        <is>
          <t>Svedjenäva
Svinrot
Skogsbräsma</t>
        </is>
      </c>
      <c r="W45">
        <f>HYPERLINK("https://klasma.github.io/Logging_0482/artfynd/A 31238-2022 artfynd.xlsx", "A 31238-2022")</f>
        <v/>
      </c>
      <c r="X45">
        <f>HYPERLINK("https://klasma.github.io/Logging_0482/kartor/A 31238-2022 karta.png", "A 31238-2022")</f>
        <v/>
      </c>
      <c r="Y45">
        <f>HYPERLINK("https://klasma.github.io/Logging_0482/kartor_geotiff/A 31238-2022 georefererad karta.tif", "A 31238-2022")</f>
        <v/>
      </c>
      <c r="AA45">
        <f>HYPERLINK("https://klasma.github.io/Logging_0482/klagomål/A 31238-2022 FSC-klagomål.docx", "A 31238-2022")</f>
        <v/>
      </c>
      <c r="AB45">
        <f>HYPERLINK("https://klasma.github.io/Logging_0482/klagomålsmail/A 31238-2022 FSC-klagomål mail.docx", "A 31238-2022")</f>
        <v/>
      </c>
      <c r="AC45">
        <f>HYPERLINK("https://klasma.github.io/Logging_0482/tillsyn/A 31238-2022 tillsynsbegäran.docx", "A 31238-2022")</f>
        <v/>
      </c>
      <c r="AD45">
        <f>HYPERLINK("https://klasma.github.io/Logging_0482/tillsynsmail/A 31238-2022 tillsynsbegäran mail.docx", "A 31238-2022")</f>
        <v/>
      </c>
    </row>
    <row r="46" ht="15" customHeight="1">
      <c r="A46" t="inlineStr">
        <is>
          <t>A 9539-2026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46071</v>
      </c>
      <c r="E46" s="1" t="n">
        <v>46300</v>
      </c>
      <c r="F46" t="inlineStr">
        <is>
          <t>SÖDERMANLANDS LÄN</t>
        </is>
      </c>
      <c r="G46" t="inlineStr">
        <is>
          <t>FLEN</t>
        </is>
      </c>
      <c r="I46" t="n">
        <v>7.6</v>
      </c>
      <c r="J46" t="n">
        <v>1</v>
      </c>
      <c r="K46" t="n">
        <v>0</v>
      </c>
      <c r="L46" t="n">
        <v>1</v>
      </c>
      <c r="M46" t="n">
        <v>0</v>
      </c>
      <c r="N46" t="n">
        <v>1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Ask
Slåtterfibbla
Blåsippa</t>
        </is>
      </c>
      <c r="W46">
        <f>HYPERLINK("https://klasma.github.io/Logging_0482/artfynd/A 9539-2026 artfynd.xlsx", "A 9539-2026")</f>
        <v/>
      </c>
      <c r="X46">
        <f>HYPERLINK("https://klasma.github.io/Logging_0482/kartor/A 9539-2026 karta.png", "A 9539-2026")</f>
        <v/>
      </c>
      <c r="Y46">
        <f>HYPERLINK("https://klasma.github.io/Logging_0482/kartor_geotiff/A 9539-2026 georefererad karta.tif", "A 9539-2026")</f>
        <v/>
      </c>
      <c r="AA46">
        <f>HYPERLINK("https://klasma.github.io/Logging_0482/klagomål/A 9539-2026 FSC-klagomål.docx", "A 9539-2026")</f>
        <v/>
      </c>
      <c r="AB46">
        <f>HYPERLINK("https://klasma.github.io/Logging_0482/klagomålsmail/A 9539-2026 FSC-klagomål mail.docx", "A 9539-2026")</f>
        <v/>
      </c>
      <c r="AC46">
        <f>HYPERLINK("https://klasma.github.io/Logging_0482/tillsyn/A 9539-2026 tillsynsbegäran.docx", "A 9539-2026")</f>
        <v/>
      </c>
      <c r="AD46">
        <f>HYPERLINK("https://klasma.github.io/Logging_0482/tillsynsmail/A 9539-2026 tillsynsbegäran mail.docx", "A 9539-2026")</f>
        <v/>
      </c>
    </row>
    <row r="47" ht="15" customHeight="1">
      <c r="A47" t="inlineStr">
        <is>
          <t>A 9512-2026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46300</v>
      </c>
      <c r="F47" t="inlineStr">
        <is>
          <t>SÖDERMANLANDS LÄN</t>
        </is>
      </c>
      <c r="G47" t="inlineStr">
        <is>
          <t>FLEN</t>
        </is>
      </c>
      <c r="I47" t="n">
        <v>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Gullpudra
Bäckbräsma
Hultbräken</t>
        </is>
      </c>
      <c r="W47">
        <f>HYPERLINK("https://klasma.github.io/Logging_0482/artfynd/A 9512-2026 artfynd.xlsx", "A 9512-2026")</f>
        <v/>
      </c>
      <c r="X47">
        <f>HYPERLINK("https://klasma.github.io/Logging_0482/kartor/A 9512-2026 karta.png", "A 9512-2026")</f>
        <v/>
      </c>
      <c r="Y47">
        <f>HYPERLINK("https://klasma.github.io/Logging_0482/kartor_geotiff/A 9512-2026 georefererad karta.tif", "A 9512-2026")</f>
        <v/>
      </c>
      <c r="AA47">
        <f>HYPERLINK("https://klasma.github.io/Logging_0482/klagomål/A 9512-2026 FSC-klagomål.docx", "A 9512-2026")</f>
        <v/>
      </c>
      <c r="AB47">
        <f>HYPERLINK("https://klasma.github.io/Logging_0482/klagomålsmail/A 9512-2026 FSC-klagomål mail.docx", "A 9512-2026")</f>
        <v/>
      </c>
      <c r="AC47">
        <f>HYPERLINK("https://klasma.github.io/Logging_0482/tillsyn/A 9512-2026 tillsynsbegäran.docx", "A 9512-2026")</f>
        <v/>
      </c>
      <c r="AD47">
        <f>HYPERLINK("https://klasma.github.io/Logging_0482/tillsynsmail/A 9512-2026 tillsynsbegäran mail.docx", "A 9512-2026")</f>
        <v/>
      </c>
    </row>
    <row r="48" ht="15" customHeight="1">
      <c r="A48" t="inlineStr">
        <is>
          <t>A 9530-2026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46300</v>
      </c>
      <c r="F48" t="inlineStr">
        <is>
          <t>SÖDERMANLANDS LÄN</t>
        </is>
      </c>
      <c r="G48" t="inlineStr">
        <is>
          <t>FLEN</t>
        </is>
      </c>
      <c r="I48" t="n">
        <v>7.4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Blåmossa
Flagellkvastmossa
Tjäder</t>
        </is>
      </c>
      <c r="W48">
        <f>HYPERLINK("https://klasma.github.io/Logging_0482/artfynd/A 9530-2026 artfynd.xlsx", "A 9530-2026")</f>
        <v/>
      </c>
      <c r="X48">
        <f>HYPERLINK("https://klasma.github.io/Logging_0482/kartor/A 9530-2026 karta.png", "A 9530-2026")</f>
        <v/>
      </c>
      <c r="Y48">
        <f>HYPERLINK("https://klasma.github.io/Logging_0482/kartor_geotiff/A 9530-2026 georefererad karta.tif", "A 9530-2026")</f>
        <v/>
      </c>
      <c r="AA48">
        <f>HYPERLINK("https://klasma.github.io/Logging_0482/klagomål/A 9530-2026 FSC-klagomål.docx", "A 9530-2026")</f>
        <v/>
      </c>
      <c r="AB48">
        <f>HYPERLINK("https://klasma.github.io/Logging_0482/klagomålsmail/A 9530-2026 FSC-klagomål mail.docx", "A 9530-2026")</f>
        <v/>
      </c>
      <c r="AC48">
        <f>HYPERLINK("https://klasma.github.io/Logging_0482/tillsyn/A 9530-2026 tillsynsbegäran.docx", "A 9530-2026")</f>
        <v/>
      </c>
      <c r="AD48">
        <f>HYPERLINK("https://klasma.github.io/Logging_0482/tillsynsmail/A 9530-2026 tillsynsbegäran mail.docx", "A 9530-2026")</f>
        <v/>
      </c>
      <c r="AE48">
        <f>HYPERLINK("https://klasma.github.io/Logging_0482/fåglar/A 9530-2026 prioriterade fågelarter.docx", "A 9530-2026")</f>
        <v/>
      </c>
    </row>
    <row r="49" ht="15" customHeight="1">
      <c r="A49" t="inlineStr">
        <is>
          <t>A 50739-2025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45946</v>
      </c>
      <c r="E49" s="1" t="n">
        <v>46300</v>
      </c>
      <c r="F49" t="inlineStr">
        <is>
          <t>SÖDERMANLANDS LÄN</t>
        </is>
      </c>
      <c r="G49" t="inlineStr">
        <is>
          <t>FLEN</t>
        </is>
      </c>
      <c r="H49" t="inlineStr">
        <is>
          <t>Holmen skog AB</t>
        </is>
      </c>
      <c r="I49" t="n">
        <v>4.4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4</v>
      </c>
      <c r="U49" t="n">
        <v>0</v>
      </c>
      <c r="V49" s="2" t="inlineStr">
        <is>
          <t>Skogsalm
Skogsbräsma
Svart trolldruva</t>
        </is>
      </c>
      <c r="W49">
        <f>HYPERLINK("https://klasma.github.io/Logging_0482/artfynd/A 50739-2025 artfynd.xlsx", "A 50739-2025")</f>
        <v/>
      </c>
      <c r="X49">
        <f>HYPERLINK("https://klasma.github.io/Logging_0482/kartor/A 50739-2025 karta.png", "A 50739-2025")</f>
        <v/>
      </c>
      <c r="Y49">
        <f>HYPERLINK("https://klasma.github.io/Logging_0482/kartor_geotiff/A 50739-2025 georefererad karta.tif", "A 50739-2025")</f>
        <v/>
      </c>
      <c r="AA49">
        <f>HYPERLINK("https://klasma.github.io/Logging_0482/klagomål/A 50739-2025 FSC-klagomål.docx", "A 50739-2025")</f>
        <v/>
      </c>
      <c r="AB49">
        <f>HYPERLINK("https://klasma.github.io/Logging_0482/klagomålsmail/A 50739-2025 FSC-klagomål mail.docx", "A 50739-2025")</f>
        <v/>
      </c>
      <c r="AC49">
        <f>HYPERLINK("https://klasma.github.io/Logging_0482/tillsyn/A 50739-2025 tillsynsbegäran.docx", "A 50739-2025")</f>
        <v/>
      </c>
      <c r="AD49">
        <f>HYPERLINK("https://klasma.github.io/Logging_0482/tillsynsmail/A 50739-2025 tillsynsbegäran mail.docx", "A 50739-2025")</f>
        <v/>
      </c>
    </row>
    <row r="50" ht="15" customHeight="1">
      <c r="A50" t="inlineStr">
        <is>
          <t>A 17512-2026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46119</v>
      </c>
      <c r="E50" s="1" t="n">
        <v>46300</v>
      </c>
      <c r="F50" t="inlineStr">
        <is>
          <t>SÖDERMANLANDS LÄN</t>
        </is>
      </c>
      <c r="G50" t="inlineStr">
        <is>
          <t>FLEN</t>
        </is>
      </c>
      <c r="I50" t="n">
        <v>1.7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Tallticka
Majbräken
Sälg</t>
        </is>
      </c>
      <c r="W50">
        <f>HYPERLINK("https://klasma.github.io/Logging_0482/artfynd/A 17512-2026 artfynd.xlsx", "A 17512-2026")</f>
        <v/>
      </c>
      <c r="X50">
        <f>HYPERLINK("https://klasma.github.io/Logging_0482/kartor/A 17512-2026 karta.png", "A 17512-2026")</f>
        <v/>
      </c>
      <c r="Y50">
        <f>HYPERLINK("https://klasma.github.io/Logging_0482/kartor_geotiff/A 17512-2026 georefererad karta.tif", "A 17512-2026")</f>
        <v/>
      </c>
      <c r="AA50">
        <f>HYPERLINK("https://klasma.github.io/Logging_0482/klagomål/A 17512-2026 FSC-klagomål.docx", "A 17512-2026")</f>
        <v/>
      </c>
      <c r="AB50">
        <f>HYPERLINK("https://klasma.github.io/Logging_0482/klagomålsmail/A 17512-2026 FSC-klagomål mail.docx", "A 17512-2026")</f>
        <v/>
      </c>
      <c r="AC50">
        <f>HYPERLINK("https://klasma.github.io/Logging_0482/tillsyn/A 17512-2026 tillsynsbegäran.docx", "A 17512-2026")</f>
        <v/>
      </c>
      <c r="AD50">
        <f>HYPERLINK("https://klasma.github.io/Logging_0482/tillsynsmail/A 17512-2026 tillsynsbegäran mail.docx", "A 17512-2026")</f>
        <v/>
      </c>
    </row>
    <row r="51" ht="15" customHeight="1">
      <c r="A51" t="inlineStr">
        <is>
          <t>A 22839-2025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45789</v>
      </c>
      <c r="E51" s="1" t="n">
        <v>46300</v>
      </c>
      <c r="F51" t="inlineStr">
        <is>
          <t>SÖDERMANLANDS LÄN</t>
        </is>
      </c>
      <c r="G51" t="inlineStr">
        <is>
          <t>FLEN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Blåsippa
Ekbräken
Missne</t>
        </is>
      </c>
      <c r="W51">
        <f>HYPERLINK("https://klasma.github.io/Logging_0482/artfynd/A 22839-2025 artfynd.xlsx", "A 22839-2025")</f>
        <v/>
      </c>
      <c r="X51">
        <f>HYPERLINK("https://klasma.github.io/Logging_0482/kartor/A 22839-2025 karta.png", "A 22839-2025")</f>
        <v/>
      </c>
      <c r="Y51">
        <f>HYPERLINK("https://klasma.github.io/Logging_0482/kartor_geotiff/A 22839-2025 georefererad karta.tif", "A 22839-2025")</f>
        <v/>
      </c>
      <c r="AA51">
        <f>HYPERLINK("https://klasma.github.io/Logging_0482/klagomål/A 22839-2025 FSC-klagomål.docx", "A 22839-2025")</f>
        <v/>
      </c>
      <c r="AB51">
        <f>HYPERLINK("https://klasma.github.io/Logging_0482/klagomålsmail/A 22839-2025 FSC-klagomål mail.docx", "A 22839-2025")</f>
        <v/>
      </c>
      <c r="AC51">
        <f>HYPERLINK("https://klasma.github.io/Logging_0482/tillsyn/A 22839-2025 tillsynsbegäran.docx", "A 22839-2025")</f>
        <v/>
      </c>
      <c r="AD51">
        <f>HYPERLINK("https://klasma.github.io/Logging_0482/tillsynsmail/A 22839-2025 tillsynsbegäran mail.docx", "A 22839-2025")</f>
        <v/>
      </c>
    </row>
    <row r="52" ht="15" customHeight="1">
      <c r="A52" t="inlineStr">
        <is>
          <t>A 54302-2025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45965</v>
      </c>
      <c r="E52" s="1" t="n">
        <v>46300</v>
      </c>
      <c r="F52" t="inlineStr">
        <is>
          <t>SÖDERMANLANDS LÄN</t>
        </is>
      </c>
      <c r="G52" t="inlineStr">
        <is>
          <t>FLEN</t>
        </is>
      </c>
      <c r="I52" t="n">
        <v>12.6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2</v>
      </c>
      <c r="V52" s="2" t="inlineStr">
        <is>
          <t>Dofttaggsvamp
Svinrot
Mattlummer</t>
        </is>
      </c>
      <c r="W52">
        <f>HYPERLINK("https://klasma.github.io/Logging_0482/artfynd/A 54302-2025 artfynd.xlsx", "A 54302-2025")</f>
        <v/>
      </c>
      <c r="X52">
        <f>HYPERLINK("https://klasma.github.io/Logging_0482/kartor/A 54302-2025 karta.png", "A 54302-2025")</f>
        <v/>
      </c>
      <c r="Y52">
        <f>HYPERLINK("https://klasma.github.io/Logging_0482/kartor_geotiff/A 54302-2025 georefererad karta.tif", "A 54302-2025")</f>
        <v/>
      </c>
      <c r="AA52">
        <f>HYPERLINK("https://klasma.github.io/Logging_0482/klagomål/A 54302-2025 FSC-klagomål.docx", "A 54302-2025")</f>
        <v/>
      </c>
      <c r="AB52">
        <f>HYPERLINK("https://klasma.github.io/Logging_0482/klagomålsmail/A 54302-2025 FSC-klagomål mail.docx", "A 54302-2025")</f>
        <v/>
      </c>
      <c r="AC52">
        <f>HYPERLINK("https://klasma.github.io/Logging_0482/tillsyn/A 54302-2025 tillsynsbegäran.docx", "A 54302-2025")</f>
        <v/>
      </c>
      <c r="AD52">
        <f>HYPERLINK("https://klasma.github.io/Logging_0482/tillsynsmail/A 54302-2025 tillsynsbegäran mail.docx", "A 54302-2025")</f>
        <v/>
      </c>
    </row>
    <row r="53" ht="15" customHeight="1">
      <c r="A53" t="inlineStr">
        <is>
          <t>A 38466-2025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45883</v>
      </c>
      <c r="E53" s="1" t="n">
        <v>46300</v>
      </c>
      <c r="F53" t="inlineStr">
        <is>
          <t>SÖDERMANLANDS LÄN</t>
        </is>
      </c>
      <c r="G53" t="inlineStr">
        <is>
          <t>FLEN</t>
        </is>
      </c>
      <c r="I53" t="n">
        <v>5.4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Svinrot
Blåsippa
Gullviva</t>
        </is>
      </c>
      <c r="W53">
        <f>HYPERLINK("https://klasma.github.io/Logging_0482/artfynd/A 38466-2025 artfynd.xlsx", "A 38466-2025")</f>
        <v/>
      </c>
      <c r="X53">
        <f>HYPERLINK("https://klasma.github.io/Logging_0482/kartor/A 38466-2025 karta.png", "A 38466-2025")</f>
        <v/>
      </c>
      <c r="Y53">
        <f>HYPERLINK("https://klasma.github.io/Logging_0482/kartor_geotiff/A 38466-2025 georefererad karta.tif", "A 38466-2025")</f>
        <v/>
      </c>
      <c r="AA53">
        <f>HYPERLINK("https://klasma.github.io/Logging_0482/klagomål/A 38466-2025 FSC-klagomål.docx", "A 38466-2025")</f>
        <v/>
      </c>
      <c r="AB53">
        <f>HYPERLINK("https://klasma.github.io/Logging_0482/klagomålsmail/A 38466-2025 FSC-klagomål mail.docx", "A 38466-2025")</f>
        <v/>
      </c>
      <c r="AC53">
        <f>HYPERLINK("https://klasma.github.io/Logging_0482/tillsyn/A 38466-2025 tillsynsbegäran.docx", "A 38466-2025")</f>
        <v/>
      </c>
      <c r="AD53">
        <f>HYPERLINK("https://klasma.github.io/Logging_0482/tillsynsmail/A 38466-2025 tillsynsbegäran mail.docx", "A 38466-2025")</f>
        <v/>
      </c>
    </row>
    <row r="54" ht="15" customHeight="1">
      <c r="A54" t="inlineStr">
        <is>
          <t>A 2203-2022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46300</v>
      </c>
      <c r="F54" t="inlineStr">
        <is>
          <t>SÖDERMANLANDS LÄN</t>
        </is>
      </c>
      <c r="G54" t="inlineStr">
        <is>
          <t>FLEN</t>
        </is>
      </c>
      <c r="H54" t="inlineStr">
        <is>
          <t>Övriga statliga verk och myndigheter</t>
        </is>
      </c>
      <c r="I54" t="n">
        <v>2.9</v>
      </c>
      <c r="J54" t="n">
        <v>2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Knärot
Grönpyrola
Revlummer</t>
        </is>
      </c>
      <c r="W54">
        <f>HYPERLINK("https://klasma.github.io/Logging_0482/artfynd/A 2203-2022 artfynd.xlsx", "A 2203-2022")</f>
        <v/>
      </c>
      <c r="X54">
        <f>HYPERLINK("https://klasma.github.io/Logging_0482/kartor/A 2203-2022 karta.png", "A 2203-2022")</f>
        <v/>
      </c>
      <c r="Y54">
        <f>HYPERLINK("https://klasma.github.io/Logging_0482/kartor_geotiff/A 2203-2022 georefererad karta.tif", "A 2203-2022")</f>
        <v/>
      </c>
      <c r="Z54">
        <f>HYPERLINK("https://klasma.github.io/Logging_0482/knärot/A 2203-2022 karta knärot.png", "A 2203-2022")</f>
        <v/>
      </c>
      <c r="AA54">
        <f>HYPERLINK("https://klasma.github.io/Logging_0482/klagomål/A 2203-2022 FSC-klagomål.docx", "A 2203-2022")</f>
        <v/>
      </c>
      <c r="AB54">
        <f>HYPERLINK("https://klasma.github.io/Logging_0482/klagomålsmail/A 2203-2022 FSC-klagomål mail.docx", "A 2203-2022")</f>
        <v/>
      </c>
      <c r="AC54">
        <f>HYPERLINK("https://klasma.github.io/Logging_0482/tillsyn/A 2203-2022 tillsynsbegäran.docx", "A 2203-2022")</f>
        <v/>
      </c>
      <c r="AD54">
        <f>HYPERLINK("https://klasma.github.io/Logging_0482/tillsynsmail/A 2203-2022 tillsynsbegäran mail.docx", "A 2203-2022")</f>
        <v/>
      </c>
    </row>
    <row r="55" ht="15" customHeight="1">
      <c r="A55" t="inlineStr">
        <is>
          <t>A 29895-2026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46205</v>
      </c>
      <c r="E55" s="1" t="n">
        <v>46300</v>
      </c>
      <c r="F55" t="inlineStr">
        <is>
          <t>SÖDERMANLANDS LÄN</t>
        </is>
      </c>
      <c r="G55" t="inlineStr">
        <is>
          <t>FLEN</t>
        </is>
      </c>
      <c r="I55" t="n">
        <v>0.7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Gullklöver
Svinrot
Revlummer</t>
        </is>
      </c>
      <c r="W55">
        <f>HYPERLINK("https://klasma.github.io/Logging_0482/artfynd/A 29895-2026 artfynd.xlsx", "A 29895-2026")</f>
        <v/>
      </c>
      <c r="X55">
        <f>HYPERLINK("https://klasma.github.io/Logging_0482/kartor/A 29895-2026 karta.png", "A 29895-2026")</f>
        <v/>
      </c>
      <c r="Y55">
        <f>HYPERLINK("https://klasma.github.io/Logging_0482/kartor_geotiff/A 29895-2026 georefererad karta.tif", "A 29895-2026")</f>
        <v/>
      </c>
      <c r="AA55">
        <f>HYPERLINK("https://klasma.github.io/Logging_0482/klagomål/A 29895-2026 FSC-klagomål.docx", "A 29895-2026")</f>
        <v/>
      </c>
      <c r="AB55">
        <f>HYPERLINK("https://klasma.github.io/Logging_0482/klagomålsmail/A 29895-2026 FSC-klagomål mail.docx", "A 29895-2026")</f>
        <v/>
      </c>
      <c r="AC55">
        <f>HYPERLINK("https://klasma.github.io/Logging_0482/tillsyn/A 29895-2026 tillsynsbegäran.docx", "A 29895-2026")</f>
        <v/>
      </c>
      <c r="AD55">
        <f>HYPERLINK("https://klasma.github.io/Logging_0482/tillsynsmail/A 29895-2026 tillsynsbegäran mail.docx", "A 29895-2026")</f>
        <v/>
      </c>
    </row>
    <row r="56" ht="15" customHeight="1">
      <c r="A56" t="inlineStr">
        <is>
          <t>A 63185-2023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45272</v>
      </c>
      <c r="E56" s="1" t="n">
        <v>46300</v>
      </c>
      <c r="F56" t="inlineStr">
        <is>
          <t>SÖDERMANLANDS LÄN</t>
        </is>
      </c>
      <c r="G56" t="inlineStr">
        <is>
          <t>FLEN</t>
        </is>
      </c>
      <c r="I56" t="n">
        <v>2.8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3</v>
      </c>
      <c r="V56" s="2" t="inlineStr">
        <is>
          <t>Gullklöver
Majbräken
Sälg</t>
        </is>
      </c>
      <c r="W56">
        <f>HYPERLINK("https://klasma.github.io/Logging_0482/artfynd/A 63185-2023 artfynd.xlsx", "A 63185-2023")</f>
        <v/>
      </c>
      <c r="X56">
        <f>HYPERLINK("https://klasma.github.io/Logging_0482/kartor/A 63185-2023 karta.png", "A 63185-2023")</f>
        <v/>
      </c>
      <c r="Y56">
        <f>HYPERLINK("https://klasma.github.io/Logging_0482/kartor_geotiff/A 63185-2023 georefererad karta.tif", "A 63185-2023")</f>
        <v/>
      </c>
      <c r="AA56">
        <f>HYPERLINK("https://klasma.github.io/Logging_0482/klagomål/A 63185-2023 FSC-klagomål.docx", "A 63185-2023")</f>
        <v/>
      </c>
      <c r="AB56">
        <f>HYPERLINK("https://klasma.github.io/Logging_0482/klagomålsmail/A 63185-2023 FSC-klagomål mail.docx", "A 63185-2023")</f>
        <v/>
      </c>
      <c r="AC56">
        <f>HYPERLINK("https://klasma.github.io/Logging_0482/tillsyn/A 63185-2023 tillsynsbegäran.docx", "A 63185-2023")</f>
        <v/>
      </c>
      <c r="AD56">
        <f>HYPERLINK("https://klasma.github.io/Logging_0482/tillsynsmail/A 63185-2023 tillsynsbegäran mail.docx", "A 63185-2023")</f>
        <v/>
      </c>
    </row>
    <row r="57" ht="15" customHeight="1">
      <c r="A57" t="inlineStr">
        <is>
          <t>A 1149-2025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45666</v>
      </c>
      <c r="E57" s="1" t="n">
        <v>46300</v>
      </c>
      <c r="F57" t="inlineStr">
        <is>
          <t>SÖDERMANLANDS LÄN</t>
        </is>
      </c>
      <c r="G57" t="inlineStr">
        <is>
          <t>FLEN</t>
        </is>
      </c>
      <c r="H57" t="inlineStr">
        <is>
          <t>Övriga statliga verk och myndigheter</t>
        </is>
      </c>
      <c r="I57" t="n">
        <v>5.1</v>
      </c>
      <c r="J57" t="n">
        <v>0</v>
      </c>
      <c r="K57" t="n">
        <v>2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Tallkötticka
Grönpyrola
Kamjordstjärna</t>
        </is>
      </c>
      <c r="W57">
        <f>HYPERLINK("https://klasma.github.io/Logging_0482/artfynd/A 1149-2025 artfynd.xlsx", "A 1149-2025")</f>
        <v/>
      </c>
      <c r="X57">
        <f>HYPERLINK("https://klasma.github.io/Logging_0482/kartor/A 1149-2025 karta.png", "A 1149-2025")</f>
        <v/>
      </c>
      <c r="Y57">
        <f>HYPERLINK("https://klasma.github.io/Logging_0482/kartor_geotiff/A 1149-2025 georefererad karta.tif", "A 1149-2025")</f>
        <v/>
      </c>
      <c r="AA57">
        <f>HYPERLINK("https://klasma.github.io/Logging_0482/klagomål/A 1149-2025 FSC-klagomål.docx", "A 1149-2025")</f>
        <v/>
      </c>
      <c r="AB57">
        <f>HYPERLINK("https://klasma.github.io/Logging_0482/klagomålsmail/A 1149-2025 FSC-klagomål mail.docx", "A 1149-2025")</f>
        <v/>
      </c>
      <c r="AC57">
        <f>HYPERLINK("https://klasma.github.io/Logging_0482/tillsyn/A 1149-2025 tillsynsbegäran.docx", "A 1149-2025")</f>
        <v/>
      </c>
      <c r="AD57">
        <f>HYPERLINK("https://klasma.github.io/Logging_0482/tillsynsmail/A 1149-2025 tillsynsbegäran mail.docx", "A 1149-2025")</f>
        <v/>
      </c>
    </row>
    <row r="58" ht="15" customHeight="1">
      <c r="A58" t="inlineStr">
        <is>
          <t>A 33853-2022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46300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1.9</v>
      </c>
      <c r="J58" t="n">
        <v>1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1</v>
      </c>
      <c r="V58" s="2" t="inlineStr">
        <is>
          <t>Gullklöver
Sädesärla
Svart trolldruva</t>
        </is>
      </c>
      <c r="W58">
        <f>HYPERLINK("https://klasma.github.io/Logging_0482/artfynd/A 33853-2022 artfynd.xlsx", "A 33853-2022")</f>
        <v/>
      </c>
      <c r="X58">
        <f>HYPERLINK("https://klasma.github.io/Logging_0482/kartor/A 33853-2022 karta.png", "A 33853-2022")</f>
        <v/>
      </c>
      <c r="Y58">
        <f>HYPERLINK("https://klasma.github.io/Logging_0482/kartor_geotiff/A 33853-2022 georefererad karta.tif", "A 33853-2022")</f>
        <v/>
      </c>
      <c r="AA58">
        <f>HYPERLINK("https://klasma.github.io/Logging_0482/klagomål/A 33853-2022 FSC-klagomål.docx", "A 33853-2022")</f>
        <v/>
      </c>
      <c r="AB58">
        <f>HYPERLINK("https://klasma.github.io/Logging_0482/klagomålsmail/A 33853-2022 FSC-klagomål mail.docx", "A 33853-2022")</f>
        <v/>
      </c>
      <c r="AC58">
        <f>HYPERLINK("https://klasma.github.io/Logging_0482/tillsyn/A 33853-2022 tillsynsbegäran.docx", "A 33853-2022")</f>
        <v/>
      </c>
      <c r="AD58">
        <f>HYPERLINK("https://klasma.github.io/Logging_0482/tillsynsmail/A 33853-2022 tillsynsbegäran mail.docx", "A 33853-2022")</f>
        <v/>
      </c>
      <c r="AE58">
        <f>HYPERLINK("https://klasma.github.io/Logging_0482/fåglar/A 33853-2022 prioriterade fågelarter.docx", "A 33853-2022")</f>
        <v/>
      </c>
    </row>
    <row r="59" ht="15" customHeight="1">
      <c r="A59" t="inlineStr">
        <is>
          <t>A 34985-2023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45142</v>
      </c>
      <c r="E59" s="1" t="n">
        <v>46300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2.8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Knärot
Grönpyrola
Revlummer</t>
        </is>
      </c>
      <c r="W59">
        <f>HYPERLINK("https://klasma.github.io/Logging_0482/artfynd/A 34985-2023 artfynd.xlsx", "A 34985-2023")</f>
        <v/>
      </c>
      <c r="X59">
        <f>HYPERLINK("https://klasma.github.io/Logging_0482/kartor/A 34985-2023 karta.png", "A 34985-2023")</f>
        <v/>
      </c>
      <c r="Y59">
        <f>HYPERLINK("https://klasma.github.io/Logging_0482/kartor_geotiff/A 34985-2023 georefererad karta.tif", "A 34985-2023")</f>
        <v/>
      </c>
      <c r="Z59">
        <f>HYPERLINK("https://klasma.github.io/Logging_0482/knärot/A 34985-2023 karta knärot.png", "A 34985-2023")</f>
        <v/>
      </c>
      <c r="AA59">
        <f>HYPERLINK("https://klasma.github.io/Logging_0482/klagomål/A 34985-2023 FSC-klagomål.docx", "A 34985-2023")</f>
        <v/>
      </c>
      <c r="AB59">
        <f>HYPERLINK("https://klasma.github.io/Logging_0482/klagomålsmail/A 34985-2023 FSC-klagomål mail.docx", "A 34985-2023")</f>
        <v/>
      </c>
      <c r="AC59">
        <f>HYPERLINK("https://klasma.github.io/Logging_0482/tillsyn/A 34985-2023 tillsynsbegäran.docx", "A 34985-2023")</f>
        <v/>
      </c>
      <c r="AD59">
        <f>HYPERLINK("https://klasma.github.io/Logging_0482/tillsynsmail/A 34985-2023 tillsynsbegäran mail.docx", "A 34985-2023")</f>
        <v/>
      </c>
    </row>
    <row r="60" ht="15" customHeight="1">
      <c r="A60" t="inlineStr">
        <is>
          <t>S 4520-2023</t>
        </is>
      </c>
      <c r="B60" t="inlineStr">
        <is>
          <t>samrådsanmälan</t>
        </is>
      </c>
      <c r="C60" t="inlineStr">
        <is>
          <t>Skogsgödsling</t>
        </is>
      </c>
      <c r="D60" s="1" t="n">
        <v>45275</v>
      </c>
      <c r="E60" s="1" t="n">
        <v>46300</v>
      </c>
      <c r="F60" t="inlineStr">
        <is>
          <t>SÖDERMANLANDS LÄN</t>
        </is>
      </c>
      <c r="G60" t="inlineStr">
        <is>
          <t>FLEN</t>
        </is>
      </c>
      <c r="H60" t="inlineStr">
        <is>
          <t>Holmen skog AB</t>
        </is>
      </c>
      <c r="I60" t="n">
        <v>61.5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0</v>
      </c>
      <c r="V60" s="2" t="inlineStr">
        <is>
          <t>Motaggsvamp
Vedskivlav
Åttafläckig praktbagge</t>
        </is>
      </c>
      <c r="W60">
        <f>HYPERLINK("https://klasma.github.io/Logging_0482/artfynd/S 4520-2023 artfynd.xlsx", "S 4520-2023")</f>
        <v/>
      </c>
      <c r="X60">
        <f>HYPERLINK("https://klasma.github.io/Logging_0482/kartor/S 4520-2023 karta.png", "S 4520-2023")</f>
        <v/>
      </c>
      <c r="Y60">
        <f>HYPERLINK("https://klasma.github.io/Logging_0482/kartor_geotiff/S 4520-2023 georefererad karta.tif", "S 4520-2023")</f>
        <v/>
      </c>
      <c r="Z60">
        <f>HYPERLINK("https://klasma.github.io/Logging_0482/knärot/S 4520-2023 karta knärot.png", "S 4520-2023")</f>
        <v/>
      </c>
      <c r="AA60">
        <f>HYPERLINK("https://klasma.github.io/Logging_0482/klagomål/S 4520-2023 FSC-klagomål.docx", "S 4520-2023")</f>
        <v/>
      </c>
      <c r="AB60">
        <f>HYPERLINK("https://klasma.github.io/Logging_0482/klagomålsmail/S 4520-2023 FSC-klagomål mail.docx", "S 4520-2023")</f>
        <v/>
      </c>
      <c r="AC60">
        <f>HYPERLINK("https://klasma.github.io/Logging_0482/tillsyn/S 4520-2023 tillsynsbegäran.docx", "S 4520-2023")</f>
        <v/>
      </c>
      <c r="AD60">
        <f>HYPERLINK("https://klasma.github.io/Logging_0482/tillsynsmail/S 4520-2023 tillsynsbegäran mail.docx", "S 4520-2023")</f>
        <v/>
      </c>
    </row>
    <row r="61" ht="15" customHeight="1">
      <c r="A61" t="inlineStr">
        <is>
          <t>S 5380-2022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44830</v>
      </c>
      <c r="E61" s="1" t="n">
        <v>46300</v>
      </c>
      <c r="F61" t="inlineStr">
        <is>
          <t>SÖDERMANLANDS LÄN</t>
        </is>
      </c>
      <c r="G61" t="inlineStr">
        <is>
          <t>FLEN</t>
        </is>
      </c>
      <c r="I61" t="n">
        <v>9.300000000000001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5</v>
      </c>
      <c r="U61" t="n">
        <v>3</v>
      </c>
      <c r="V61" s="2" t="inlineStr">
        <is>
          <t>Lunglav
Svinrot
Blåsippa</t>
        </is>
      </c>
      <c r="W61">
        <f>HYPERLINK("https://klasma.github.io/Logging_0482/artfynd/S 5380-2022 artfynd.xlsx", "S 5380-2022")</f>
        <v/>
      </c>
      <c r="X61">
        <f>HYPERLINK("https://klasma.github.io/Logging_0482/kartor/S 5380-2022 karta.png", "S 5380-2022")</f>
        <v/>
      </c>
      <c r="Y61">
        <f>HYPERLINK("https://klasma.github.io/Logging_0482/kartor_geotiff/S 5380-2022 georefererad karta.tif", "S 5380-2022")</f>
        <v/>
      </c>
      <c r="AA61">
        <f>HYPERLINK("https://klasma.github.io/Logging_0482/klagomål/S 5380-2022 FSC-klagomål.docx", "S 5380-2022")</f>
        <v/>
      </c>
      <c r="AB61">
        <f>HYPERLINK("https://klasma.github.io/Logging_0482/klagomålsmail/S 5380-2022 FSC-klagomål mail.docx", "S 5380-2022")</f>
        <v/>
      </c>
      <c r="AC61">
        <f>HYPERLINK("https://klasma.github.io/Logging_0482/tillsyn/S 5380-2022 tillsynsbegäran.docx", "S 5380-2022")</f>
        <v/>
      </c>
      <c r="AD61">
        <f>HYPERLINK("https://klasma.github.io/Logging_0482/tillsynsmail/S 5380-2022 tillsynsbegäran mail.docx", "S 5380-2022")</f>
        <v/>
      </c>
    </row>
    <row r="62" ht="15" customHeight="1">
      <c r="A62" t="inlineStr">
        <is>
          <t>S 3319-2024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45530</v>
      </c>
      <c r="E62" s="1" t="n">
        <v>46300</v>
      </c>
      <c r="F62" t="inlineStr">
        <is>
          <t>SÖDERMANLANDS LÄN</t>
        </is>
      </c>
      <c r="G62" t="inlineStr">
        <is>
          <t>FLEN</t>
        </is>
      </c>
      <c r="I62" t="n">
        <v>0.2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1</v>
      </c>
      <c r="V62" s="2" t="inlineStr">
        <is>
          <t>Skogsklocka
Svinrot
Blåsippa</t>
        </is>
      </c>
      <c r="W62">
        <f>HYPERLINK("https://klasma.github.io/Logging_0482/artfynd/S 3319-2024 artfynd.xlsx", "S 3319-2024")</f>
        <v/>
      </c>
      <c r="X62">
        <f>HYPERLINK("https://klasma.github.io/Logging_0482/kartor/S 3319-2024 karta.png", "S 3319-2024")</f>
        <v/>
      </c>
      <c r="Y62">
        <f>HYPERLINK("https://klasma.github.io/Logging_0482/kartor_geotiff/S 3319-2024 georefererad karta.tif", "S 3319-2024")</f>
        <v/>
      </c>
      <c r="AA62">
        <f>HYPERLINK("https://klasma.github.io/Logging_0482/klagomål/S 3319-2024 FSC-klagomål.docx", "S 3319-2024")</f>
        <v/>
      </c>
      <c r="AB62">
        <f>HYPERLINK("https://klasma.github.io/Logging_0482/klagomålsmail/S 3319-2024 FSC-klagomål mail.docx", "S 3319-2024")</f>
        <v/>
      </c>
      <c r="AC62">
        <f>HYPERLINK("https://klasma.github.io/Logging_0482/tillsyn/S 3319-2024 tillsynsbegäran.docx", "S 3319-2024")</f>
        <v/>
      </c>
      <c r="AD62">
        <f>HYPERLINK("https://klasma.github.io/Logging_0482/tillsynsmail/S 3319-2024 tillsynsbegäran mail.docx", "S 3319-2024")</f>
        <v/>
      </c>
    </row>
    <row r="63" ht="15" customHeight="1">
      <c r="A63" t="inlineStr">
        <is>
          <t>A 12303-2022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44637</v>
      </c>
      <c r="E63" s="1" t="n">
        <v>46300</v>
      </c>
      <c r="F63" t="inlineStr">
        <is>
          <t>SÖDERMANLANDS LÄN</t>
        </is>
      </c>
      <c r="G63" t="inlineStr">
        <is>
          <t>FLEN</t>
        </is>
      </c>
      <c r="I63" t="n">
        <v>1.4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Röd glada
Trädlärka</t>
        </is>
      </c>
      <c r="W63">
        <f>HYPERLINK("https://klasma.github.io/Logging_0482/artfynd/A 12303-2022 artfynd.xlsx", "A 12303-2022")</f>
        <v/>
      </c>
      <c r="X63">
        <f>HYPERLINK("https://klasma.github.io/Logging_0482/kartor/A 12303-2022 karta.png", "A 12303-2022")</f>
        <v/>
      </c>
      <c r="Y63">
        <f>HYPERLINK("https://klasma.github.io/Logging_0482/kartor_geotiff/A 12303-2022 georefererad karta.tif", "A 12303-2022")</f>
        <v/>
      </c>
      <c r="AA63">
        <f>HYPERLINK("https://klasma.github.io/Logging_0482/klagomål/A 12303-2022 FSC-klagomål.docx", "A 12303-2022")</f>
        <v/>
      </c>
      <c r="AB63">
        <f>HYPERLINK("https://klasma.github.io/Logging_0482/klagomålsmail/A 12303-2022 FSC-klagomål mail.docx", "A 12303-2022")</f>
        <v/>
      </c>
      <c r="AC63">
        <f>HYPERLINK("https://klasma.github.io/Logging_0482/tillsyn/A 12303-2022 tillsynsbegäran.docx", "A 12303-2022")</f>
        <v/>
      </c>
      <c r="AD63">
        <f>HYPERLINK("https://klasma.github.io/Logging_0482/tillsynsmail/A 12303-2022 tillsynsbegäran mail.docx", "A 12303-2022")</f>
        <v/>
      </c>
      <c r="AE63">
        <f>HYPERLINK("https://klasma.github.io/Logging_0482/fåglar/A 12303-2022 prioriterade fågelarter.docx", "A 12303-2022")</f>
        <v/>
      </c>
    </row>
    <row r="64" ht="15" customHeight="1">
      <c r="A64" t="inlineStr">
        <is>
          <t>A 10789-2022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44624</v>
      </c>
      <c r="E64" s="1" t="n">
        <v>46300</v>
      </c>
      <c r="F64" t="inlineStr">
        <is>
          <t>SÖDERMANLANDS LÄN</t>
        </is>
      </c>
      <c r="G64" t="inlineStr">
        <is>
          <t>FLEN</t>
        </is>
      </c>
      <c r="I64" t="n">
        <v>1.1</v>
      </c>
      <c r="J64" t="n">
        <v>1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1</v>
      </c>
      <c r="V64" s="2" t="inlineStr">
        <is>
          <t>Bombmurkla
Blåmossa</t>
        </is>
      </c>
      <c r="W64">
        <f>HYPERLINK("https://klasma.github.io/Logging_0482/artfynd/A 10789-2022 artfynd.xlsx", "A 10789-2022")</f>
        <v/>
      </c>
      <c r="X64">
        <f>HYPERLINK("https://klasma.github.io/Logging_0482/kartor/A 10789-2022 karta.png", "A 10789-2022")</f>
        <v/>
      </c>
      <c r="Y64">
        <f>HYPERLINK("https://klasma.github.io/Logging_0482/kartor_geotiff/A 10789-2022 georefererad karta.tif", "A 10789-2022")</f>
        <v/>
      </c>
      <c r="AA64">
        <f>HYPERLINK("https://klasma.github.io/Logging_0482/klagomål/A 10789-2022 FSC-klagomål.docx", "A 10789-2022")</f>
        <v/>
      </c>
      <c r="AB64">
        <f>HYPERLINK("https://klasma.github.io/Logging_0482/klagomålsmail/A 10789-2022 FSC-klagomål mail.docx", "A 10789-2022")</f>
        <v/>
      </c>
      <c r="AC64">
        <f>HYPERLINK("https://klasma.github.io/Logging_0482/tillsyn/A 10789-2022 tillsynsbegäran.docx", "A 10789-2022")</f>
        <v/>
      </c>
      <c r="AD64">
        <f>HYPERLINK("https://klasma.github.io/Logging_0482/tillsynsmail/A 10789-2022 tillsynsbegäran mail.docx", "A 10789-2022")</f>
        <v/>
      </c>
    </row>
    <row r="65" ht="15" customHeight="1">
      <c r="A65" t="inlineStr">
        <is>
          <t>A 22883-2022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44715</v>
      </c>
      <c r="E65" s="1" t="n">
        <v>46300</v>
      </c>
      <c r="F65" t="inlineStr">
        <is>
          <t>SÖDERMANLANDS LÄN</t>
        </is>
      </c>
      <c r="G65" t="inlineStr">
        <is>
          <t>FLEN</t>
        </is>
      </c>
      <c r="H65" t="inlineStr">
        <is>
          <t>Holmen skog AB</t>
        </is>
      </c>
      <c r="I65" t="n">
        <v>2.7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Gullklöver
Vippärt</t>
        </is>
      </c>
      <c r="W65">
        <f>HYPERLINK("https://klasma.github.io/Logging_0482/artfynd/A 22883-2022 artfynd.xlsx", "A 22883-2022")</f>
        <v/>
      </c>
      <c r="X65">
        <f>HYPERLINK("https://klasma.github.io/Logging_0482/kartor/A 22883-2022 karta.png", "A 22883-2022")</f>
        <v/>
      </c>
      <c r="Y65">
        <f>HYPERLINK("https://klasma.github.io/Logging_0482/kartor_geotiff/A 22883-2022 georefererad karta.tif", "A 22883-2022")</f>
        <v/>
      </c>
      <c r="AA65">
        <f>HYPERLINK("https://klasma.github.io/Logging_0482/klagomål/A 22883-2022 FSC-klagomål.docx", "A 22883-2022")</f>
        <v/>
      </c>
      <c r="AB65">
        <f>HYPERLINK("https://klasma.github.io/Logging_0482/klagomålsmail/A 22883-2022 FSC-klagomål mail.docx", "A 22883-2022")</f>
        <v/>
      </c>
      <c r="AC65">
        <f>HYPERLINK("https://klasma.github.io/Logging_0482/tillsyn/A 22883-2022 tillsynsbegäran.docx", "A 22883-2022")</f>
        <v/>
      </c>
      <c r="AD65">
        <f>HYPERLINK("https://klasma.github.io/Logging_0482/tillsynsmail/A 22883-2022 tillsynsbegäran mail.docx", "A 22883-2022")</f>
        <v/>
      </c>
    </row>
    <row r="66" ht="15" customHeight="1">
      <c r="A66" t="inlineStr">
        <is>
          <t>A 4330-2026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46044</v>
      </c>
      <c r="E66" s="1" t="n">
        <v>46300</v>
      </c>
      <c r="F66" t="inlineStr">
        <is>
          <t>SÖDERMANLANDS LÄN</t>
        </is>
      </c>
      <c r="G66" t="inlineStr">
        <is>
          <t>FLEN</t>
        </is>
      </c>
      <c r="H66" t="inlineStr">
        <is>
          <t>Övriga statliga verk och myndigheter</t>
        </is>
      </c>
      <c r="I66" t="n">
        <v>4.9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Backstarr
Blåsippa</t>
        </is>
      </c>
      <c r="W66">
        <f>HYPERLINK("https://klasma.github.io/Logging_0482/artfynd/A 4330-2026 artfynd.xlsx", "A 4330-2026")</f>
        <v/>
      </c>
      <c r="X66">
        <f>HYPERLINK("https://klasma.github.io/Logging_0482/kartor/A 4330-2026 karta.png", "A 4330-2026")</f>
        <v/>
      </c>
      <c r="Y66">
        <f>HYPERLINK("https://klasma.github.io/Logging_0482/kartor_geotiff/A 4330-2026 georefererad karta.tif", "A 4330-2026")</f>
        <v/>
      </c>
      <c r="AA66">
        <f>HYPERLINK("https://klasma.github.io/Logging_0482/klagomål/A 4330-2026 FSC-klagomål.docx", "A 4330-2026")</f>
        <v/>
      </c>
      <c r="AB66">
        <f>HYPERLINK("https://klasma.github.io/Logging_0482/klagomålsmail/A 4330-2026 FSC-klagomål mail.docx", "A 4330-2026")</f>
        <v/>
      </c>
      <c r="AC66">
        <f>HYPERLINK("https://klasma.github.io/Logging_0482/tillsyn/A 4330-2026 tillsynsbegäran.docx", "A 4330-2026")</f>
        <v/>
      </c>
      <c r="AD66">
        <f>HYPERLINK("https://klasma.github.io/Logging_0482/tillsynsmail/A 4330-2026 tillsynsbegäran mail.docx", "A 4330-2026")</f>
        <v/>
      </c>
    </row>
    <row r="67" ht="15" customHeight="1">
      <c r="A67" t="inlineStr">
        <is>
          <t>A 24464-2025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45798</v>
      </c>
      <c r="E67" s="1" t="n">
        <v>46300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1.1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Motaggsvamp
Vedskivlav</t>
        </is>
      </c>
      <c r="W67">
        <f>HYPERLINK("https://klasma.github.io/Logging_0482/artfynd/A 24464-2025 artfynd.xlsx", "A 24464-2025")</f>
        <v/>
      </c>
      <c r="X67">
        <f>HYPERLINK("https://klasma.github.io/Logging_0482/kartor/A 24464-2025 karta.png", "A 24464-2025")</f>
        <v/>
      </c>
      <c r="Y67">
        <f>HYPERLINK("https://klasma.github.io/Logging_0482/kartor_geotiff/A 24464-2025 georefererad karta.tif", "A 24464-2025")</f>
        <v/>
      </c>
      <c r="AA67">
        <f>HYPERLINK("https://klasma.github.io/Logging_0482/klagomål/A 24464-2025 FSC-klagomål.docx", "A 24464-2025")</f>
        <v/>
      </c>
      <c r="AB67">
        <f>HYPERLINK("https://klasma.github.io/Logging_0482/klagomålsmail/A 24464-2025 FSC-klagomål mail.docx", "A 24464-2025")</f>
        <v/>
      </c>
      <c r="AC67">
        <f>HYPERLINK("https://klasma.github.io/Logging_0482/tillsyn/A 24464-2025 tillsynsbegäran.docx", "A 24464-2025")</f>
        <v/>
      </c>
      <c r="AD67">
        <f>HYPERLINK("https://klasma.github.io/Logging_0482/tillsynsmail/A 24464-2025 tillsynsbegäran mail.docx", "A 24464-2025")</f>
        <v/>
      </c>
    </row>
    <row r="68" ht="15" customHeight="1">
      <c r="A68" t="inlineStr">
        <is>
          <t>A 8887-2026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46068</v>
      </c>
      <c r="E68" s="1" t="n">
        <v>46300</v>
      </c>
      <c r="F68" t="inlineStr">
        <is>
          <t>SÖDERMANLANDS LÄN</t>
        </is>
      </c>
      <c r="G68" t="inlineStr">
        <is>
          <t>FLEN</t>
        </is>
      </c>
      <c r="I68" t="n">
        <v>2.1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Större vattensalamander
Mindre vattensalamander</t>
        </is>
      </c>
      <c r="W68">
        <f>HYPERLINK("https://klasma.github.io/Logging_0482/artfynd/A 8887-2026 artfynd.xlsx", "A 8887-2026")</f>
        <v/>
      </c>
      <c r="X68">
        <f>HYPERLINK("https://klasma.github.io/Logging_0482/kartor/A 8887-2026 karta.png", "A 8887-2026")</f>
        <v/>
      </c>
      <c r="Y68">
        <f>HYPERLINK("https://klasma.github.io/Logging_0482/kartor_geotiff/A 8887-2026 georefererad karta.tif", "A 8887-2026")</f>
        <v/>
      </c>
      <c r="AA68">
        <f>HYPERLINK("https://klasma.github.io/Logging_0482/klagomål/A 8887-2026 FSC-klagomål.docx", "A 8887-2026")</f>
        <v/>
      </c>
      <c r="AB68">
        <f>HYPERLINK("https://klasma.github.io/Logging_0482/klagomålsmail/A 8887-2026 FSC-klagomål mail.docx", "A 8887-2026")</f>
        <v/>
      </c>
      <c r="AC68">
        <f>HYPERLINK("https://klasma.github.io/Logging_0482/tillsyn/A 8887-2026 tillsynsbegäran.docx", "A 8887-2026")</f>
        <v/>
      </c>
      <c r="AD68">
        <f>HYPERLINK("https://klasma.github.io/Logging_0482/tillsynsmail/A 8887-2026 tillsynsbegäran mail.docx", "A 8887-2026")</f>
        <v/>
      </c>
    </row>
    <row r="69" ht="15" customHeight="1">
      <c r="A69" t="inlineStr">
        <is>
          <t>A 32744-2025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45838</v>
      </c>
      <c r="E69" s="1" t="n">
        <v>46300</v>
      </c>
      <c r="F69" t="inlineStr">
        <is>
          <t>SÖDERMANLANDS LÄN</t>
        </is>
      </c>
      <c r="G69" t="inlineStr">
        <is>
          <t>FLEN</t>
        </is>
      </c>
      <c r="I69" t="n">
        <v>1.8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Ekticka
Klasefibbla</t>
        </is>
      </c>
      <c r="W69">
        <f>HYPERLINK("https://klasma.github.io/Logging_0482/artfynd/A 32744-2025 artfynd.xlsx", "A 32744-2025")</f>
        <v/>
      </c>
      <c r="X69">
        <f>HYPERLINK("https://klasma.github.io/Logging_0482/kartor/A 32744-2025 karta.png", "A 32744-2025")</f>
        <v/>
      </c>
      <c r="Y69">
        <f>HYPERLINK("https://klasma.github.io/Logging_0482/kartor_geotiff/A 32744-2025 georefererad karta.tif", "A 32744-2025")</f>
        <v/>
      </c>
      <c r="AA69">
        <f>HYPERLINK("https://klasma.github.io/Logging_0482/klagomål/A 32744-2025 FSC-klagomål.docx", "A 32744-2025")</f>
        <v/>
      </c>
      <c r="AB69">
        <f>HYPERLINK("https://klasma.github.io/Logging_0482/klagomålsmail/A 32744-2025 FSC-klagomål mail.docx", "A 32744-2025")</f>
        <v/>
      </c>
      <c r="AC69">
        <f>HYPERLINK("https://klasma.github.io/Logging_0482/tillsyn/A 32744-2025 tillsynsbegäran.docx", "A 32744-2025")</f>
        <v/>
      </c>
      <c r="AD69">
        <f>HYPERLINK("https://klasma.github.io/Logging_0482/tillsynsmail/A 32744-2025 tillsynsbegäran mail.docx", "A 32744-2025")</f>
        <v/>
      </c>
    </row>
    <row r="70" ht="15" customHeight="1">
      <c r="A70" t="inlineStr">
        <is>
          <t>A 41435-2022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44826</v>
      </c>
      <c r="E70" s="1" t="n">
        <v>46300</v>
      </c>
      <c r="F70" t="inlineStr">
        <is>
          <t>SÖDERMANLANDS LÄN</t>
        </is>
      </c>
      <c r="G70" t="inlineStr">
        <is>
          <t>FLEN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Vitsippa
Gullviva</t>
        </is>
      </c>
      <c r="W70">
        <f>HYPERLINK("https://klasma.github.io/Logging_0482/artfynd/A 41435-2022 artfynd.xlsx", "A 41435-2022")</f>
        <v/>
      </c>
      <c r="X70">
        <f>HYPERLINK("https://klasma.github.io/Logging_0482/kartor/A 41435-2022 karta.png", "A 41435-2022")</f>
        <v/>
      </c>
      <c r="Y70">
        <f>HYPERLINK("https://klasma.github.io/Logging_0482/kartor_geotiff/A 41435-2022 georefererad karta.tif", "A 41435-2022")</f>
        <v/>
      </c>
      <c r="AA70">
        <f>HYPERLINK("https://klasma.github.io/Logging_0482/klagomål/A 41435-2022 FSC-klagomål.docx", "A 41435-2022")</f>
        <v/>
      </c>
      <c r="AB70">
        <f>HYPERLINK("https://klasma.github.io/Logging_0482/klagomålsmail/A 41435-2022 FSC-klagomål mail.docx", "A 41435-2022")</f>
        <v/>
      </c>
      <c r="AC70">
        <f>HYPERLINK("https://klasma.github.io/Logging_0482/tillsyn/A 41435-2022 tillsynsbegäran.docx", "A 41435-2022")</f>
        <v/>
      </c>
      <c r="AD70">
        <f>HYPERLINK("https://klasma.github.io/Logging_0482/tillsynsmail/A 41435-2022 tillsynsbegäran mail.docx", "A 41435-2022")</f>
        <v/>
      </c>
    </row>
    <row r="71" ht="15" customHeight="1">
      <c r="A71" t="inlineStr">
        <is>
          <t>A 50215-2022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46300</v>
      </c>
      <c r="F71" t="inlineStr">
        <is>
          <t>SÖDERMANLANDS LÄN</t>
        </is>
      </c>
      <c r="G71" t="inlineStr">
        <is>
          <t>FLEN</t>
        </is>
      </c>
      <c r="H71" t="inlineStr">
        <is>
          <t>Kyrkan</t>
        </is>
      </c>
      <c r="I71" t="n">
        <v>2.2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1</v>
      </c>
      <c r="V71" s="2" t="inlineStr">
        <is>
          <t>Knärot
Äkta lopplummer</t>
        </is>
      </c>
      <c r="W71">
        <f>HYPERLINK("https://klasma.github.io/Logging_0482/artfynd/A 50215-2022 artfynd.xlsx", "A 50215-2022")</f>
        <v/>
      </c>
      <c r="X71">
        <f>HYPERLINK("https://klasma.github.io/Logging_0482/kartor/A 50215-2022 karta.png", "A 50215-2022")</f>
        <v/>
      </c>
      <c r="Y71">
        <f>HYPERLINK("https://klasma.github.io/Logging_0482/kartor_geotiff/A 50215-2022 georefererad karta.tif", "A 50215-2022")</f>
        <v/>
      </c>
      <c r="Z71">
        <f>HYPERLINK("https://klasma.github.io/Logging_0482/knärot/A 50215-2022 karta knärot.png", "A 50215-2022")</f>
        <v/>
      </c>
      <c r="AA71">
        <f>HYPERLINK("https://klasma.github.io/Logging_0482/klagomål/A 50215-2022 FSC-klagomål.docx", "A 50215-2022")</f>
        <v/>
      </c>
      <c r="AB71">
        <f>HYPERLINK("https://klasma.github.io/Logging_0482/klagomålsmail/A 50215-2022 FSC-klagomål mail.docx", "A 50215-2022")</f>
        <v/>
      </c>
      <c r="AC71">
        <f>HYPERLINK("https://klasma.github.io/Logging_0482/tillsyn/A 50215-2022 tillsynsbegäran.docx", "A 50215-2022")</f>
        <v/>
      </c>
      <c r="AD71">
        <f>HYPERLINK("https://klasma.github.io/Logging_0482/tillsynsmail/A 50215-2022 tillsynsbegäran mail.docx", "A 50215-2022")</f>
        <v/>
      </c>
    </row>
    <row r="72" ht="15" customHeight="1">
      <c r="A72" t="inlineStr">
        <is>
          <t>A 15452-2024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45400</v>
      </c>
      <c r="E72" s="1" t="n">
        <v>46300</v>
      </c>
      <c r="F72" t="inlineStr">
        <is>
          <t>SÖDERMANLANDS LÄN</t>
        </is>
      </c>
      <c r="G72" t="inlineStr">
        <is>
          <t>FLEN</t>
        </is>
      </c>
      <c r="I72" t="n">
        <v>3.5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Svinrot
Älg</t>
        </is>
      </c>
      <c r="W72">
        <f>HYPERLINK("https://klasma.github.io/Logging_0482/artfynd/A 15452-2024 artfynd.xlsx", "A 15452-2024")</f>
        <v/>
      </c>
      <c r="X72">
        <f>HYPERLINK("https://klasma.github.io/Logging_0482/kartor/A 15452-2024 karta.png", "A 15452-2024")</f>
        <v/>
      </c>
      <c r="Y72">
        <f>HYPERLINK("https://klasma.github.io/Logging_0482/kartor_geotiff/A 15452-2024 georefererad karta.tif", "A 15452-2024")</f>
        <v/>
      </c>
      <c r="AA72">
        <f>HYPERLINK("https://klasma.github.io/Logging_0482/klagomål/A 15452-2024 FSC-klagomål.docx", "A 15452-2024")</f>
        <v/>
      </c>
      <c r="AB72">
        <f>HYPERLINK("https://klasma.github.io/Logging_0482/klagomålsmail/A 15452-2024 FSC-klagomål mail.docx", "A 15452-2024")</f>
        <v/>
      </c>
      <c r="AC72">
        <f>HYPERLINK("https://klasma.github.io/Logging_0482/tillsyn/A 15452-2024 tillsynsbegäran.docx", "A 15452-2024")</f>
        <v/>
      </c>
      <c r="AD72">
        <f>HYPERLINK("https://klasma.github.io/Logging_0482/tillsynsmail/A 15452-2024 tillsynsbegäran mail.docx", "A 15452-2024")</f>
        <v/>
      </c>
    </row>
    <row r="73" ht="15" customHeight="1">
      <c r="A73" t="inlineStr">
        <is>
          <t>A 35278-2022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44798</v>
      </c>
      <c r="E73" s="1" t="n">
        <v>46300</v>
      </c>
      <c r="F73" t="inlineStr">
        <is>
          <t>SÖDERMANLANDS LÄN</t>
        </is>
      </c>
      <c r="G73" t="inlineStr">
        <is>
          <t>FLEN</t>
        </is>
      </c>
      <c r="I73" t="n">
        <v>2.3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3</v>
      </c>
      <c r="U73" t="n">
        <v>2</v>
      </c>
      <c r="V73" s="2" t="inlineStr">
        <is>
          <t>Igelkott
Grönvit nattviol</t>
        </is>
      </c>
      <c r="W73">
        <f>HYPERLINK("https://klasma.github.io/Logging_0482/artfynd/A 35278-2022 artfynd.xlsx", "A 35278-2022")</f>
        <v/>
      </c>
      <c r="X73">
        <f>HYPERLINK("https://klasma.github.io/Logging_0482/kartor/A 35278-2022 karta.png", "A 35278-2022")</f>
        <v/>
      </c>
      <c r="Y73">
        <f>HYPERLINK("https://klasma.github.io/Logging_0482/kartor_geotiff/A 35278-2022 georefererad karta.tif", "A 35278-2022")</f>
        <v/>
      </c>
      <c r="AA73">
        <f>HYPERLINK("https://klasma.github.io/Logging_0482/klagomål/A 35278-2022 FSC-klagomål.docx", "A 35278-2022")</f>
        <v/>
      </c>
      <c r="AB73">
        <f>HYPERLINK("https://klasma.github.io/Logging_0482/klagomålsmail/A 35278-2022 FSC-klagomål mail.docx", "A 35278-2022")</f>
        <v/>
      </c>
      <c r="AC73">
        <f>HYPERLINK("https://klasma.github.io/Logging_0482/tillsyn/A 35278-2022 tillsynsbegäran.docx", "A 35278-2022")</f>
        <v/>
      </c>
      <c r="AD73">
        <f>HYPERLINK("https://klasma.github.io/Logging_0482/tillsynsmail/A 35278-2022 tillsynsbegäran mail.docx", "A 35278-2022")</f>
        <v/>
      </c>
    </row>
    <row r="74" ht="15" customHeight="1">
      <c r="A74" t="inlineStr">
        <is>
          <t>A 55092-2021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44474</v>
      </c>
      <c r="E74" s="1" t="n">
        <v>46300</v>
      </c>
      <c r="F74" t="inlineStr">
        <is>
          <t>SÖDERMANLANDS LÄN</t>
        </is>
      </c>
      <c r="G74" t="inlineStr">
        <is>
          <t>FLEN</t>
        </is>
      </c>
      <c r="I74" t="n">
        <v>3.5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Sälg
Huggorm</t>
        </is>
      </c>
      <c r="W74">
        <f>HYPERLINK("https://klasma.github.io/Logging_0482/artfynd/A 55092-2021 artfynd.xlsx", "A 55092-2021")</f>
        <v/>
      </c>
      <c r="X74">
        <f>HYPERLINK("https://klasma.github.io/Logging_0482/kartor/A 55092-2021 karta.png", "A 55092-2021")</f>
        <v/>
      </c>
      <c r="Y74">
        <f>HYPERLINK("https://klasma.github.io/Logging_0482/kartor_geotiff/A 55092-2021 georefererad karta.tif", "A 55092-2021")</f>
        <v/>
      </c>
      <c r="AA74">
        <f>HYPERLINK("https://klasma.github.io/Logging_0482/klagomål/A 55092-2021 FSC-klagomål.docx", "A 55092-2021")</f>
        <v/>
      </c>
      <c r="AB74">
        <f>HYPERLINK("https://klasma.github.io/Logging_0482/klagomålsmail/A 55092-2021 FSC-klagomål mail.docx", "A 55092-2021")</f>
        <v/>
      </c>
      <c r="AC74">
        <f>HYPERLINK("https://klasma.github.io/Logging_0482/tillsyn/A 55092-2021 tillsynsbegäran.docx", "A 55092-2021")</f>
        <v/>
      </c>
      <c r="AD74">
        <f>HYPERLINK("https://klasma.github.io/Logging_0482/tillsynsmail/A 55092-2021 tillsynsbegäran mail.docx", "A 55092-2021")</f>
        <v/>
      </c>
    </row>
    <row r="75" ht="15" customHeight="1">
      <c r="A75" t="inlineStr">
        <is>
          <t>A 52858-2023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45219</v>
      </c>
      <c r="E75" s="1" t="n">
        <v>46300</v>
      </c>
      <c r="F75" t="inlineStr">
        <is>
          <t>SÖDERMANLANDS LÄN</t>
        </is>
      </c>
      <c r="G75" t="inlineStr">
        <is>
          <t>FLEN</t>
        </is>
      </c>
      <c r="I75" t="n">
        <v>3.6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3</v>
      </c>
      <c r="U75" t="n">
        <v>1</v>
      </c>
      <c r="V75" s="2" t="inlineStr">
        <is>
          <t>Mindre hackspett
Tallticka</t>
        </is>
      </c>
      <c r="W75">
        <f>HYPERLINK("https://klasma.github.io/Logging_0482/artfynd/A 52858-2023 artfynd.xlsx", "A 52858-2023")</f>
        <v/>
      </c>
      <c r="X75">
        <f>HYPERLINK("https://klasma.github.io/Logging_0482/kartor/A 52858-2023 karta.png", "A 52858-2023")</f>
        <v/>
      </c>
      <c r="Y75">
        <f>HYPERLINK("https://klasma.github.io/Logging_0482/kartor_geotiff/A 52858-2023 georefererad karta.tif", "A 52858-2023")</f>
        <v/>
      </c>
      <c r="AA75">
        <f>HYPERLINK("https://klasma.github.io/Logging_0482/klagomål/A 52858-2023 FSC-klagomål.docx", "A 52858-2023")</f>
        <v/>
      </c>
      <c r="AB75">
        <f>HYPERLINK("https://klasma.github.io/Logging_0482/klagomålsmail/A 52858-2023 FSC-klagomål mail.docx", "A 52858-2023")</f>
        <v/>
      </c>
      <c r="AC75">
        <f>HYPERLINK("https://klasma.github.io/Logging_0482/tillsyn/A 52858-2023 tillsynsbegäran.docx", "A 52858-2023")</f>
        <v/>
      </c>
      <c r="AD75">
        <f>HYPERLINK("https://klasma.github.io/Logging_0482/tillsynsmail/A 52858-2023 tillsynsbegäran mail.docx", "A 52858-2023")</f>
        <v/>
      </c>
      <c r="AE75">
        <f>HYPERLINK("https://klasma.github.io/Logging_0482/fåglar/A 52858-2023 prioriterade fågelarter.docx", "A 52858-2023")</f>
        <v/>
      </c>
    </row>
    <row r="76" ht="15" customHeight="1">
      <c r="A76" t="inlineStr">
        <is>
          <t>A 7506-2023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44971</v>
      </c>
      <c r="E76" s="1" t="n">
        <v>46300</v>
      </c>
      <c r="F76" t="inlineStr">
        <is>
          <t>SÖDERMANLANDS LÄN</t>
        </is>
      </c>
      <c r="G76" t="inlineStr">
        <is>
          <t>FLEN</t>
        </is>
      </c>
      <c r="I76" t="n">
        <v>3.3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Slåtterfibbla
Svinrot</t>
        </is>
      </c>
      <c r="W76">
        <f>HYPERLINK("https://klasma.github.io/Logging_0482/artfynd/A 7506-2023 artfynd.xlsx", "A 7506-2023")</f>
        <v/>
      </c>
      <c r="X76">
        <f>HYPERLINK("https://klasma.github.io/Logging_0482/kartor/A 7506-2023 karta.png", "A 7506-2023")</f>
        <v/>
      </c>
      <c r="Y76">
        <f>HYPERLINK("https://klasma.github.io/Logging_0482/kartor_geotiff/A 7506-2023 georefererad karta.tif", "A 7506-2023")</f>
        <v/>
      </c>
      <c r="AA76">
        <f>HYPERLINK("https://klasma.github.io/Logging_0482/klagomål/A 7506-2023 FSC-klagomål.docx", "A 7506-2023")</f>
        <v/>
      </c>
      <c r="AB76">
        <f>HYPERLINK("https://klasma.github.io/Logging_0482/klagomålsmail/A 7506-2023 FSC-klagomål mail.docx", "A 7506-2023")</f>
        <v/>
      </c>
      <c r="AC76">
        <f>HYPERLINK("https://klasma.github.io/Logging_0482/tillsyn/A 7506-2023 tillsynsbegäran.docx", "A 7506-2023")</f>
        <v/>
      </c>
      <c r="AD76">
        <f>HYPERLINK("https://klasma.github.io/Logging_0482/tillsynsmail/A 7506-2023 tillsynsbegäran mail.docx", "A 7506-2023")</f>
        <v/>
      </c>
    </row>
    <row r="77" ht="15" customHeight="1">
      <c r="A77" t="inlineStr">
        <is>
          <t>A 15557-2026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46106</v>
      </c>
      <c r="E77" s="1" t="n">
        <v>46300</v>
      </c>
      <c r="F77" t="inlineStr">
        <is>
          <t>SÖDERMANLANDS LÄN</t>
        </is>
      </c>
      <c r="G77" t="inlineStr">
        <is>
          <t>FLEN</t>
        </is>
      </c>
      <c r="I77" t="n">
        <v>2.3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4</v>
      </c>
      <c r="U77" t="n">
        <v>0</v>
      </c>
      <c r="V77" s="2" t="inlineStr">
        <is>
          <t>Gullklöver
Svinrot</t>
        </is>
      </c>
      <c r="W77">
        <f>HYPERLINK("https://klasma.github.io/Logging_0482/artfynd/A 15557-2026 artfynd.xlsx", "A 15557-2026")</f>
        <v/>
      </c>
      <c r="X77">
        <f>HYPERLINK("https://klasma.github.io/Logging_0482/kartor/A 15557-2026 karta.png", "A 15557-2026")</f>
        <v/>
      </c>
      <c r="Y77">
        <f>HYPERLINK("https://klasma.github.io/Logging_0482/kartor_geotiff/A 15557-2026 georefererad karta.tif", "A 15557-2026")</f>
        <v/>
      </c>
      <c r="AA77">
        <f>HYPERLINK("https://klasma.github.io/Logging_0482/klagomål/A 15557-2026 FSC-klagomål.docx", "A 15557-2026")</f>
        <v/>
      </c>
      <c r="AB77">
        <f>HYPERLINK("https://klasma.github.io/Logging_0482/klagomålsmail/A 15557-2026 FSC-klagomål mail.docx", "A 15557-2026")</f>
        <v/>
      </c>
      <c r="AC77">
        <f>HYPERLINK("https://klasma.github.io/Logging_0482/tillsyn/A 15557-2026 tillsynsbegäran.docx", "A 15557-2026")</f>
        <v/>
      </c>
      <c r="AD77">
        <f>HYPERLINK("https://klasma.github.io/Logging_0482/tillsynsmail/A 15557-2026 tillsynsbegäran mail.docx", "A 15557-2026")</f>
        <v/>
      </c>
    </row>
    <row r="78" ht="15" customHeight="1">
      <c r="A78" t="inlineStr">
        <is>
          <t>A 49816-2023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45211</v>
      </c>
      <c r="E78" s="1" t="n">
        <v>46300</v>
      </c>
      <c r="F78" t="inlineStr">
        <is>
          <t>SÖDERMANLANDS LÄN</t>
        </is>
      </c>
      <c r="G78" t="inlineStr">
        <is>
          <t>FLEN</t>
        </is>
      </c>
      <c r="I78" t="n">
        <v>4.6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Reliktbock
Tallticka</t>
        </is>
      </c>
      <c r="W78">
        <f>HYPERLINK("https://klasma.github.io/Logging_0482/artfynd/A 49816-2023 artfynd.xlsx", "A 49816-2023")</f>
        <v/>
      </c>
      <c r="X78">
        <f>HYPERLINK("https://klasma.github.io/Logging_0482/kartor/A 49816-2023 karta.png", "A 49816-2023")</f>
        <v/>
      </c>
      <c r="Y78">
        <f>HYPERLINK("https://klasma.github.io/Logging_0482/kartor_geotiff/A 49816-2023 georefererad karta.tif", "A 49816-2023")</f>
        <v/>
      </c>
      <c r="AA78">
        <f>HYPERLINK("https://klasma.github.io/Logging_0482/klagomål/A 49816-2023 FSC-klagomål.docx", "A 49816-2023")</f>
        <v/>
      </c>
      <c r="AB78">
        <f>HYPERLINK("https://klasma.github.io/Logging_0482/klagomålsmail/A 49816-2023 FSC-klagomål mail.docx", "A 49816-2023")</f>
        <v/>
      </c>
      <c r="AC78">
        <f>HYPERLINK("https://klasma.github.io/Logging_0482/tillsyn/A 49816-2023 tillsynsbegäran.docx", "A 49816-2023")</f>
        <v/>
      </c>
      <c r="AD78">
        <f>HYPERLINK("https://klasma.github.io/Logging_0482/tillsynsmail/A 49816-2023 tillsynsbegäran mail.docx", "A 49816-2023")</f>
        <v/>
      </c>
    </row>
    <row r="79" ht="15" customHeight="1">
      <c r="A79" t="inlineStr">
        <is>
          <t>A 22101-2023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45068</v>
      </c>
      <c r="E79" s="1" t="n">
        <v>46300</v>
      </c>
      <c r="F79" t="inlineStr">
        <is>
          <t>SÖDERMANLANDS LÄN</t>
        </is>
      </c>
      <c r="G79" t="inlineStr">
        <is>
          <t>FLEN</t>
        </is>
      </c>
      <c r="I79" t="n">
        <v>2.7</v>
      </c>
      <c r="J79" t="n">
        <v>2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Bombmurkla
Blåsippa</t>
        </is>
      </c>
      <c r="W79">
        <f>HYPERLINK("https://klasma.github.io/Logging_0482/artfynd/A 22101-2023 artfynd.xlsx", "A 22101-2023")</f>
        <v/>
      </c>
      <c r="X79">
        <f>HYPERLINK("https://klasma.github.io/Logging_0482/kartor/A 22101-2023 karta.png", "A 22101-2023")</f>
        <v/>
      </c>
      <c r="Y79">
        <f>HYPERLINK("https://klasma.github.io/Logging_0482/kartor_geotiff/A 22101-2023 georefererad karta.tif", "A 22101-2023")</f>
        <v/>
      </c>
      <c r="AA79">
        <f>HYPERLINK("https://klasma.github.io/Logging_0482/klagomål/A 22101-2023 FSC-klagomål.docx", "A 22101-2023")</f>
        <v/>
      </c>
      <c r="AB79">
        <f>HYPERLINK("https://klasma.github.io/Logging_0482/klagomålsmail/A 22101-2023 FSC-klagomål mail.docx", "A 22101-2023")</f>
        <v/>
      </c>
      <c r="AC79">
        <f>HYPERLINK("https://klasma.github.io/Logging_0482/tillsyn/A 22101-2023 tillsynsbegäran.docx", "A 22101-2023")</f>
        <v/>
      </c>
      <c r="AD79">
        <f>HYPERLINK("https://klasma.github.io/Logging_0482/tillsynsmail/A 22101-2023 tillsynsbegäran mail.docx", "A 22101-2023")</f>
        <v/>
      </c>
    </row>
    <row r="80" ht="15" customHeight="1">
      <c r="A80" t="inlineStr">
        <is>
          <t>A 34849-2026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46258</v>
      </c>
      <c r="E80" s="1" t="n">
        <v>46300</v>
      </c>
      <c r="F80" t="inlineStr">
        <is>
          <t>SÖDERMANLANDS LÄN</t>
        </is>
      </c>
      <c r="G80" t="inlineStr">
        <is>
          <t>FLEN</t>
        </is>
      </c>
      <c r="H80" t="inlineStr">
        <is>
          <t>Holmen skog AB</t>
        </is>
      </c>
      <c r="I80" t="n">
        <v>7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5</v>
      </c>
      <c r="U80" t="n">
        <v>0</v>
      </c>
      <c r="V80" s="2" t="inlineStr">
        <is>
          <t>Motaggsvamp
Vedskivlav</t>
        </is>
      </c>
      <c r="W80">
        <f>HYPERLINK("https://klasma.github.io/Logging_0482/artfynd/A 34849-2026 artfynd.xlsx", "A 34849-2026")</f>
        <v/>
      </c>
      <c r="X80">
        <f>HYPERLINK("https://klasma.github.io/Logging_0482/kartor/A 34849-2026 karta.png", "A 34849-2026")</f>
        <v/>
      </c>
      <c r="Y80">
        <f>HYPERLINK("https://klasma.github.io/Logging_0482/kartor_geotiff/A 34849-2026 georefererad karta.tif", "A 34849-2026")</f>
        <v/>
      </c>
      <c r="AA80">
        <f>HYPERLINK("https://klasma.github.io/Logging_0482/klagomål/A 34849-2026 FSC-klagomål.docx", "A 34849-2026")</f>
        <v/>
      </c>
      <c r="AB80">
        <f>HYPERLINK("https://klasma.github.io/Logging_0482/klagomålsmail/A 34849-2026 FSC-klagomål mail.docx", "A 34849-2026")</f>
        <v/>
      </c>
      <c r="AC80">
        <f>HYPERLINK("https://klasma.github.io/Logging_0482/tillsyn/A 34849-2026 tillsynsbegäran.docx", "A 34849-2026")</f>
        <v/>
      </c>
      <c r="AD80">
        <f>HYPERLINK("https://klasma.github.io/Logging_0482/tillsynsmail/A 34849-2026 tillsynsbegäran mail.docx", "A 34849-2026")</f>
        <v/>
      </c>
    </row>
    <row r="81" ht="15" customHeight="1">
      <c r="A81" t="inlineStr">
        <is>
          <t>A 59607-2022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44907</v>
      </c>
      <c r="E81" s="1" t="n">
        <v>46300</v>
      </c>
      <c r="F81" t="inlineStr">
        <is>
          <t>SÖDERMANLANDS LÄN</t>
        </is>
      </c>
      <c r="G81" t="inlineStr">
        <is>
          <t>FLEN</t>
        </is>
      </c>
      <c r="I81" t="n">
        <v>1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Jungfrulin
Svinrot</t>
        </is>
      </c>
      <c r="W81">
        <f>HYPERLINK("https://klasma.github.io/Logging_0482/artfynd/A 59607-2022 artfynd.xlsx", "A 59607-2022")</f>
        <v/>
      </c>
      <c r="X81">
        <f>HYPERLINK("https://klasma.github.io/Logging_0482/kartor/A 59607-2022 karta.png", "A 59607-2022")</f>
        <v/>
      </c>
      <c r="Y81">
        <f>HYPERLINK("https://klasma.github.io/Logging_0482/kartor_geotiff/A 59607-2022 georefererad karta.tif", "A 59607-2022")</f>
        <v/>
      </c>
      <c r="AA81">
        <f>HYPERLINK("https://klasma.github.io/Logging_0482/klagomål/A 59607-2022 FSC-klagomål.docx", "A 59607-2022")</f>
        <v/>
      </c>
      <c r="AB81">
        <f>HYPERLINK("https://klasma.github.io/Logging_0482/klagomålsmail/A 59607-2022 FSC-klagomål mail.docx", "A 59607-2022")</f>
        <v/>
      </c>
      <c r="AC81">
        <f>HYPERLINK("https://klasma.github.io/Logging_0482/tillsyn/A 59607-2022 tillsynsbegäran.docx", "A 59607-2022")</f>
        <v/>
      </c>
      <c r="AD81">
        <f>HYPERLINK("https://klasma.github.io/Logging_0482/tillsynsmail/A 59607-2022 tillsynsbegäran mail.docx", "A 59607-2022")</f>
        <v/>
      </c>
    </row>
    <row r="82" ht="15" customHeight="1">
      <c r="A82" t="inlineStr">
        <is>
          <t>A 5852-2022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46300</v>
      </c>
      <c r="F82" t="inlineStr">
        <is>
          <t>SÖDERMANLANDS LÄN</t>
        </is>
      </c>
      <c r="G82" t="inlineStr">
        <is>
          <t>FLEN</t>
        </is>
      </c>
      <c r="I82" t="n">
        <v>2.6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Kamjordstjärna
Gullviva</t>
        </is>
      </c>
      <c r="W82">
        <f>HYPERLINK("https://klasma.github.io/Logging_0482/artfynd/A 5852-2022 artfynd.xlsx", "A 5852-2022")</f>
        <v/>
      </c>
      <c r="X82">
        <f>HYPERLINK("https://klasma.github.io/Logging_0482/kartor/A 5852-2022 karta.png", "A 5852-2022")</f>
        <v/>
      </c>
      <c r="Y82">
        <f>HYPERLINK("https://klasma.github.io/Logging_0482/kartor_geotiff/A 5852-2022 georefererad karta.tif", "A 5852-2022")</f>
        <v/>
      </c>
      <c r="AA82">
        <f>HYPERLINK("https://klasma.github.io/Logging_0482/klagomål/A 5852-2022 FSC-klagomål.docx", "A 5852-2022")</f>
        <v/>
      </c>
      <c r="AB82">
        <f>HYPERLINK("https://klasma.github.io/Logging_0482/klagomålsmail/A 5852-2022 FSC-klagomål mail.docx", "A 5852-2022")</f>
        <v/>
      </c>
      <c r="AC82">
        <f>HYPERLINK("https://klasma.github.io/Logging_0482/tillsyn/A 5852-2022 tillsynsbegäran.docx", "A 5852-2022")</f>
        <v/>
      </c>
      <c r="AD82">
        <f>HYPERLINK("https://klasma.github.io/Logging_0482/tillsynsmail/A 5852-2022 tillsynsbegäran mail.docx", "A 5852-2022")</f>
        <v/>
      </c>
    </row>
    <row r="83" ht="15" customHeight="1">
      <c r="A83" t="inlineStr">
        <is>
          <t>A 39240-2023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45166</v>
      </c>
      <c r="E83" s="1" t="n">
        <v>46300</v>
      </c>
      <c r="F83" t="inlineStr">
        <is>
          <t>SÖDERMANLANDS LÄN</t>
        </is>
      </c>
      <c r="G83" t="inlineStr">
        <is>
          <t>FLEN</t>
        </is>
      </c>
      <c r="H83" t="inlineStr">
        <is>
          <t>Holmen skog AB</t>
        </is>
      </c>
      <c r="I83" t="n">
        <v>4.6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Motaggsvamp
Blodticka</t>
        </is>
      </c>
      <c r="W83">
        <f>HYPERLINK("https://klasma.github.io/Logging_0482/artfynd/A 39240-2023 artfynd.xlsx", "A 39240-2023")</f>
        <v/>
      </c>
      <c r="X83">
        <f>HYPERLINK("https://klasma.github.io/Logging_0482/kartor/A 39240-2023 karta.png", "A 39240-2023")</f>
        <v/>
      </c>
      <c r="Y83">
        <f>HYPERLINK("https://klasma.github.io/Logging_0482/kartor_geotiff/A 39240-2023 georefererad karta.tif", "A 39240-2023")</f>
        <v/>
      </c>
      <c r="AA83">
        <f>HYPERLINK("https://klasma.github.io/Logging_0482/klagomål/A 39240-2023 FSC-klagomål.docx", "A 39240-2023")</f>
        <v/>
      </c>
      <c r="AB83">
        <f>HYPERLINK("https://klasma.github.io/Logging_0482/klagomålsmail/A 39240-2023 FSC-klagomål mail.docx", "A 39240-2023")</f>
        <v/>
      </c>
      <c r="AC83">
        <f>HYPERLINK("https://klasma.github.io/Logging_0482/tillsyn/A 39240-2023 tillsynsbegäran.docx", "A 39240-2023")</f>
        <v/>
      </c>
      <c r="AD83">
        <f>HYPERLINK("https://klasma.github.io/Logging_0482/tillsynsmail/A 39240-2023 tillsynsbegäran mail.docx", "A 39240-2023")</f>
        <v/>
      </c>
    </row>
    <row r="84" ht="15" customHeight="1">
      <c r="A84" t="inlineStr">
        <is>
          <t>A 47194-2022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44848</v>
      </c>
      <c r="E84" s="1" t="n">
        <v>46300</v>
      </c>
      <c r="F84" t="inlineStr">
        <is>
          <t>SÖDERMANLANDS LÄN</t>
        </is>
      </c>
      <c r="G84" t="inlineStr">
        <is>
          <t>FLEN</t>
        </is>
      </c>
      <c r="H84" t="inlineStr">
        <is>
          <t>Övriga statliga verk och myndigheter</t>
        </is>
      </c>
      <c r="I84" t="n">
        <v>2.3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Gullklöver
Svinrot</t>
        </is>
      </c>
      <c r="W84">
        <f>HYPERLINK("https://klasma.github.io/Logging_0482/artfynd/A 47194-2022 artfynd.xlsx", "A 47194-2022")</f>
        <v/>
      </c>
      <c r="X84">
        <f>HYPERLINK("https://klasma.github.io/Logging_0482/kartor/A 47194-2022 karta.png", "A 47194-2022")</f>
        <v/>
      </c>
      <c r="Y84">
        <f>HYPERLINK("https://klasma.github.io/Logging_0482/kartor_geotiff/A 47194-2022 georefererad karta.tif", "A 47194-2022")</f>
        <v/>
      </c>
      <c r="AA84">
        <f>HYPERLINK("https://klasma.github.io/Logging_0482/klagomål/A 47194-2022 FSC-klagomål.docx", "A 47194-2022")</f>
        <v/>
      </c>
      <c r="AB84">
        <f>HYPERLINK("https://klasma.github.io/Logging_0482/klagomålsmail/A 47194-2022 FSC-klagomål mail.docx", "A 47194-2022")</f>
        <v/>
      </c>
      <c r="AC84">
        <f>HYPERLINK("https://klasma.github.io/Logging_0482/tillsyn/A 47194-2022 tillsynsbegäran.docx", "A 47194-2022")</f>
        <v/>
      </c>
      <c r="AD84">
        <f>HYPERLINK("https://klasma.github.io/Logging_0482/tillsynsmail/A 47194-2022 tillsynsbegäran mail.docx", "A 47194-2022")</f>
        <v/>
      </c>
    </row>
    <row r="85" ht="15" customHeight="1">
      <c r="A85" t="inlineStr">
        <is>
          <t>A 22511-2026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46155</v>
      </c>
      <c r="E85" s="1" t="n">
        <v>46300</v>
      </c>
      <c r="F85" t="inlineStr">
        <is>
          <t>SÖDERMANLANDS LÄN</t>
        </is>
      </c>
      <c r="G85" t="inlineStr">
        <is>
          <t>FLEN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Ormbär
Skriftlav</t>
        </is>
      </c>
      <c r="W85">
        <f>HYPERLINK("https://klasma.github.io/Logging_0482/artfynd/A 22511-2026 artfynd.xlsx", "A 22511-2026")</f>
        <v/>
      </c>
      <c r="X85">
        <f>HYPERLINK("https://klasma.github.io/Logging_0482/kartor/A 22511-2026 karta.png", "A 22511-2026")</f>
        <v/>
      </c>
      <c r="Y85">
        <f>HYPERLINK("https://klasma.github.io/Logging_0482/kartor_geotiff/A 22511-2026 georefererad karta.tif", "A 22511-2026")</f>
        <v/>
      </c>
      <c r="AA85">
        <f>HYPERLINK("https://klasma.github.io/Logging_0482/klagomål/A 22511-2026 FSC-klagomål.docx", "A 22511-2026")</f>
        <v/>
      </c>
      <c r="AB85">
        <f>HYPERLINK("https://klasma.github.io/Logging_0482/klagomålsmail/A 22511-2026 FSC-klagomål mail.docx", "A 22511-2026")</f>
        <v/>
      </c>
      <c r="AC85">
        <f>HYPERLINK("https://klasma.github.io/Logging_0482/tillsyn/A 22511-2026 tillsynsbegäran.docx", "A 22511-2026")</f>
        <v/>
      </c>
      <c r="AD85">
        <f>HYPERLINK("https://klasma.github.io/Logging_0482/tillsynsmail/A 22511-2026 tillsynsbegäran mail.docx", "A 22511-2026")</f>
        <v/>
      </c>
    </row>
    <row r="86" ht="15" customHeight="1">
      <c r="A86" t="inlineStr">
        <is>
          <t>A 33107-2022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44785</v>
      </c>
      <c r="E86" s="1" t="n">
        <v>46300</v>
      </c>
      <c r="F86" t="inlineStr">
        <is>
          <t>SÖDERMANLANDS LÄN</t>
        </is>
      </c>
      <c r="G86" t="inlineStr">
        <is>
          <t>FLEN</t>
        </is>
      </c>
      <c r="I86" t="n">
        <v>5.9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Fjällig taggsvamp s.str.
Gullklöver</t>
        </is>
      </c>
      <c r="W86">
        <f>HYPERLINK("https://klasma.github.io/Logging_0482/artfynd/A 33107-2022 artfynd.xlsx", "A 33107-2022")</f>
        <v/>
      </c>
      <c r="X86">
        <f>HYPERLINK("https://klasma.github.io/Logging_0482/kartor/A 33107-2022 karta.png", "A 33107-2022")</f>
        <v/>
      </c>
      <c r="Y86">
        <f>HYPERLINK("https://klasma.github.io/Logging_0482/kartor_geotiff/A 33107-2022 georefererad karta.tif", "A 33107-2022")</f>
        <v/>
      </c>
      <c r="AA86">
        <f>HYPERLINK("https://klasma.github.io/Logging_0482/klagomål/A 33107-2022 FSC-klagomål.docx", "A 33107-2022")</f>
        <v/>
      </c>
      <c r="AB86">
        <f>HYPERLINK("https://klasma.github.io/Logging_0482/klagomålsmail/A 33107-2022 FSC-klagomål mail.docx", "A 33107-2022")</f>
        <v/>
      </c>
      <c r="AC86">
        <f>HYPERLINK("https://klasma.github.io/Logging_0482/tillsyn/A 33107-2022 tillsynsbegäran.docx", "A 33107-2022")</f>
        <v/>
      </c>
      <c r="AD86">
        <f>HYPERLINK("https://klasma.github.io/Logging_0482/tillsynsmail/A 33107-2022 tillsynsbegäran mail.docx", "A 33107-2022")</f>
        <v/>
      </c>
    </row>
    <row r="87" ht="15" customHeight="1">
      <c r="A87" t="inlineStr">
        <is>
          <t>A 10825-2022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44624</v>
      </c>
      <c r="E87" s="1" t="n">
        <v>46300</v>
      </c>
      <c r="F87" t="inlineStr">
        <is>
          <t>SÖDERMANLANDS LÄN</t>
        </is>
      </c>
      <c r="G87" t="inlineStr">
        <is>
          <t>FLEN</t>
        </is>
      </c>
      <c r="I87" t="n">
        <v>4.7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Svinrot
Vanlig backsmörblomma</t>
        </is>
      </c>
      <c r="W87">
        <f>HYPERLINK("https://klasma.github.io/Logging_0482/artfynd/A 10825-2022 artfynd.xlsx", "A 10825-2022")</f>
        <v/>
      </c>
      <c r="X87">
        <f>HYPERLINK("https://klasma.github.io/Logging_0482/kartor/A 10825-2022 karta.png", "A 10825-2022")</f>
        <v/>
      </c>
      <c r="Y87">
        <f>HYPERLINK("https://klasma.github.io/Logging_0482/kartor_geotiff/A 10825-2022 georefererad karta.tif", "A 10825-2022")</f>
        <v/>
      </c>
      <c r="AA87">
        <f>HYPERLINK("https://klasma.github.io/Logging_0482/klagomål/A 10825-2022 FSC-klagomål.docx", "A 10825-2022")</f>
        <v/>
      </c>
      <c r="AB87">
        <f>HYPERLINK("https://klasma.github.io/Logging_0482/klagomålsmail/A 10825-2022 FSC-klagomål mail.docx", "A 10825-2022")</f>
        <v/>
      </c>
      <c r="AC87">
        <f>HYPERLINK("https://klasma.github.io/Logging_0482/tillsyn/A 10825-2022 tillsynsbegäran.docx", "A 10825-2022")</f>
        <v/>
      </c>
      <c r="AD87">
        <f>HYPERLINK("https://klasma.github.io/Logging_0482/tillsynsmail/A 10825-2022 tillsynsbegäran mail.docx", "A 10825-2022")</f>
        <v/>
      </c>
    </row>
    <row r="88" ht="15" customHeight="1">
      <c r="A88" t="inlineStr">
        <is>
          <t>A 11103-2023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44986</v>
      </c>
      <c r="E88" s="1" t="n">
        <v>46300</v>
      </c>
      <c r="F88" t="inlineStr">
        <is>
          <t>SÖDERMANLANDS LÄN</t>
        </is>
      </c>
      <c r="G88" t="inlineStr">
        <is>
          <t>FLEN</t>
        </is>
      </c>
      <c r="I88" t="n">
        <v>8.9</v>
      </c>
      <c r="J88" t="n">
        <v>0</v>
      </c>
      <c r="K88" t="n">
        <v>1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Ask
Blåmossa</t>
        </is>
      </c>
      <c r="W88">
        <f>HYPERLINK("https://klasma.github.io/Logging_0482/artfynd/A 11103-2023 artfynd.xlsx", "A 11103-2023")</f>
        <v/>
      </c>
      <c r="X88">
        <f>HYPERLINK("https://klasma.github.io/Logging_0482/kartor/A 11103-2023 karta.png", "A 11103-2023")</f>
        <v/>
      </c>
      <c r="Y88">
        <f>HYPERLINK("https://klasma.github.io/Logging_0482/kartor_geotiff/A 11103-2023 georefererad karta.tif", "A 11103-2023")</f>
        <v/>
      </c>
      <c r="AA88">
        <f>HYPERLINK("https://klasma.github.io/Logging_0482/klagomål/A 11103-2023 FSC-klagomål.docx", "A 11103-2023")</f>
        <v/>
      </c>
      <c r="AB88">
        <f>HYPERLINK("https://klasma.github.io/Logging_0482/klagomålsmail/A 11103-2023 FSC-klagomål mail.docx", "A 11103-2023")</f>
        <v/>
      </c>
      <c r="AC88">
        <f>HYPERLINK("https://klasma.github.io/Logging_0482/tillsyn/A 11103-2023 tillsynsbegäran.docx", "A 11103-2023")</f>
        <v/>
      </c>
      <c r="AD88">
        <f>HYPERLINK("https://klasma.github.io/Logging_0482/tillsynsmail/A 11103-2023 tillsynsbegäran mail.docx", "A 11103-2023")</f>
        <v/>
      </c>
    </row>
    <row r="89" ht="15" customHeight="1">
      <c r="A89" t="inlineStr">
        <is>
          <t>A 19994-2022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44697</v>
      </c>
      <c r="E89" s="1" t="n">
        <v>46300</v>
      </c>
      <c r="F89" t="inlineStr">
        <is>
          <t>SÖDERMANLANDS LÄN</t>
        </is>
      </c>
      <c r="G89" t="inlineStr">
        <is>
          <t>FLEN</t>
        </is>
      </c>
      <c r="H89" t="inlineStr">
        <is>
          <t>Kyrkan</t>
        </is>
      </c>
      <c r="I89" t="n">
        <v>3.2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Mandelriska</t>
        </is>
      </c>
      <c r="W89">
        <f>HYPERLINK("https://klasma.github.io/Logging_0482/artfynd/A 19994-2022 artfynd.xlsx", "A 19994-2022")</f>
        <v/>
      </c>
      <c r="X89">
        <f>HYPERLINK("https://klasma.github.io/Logging_0482/kartor/A 19994-2022 karta.png", "A 19994-2022")</f>
        <v/>
      </c>
      <c r="Y89">
        <f>HYPERLINK("https://klasma.github.io/Logging_0482/kartor_geotiff/A 19994-2022 georefererad karta.tif", "A 19994-2022")</f>
        <v/>
      </c>
      <c r="AA89">
        <f>HYPERLINK("https://klasma.github.io/Logging_0482/klagomål/A 19994-2022 FSC-klagomål.docx", "A 19994-2022")</f>
        <v/>
      </c>
      <c r="AB89">
        <f>HYPERLINK("https://klasma.github.io/Logging_0482/klagomålsmail/A 19994-2022 FSC-klagomål mail.docx", "A 19994-2022")</f>
        <v/>
      </c>
      <c r="AC89">
        <f>HYPERLINK("https://klasma.github.io/Logging_0482/tillsyn/A 19994-2022 tillsynsbegäran.docx", "A 19994-2022")</f>
        <v/>
      </c>
      <c r="AD89">
        <f>HYPERLINK("https://klasma.github.io/Logging_0482/tillsynsmail/A 19994-2022 tillsynsbegäran mail.docx", "A 19994-2022")</f>
        <v/>
      </c>
    </row>
    <row r="90" ht="15" customHeight="1">
      <c r="A90" t="inlineStr">
        <is>
          <t>A 28153-2022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44746</v>
      </c>
      <c r="E90" s="1" t="n">
        <v>46300</v>
      </c>
      <c r="F90" t="inlineStr">
        <is>
          <t>SÖDERMANLANDS LÄN</t>
        </is>
      </c>
      <c r="G90" t="inlineStr">
        <is>
          <t>FLEN</t>
        </is>
      </c>
      <c r="I90" t="n">
        <v>3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Älg</t>
        </is>
      </c>
      <c r="W90">
        <f>HYPERLINK("https://klasma.github.io/Logging_0482/artfynd/A 28153-2022 artfynd.xlsx", "A 28153-2022")</f>
        <v/>
      </c>
      <c r="X90">
        <f>HYPERLINK("https://klasma.github.io/Logging_0482/kartor/A 28153-2022 karta.png", "A 28153-2022")</f>
        <v/>
      </c>
      <c r="Y90">
        <f>HYPERLINK("https://klasma.github.io/Logging_0482/kartor_geotiff/A 28153-2022 georefererad karta.tif", "A 28153-2022")</f>
        <v/>
      </c>
      <c r="AA90">
        <f>HYPERLINK("https://klasma.github.io/Logging_0482/klagomål/A 28153-2022 FSC-klagomål.docx", "A 28153-2022")</f>
        <v/>
      </c>
      <c r="AB90">
        <f>HYPERLINK("https://klasma.github.io/Logging_0482/klagomålsmail/A 28153-2022 FSC-klagomål mail.docx", "A 28153-2022")</f>
        <v/>
      </c>
      <c r="AC90">
        <f>HYPERLINK("https://klasma.github.io/Logging_0482/tillsyn/A 28153-2022 tillsynsbegäran.docx", "A 28153-2022")</f>
        <v/>
      </c>
      <c r="AD90">
        <f>HYPERLINK("https://klasma.github.io/Logging_0482/tillsynsmail/A 28153-2022 tillsynsbegäran mail.docx", "A 28153-2022")</f>
        <v/>
      </c>
    </row>
    <row r="91" ht="15" customHeight="1">
      <c r="A91" t="inlineStr">
        <is>
          <t>A 62355-2021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44503</v>
      </c>
      <c r="E91" s="1" t="n">
        <v>46300</v>
      </c>
      <c r="F91" t="inlineStr">
        <is>
          <t>SÖDERMANLANDS LÄN</t>
        </is>
      </c>
      <c r="G91" t="inlineStr">
        <is>
          <t>FLEN</t>
        </is>
      </c>
      <c r="I91" t="n">
        <v>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Svinrot</t>
        </is>
      </c>
      <c r="W91">
        <f>HYPERLINK("https://klasma.github.io/Logging_0482/artfynd/A 62355-2021 artfynd.xlsx", "A 62355-2021")</f>
        <v/>
      </c>
      <c r="X91">
        <f>HYPERLINK("https://klasma.github.io/Logging_0482/kartor/A 62355-2021 karta.png", "A 62355-2021")</f>
        <v/>
      </c>
      <c r="Y91">
        <f>HYPERLINK("https://klasma.github.io/Logging_0482/kartor_geotiff/A 62355-2021 georefererad karta.tif", "A 62355-2021")</f>
        <v/>
      </c>
      <c r="AA91">
        <f>HYPERLINK("https://klasma.github.io/Logging_0482/klagomål/A 62355-2021 FSC-klagomål.docx", "A 62355-2021")</f>
        <v/>
      </c>
      <c r="AB91">
        <f>HYPERLINK("https://klasma.github.io/Logging_0482/klagomålsmail/A 62355-2021 FSC-klagomål mail.docx", "A 62355-2021")</f>
        <v/>
      </c>
      <c r="AC91">
        <f>HYPERLINK("https://klasma.github.io/Logging_0482/tillsyn/A 62355-2021 tillsynsbegäran.docx", "A 62355-2021")</f>
        <v/>
      </c>
      <c r="AD91">
        <f>HYPERLINK("https://klasma.github.io/Logging_0482/tillsynsmail/A 62355-2021 tillsynsbegäran mail.docx", "A 62355-2021")</f>
        <v/>
      </c>
    </row>
    <row r="92" ht="15" customHeight="1">
      <c r="A92" t="inlineStr">
        <is>
          <t>A 7883-2022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44608</v>
      </c>
      <c r="E92" s="1" t="n">
        <v>46300</v>
      </c>
      <c r="F92" t="inlineStr">
        <is>
          <t>SÖDERMANLANDS LÄN</t>
        </is>
      </c>
      <c r="G92" t="inlineStr">
        <is>
          <t>FLEN</t>
        </is>
      </c>
      <c r="H92" t="inlineStr">
        <is>
          <t>Övriga statliga verk och myndigheter</t>
        </is>
      </c>
      <c r="I92" t="n">
        <v>2.2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Plattlummer</t>
        </is>
      </c>
      <c r="W92">
        <f>HYPERLINK("https://klasma.github.io/Logging_0482/artfynd/A 7883-2022 artfynd.xlsx", "A 7883-2022")</f>
        <v/>
      </c>
      <c r="X92">
        <f>HYPERLINK("https://klasma.github.io/Logging_0482/kartor/A 7883-2022 karta.png", "A 7883-2022")</f>
        <v/>
      </c>
      <c r="Y92">
        <f>HYPERLINK("https://klasma.github.io/Logging_0482/kartor_geotiff/A 7883-2022 georefererad karta.tif", "A 7883-2022")</f>
        <v/>
      </c>
      <c r="AA92">
        <f>HYPERLINK("https://klasma.github.io/Logging_0482/klagomål/A 7883-2022 FSC-klagomål.docx", "A 7883-2022")</f>
        <v/>
      </c>
      <c r="AB92">
        <f>HYPERLINK("https://klasma.github.io/Logging_0482/klagomålsmail/A 7883-2022 FSC-klagomål mail.docx", "A 7883-2022")</f>
        <v/>
      </c>
      <c r="AC92">
        <f>HYPERLINK("https://klasma.github.io/Logging_0482/tillsyn/A 7883-2022 tillsynsbegäran.docx", "A 7883-2022")</f>
        <v/>
      </c>
      <c r="AD92">
        <f>HYPERLINK("https://klasma.github.io/Logging_0482/tillsynsmail/A 7883-2022 tillsynsbegäran mail.docx", "A 7883-2022")</f>
        <v/>
      </c>
    </row>
    <row r="93" ht="15" customHeight="1">
      <c r="A93" t="inlineStr">
        <is>
          <t>A 44563-2022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44838</v>
      </c>
      <c r="E93" s="1" t="n">
        <v>46300</v>
      </c>
      <c r="F93" t="inlineStr">
        <is>
          <t>SÖDERMANLANDS LÄN</t>
        </is>
      </c>
      <c r="G93" t="inlineStr">
        <is>
          <t>FLEN</t>
        </is>
      </c>
      <c r="I93" t="n">
        <v>1.5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Blåsippa</t>
        </is>
      </c>
      <c r="W93">
        <f>HYPERLINK("https://klasma.github.io/Logging_0482/artfynd/A 44563-2022 artfynd.xlsx", "A 44563-2022")</f>
        <v/>
      </c>
      <c r="X93">
        <f>HYPERLINK("https://klasma.github.io/Logging_0482/kartor/A 44563-2022 karta.png", "A 44563-2022")</f>
        <v/>
      </c>
      <c r="Y93">
        <f>HYPERLINK("https://klasma.github.io/Logging_0482/kartor_geotiff/A 44563-2022 georefererad karta.tif", "A 44563-2022")</f>
        <v/>
      </c>
      <c r="AA93">
        <f>HYPERLINK("https://klasma.github.io/Logging_0482/klagomål/A 44563-2022 FSC-klagomål.docx", "A 44563-2022")</f>
        <v/>
      </c>
      <c r="AB93">
        <f>HYPERLINK("https://klasma.github.io/Logging_0482/klagomålsmail/A 44563-2022 FSC-klagomål mail.docx", "A 44563-2022")</f>
        <v/>
      </c>
      <c r="AC93">
        <f>HYPERLINK("https://klasma.github.io/Logging_0482/tillsyn/A 44563-2022 tillsynsbegäran.docx", "A 44563-2022")</f>
        <v/>
      </c>
      <c r="AD93">
        <f>HYPERLINK("https://klasma.github.io/Logging_0482/tillsynsmail/A 44563-2022 tillsynsbegäran mail.docx", "A 44563-2022")</f>
        <v/>
      </c>
    </row>
    <row r="94" ht="15" customHeight="1">
      <c r="A94" t="inlineStr">
        <is>
          <t>A 26245-2022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44735</v>
      </c>
      <c r="E94" s="1" t="n">
        <v>46300</v>
      </c>
      <c r="F94" t="inlineStr">
        <is>
          <t>SÖDERMANLANDS LÄN</t>
        </is>
      </c>
      <c r="G94" t="inlineStr">
        <is>
          <t>FLEN</t>
        </is>
      </c>
      <c r="I94" t="n">
        <v>2.9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Blanksvart trämyra</t>
        </is>
      </c>
      <c r="W94">
        <f>HYPERLINK("https://klasma.github.io/Logging_0482/artfynd/A 26245-2022 artfynd.xlsx", "A 26245-2022")</f>
        <v/>
      </c>
      <c r="X94">
        <f>HYPERLINK("https://klasma.github.io/Logging_0482/kartor/A 26245-2022 karta.png", "A 26245-2022")</f>
        <v/>
      </c>
      <c r="Y94">
        <f>HYPERLINK("https://klasma.github.io/Logging_0482/kartor_geotiff/A 26245-2022 georefererad karta.tif", "A 26245-2022")</f>
        <v/>
      </c>
      <c r="AA94">
        <f>HYPERLINK("https://klasma.github.io/Logging_0482/klagomål/A 26245-2022 FSC-klagomål.docx", "A 26245-2022")</f>
        <v/>
      </c>
      <c r="AB94">
        <f>HYPERLINK("https://klasma.github.io/Logging_0482/klagomålsmail/A 26245-2022 FSC-klagomål mail.docx", "A 26245-2022")</f>
        <v/>
      </c>
      <c r="AC94">
        <f>HYPERLINK("https://klasma.github.io/Logging_0482/tillsyn/A 26245-2022 tillsynsbegäran.docx", "A 26245-2022")</f>
        <v/>
      </c>
      <c r="AD94">
        <f>HYPERLINK("https://klasma.github.io/Logging_0482/tillsynsmail/A 26245-2022 tillsynsbegäran mail.docx", "A 26245-2022")</f>
        <v/>
      </c>
    </row>
    <row r="95" ht="15" customHeight="1">
      <c r="A95" t="inlineStr">
        <is>
          <t>A 34823-2023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45140</v>
      </c>
      <c r="E95" s="1" t="n">
        <v>46300</v>
      </c>
      <c r="F95" t="inlineStr">
        <is>
          <t>SÖDERMANLANDS LÄN</t>
        </is>
      </c>
      <c r="G95" t="inlineStr">
        <is>
          <t>FLEN</t>
        </is>
      </c>
      <c r="I95" t="n">
        <v>1.3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Mörk dunört</t>
        </is>
      </c>
      <c r="W95">
        <f>HYPERLINK("https://klasma.github.io/Logging_0482/artfynd/A 34823-2023 artfynd.xlsx", "A 34823-2023")</f>
        <v/>
      </c>
      <c r="X95">
        <f>HYPERLINK("https://klasma.github.io/Logging_0482/kartor/A 34823-2023 karta.png", "A 34823-2023")</f>
        <v/>
      </c>
      <c r="Y95">
        <f>HYPERLINK("https://klasma.github.io/Logging_0482/kartor_geotiff/A 34823-2023 georefererad karta.tif", "A 34823-2023")</f>
        <v/>
      </c>
      <c r="AA95">
        <f>HYPERLINK("https://klasma.github.io/Logging_0482/klagomål/A 34823-2023 FSC-klagomål.docx", "A 34823-2023")</f>
        <v/>
      </c>
      <c r="AB95">
        <f>HYPERLINK("https://klasma.github.io/Logging_0482/klagomålsmail/A 34823-2023 FSC-klagomål mail.docx", "A 34823-2023")</f>
        <v/>
      </c>
      <c r="AC95">
        <f>HYPERLINK("https://klasma.github.io/Logging_0482/tillsyn/A 34823-2023 tillsynsbegäran.docx", "A 34823-2023")</f>
        <v/>
      </c>
      <c r="AD95">
        <f>HYPERLINK("https://klasma.github.io/Logging_0482/tillsynsmail/A 34823-2023 tillsynsbegäran mail.docx", "A 34823-2023")</f>
        <v/>
      </c>
    </row>
    <row r="96" ht="15" customHeight="1">
      <c r="A96" t="inlineStr">
        <is>
          <t>A 31972-2024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45510</v>
      </c>
      <c r="E96" s="1" t="n">
        <v>46300</v>
      </c>
      <c r="F96" t="inlineStr">
        <is>
          <t>SÖDERMANLANDS LÄN</t>
        </is>
      </c>
      <c r="G96" t="inlineStr">
        <is>
          <t>FLEN</t>
        </is>
      </c>
      <c r="I96" t="n">
        <v>3.4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Åkerrödtoppa</t>
        </is>
      </c>
      <c r="W96">
        <f>HYPERLINK("https://klasma.github.io/Logging_0482/artfynd/A 31972-2024 artfynd.xlsx", "A 31972-2024")</f>
        <v/>
      </c>
      <c r="X96">
        <f>HYPERLINK("https://klasma.github.io/Logging_0482/kartor/A 31972-2024 karta.png", "A 31972-2024")</f>
        <v/>
      </c>
      <c r="Y96">
        <f>HYPERLINK("https://klasma.github.io/Logging_0482/kartor_geotiff/A 31972-2024 georefererad karta.tif", "A 31972-2024")</f>
        <v/>
      </c>
      <c r="AA96">
        <f>HYPERLINK("https://klasma.github.io/Logging_0482/klagomål/A 31972-2024 FSC-klagomål.docx", "A 31972-2024")</f>
        <v/>
      </c>
      <c r="AB96">
        <f>HYPERLINK("https://klasma.github.io/Logging_0482/klagomålsmail/A 31972-2024 FSC-klagomål mail.docx", "A 31972-2024")</f>
        <v/>
      </c>
      <c r="AC96">
        <f>HYPERLINK("https://klasma.github.io/Logging_0482/tillsyn/A 31972-2024 tillsynsbegäran.docx", "A 31972-2024")</f>
        <v/>
      </c>
      <c r="AD96">
        <f>HYPERLINK("https://klasma.github.io/Logging_0482/tillsynsmail/A 31972-2024 tillsynsbegäran mail.docx", "A 31972-2024")</f>
        <v/>
      </c>
    </row>
    <row r="97" ht="15" customHeight="1">
      <c r="A97" t="inlineStr">
        <is>
          <t>A 54737-2022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44881</v>
      </c>
      <c r="E97" s="1" t="n">
        <v>46300</v>
      </c>
      <c r="F97" t="inlineStr">
        <is>
          <t>SÖDERMANLANDS LÄN</t>
        </is>
      </c>
      <c r="G97" t="inlineStr">
        <is>
          <t>FLEN</t>
        </is>
      </c>
      <c r="I97" t="n">
        <v>5.7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Gullklöver</t>
        </is>
      </c>
      <c r="W97">
        <f>HYPERLINK("https://klasma.github.io/Logging_0482/artfynd/A 54737-2022 artfynd.xlsx", "A 54737-2022")</f>
        <v/>
      </c>
      <c r="X97">
        <f>HYPERLINK("https://klasma.github.io/Logging_0482/kartor/A 54737-2022 karta.png", "A 54737-2022")</f>
        <v/>
      </c>
      <c r="Y97">
        <f>HYPERLINK("https://klasma.github.io/Logging_0482/kartor_geotiff/A 54737-2022 georefererad karta.tif", "A 54737-2022")</f>
        <v/>
      </c>
      <c r="AA97">
        <f>HYPERLINK("https://klasma.github.io/Logging_0482/klagomål/A 54737-2022 FSC-klagomål.docx", "A 54737-2022")</f>
        <v/>
      </c>
      <c r="AB97">
        <f>HYPERLINK("https://klasma.github.io/Logging_0482/klagomålsmail/A 54737-2022 FSC-klagomål mail.docx", "A 54737-2022")</f>
        <v/>
      </c>
      <c r="AC97">
        <f>HYPERLINK("https://klasma.github.io/Logging_0482/tillsyn/A 54737-2022 tillsynsbegäran.docx", "A 54737-2022")</f>
        <v/>
      </c>
      <c r="AD97">
        <f>HYPERLINK("https://klasma.github.io/Logging_0482/tillsynsmail/A 54737-2022 tillsynsbegäran mail.docx", "A 54737-2022")</f>
        <v/>
      </c>
    </row>
    <row r="98" ht="15" customHeight="1">
      <c r="A98" t="inlineStr">
        <is>
          <t>A 56308-2024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45624</v>
      </c>
      <c r="E98" s="1" t="n">
        <v>46300</v>
      </c>
      <c r="F98" t="inlineStr">
        <is>
          <t>SÖDERMANLANDS LÄN</t>
        </is>
      </c>
      <c r="G98" t="inlineStr">
        <is>
          <t>FLEN</t>
        </is>
      </c>
      <c r="I98" t="n">
        <v>2.1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Gullklöver</t>
        </is>
      </c>
      <c r="W98">
        <f>HYPERLINK("https://klasma.github.io/Logging_0482/artfynd/A 56308-2024 artfynd.xlsx", "A 56308-2024")</f>
        <v/>
      </c>
      <c r="X98">
        <f>HYPERLINK("https://klasma.github.io/Logging_0482/kartor/A 56308-2024 karta.png", "A 56308-2024")</f>
        <v/>
      </c>
      <c r="Y98">
        <f>HYPERLINK("https://klasma.github.io/Logging_0482/kartor_geotiff/A 56308-2024 georefererad karta.tif", "A 56308-2024")</f>
        <v/>
      </c>
      <c r="AA98">
        <f>HYPERLINK("https://klasma.github.io/Logging_0482/klagomål/A 56308-2024 FSC-klagomål.docx", "A 56308-2024")</f>
        <v/>
      </c>
      <c r="AB98">
        <f>HYPERLINK("https://klasma.github.io/Logging_0482/klagomålsmail/A 56308-2024 FSC-klagomål mail.docx", "A 56308-2024")</f>
        <v/>
      </c>
      <c r="AC98">
        <f>HYPERLINK("https://klasma.github.io/Logging_0482/tillsyn/A 56308-2024 tillsynsbegäran.docx", "A 56308-2024")</f>
        <v/>
      </c>
      <c r="AD98">
        <f>HYPERLINK("https://klasma.github.io/Logging_0482/tillsynsmail/A 56308-2024 tillsynsbegäran mail.docx", "A 56308-2024")</f>
        <v/>
      </c>
    </row>
    <row r="99" ht="15" customHeight="1">
      <c r="A99" t="inlineStr">
        <is>
          <t>A 13858-2023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45007</v>
      </c>
      <c r="E99" s="1" t="n">
        <v>46300</v>
      </c>
      <c r="F99" t="inlineStr">
        <is>
          <t>SÖDERMANLANDS LÄN</t>
        </is>
      </c>
      <c r="G99" t="inlineStr">
        <is>
          <t>FLEN</t>
        </is>
      </c>
      <c r="H99" t="inlineStr">
        <is>
          <t>Holmen skog AB</t>
        </is>
      </c>
      <c r="I99" t="n">
        <v>0.8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Svedjenäva</t>
        </is>
      </c>
      <c r="W99">
        <f>HYPERLINK("https://klasma.github.io/Logging_0482/artfynd/A 13858-2023 artfynd.xlsx", "A 13858-2023")</f>
        <v/>
      </c>
      <c r="X99">
        <f>HYPERLINK("https://klasma.github.io/Logging_0482/kartor/A 13858-2023 karta.png", "A 13858-2023")</f>
        <v/>
      </c>
      <c r="Y99">
        <f>HYPERLINK("https://klasma.github.io/Logging_0482/kartor_geotiff/A 13858-2023 georefererad karta.tif", "A 13858-2023")</f>
        <v/>
      </c>
      <c r="AA99">
        <f>HYPERLINK("https://klasma.github.io/Logging_0482/klagomål/A 13858-2023 FSC-klagomål.docx", "A 13858-2023")</f>
        <v/>
      </c>
      <c r="AB99">
        <f>HYPERLINK("https://klasma.github.io/Logging_0482/klagomålsmail/A 13858-2023 FSC-klagomål mail.docx", "A 13858-2023")</f>
        <v/>
      </c>
      <c r="AC99">
        <f>HYPERLINK("https://klasma.github.io/Logging_0482/tillsyn/A 13858-2023 tillsynsbegäran.docx", "A 13858-2023")</f>
        <v/>
      </c>
      <c r="AD99">
        <f>HYPERLINK("https://klasma.github.io/Logging_0482/tillsynsmail/A 13858-2023 tillsynsbegäran mail.docx", "A 13858-2023")</f>
        <v/>
      </c>
    </row>
    <row r="100" ht="15" customHeight="1">
      <c r="A100" t="inlineStr">
        <is>
          <t>A 2043-2026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46035</v>
      </c>
      <c r="E100" s="1" t="n">
        <v>46300</v>
      </c>
      <c r="F100" t="inlineStr">
        <is>
          <t>SÖDERMANLANDS LÄN</t>
        </is>
      </c>
      <c r="G100" t="inlineStr">
        <is>
          <t>FLEN</t>
        </is>
      </c>
      <c r="H100" t="inlineStr">
        <is>
          <t>Holmen skog AB</t>
        </is>
      </c>
      <c r="I100" t="n">
        <v>2.1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Scharlakansvaxing</t>
        </is>
      </c>
      <c r="W100">
        <f>HYPERLINK("https://klasma.github.io/Logging_0482/artfynd/A 2043-2026 artfynd.xlsx", "A 2043-2026")</f>
        <v/>
      </c>
      <c r="X100">
        <f>HYPERLINK("https://klasma.github.io/Logging_0482/kartor/A 2043-2026 karta.png", "A 2043-2026")</f>
        <v/>
      </c>
      <c r="Y100">
        <f>HYPERLINK("https://klasma.github.io/Logging_0482/kartor_geotiff/A 2043-2026 georefererad karta.tif", "A 2043-2026")</f>
        <v/>
      </c>
      <c r="AA100">
        <f>HYPERLINK("https://klasma.github.io/Logging_0482/klagomål/A 2043-2026 FSC-klagomål.docx", "A 2043-2026")</f>
        <v/>
      </c>
      <c r="AB100">
        <f>HYPERLINK("https://klasma.github.io/Logging_0482/klagomålsmail/A 2043-2026 FSC-klagomål mail.docx", "A 2043-2026")</f>
        <v/>
      </c>
      <c r="AC100">
        <f>HYPERLINK("https://klasma.github.io/Logging_0482/tillsyn/A 2043-2026 tillsynsbegäran.docx", "A 2043-2026")</f>
        <v/>
      </c>
      <c r="AD100">
        <f>HYPERLINK("https://klasma.github.io/Logging_0482/tillsynsmail/A 2043-2026 tillsynsbegäran mail.docx", "A 2043-2026")</f>
        <v/>
      </c>
    </row>
    <row r="101" ht="15" customHeight="1">
      <c r="A101" t="inlineStr">
        <is>
          <t>A 2036-2026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46035</v>
      </c>
      <c r="E101" s="1" t="n">
        <v>46300</v>
      </c>
      <c r="F101" t="inlineStr">
        <is>
          <t>SÖDERMANLANDS LÄN</t>
        </is>
      </c>
      <c r="G101" t="inlineStr">
        <is>
          <t>FLEN</t>
        </is>
      </c>
      <c r="H101" t="inlineStr">
        <is>
          <t>Holmen skog AB</t>
        </is>
      </c>
      <c r="I101" t="n">
        <v>0.6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HYPERLINK("https://klasma.github.io/Logging_0482/artfynd/A 2036-2026 artfynd.xlsx", "A 2036-2026")</f>
        <v/>
      </c>
      <c r="X101">
        <f>HYPERLINK("https://klasma.github.io/Logging_0482/kartor/A 2036-2026 karta.png", "A 2036-2026")</f>
        <v/>
      </c>
      <c r="Y101">
        <f>HYPERLINK("https://klasma.github.io/Logging_0482/kartor_geotiff/A 2036-2026 georefererad karta.tif", "A 2036-2026")</f>
        <v/>
      </c>
      <c r="Z101">
        <f>HYPERLINK("https://klasma.github.io/Logging_0482/knärot/A 2036-2026 karta knärot.png", "A 2036-2026")</f>
        <v/>
      </c>
      <c r="AA101">
        <f>HYPERLINK("https://klasma.github.io/Logging_0482/klagomål/A 2036-2026 FSC-klagomål.docx", "A 2036-2026")</f>
        <v/>
      </c>
      <c r="AB101">
        <f>HYPERLINK("https://klasma.github.io/Logging_0482/klagomålsmail/A 2036-2026 FSC-klagomål mail.docx", "A 2036-2026")</f>
        <v/>
      </c>
      <c r="AC101">
        <f>HYPERLINK("https://klasma.github.io/Logging_0482/tillsyn/A 2036-2026 tillsynsbegäran.docx", "A 2036-2026")</f>
        <v/>
      </c>
      <c r="AD101">
        <f>HYPERLINK("https://klasma.github.io/Logging_0482/tillsynsmail/A 2036-2026 tillsynsbegäran mail.docx", "A 2036-2026")</f>
        <v/>
      </c>
    </row>
    <row r="102" ht="15" customHeight="1">
      <c r="A102" t="inlineStr">
        <is>
          <t>A 6714-2026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46056</v>
      </c>
      <c r="E102" s="1" t="n">
        <v>46300</v>
      </c>
      <c r="F102" t="inlineStr">
        <is>
          <t>SÖDERMANLANDS LÄN</t>
        </is>
      </c>
      <c r="G102" t="inlineStr">
        <is>
          <t>FLEN</t>
        </is>
      </c>
      <c r="I102" t="n">
        <v>4.6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Svinrot</t>
        </is>
      </c>
      <c r="W102">
        <f>HYPERLINK("https://klasma.github.io/Logging_0482/artfynd/A 6714-2026 artfynd.xlsx", "A 6714-2026")</f>
        <v/>
      </c>
      <c r="X102">
        <f>HYPERLINK("https://klasma.github.io/Logging_0482/kartor/A 6714-2026 karta.png", "A 6714-2026")</f>
        <v/>
      </c>
      <c r="Y102">
        <f>HYPERLINK("https://klasma.github.io/Logging_0482/kartor_geotiff/A 6714-2026 georefererad karta.tif", "A 6714-2026")</f>
        <v/>
      </c>
      <c r="AA102">
        <f>HYPERLINK("https://klasma.github.io/Logging_0482/klagomål/A 6714-2026 FSC-klagomål.docx", "A 6714-2026")</f>
        <v/>
      </c>
      <c r="AB102">
        <f>HYPERLINK("https://klasma.github.io/Logging_0482/klagomålsmail/A 6714-2026 FSC-klagomål mail.docx", "A 6714-2026")</f>
        <v/>
      </c>
      <c r="AC102">
        <f>HYPERLINK("https://klasma.github.io/Logging_0482/tillsyn/A 6714-2026 tillsynsbegäran.docx", "A 6714-2026")</f>
        <v/>
      </c>
      <c r="AD102">
        <f>HYPERLINK("https://klasma.github.io/Logging_0482/tillsynsmail/A 6714-2026 tillsynsbegäran mail.docx", "A 6714-2026")</f>
        <v/>
      </c>
    </row>
    <row r="103" ht="15" customHeight="1">
      <c r="A103" t="inlineStr">
        <is>
          <t>A 37283-2024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45540</v>
      </c>
      <c r="E103" s="1" t="n">
        <v>46300</v>
      </c>
      <c r="F103" t="inlineStr">
        <is>
          <t>SÖDERMANLANDS LÄN</t>
        </is>
      </c>
      <c r="G103" t="inlineStr">
        <is>
          <t>FLEN</t>
        </is>
      </c>
      <c r="I103" t="n">
        <v>1.5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Gullklöver</t>
        </is>
      </c>
      <c r="W103">
        <f>HYPERLINK("https://klasma.github.io/Logging_0482/artfynd/A 37283-2024 artfynd.xlsx", "A 37283-2024")</f>
        <v/>
      </c>
      <c r="X103">
        <f>HYPERLINK("https://klasma.github.io/Logging_0482/kartor/A 37283-2024 karta.png", "A 37283-2024")</f>
        <v/>
      </c>
      <c r="Y103">
        <f>HYPERLINK("https://klasma.github.io/Logging_0482/kartor_geotiff/A 37283-2024 georefererad karta.tif", "A 37283-2024")</f>
        <v/>
      </c>
      <c r="AA103">
        <f>HYPERLINK("https://klasma.github.io/Logging_0482/klagomål/A 37283-2024 FSC-klagomål.docx", "A 37283-2024")</f>
        <v/>
      </c>
      <c r="AB103">
        <f>HYPERLINK("https://klasma.github.io/Logging_0482/klagomålsmail/A 37283-2024 FSC-klagomål mail.docx", "A 37283-2024")</f>
        <v/>
      </c>
      <c r="AC103">
        <f>HYPERLINK("https://klasma.github.io/Logging_0482/tillsyn/A 37283-2024 tillsynsbegäran.docx", "A 37283-2024")</f>
        <v/>
      </c>
      <c r="AD103">
        <f>HYPERLINK("https://klasma.github.io/Logging_0482/tillsynsmail/A 37283-2024 tillsynsbegäran mail.docx", "A 37283-2024")</f>
        <v/>
      </c>
    </row>
    <row r="104" ht="15" customHeight="1">
      <c r="A104" t="inlineStr">
        <is>
          <t>A 47581-2025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45931</v>
      </c>
      <c r="E104" s="1" t="n">
        <v>46300</v>
      </c>
      <c r="F104" t="inlineStr">
        <is>
          <t>SÖDERMANLANDS LÄN</t>
        </is>
      </c>
      <c r="G104" t="inlineStr">
        <is>
          <t>FLEN</t>
        </is>
      </c>
      <c r="H104" t="inlineStr">
        <is>
          <t>Holmen skog AB</t>
        </is>
      </c>
      <c r="I104" t="n">
        <v>0.5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Svinrot</t>
        </is>
      </c>
      <c r="W104">
        <f>HYPERLINK("https://klasma.github.io/Logging_0482/artfynd/A 47581-2025 artfynd.xlsx", "A 47581-2025")</f>
        <v/>
      </c>
      <c r="X104">
        <f>HYPERLINK("https://klasma.github.io/Logging_0482/kartor/A 47581-2025 karta.png", "A 47581-2025")</f>
        <v/>
      </c>
      <c r="Y104">
        <f>HYPERLINK("https://klasma.github.io/Logging_0482/kartor_geotiff/A 47581-2025 georefererad karta.tif", "A 47581-2025")</f>
        <v/>
      </c>
      <c r="AA104">
        <f>HYPERLINK("https://klasma.github.io/Logging_0482/klagomål/A 47581-2025 FSC-klagomål.docx", "A 47581-2025")</f>
        <v/>
      </c>
      <c r="AB104">
        <f>HYPERLINK("https://klasma.github.io/Logging_0482/klagomålsmail/A 47581-2025 FSC-klagomål mail.docx", "A 47581-2025")</f>
        <v/>
      </c>
      <c r="AC104">
        <f>HYPERLINK("https://klasma.github.io/Logging_0482/tillsyn/A 47581-2025 tillsynsbegäran.docx", "A 47581-2025")</f>
        <v/>
      </c>
      <c r="AD104">
        <f>HYPERLINK("https://klasma.github.io/Logging_0482/tillsynsmail/A 47581-2025 tillsynsbegäran mail.docx", "A 47581-2025")</f>
        <v/>
      </c>
    </row>
    <row r="105" ht="15" customHeight="1">
      <c r="A105" t="inlineStr">
        <is>
          <t>A 7525-2024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45348</v>
      </c>
      <c r="E105" s="1" t="n">
        <v>46300</v>
      </c>
      <c r="F105" t="inlineStr">
        <is>
          <t>SÖDERMANLANDS LÄN</t>
        </is>
      </c>
      <c r="G105" t="inlineStr">
        <is>
          <t>FLEN</t>
        </is>
      </c>
      <c r="I105" t="n">
        <v>2.3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Vanlig backsmörblomma</t>
        </is>
      </c>
      <c r="W105">
        <f>HYPERLINK("https://klasma.github.io/Logging_0482/artfynd/A 7525-2024 artfynd.xlsx", "A 7525-2024")</f>
        <v/>
      </c>
      <c r="X105">
        <f>HYPERLINK("https://klasma.github.io/Logging_0482/kartor/A 7525-2024 karta.png", "A 7525-2024")</f>
        <v/>
      </c>
      <c r="Y105">
        <f>HYPERLINK("https://klasma.github.io/Logging_0482/kartor_geotiff/A 7525-2024 georefererad karta.tif", "A 7525-2024")</f>
        <v/>
      </c>
      <c r="AA105">
        <f>HYPERLINK("https://klasma.github.io/Logging_0482/klagomål/A 7525-2024 FSC-klagomål.docx", "A 7525-2024")</f>
        <v/>
      </c>
      <c r="AB105">
        <f>HYPERLINK("https://klasma.github.io/Logging_0482/klagomålsmail/A 7525-2024 FSC-klagomål mail.docx", "A 7525-2024")</f>
        <v/>
      </c>
      <c r="AC105">
        <f>HYPERLINK("https://klasma.github.io/Logging_0482/tillsyn/A 7525-2024 tillsynsbegäran.docx", "A 7525-2024")</f>
        <v/>
      </c>
      <c r="AD105">
        <f>HYPERLINK("https://klasma.github.io/Logging_0482/tillsynsmail/A 7525-2024 tillsynsbegäran mail.docx", "A 7525-2024")</f>
        <v/>
      </c>
    </row>
    <row r="106" ht="15" customHeight="1">
      <c r="A106" t="inlineStr">
        <is>
          <t>A 31427-2022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44774</v>
      </c>
      <c r="E106" s="1" t="n">
        <v>46300</v>
      </c>
      <c r="F106" t="inlineStr">
        <is>
          <t>SÖDERMANLANDS LÄN</t>
        </is>
      </c>
      <c r="G106" t="inlineStr">
        <is>
          <t>FLEN</t>
        </is>
      </c>
      <c r="I106" t="n">
        <v>3.7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HYPERLINK("https://klasma.github.io/Logging_0482/artfynd/A 31427-2022 artfynd.xlsx", "A 31427-2022")</f>
        <v/>
      </c>
      <c r="X106">
        <f>HYPERLINK("https://klasma.github.io/Logging_0482/kartor/A 31427-2022 karta.png", "A 31427-2022")</f>
        <v/>
      </c>
      <c r="Y106">
        <f>HYPERLINK("https://klasma.github.io/Logging_0482/kartor_geotiff/A 31427-2022 georefererad karta.tif", "A 31427-2022")</f>
        <v/>
      </c>
      <c r="AA106">
        <f>HYPERLINK("https://klasma.github.io/Logging_0482/klagomål/A 31427-2022 FSC-klagomål.docx", "A 31427-2022")</f>
        <v/>
      </c>
      <c r="AB106">
        <f>HYPERLINK("https://klasma.github.io/Logging_0482/klagomålsmail/A 31427-2022 FSC-klagomål mail.docx", "A 31427-2022")</f>
        <v/>
      </c>
      <c r="AC106">
        <f>HYPERLINK("https://klasma.github.io/Logging_0482/tillsyn/A 31427-2022 tillsynsbegäran.docx", "A 31427-2022")</f>
        <v/>
      </c>
      <c r="AD106">
        <f>HYPERLINK("https://klasma.github.io/Logging_0482/tillsynsmail/A 31427-2022 tillsynsbegäran mail.docx", "A 31427-2022")</f>
        <v/>
      </c>
    </row>
    <row r="107" ht="15" customHeight="1">
      <c r="A107" t="inlineStr">
        <is>
          <t>A 9446-2026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46071</v>
      </c>
      <c r="E107" s="1" t="n">
        <v>46300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0.8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HYPERLINK("https://klasma.github.io/Logging_0482/artfynd/A 9446-2026 artfynd.xlsx", "A 9446-2026")</f>
        <v/>
      </c>
      <c r="X107">
        <f>HYPERLINK("https://klasma.github.io/Logging_0482/kartor/A 9446-2026 karta.png", "A 9446-2026")</f>
        <v/>
      </c>
      <c r="Y107">
        <f>HYPERLINK("https://klasma.github.io/Logging_0482/kartor_geotiff/A 9446-2026 georefererad karta.tif", "A 9446-2026")</f>
        <v/>
      </c>
      <c r="AA107">
        <f>HYPERLINK("https://klasma.github.io/Logging_0482/klagomål/A 9446-2026 FSC-klagomål.docx", "A 9446-2026")</f>
        <v/>
      </c>
      <c r="AB107">
        <f>HYPERLINK("https://klasma.github.io/Logging_0482/klagomålsmail/A 9446-2026 FSC-klagomål mail.docx", "A 9446-2026")</f>
        <v/>
      </c>
      <c r="AC107">
        <f>HYPERLINK("https://klasma.github.io/Logging_0482/tillsyn/A 9446-2026 tillsynsbegäran.docx", "A 9446-2026")</f>
        <v/>
      </c>
      <c r="AD107">
        <f>HYPERLINK("https://klasma.github.io/Logging_0482/tillsynsmail/A 9446-2026 tillsynsbegäran mail.docx", "A 9446-2026")</f>
        <v/>
      </c>
    </row>
    <row r="108" ht="15" customHeight="1">
      <c r="A108" t="inlineStr">
        <is>
          <t>A 14113-2025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45740</v>
      </c>
      <c r="E108" s="1" t="n">
        <v>46300</v>
      </c>
      <c r="F108" t="inlineStr">
        <is>
          <t>SÖDERMANLANDS LÄN</t>
        </is>
      </c>
      <c r="G108" t="inlineStr">
        <is>
          <t>FLEN</t>
        </is>
      </c>
      <c r="H108" t="inlineStr">
        <is>
          <t>Övriga statliga verk och myndigheter</t>
        </is>
      </c>
      <c r="I108" t="n">
        <v>3.6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Blåsippa</t>
        </is>
      </c>
      <c r="W108">
        <f>HYPERLINK("https://klasma.github.io/Logging_0482/artfynd/A 14113-2025 artfynd.xlsx", "A 14113-2025")</f>
        <v/>
      </c>
      <c r="X108">
        <f>HYPERLINK("https://klasma.github.io/Logging_0482/kartor/A 14113-2025 karta.png", "A 14113-2025")</f>
        <v/>
      </c>
      <c r="Y108">
        <f>HYPERLINK("https://klasma.github.io/Logging_0482/kartor_geotiff/A 14113-2025 georefererad karta.tif", "A 14113-2025")</f>
        <v/>
      </c>
      <c r="AA108">
        <f>HYPERLINK("https://klasma.github.io/Logging_0482/klagomål/A 14113-2025 FSC-klagomål.docx", "A 14113-2025")</f>
        <v/>
      </c>
      <c r="AB108">
        <f>HYPERLINK("https://klasma.github.io/Logging_0482/klagomålsmail/A 14113-2025 FSC-klagomål mail.docx", "A 14113-2025")</f>
        <v/>
      </c>
      <c r="AC108">
        <f>HYPERLINK("https://klasma.github.io/Logging_0482/tillsyn/A 14113-2025 tillsynsbegäran.docx", "A 14113-2025")</f>
        <v/>
      </c>
      <c r="AD108">
        <f>HYPERLINK("https://klasma.github.io/Logging_0482/tillsynsmail/A 14113-2025 tillsynsbegäran mail.docx", "A 14113-2025")</f>
        <v/>
      </c>
    </row>
    <row r="109" ht="15" customHeight="1">
      <c r="A109" t="inlineStr">
        <is>
          <t>A 10999-2026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46079</v>
      </c>
      <c r="E109" s="1" t="n">
        <v>46300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3.6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HYPERLINK("https://klasma.github.io/Logging_0482/artfynd/A 10999-2026 artfynd.xlsx", "A 10999-2026")</f>
        <v/>
      </c>
      <c r="X109">
        <f>HYPERLINK("https://klasma.github.io/Logging_0482/kartor/A 10999-2026 karta.png", "A 10999-2026")</f>
        <v/>
      </c>
      <c r="Y109">
        <f>HYPERLINK("https://klasma.github.io/Logging_0482/kartor_geotiff/A 10999-2026 georefererad karta.tif", "A 10999-2026")</f>
        <v/>
      </c>
      <c r="AA109">
        <f>HYPERLINK("https://klasma.github.io/Logging_0482/klagomål/A 10999-2026 FSC-klagomål.docx", "A 10999-2026")</f>
        <v/>
      </c>
      <c r="AB109">
        <f>HYPERLINK("https://klasma.github.io/Logging_0482/klagomålsmail/A 10999-2026 FSC-klagomål mail.docx", "A 10999-2026")</f>
        <v/>
      </c>
      <c r="AC109">
        <f>HYPERLINK("https://klasma.github.io/Logging_0482/tillsyn/A 10999-2026 tillsynsbegäran.docx", "A 10999-2026")</f>
        <v/>
      </c>
      <c r="AD109">
        <f>HYPERLINK("https://klasma.github.io/Logging_0482/tillsynsmail/A 10999-2026 tillsynsbegäran mail.docx", "A 10999-2026")</f>
        <v/>
      </c>
    </row>
    <row r="110" ht="15" customHeight="1">
      <c r="A110" t="inlineStr">
        <is>
          <t>A 52579-2025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46300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4.5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Slåtterfibbla</t>
        </is>
      </c>
      <c r="W110">
        <f>HYPERLINK("https://klasma.github.io/Logging_0482/artfynd/A 52579-2025 artfynd.xlsx", "A 52579-2025")</f>
        <v/>
      </c>
      <c r="X110">
        <f>HYPERLINK("https://klasma.github.io/Logging_0482/kartor/A 52579-2025 karta.png", "A 52579-2025")</f>
        <v/>
      </c>
      <c r="Y110">
        <f>HYPERLINK("https://klasma.github.io/Logging_0482/kartor_geotiff/A 52579-2025 georefererad karta.tif", "A 52579-2025")</f>
        <v/>
      </c>
      <c r="AA110">
        <f>HYPERLINK("https://klasma.github.io/Logging_0482/klagomål/A 52579-2025 FSC-klagomål.docx", "A 52579-2025")</f>
        <v/>
      </c>
      <c r="AB110">
        <f>HYPERLINK("https://klasma.github.io/Logging_0482/klagomålsmail/A 52579-2025 FSC-klagomål mail.docx", "A 52579-2025")</f>
        <v/>
      </c>
      <c r="AC110">
        <f>HYPERLINK("https://klasma.github.io/Logging_0482/tillsyn/A 52579-2025 tillsynsbegäran.docx", "A 52579-2025")</f>
        <v/>
      </c>
      <c r="AD110">
        <f>HYPERLINK("https://klasma.github.io/Logging_0482/tillsynsmail/A 52579-2025 tillsynsbegäran mail.docx", "A 52579-2025")</f>
        <v/>
      </c>
    </row>
    <row r="111" ht="15" customHeight="1">
      <c r="A111" t="inlineStr">
        <is>
          <t>A 6982-2024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45343</v>
      </c>
      <c r="E111" s="1" t="n">
        <v>46300</v>
      </c>
      <c r="F111" t="inlineStr">
        <is>
          <t>SÖDERMANLANDS LÄN</t>
        </is>
      </c>
      <c r="G111" t="inlineStr">
        <is>
          <t>FLEN</t>
        </is>
      </c>
      <c r="I111" t="n">
        <v>1.1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Fläcknycklar</t>
        </is>
      </c>
      <c r="W111">
        <f>HYPERLINK("https://klasma.github.io/Logging_0482/artfynd/A 6982-2024 artfynd.xlsx", "A 6982-2024")</f>
        <v/>
      </c>
      <c r="X111">
        <f>HYPERLINK("https://klasma.github.io/Logging_0482/kartor/A 6982-2024 karta.png", "A 6982-2024")</f>
        <v/>
      </c>
      <c r="Y111">
        <f>HYPERLINK("https://klasma.github.io/Logging_0482/kartor_geotiff/A 6982-2024 georefererad karta.tif", "A 6982-2024")</f>
        <v/>
      </c>
      <c r="AA111">
        <f>HYPERLINK("https://klasma.github.io/Logging_0482/klagomål/A 6982-2024 FSC-klagomål.docx", "A 6982-2024")</f>
        <v/>
      </c>
      <c r="AB111">
        <f>HYPERLINK("https://klasma.github.io/Logging_0482/klagomålsmail/A 6982-2024 FSC-klagomål mail.docx", "A 6982-2024")</f>
        <v/>
      </c>
      <c r="AC111">
        <f>HYPERLINK("https://klasma.github.io/Logging_0482/tillsyn/A 6982-2024 tillsynsbegäran.docx", "A 6982-2024")</f>
        <v/>
      </c>
      <c r="AD111">
        <f>HYPERLINK("https://klasma.github.io/Logging_0482/tillsynsmail/A 6982-2024 tillsynsbegäran mail.docx", "A 6982-2024")</f>
        <v/>
      </c>
    </row>
    <row r="112" ht="15" customHeight="1">
      <c r="A112" t="inlineStr">
        <is>
          <t>A 43008-2023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45182</v>
      </c>
      <c r="E112" s="1" t="n">
        <v>46300</v>
      </c>
      <c r="F112" t="inlineStr">
        <is>
          <t>SÖDERMANLANDS LÄN</t>
        </is>
      </c>
      <c r="G112" t="inlineStr">
        <is>
          <t>FLEN</t>
        </is>
      </c>
      <c r="I112" t="n">
        <v>1.5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Gullklöver</t>
        </is>
      </c>
      <c r="W112">
        <f>HYPERLINK("https://klasma.github.io/Logging_0482/artfynd/A 43008-2023 artfynd.xlsx", "A 43008-2023")</f>
        <v/>
      </c>
      <c r="X112">
        <f>HYPERLINK("https://klasma.github.io/Logging_0482/kartor/A 43008-2023 karta.png", "A 43008-2023")</f>
        <v/>
      </c>
      <c r="Y112">
        <f>HYPERLINK("https://klasma.github.io/Logging_0482/kartor_geotiff/A 43008-2023 georefererad karta.tif", "A 43008-2023")</f>
        <v/>
      </c>
      <c r="AA112">
        <f>HYPERLINK("https://klasma.github.io/Logging_0482/klagomål/A 43008-2023 FSC-klagomål.docx", "A 43008-2023")</f>
        <v/>
      </c>
      <c r="AB112">
        <f>HYPERLINK("https://klasma.github.io/Logging_0482/klagomålsmail/A 43008-2023 FSC-klagomål mail.docx", "A 43008-2023")</f>
        <v/>
      </c>
      <c r="AC112">
        <f>HYPERLINK("https://klasma.github.io/Logging_0482/tillsyn/A 43008-2023 tillsynsbegäran.docx", "A 43008-2023")</f>
        <v/>
      </c>
      <c r="AD112">
        <f>HYPERLINK("https://klasma.github.io/Logging_0482/tillsynsmail/A 43008-2023 tillsynsbegäran mail.docx", "A 43008-2023")</f>
        <v/>
      </c>
    </row>
    <row r="113" ht="15" customHeight="1">
      <c r="A113" t="inlineStr">
        <is>
          <t>A 34721-2023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45141</v>
      </c>
      <c r="E113" s="1" t="n">
        <v>46300</v>
      </c>
      <c r="F113" t="inlineStr">
        <is>
          <t>SÖDERMANLANDS LÄN</t>
        </is>
      </c>
      <c r="G113" t="inlineStr">
        <is>
          <t>FLEN</t>
        </is>
      </c>
      <c r="I113" t="n">
        <v>4.1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Gullklöver</t>
        </is>
      </c>
      <c r="W113">
        <f>HYPERLINK("https://klasma.github.io/Logging_0482/artfynd/A 34721-2023 artfynd.xlsx", "A 34721-2023")</f>
        <v/>
      </c>
      <c r="X113">
        <f>HYPERLINK("https://klasma.github.io/Logging_0482/kartor/A 34721-2023 karta.png", "A 34721-2023")</f>
        <v/>
      </c>
      <c r="Y113">
        <f>HYPERLINK("https://klasma.github.io/Logging_0482/kartor_geotiff/A 34721-2023 georefererad karta.tif", "A 34721-2023")</f>
        <v/>
      </c>
      <c r="AA113">
        <f>HYPERLINK("https://klasma.github.io/Logging_0482/klagomål/A 34721-2023 FSC-klagomål.docx", "A 34721-2023")</f>
        <v/>
      </c>
      <c r="AB113">
        <f>HYPERLINK("https://klasma.github.io/Logging_0482/klagomålsmail/A 34721-2023 FSC-klagomål mail.docx", "A 34721-2023")</f>
        <v/>
      </c>
      <c r="AC113">
        <f>HYPERLINK("https://klasma.github.io/Logging_0482/tillsyn/A 34721-2023 tillsynsbegäran.docx", "A 34721-2023")</f>
        <v/>
      </c>
      <c r="AD113">
        <f>HYPERLINK("https://klasma.github.io/Logging_0482/tillsynsmail/A 34721-2023 tillsynsbegäran mail.docx", "A 34721-2023")</f>
        <v/>
      </c>
    </row>
    <row r="114" ht="15" customHeight="1">
      <c r="A114" t="inlineStr">
        <is>
          <t>A 66230-2021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44518</v>
      </c>
      <c r="E114" s="1" t="n">
        <v>46300</v>
      </c>
      <c r="F114" t="inlineStr">
        <is>
          <t>SÖDERMANLANDS LÄN</t>
        </is>
      </c>
      <c r="G114" t="inlineStr">
        <is>
          <t>FLEN</t>
        </is>
      </c>
      <c r="I114" t="n">
        <v>1.5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Svinrot</t>
        </is>
      </c>
      <c r="W114">
        <f>HYPERLINK("https://klasma.github.io/Logging_0482/artfynd/A 66230-2021 artfynd.xlsx", "A 66230-2021")</f>
        <v/>
      </c>
      <c r="X114">
        <f>HYPERLINK("https://klasma.github.io/Logging_0482/kartor/A 66230-2021 karta.png", "A 66230-2021")</f>
        <v/>
      </c>
      <c r="Y114">
        <f>HYPERLINK("https://klasma.github.io/Logging_0482/kartor_geotiff/A 66230-2021 georefererad karta.tif", "A 66230-2021")</f>
        <v/>
      </c>
      <c r="AA114">
        <f>HYPERLINK("https://klasma.github.io/Logging_0482/klagomål/A 66230-2021 FSC-klagomål.docx", "A 66230-2021")</f>
        <v/>
      </c>
      <c r="AB114">
        <f>HYPERLINK("https://klasma.github.io/Logging_0482/klagomålsmail/A 66230-2021 FSC-klagomål mail.docx", "A 66230-2021")</f>
        <v/>
      </c>
      <c r="AC114">
        <f>HYPERLINK("https://klasma.github.io/Logging_0482/tillsyn/A 66230-2021 tillsynsbegäran.docx", "A 66230-2021")</f>
        <v/>
      </c>
      <c r="AD114">
        <f>HYPERLINK("https://klasma.github.io/Logging_0482/tillsynsmail/A 66230-2021 tillsynsbegäran mail.docx", "A 66230-2021")</f>
        <v/>
      </c>
    </row>
    <row r="115" ht="15" customHeight="1">
      <c r="A115" t="inlineStr">
        <is>
          <t>A 1242-2022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44572</v>
      </c>
      <c r="E115" s="1" t="n">
        <v>46300</v>
      </c>
      <c r="F115" t="inlineStr">
        <is>
          <t>SÖDERMANLANDS LÄN</t>
        </is>
      </c>
      <c r="G115" t="inlineStr">
        <is>
          <t>FLEN</t>
        </is>
      </c>
      <c r="H115" t="inlineStr">
        <is>
          <t>Övriga statliga verk och myndigheter</t>
        </is>
      </c>
      <c r="I115" t="n">
        <v>9.300000000000001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Slåtterfibbla</t>
        </is>
      </c>
      <c r="W115">
        <f>HYPERLINK("https://klasma.github.io/Logging_0482/artfynd/A 1242-2022 artfynd.xlsx", "A 1242-2022")</f>
        <v/>
      </c>
      <c r="X115">
        <f>HYPERLINK("https://klasma.github.io/Logging_0482/kartor/A 1242-2022 karta.png", "A 1242-2022")</f>
        <v/>
      </c>
      <c r="Y115">
        <f>HYPERLINK("https://klasma.github.io/Logging_0482/kartor_geotiff/A 1242-2022 georefererad karta.tif", "A 1242-2022")</f>
        <v/>
      </c>
      <c r="AA115">
        <f>HYPERLINK("https://klasma.github.io/Logging_0482/klagomål/A 1242-2022 FSC-klagomål.docx", "A 1242-2022")</f>
        <v/>
      </c>
      <c r="AB115">
        <f>HYPERLINK("https://klasma.github.io/Logging_0482/klagomålsmail/A 1242-2022 FSC-klagomål mail.docx", "A 1242-2022")</f>
        <v/>
      </c>
      <c r="AC115">
        <f>HYPERLINK("https://klasma.github.io/Logging_0482/tillsyn/A 1242-2022 tillsynsbegäran.docx", "A 1242-2022")</f>
        <v/>
      </c>
      <c r="AD115">
        <f>HYPERLINK("https://klasma.github.io/Logging_0482/tillsynsmail/A 1242-2022 tillsynsbegäran mail.docx", "A 1242-2022")</f>
        <v/>
      </c>
    </row>
    <row r="116" ht="15" customHeight="1">
      <c r="A116" t="inlineStr">
        <is>
          <t>A 14101-2025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46300</v>
      </c>
      <c r="F116" t="inlineStr">
        <is>
          <t>SÖDERMANLANDS LÄN</t>
        </is>
      </c>
      <c r="G116" t="inlineStr">
        <is>
          <t>FLEN</t>
        </is>
      </c>
      <c r="H116" t="inlineStr">
        <is>
          <t>Övriga statliga verk och myndigheter</t>
        </is>
      </c>
      <c r="I116" t="n">
        <v>1.3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Motaggsvamp</t>
        </is>
      </c>
      <c r="W116">
        <f>HYPERLINK("https://klasma.github.io/Logging_0482/artfynd/A 14101-2025 artfynd.xlsx", "A 14101-2025")</f>
        <v/>
      </c>
      <c r="X116">
        <f>HYPERLINK("https://klasma.github.io/Logging_0482/kartor/A 14101-2025 karta.png", "A 14101-2025")</f>
        <v/>
      </c>
      <c r="Y116">
        <f>HYPERLINK("https://klasma.github.io/Logging_0482/kartor_geotiff/A 14101-2025 georefererad karta.tif", "A 14101-2025")</f>
        <v/>
      </c>
      <c r="AA116">
        <f>HYPERLINK("https://klasma.github.io/Logging_0482/klagomål/A 14101-2025 FSC-klagomål.docx", "A 14101-2025")</f>
        <v/>
      </c>
      <c r="AB116">
        <f>HYPERLINK("https://klasma.github.io/Logging_0482/klagomålsmail/A 14101-2025 FSC-klagomål mail.docx", "A 14101-2025")</f>
        <v/>
      </c>
      <c r="AC116">
        <f>HYPERLINK("https://klasma.github.io/Logging_0482/tillsyn/A 14101-2025 tillsynsbegäran.docx", "A 14101-2025")</f>
        <v/>
      </c>
      <c r="AD116">
        <f>HYPERLINK("https://klasma.github.io/Logging_0482/tillsynsmail/A 14101-2025 tillsynsbegäran mail.docx", "A 14101-2025")</f>
        <v/>
      </c>
    </row>
    <row r="117" ht="15" customHeight="1">
      <c r="A117" t="inlineStr">
        <is>
          <t>A 37317-2023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45156</v>
      </c>
      <c r="E117" s="1" t="n">
        <v>46300</v>
      </c>
      <c r="F117" t="inlineStr">
        <is>
          <t>SÖDERMANLANDS LÄN</t>
        </is>
      </c>
      <c r="G117" t="inlineStr">
        <is>
          <t>FLEN</t>
        </is>
      </c>
      <c r="H117" t="inlineStr">
        <is>
          <t>Holmen skog AB</t>
        </is>
      </c>
      <c r="I117" t="n">
        <v>5.1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Svavelriska</t>
        </is>
      </c>
      <c r="W117">
        <f>HYPERLINK("https://klasma.github.io/Logging_0482/artfynd/A 37317-2023 artfynd.xlsx", "A 37317-2023")</f>
        <v/>
      </c>
      <c r="X117">
        <f>HYPERLINK("https://klasma.github.io/Logging_0482/kartor/A 37317-2023 karta.png", "A 37317-2023")</f>
        <v/>
      </c>
      <c r="Y117">
        <f>HYPERLINK("https://klasma.github.io/Logging_0482/kartor_geotiff/A 37317-2023 georefererad karta.tif", "A 37317-2023")</f>
        <v/>
      </c>
      <c r="AA117">
        <f>HYPERLINK("https://klasma.github.io/Logging_0482/klagomål/A 37317-2023 FSC-klagomål.docx", "A 37317-2023")</f>
        <v/>
      </c>
      <c r="AB117">
        <f>HYPERLINK("https://klasma.github.io/Logging_0482/klagomålsmail/A 37317-2023 FSC-klagomål mail.docx", "A 37317-2023")</f>
        <v/>
      </c>
      <c r="AC117">
        <f>HYPERLINK("https://klasma.github.io/Logging_0482/tillsyn/A 37317-2023 tillsynsbegäran.docx", "A 37317-2023")</f>
        <v/>
      </c>
      <c r="AD117">
        <f>HYPERLINK("https://klasma.github.io/Logging_0482/tillsynsmail/A 37317-2023 tillsynsbegäran mail.docx", "A 37317-2023")</f>
        <v/>
      </c>
    </row>
    <row r="118" ht="15" customHeight="1">
      <c r="A118" t="inlineStr">
        <is>
          <t>A 21704-2026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46149</v>
      </c>
      <c r="E118" s="1" t="n">
        <v>46300</v>
      </c>
      <c r="F118" t="inlineStr">
        <is>
          <t>SÖDERMANLANDS LÄN</t>
        </is>
      </c>
      <c r="G118" t="inlineStr">
        <is>
          <t>FLEN</t>
        </is>
      </c>
      <c r="I118" t="n">
        <v>10.2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Kandelabersvamp</t>
        </is>
      </c>
      <c r="W118">
        <f>HYPERLINK("https://klasma.github.io/Logging_0482/artfynd/A 21704-2026 artfynd.xlsx", "A 21704-2026")</f>
        <v/>
      </c>
      <c r="X118">
        <f>HYPERLINK("https://klasma.github.io/Logging_0482/kartor/A 21704-2026 karta.png", "A 21704-2026")</f>
        <v/>
      </c>
      <c r="Y118">
        <f>HYPERLINK("https://klasma.github.io/Logging_0482/kartor_geotiff/A 21704-2026 georefererad karta.tif", "A 21704-2026")</f>
        <v/>
      </c>
      <c r="AA118">
        <f>HYPERLINK("https://klasma.github.io/Logging_0482/klagomål/A 21704-2026 FSC-klagomål.docx", "A 21704-2026")</f>
        <v/>
      </c>
      <c r="AB118">
        <f>HYPERLINK("https://klasma.github.io/Logging_0482/klagomålsmail/A 21704-2026 FSC-klagomål mail.docx", "A 21704-2026")</f>
        <v/>
      </c>
      <c r="AC118">
        <f>HYPERLINK("https://klasma.github.io/Logging_0482/tillsyn/A 21704-2026 tillsynsbegäran.docx", "A 21704-2026")</f>
        <v/>
      </c>
      <c r="AD118">
        <f>HYPERLINK("https://klasma.github.io/Logging_0482/tillsynsmail/A 21704-2026 tillsynsbegäran mail.docx", "A 21704-2026")</f>
        <v/>
      </c>
    </row>
    <row r="119" ht="15" customHeight="1">
      <c r="A119" t="inlineStr">
        <is>
          <t>A 60529-2024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45643</v>
      </c>
      <c r="E119" s="1" t="n">
        <v>46300</v>
      </c>
      <c r="F119" t="inlineStr">
        <is>
          <t>SÖDERMANLANDS LÄN</t>
        </is>
      </c>
      <c r="G119" t="inlineStr">
        <is>
          <t>FLEN</t>
        </is>
      </c>
      <c r="I119" t="n">
        <v>2.5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Skarp dropptaggsvamp</t>
        </is>
      </c>
      <c r="W119">
        <f>HYPERLINK("https://klasma.github.io/Logging_0482/artfynd/A 60529-2024 artfynd.xlsx", "A 60529-2024")</f>
        <v/>
      </c>
      <c r="X119">
        <f>HYPERLINK("https://klasma.github.io/Logging_0482/kartor/A 60529-2024 karta.png", "A 60529-2024")</f>
        <v/>
      </c>
      <c r="Y119">
        <f>HYPERLINK("https://klasma.github.io/Logging_0482/kartor_geotiff/A 60529-2024 georefererad karta.tif", "A 60529-2024")</f>
        <v/>
      </c>
      <c r="AA119">
        <f>HYPERLINK("https://klasma.github.io/Logging_0482/klagomål/A 60529-2024 FSC-klagomål.docx", "A 60529-2024")</f>
        <v/>
      </c>
      <c r="AB119">
        <f>HYPERLINK("https://klasma.github.io/Logging_0482/klagomålsmail/A 60529-2024 FSC-klagomål mail.docx", "A 60529-2024")</f>
        <v/>
      </c>
      <c r="AC119">
        <f>HYPERLINK("https://klasma.github.io/Logging_0482/tillsyn/A 60529-2024 tillsynsbegäran.docx", "A 60529-2024")</f>
        <v/>
      </c>
      <c r="AD119">
        <f>HYPERLINK("https://klasma.github.io/Logging_0482/tillsynsmail/A 60529-2024 tillsynsbegäran mail.docx", "A 60529-2024")</f>
        <v/>
      </c>
    </row>
    <row r="120" ht="15" customHeight="1">
      <c r="A120" t="inlineStr">
        <is>
          <t>A 53339-2023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45222</v>
      </c>
      <c r="E120" s="1" t="n">
        <v>46300</v>
      </c>
      <c r="F120" t="inlineStr">
        <is>
          <t>SÖDERMANLANDS LÄN</t>
        </is>
      </c>
      <c r="G120" t="inlineStr">
        <is>
          <t>FLEN</t>
        </is>
      </c>
      <c r="I120" t="n">
        <v>1.1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Blåsippa</t>
        </is>
      </c>
      <c r="W120">
        <f>HYPERLINK("https://klasma.github.io/Logging_0482/artfynd/A 53339-2023 artfynd.xlsx", "A 53339-2023")</f>
        <v/>
      </c>
      <c r="X120">
        <f>HYPERLINK("https://klasma.github.io/Logging_0482/kartor/A 53339-2023 karta.png", "A 53339-2023")</f>
        <v/>
      </c>
      <c r="Y120">
        <f>HYPERLINK("https://klasma.github.io/Logging_0482/kartor_geotiff/A 53339-2023 georefererad karta.tif", "A 53339-2023")</f>
        <v/>
      </c>
      <c r="AA120">
        <f>HYPERLINK("https://klasma.github.io/Logging_0482/klagomål/A 53339-2023 FSC-klagomål.docx", "A 53339-2023")</f>
        <v/>
      </c>
      <c r="AB120">
        <f>HYPERLINK("https://klasma.github.io/Logging_0482/klagomålsmail/A 53339-2023 FSC-klagomål mail.docx", "A 53339-2023")</f>
        <v/>
      </c>
      <c r="AC120">
        <f>HYPERLINK("https://klasma.github.io/Logging_0482/tillsyn/A 53339-2023 tillsynsbegäran.docx", "A 53339-2023")</f>
        <v/>
      </c>
      <c r="AD120">
        <f>HYPERLINK("https://klasma.github.io/Logging_0482/tillsynsmail/A 53339-2023 tillsynsbegäran mail.docx", "A 53339-2023")</f>
        <v/>
      </c>
    </row>
    <row r="121" ht="15" customHeight="1">
      <c r="A121" t="inlineStr">
        <is>
          <t>A 24179-2026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46168</v>
      </c>
      <c r="E121" s="1" t="n">
        <v>46300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1.8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Gullklöver</t>
        </is>
      </c>
      <c r="W121">
        <f>HYPERLINK("https://klasma.github.io/Logging_0482/artfynd/A 24179-2026 artfynd.xlsx", "A 24179-2026")</f>
        <v/>
      </c>
      <c r="X121">
        <f>HYPERLINK("https://klasma.github.io/Logging_0482/kartor/A 24179-2026 karta.png", "A 24179-2026")</f>
        <v/>
      </c>
      <c r="Y121">
        <f>HYPERLINK("https://klasma.github.io/Logging_0482/kartor_geotiff/A 24179-2026 georefererad karta.tif", "A 24179-2026")</f>
        <v/>
      </c>
      <c r="AA121">
        <f>HYPERLINK("https://klasma.github.io/Logging_0482/klagomål/A 24179-2026 FSC-klagomål.docx", "A 24179-2026")</f>
        <v/>
      </c>
      <c r="AB121">
        <f>HYPERLINK("https://klasma.github.io/Logging_0482/klagomålsmail/A 24179-2026 FSC-klagomål mail.docx", "A 24179-2026")</f>
        <v/>
      </c>
      <c r="AC121">
        <f>HYPERLINK("https://klasma.github.io/Logging_0482/tillsyn/A 24179-2026 tillsynsbegäran.docx", "A 24179-2026")</f>
        <v/>
      </c>
      <c r="AD121">
        <f>HYPERLINK("https://klasma.github.io/Logging_0482/tillsynsmail/A 24179-2026 tillsynsbegäran mail.docx", "A 24179-2026")</f>
        <v/>
      </c>
    </row>
    <row r="122" ht="15" customHeight="1">
      <c r="A122" t="inlineStr">
        <is>
          <t>A 26310-2026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46181</v>
      </c>
      <c r="E122" s="1" t="n">
        <v>46300</v>
      </c>
      <c r="F122" t="inlineStr">
        <is>
          <t>SÖDERMANLANDS LÄN</t>
        </is>
      </c>
      <c r="G122" t="inlineStr">
        <is>
          <t>FLEN</t>
        </is>
      </c>
      <c r="I122" t="n">
        <v>1.2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Spillkråka</t>
        </is>
      </c>
      <c r="W122">
        <f>HYPERLINK("https://klasma.github.io/Logging_0482/artfynd/A 26310-2026 artfynd.xlsx", "A 26310-2026")</f>
        <v/>
      </c>
      <c r="X122">
        <f>HYPERLINK("https://klasma.github.io/Logging_0482/kartor/A 26310-2026 karta.png", "A 26310-2026")</f>
        <v/>
      </c>
      <c r="Y122">
        <f>HYPERLINK("https://klasma.github.io/Logging_0482/kartor_geotiff/A 26310-2026 georefererad karta.tif", "A 26310-2026")</f>
        <v/>
      </c>
      <c r="AA122">
        <f>HYPERLINK("https://klasma.github.io/Logging_0482/klagomål/A 26310-2026 FSC-klagomål.docx", "A 26310-2026")</f>
        <v/>
      </c>
      <c r="AB122">
        <f>HYPERLINK("https://klasma.github.io/Logging_0482/klagomålsmail/A 26310-2026 FSC-klagomål mail.docx", "A 26310-2026")</f>
        <v/>
      </c>
      <c r="AC122">
        <f>HYPERLINK("https://klasma.github.io/Logging_0482/tillsyn/A 26310-2026 tillsynsbegäran.docx", "A 26310-2026")</f>
        <v/>
      </c>
      <c r="AD122">
        <f>HYPERLINK("https://klasma.github.io/Logging_0482/tillsynsmail/A 26310-2026 tillsynsbegäran mail.docx", "A 26310-2026")</f>
        <v/>
      </c>
      <c r="AE122">
        <f>HYPERLINK("https://klasma.github.io/Logging_0482/fåglar/A 26310-2026 prioriterade fågelarter.docx", "A 26310-2026")</f>
        <v/>
      </c>
    </row>
    <row r="123" ht="15" customHeight="1">
      <c r="A123" t="inlineStr">
        <is>
          <t>A 26052-2026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46300</v>
      </c>
      <c r="F123" t="inlineStr">
        <is>
          <t>SÖDERMANLANDS LÄN</t>
        </is>
      </c>
      <c r="G123" t="inlineStr">
        <is>
          <t>FLEN</t>
        </is>
      </c>
      <c r="H123" t="inlineStr">
        <is>
          <t>Holmen skog AB</t>
        </is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Revlummer</t>
        </is>
      </c>
      <c r="W123">
        <f>HYPERLINK("https://klasma.github.io/Logging_0482/artfynd/A 26052-2026 artfynd.xlsx", "A 26052-2026")</f>
        <v/>
      </c>
      <c r="X123">
        <f>HYPERLINK("https://klasma.github.io/Logging_0482/kartor/A 26052-2026 karta.png", "A 26052-2026")</f>
        <v/>
      </c>
      <c r="Y123">
        <f>HYPERLINK("https://klasma.github.io/Logging_0482/kartor_geotiff/A 26052-2026 georefererad karta.tif", "A 26052-2026")</f>
        <v/>
      </c>
      <c r="AA123">
        <f>HYPERLINK("https://klasma.github.io/Logging_0482/klagomål/A 26052-2026 FSC-klagomål.docx", "A 26052-2026")</f>
        <v/>
      </c>
      <c r="AB123">
        <f>HYPERLINK("https://klasma.github.io/Logging_0482/klagomålsmail/A 26052-2026 FSC-klagomål mail.docx", "A 26052-2026")</f>
        <v/>
      </c>
      <c r="AC123">
        <f>HYPERLINK("https://klasma.github.io/Logging_0482/tillsyn/A 26052-2026 tillsynsbegäran.docx", "A 26052-2026")</f>
        <v/>
      </c>
      <c r="AD123">
        <f>HYPERLINK("https://klasma.github.io/Logging_0482/tillsynsmail/A 26052-2026 tillsynsbegäran mail.docx", "A 26052-2026")</f>
        <v/>
      </c>
    </row>
    <row r="124" ht="15" customHeight="1">
      <c r="A124" t="inlineStr">
        <is>
          <t>A 46987-2024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45586</v>
      </c>
      <c r="E124" s="1" t="n">
        <v>46300</v>
      </c>
      <c r="F124" t="inlineStr">
        <is>
          <t>SÖDERMANLANDS LÄN</t>
        </is>
      </c>
      <c r="G124" t="inlineStr">
        <is>
          <t>FLEN</t>
        </is>
      </c>
      <c r="I124" t="n">
        <v>1.2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Svinrot</t>
        </is>
      </c>
      <c r="W124">
        <f>HYPERLINK("https://klasma.github.io/Logging_0482/artfynd/A 46987-2024 artfynd.xlsx", "A 46987-2024")</f>
        <v/>
      </c>
      <c r="X124">
        <f>HYPERLINK("https://klasma.github.io/Logging_0482/kartor/A 46987-2024 karta.png", "A 46987-2024")</f>
        <v/>
      </c>
      <c r="Y124">
        <f>HYPERLINK("https://klasma.github.io/Logging_0482/kartor_geotiff/A 46987-2024 georefererad karta.tif", "A 46987-2024")</f>
        <v/>
      </c>
      <c r="AA124">
        <f>HYPERLINK("https://klasma.github.io/Logging_0482/klagomål/A 46987-2024 FSC-klagomål.docx", "A 46987-2024")</f>
        <v/>
      </c>
      <c r="AB124">
        <f>HYPERLINK("https://klasma.github.io/Logging_0482/klagomålsmail/A 46987-2024 FSC-klagomål mail.docx", "A 46987-2024")</f>
        <v/>
      </c>
      <c r="AC124">
        <f>HYPERLINK("https://klasma.github.io/Logging_0482/tillsyn/A 46987-2024 tillsynsbegäran.docx", "A 46987-2024")</f>
        <v/>
      </c>
      <c r="AD124">
        <f>HYPERLINK("https://klasma.github.io/Logging_0482/tillsynsmail/A 46987-2024 tillsynsbegäran mail.docx", "A 46987-2024")</f>
        <v/>
      </c>
    </row>
    <row r="125" ht="15" customHeight="1">
      <c r="A125" t="inlineStr">
        <is>
          <t>A 10770-2022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44624</v>
      </c>
      <c r="E125" s="1" t="n">
        <v>46300</v>
      </c>
      <c r="F125" t="inlineStr">
        <is>
          <t>SÖDERMANLANDS LÄN</t>
        </is>
      </c>
      <c r="G125" t="inlineStr">
        <is>
          <t>FLEN</t>
        </is>
      </c>
      <c r="I125" t="n">
        <v>2.3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Svinrot</t>
        </is>
      </c>
      <c r="W125">
        <f>HYPERLINK("https://klasma.github.io/Logging_0482/artfynd/A 10770-2022 artfynd.xlsx", "A 10770-2022")</f>
        <v/>
      </c>
      <c r="X125">
        <f>HYPERLINK("https://klasma.github.io/Logging_0482/kartor/A 10770-2022 karta.png", "A 10770-2022")</f>
        <v/>
      </c>
      <c r="Y125">
        <f>HYPERLINK("https://klasma.github.io/Logging_0482/kartor_geotiff/A 10770-2022 georefererad karta.tif", "A 10770-2022")</f>
        <v/>
      </c>
      <c r="AA125">
        <f>HYPERLINK("https://klasma.github.io/Logging_0482/klagomål/A 10770-2022 FSC-klagomål.docx", "A 10770-2022")</f>
        <v/>
      </c>
      <c r="AB125">
        <f>HYPERLINK("https://klasma.github.io/Logging_0482/klagomålsmail/A 10770-2022 FSC-klagomål mail.docx", "A 10770-2022")</f>
        <v/>
      </c>
      <c r="AC125">
        <f>HYPERLINK("https://klasma.github.io/Logging_0482/tillsyn/A 10770-2022 tillsynsbegäran.docx", "A 10770-2022")</f>
        <v/>
      </c>
      <c r="AD125">
        <f>HYPERLINK("https://klasma.github.io/Logging_0482/tillsynsmail/A 10770-2022 tillsynsbegäran mail.docx", "A 10770-2022")</f>
        <v/>
      </c>
    </row>
    <row r="126" ht="15" customHeight="1">
      <c r="A126" t="inlineStr">
        <is>
          <t>A 39036-2023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45163</v>
      </c>
      <c r="E126" s="1" t="n">
        <v>46300</v>
      </c>
      <c r="F126" t="inlineStr">
        <is>
          <t>SÖDERMANLANDS LÄN</t>
        </is>
      </c>
      <c r="G126" t="inlineStr">
        <is>
          <t>FLEN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Igelkott</t>
        </is>
      </c>
      <c r="W126">
        <f>HYPERLINK("https://klasma.github.io/Logging_0482/artfynd/A 39036-2023 artfynd.xlsx", "A 39036-2023")</f>
        <v/>
      </c>
      <c r="X126">
        <f>HYPERLINK("https://klasma.github.io/Logging_0482/kartor/A 39036-2023 karta.png", "A 39036-2023")</f>
        <v/>
      </c>
      <c r="Y126">
        <f>HYPERLINK("https://klasma.github.io/Logging_0482/kartor_geotiff/A 39036-2023 georefererad karta.tif", "A 39036-2023")</f>
        <v/>
      </c>
      <c r="AA126">
        <f>HYPERLINK("https://klasma.github.io/Logging_0482/klagomål/A 39036-2023 FSC-klagomål.docx", "A 39036-2023")</f>
        <v/>
      </c>
      <c r="AB126">
        <f>HYPERLINK("https://klasma.github.io/Logging_0482/klagomålsmail/A 39036-2023 FSC-klagomål mail.docx", "A 39036-2023")</f>
        <v/>
      </c>
      <c r="AC126">
        <f>HYPERLINK("https://klasma.github.io/Logging_0482/tillsyn/A 39036-2023 tillsynsbegäran.docx", "A 39036-2023")</f>
        <v/>
      </c>
      <c r="AD126">
        <f>HYPERLINK("https://klasma.github.io/Logging_0482/tillsynsmail/A 39036-2023 tillsynsbegäran mail.docx", "A 39036-2023")</f>
        <v/>
      </c>
    </row>
    <row r="127" ht="15" customHeight="1">
      <c r="A127" t="inlineStr">
        <is>
          <t>A 12371-2022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44637</v>
      </c>
      <c r="E127" s="1" t="n">
        <v>46300</v>
      </c>
      <c r="F127" t="inlineStr">
        <is>
          <t>SÖDERMANLANDS LÄN</t>
        </is>
      </c>
      <c r="G127" t="inlineStr">
        <is>
          <t>FLEN</t>
        </is>
      </c>
      <c r="H127" t="inlineStr">
        <is>
          <t>Kommuner</t>
        </is>
      </c>
      <c r="I127" t="n">
        <v>2.1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Gullklöver</t>
        </is>
      </c>
      <c r="W127">
        <f>HYPERLINK("https://klasma.github.io/Logging_0482/artfynd/A 12371-2022 artfynd.xlsx", "A 12371-2022")</f>
        <v/>
      </c>
      <c r="X127">
        <f>HYPERLINK("https://klasma.github.io/Logging_0482/kartor/A 12371-2022 karta.png", "A 12371-2022")</f>
        <v/>
      </c>
      <c r="Y127">
        <f>HYPERLINK("https://klasma.github.io/Logging_0482/kartor_geotiff/A 12371-2022 georefererad karta.tif", "A 12371-2022")</f>
        <v/>
      </c>
      <c r="AA127">
        <f>HYPERLINK("https://klasma.github.io/Logging_0482/klagomål/A 12371-2022 FSC-klagomål.docx", "A 12371-2022")</f>
        <v/>
      </c>
      <c r="AB127">
        <f>HYPERLINK("https://klasma.github.io/Logging_0482/klagomålsmail/A 12371-2022 FSC-klagomål mail.docx", "A 12371-2022")</f>
        <v/>
      </c>
      <c r="AC127">
        <f>HYPERLINK("https://klasma.github.io/Logging_0482/tillsyn/A 12371-2022 tillsynsbegäran.docx", "A 12371-2022")</f>
        <v/>
      </c>
      <c r="AD127">
        <f>HYPERLINK("https://klasma.github.io/Logging_0482/tillsynsmail/A 12371-2022 tillsynsbegäran mail.docx", "A 12371-2022")</f>
        <v/>
      </c>
    </row>
    <row r="128" ht="15" customHeight="1">
      <c r="A128" t="inlineStr">
        <is>
          <t>A 30406-2026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46209</v>
      </c>
      <c r="E128" s="1" t="n">
        <v>46300</v>
      </c>
      <c r="F128" t="inlineStr">
        <is>
          <t>SÖDERMANLANDS LÄN</t>
        </is>
      </c>
      <c r="G128" t="inlineStr">
        <is>
          <t>FLEN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HYPERLINK("https://klasma.github.io/Logging_0482/artfynd/A 30406-2026 artfynd.xlsx", "A 30406-2026")</f>
        <v/>
      </c>
      <c r="X128">
        <f>HYPERLINK("https://klasma.github.io/Logging_0482/kartor/A 30406-2026 karta.png", "A 30406-2026")</f>
        <v/>
      </c>
      <c r="Y128">
        <f>HYPERLINK("https://klasma.github.io/Logging_0482/kartor_geotiff/A 30406-2026 georefererad karta.tif", "A 30406-2026")</f>
        <v/>
      </c>
      <c r="AA128">
        <f>HYPERLINK("https://klasma.github.io/Logging_0482/klagomål/A 30406-2026 FSC-klagomål.docx", "A 30406-2026")</f>
        <v/>
      </c>
      <c r="AB128">
        <f>HYPERLINK("https://klasma.github.io/Logging_0482/klagomålsmail/A 30406-2026 FSC-klagomål mail.docx", "A 30406-2026")</f>
        <v/>
      </c>
      <c r="AC128">
        <f>HYPERLINK("https://klasma.github.io/Logging_0482/tillsyn/A 30406-2026 tillsynsbegäran.docx", "A 30406-2026")</f>
        <v/>
      </c>
      <c r="AD128">
        <f>HYPERLINK("https://klasma.github.io/Logging_0482/tillsynsmail/A 30406-2026 tillsynsbegäran mail.docx", "A 30406-2026")</f>
        <v/>
      </c>
    </row>
    <row r="129" ht="15" customHeight="1">
      <c r="A129" t="inlineStr">
        <is>
          <t>A 60591-2022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44911</v>
      </c>
      <c r="E129" s="1" t="n">
        <v>46300</v>
      </c>
      <c r="F129" t="inlineStr">
        <is>
          <t>SÖDERMANLANDS LÄN</t>
        </is>
      </c>
      <c r="G129" t="inlineStr">
        <is>
          <t>FLEN</t>
        </is>
      </c>
      <c r="H129" t="inlineStr">
        <is>
          <t>Holmen skog AB</t>
        </is>
      </c>
      <c r="I129" t="n">
        <v>1.3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Grönpyrola</t>
        </is>
      </c>
      <c r="W129">
        <f>HYPERLINK("https://klasma.github.io/Logging_0482/artfynd/A 60591-2022 artfynd.xlsx", "A 60591-2022")</f>
        <v/>
      </c>
      <c r="X129">
        <f>HYPERLINK("https://klasma.github.io/Logging_0482/kartor/A 60591-2022 karta.png", "A 60591-2022")</f>
        <v/>
      </c>
      <c r="Y129">
        <f>HYPERLINK("https://klasma.github.io/Logging_0482/kartor_geotiff/A 60591-2022 georefererad karta.tif", "A 60591-2022")</f>
        <v/>
      </c>
      <c r="AA129">
        <f>HYPERLINK("https://klasma.github.io/Logging_0482/klagomål/A 60591-2022 FSC-klagomål.docx", "A 60591-2022")</f>
        <v/>
      </c>
      <c r="AB129">
        <f>HYPERLINK("https://klasma.github.io/Logging_0482/klagomålsmail/A 60591-2022 FSC-klagomål mail.docx", "A 60591-2022")</f>
        <v/>
      </c>
      <c r="AC129">
        <f>HYPERLINK("https://klasma.github.io/Logging_0482/tillsyn/A 60591-2022 tillsynsbegäran.docx", "A 60591-2022")</f>
        <v/>
      </c>
      <c r="AD129">
        <f>HYPERLINK("https://klasma.github.io/Logging_0482/tillsynsmail/A 60591-2022 tillsynsbegäran mail.docx", "A 60591-2022")</f>
        <v/>
      </c>
    </row>
    <row r="130" ht="15" customHeight="1">
      <c r="A130" t="inlineStr">
        <is>
          <t>A 4259-2023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44953</v>
      </c>
      <c r="E130" s="1" t="n">
        <v>46300</v>
      </c>
      <c r="F130" t="inlineStr">
        <is>
          <t>SÖDERMANLANDS LÄN</t>
        </is>
      </c>
      <c r="G130" t="inlineStr">
        <is>
          <t>FLEN</t>
        </is>
      </c>
      <c r="I130" t="n">
        <v>1.3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Blåsippa</t>
        </is>
      </c>
      <c r="W130">
        <f>HYPERLINK("https://klasma.github.io/Logging_0482/artfynd/A 4259-2023 artfynd.xlsx", "A 4259-2023")</f>
        <v/>
      </c>
      <c r="X130">
        <f>HYPERLINK("https://klasma.github.io/Logging_0482/kartor/A 4259-2023 karta.png", "A 4259-2023")</f>
        <v/>
      </c>
      <c r="Y130">
        <f>HYPERLINK("https://klasma.github.io/Logging_0482/kartor_geotiff/A 4259-2023 georefererad karta.tif", "A 4259-2023")</f>
        <v/>
      </c>
      <c r="AA130">
        <f>HYPERLINK("https://klasma.github.io/Logging_0482/klagomål/A 4259-2023 FSC-klagomål.docx", "A 4259-2023")</f>
        <v/>
      </c>
      <c r="AB130">
        <f>HYPERLINK("https://klasma.github.io/Logging_0482/klagomålsmail/A 4259-2023 FSC-klagomål mail.docx", "A 4259-2023")</f>
        <v/>
      </c>
      <c r="AC130">
        <f>HYPERLINK("https://klasma.github.io/Logging_0482/tillsyn/A 4259-2023 tillsynsbegäran.docx", "A 4259-2023")</f>
        <v/>
      </c>
      <c r="AD130">
        <f>HYPERLINK("https://klasma.github.io/Logging_0482/tillsynsmail/A 4259-2023 tillsynsbegäran mail.docx", "A 4259-2023")</f>
        <v/>
      </c>
    </row>
    <row r="131" ht="15" customHeight="1">
      <c r="A131" t="inlineStr">
        <is>
          <t>A 12306-2022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44637</v>
      </c>
      <c r="E131" s="1" t="n">
        <v>46300</v>
      </c>
      <c r="F131" t="inlineStr">
        <is>
          <t>SÖDERMANLANDS LÄN</t>
        </is>
      </c>
      <c r="G131" t="inlineStr">
        <is>
          <t>FLEN</t>
        </is>
      </c>
      <c r="I131" t="n">
        <v>3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Järnsparv</t>
        </is>
      </c>
      <c r="W131">
        <f>HYPERLINK("https://klasma.github.io/Logging_0482/artfynd/A 12306-2022 artfynd.xlsx", "A 12306-2022")</f>
        <v/>
      </c>
      <c r="X131">
        <f>HYPERLINK("https://klasma.github.io/Logging_0482/kartor/A 12306-2022 karta.png", "A 12306-2022")</f>
        <v/>
      </c>
      <c r="Y131">
        <f>HYPERLINK("https://klasma.github.io/Logging_0482/kartor_geotiff/A 12306-2022 georefererad karta.tif", "A 12306-2022")</f>
        <v/>
      </c>
      <c r="AA131">
        <f>HYPERLINK("https://klasma.github.io/Logging_0482/klagomål/A 12306-2022 FSC-klagomål.docx", "A 12306-2022")</f>
        <v/>
      </c>
      <c r="AB131">
        <f>HYPERLINK("https://klasma.github.io/Logging_0482/klagomålsmail/A 12306-2022 FSC-klagomål mail.docx", "A 12306-2022")</f>
        <v/>
      </c>
      <c r="AC131">
        <f>HYPERLINK("https://klasma.github.io/Logging_0482/tillsyn/A 12306-2022 tillsynsbegäran.docx", "A 12306-2022")</f>
        <v/>
      </c>
      <c r="AD131">
        <f>HYPERLINK("https://klasma.github.io/Logging_0482/tillsynsmail/A 12306-2022 tillsynsbegäran mail.docx", "A 12306-2022")</f>
        <v/>
      </c>
      <c r="AE131">
        <f>HYPERLINK("https://klasma.github.io/Logging_0482/fåglar/A 12306-2022 prioriterade fågelarter.docx", "A 12306-2022")</f>
        <v/>
      </c>
    </row>
    <row r="132" ht="15" customHeight="1">
      <c r="A132" t="inlineStr">
        <is>
          <t>A 29195-2023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45105</v>
      </c>
      <c r="E132" s="1" t="n">
        <v>46300</v>
      </c>
      <c r="F132" t="inlineStr">
        <is>
          <t>SÖDERMANLANDS LÄN</t>
        </is>
      </c>
      <c r="G132" t="inlineStr">
        <is>
          <t>FLEN</t>
        </is>
      </c>
      <c r="H132" t="inlineStr">
        <is>
          <t>Övriga statliga verk och myndigheter</t>
        </is>
      </c>
      <c r="I132" t="n">
        <v>3.9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Plattlummer</t>
        </is>
      </c>
      <c r="W132">
        <f>HYPERLINK("https://klasma.github.io/Logging_0482/artfynd/A 29195-2023 artfynd.xlsx", "A 29195-2023")</f>
        <v/>
      </c>
      <c r="X132">
        <f>HYPERLINK("https://klasma.github.io/Logging_0482/kartor/A 29195-2023 karta.png", "A 29195-2023")</f>
        <v/>
      </c>
      <c r="Y132">
        <f>HYPERLINK("https://klasma.github.io/Logging_0482/kartor_geotiff/A 29195-2023 georefererad karta.tif", "A 29195-2023")</f>
        <v/>
      </c>
      <c r="AA132">
        <f>HYPERLINK("https://klasma.github.io/Logging_0482/klagomål/A 29195-2023 FSC-klagomål.docx", "A 29195-2023")</f>
        <v/>
      </c>
      <c r="AB132">
        <f>HYPERLINK("https://klasma.github.io/Logging_0482/klagomålsmail/A 29195-2023 FSC-klagomål mail.docx", "A 29195-2023")</f>
        <v/>
      </c>
      <c r="AC132">
        <f>HYPERLINK("https://klasma.github.io/Logging_0482/tillsyn/A 29195-2023 tillsynsbegäran.docx", "A 29195-2023")</f>
        <v/>
      </c>
      <c r="AD132">
        <f>HYPERLINK("https://klasma.github.io/Logging_0482/tillsynsmail/A 29195-2023 tillsynsbegäran mail.docx", "A 29195-2023")</f>
        <v/>
      </c>
    </row>
    <row r="133" ht="15" customHeight="1">
      <c r="A133" t="inlineStr">
        <is>
          <t>A 60562-2021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44495</v>
      </c>
      <c r="E133" s="1" t="n">
        <v>46300</v>
      </c>
      <c r="F133" t="inlineStr">
        <is>
          <t>SÖDERMANLANDS LÄN</t>
        </is>
      </c>
      <c r="G133" t="inlineStr">
        <is>
          <t>FLEN</t>
        </is>
      </c>
      <c r="H133" t="inlineStr">
        <is>
          <t>Övriga statliga verk och myndigheter</t>
        </is>
      </c>
      <c r="I133" t="n">
        <v>1.3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Gullklöver</t>
        </is>
      </c>
      <c r="W133">
        <f>HYPERLINK("https://klasma.github.io/Logging_0482/artfynd/A 60562-2021 artfynd.xlsx", "A 60562-2021")</f>
        <v/>
      </c>
      <c r="X133">
        <f>HYPERLINK("https://klasma.github.io/Logging_0482/kartor/A 60562-2021 karta.png", "A 60562-2021")</f>
        <v/>
      </c>
      <c r="Y133">
        <f>HYPERLINK("https://klasma.github.io/Logging_0482/kartor_geotiff/A 60562-2021 georefererad karta.tif", "A 60562-2021")</f>
        <v/>
      </c>
      <c r="AA133">
        <f>HYPERLINK("https://klasma.github.io/Logging_0482/klagomål/A 60562-2021 FSC-klagomål.docx", "A 60562-2021")</f>
        <v/>
      </c>
      <c r="AB133">
        <f>HYPERLINK("https://klasma.github.io/Logging_0482/klagomålsmail/A 60562-2021 FSC-klagomål mail.docx", "A 60562-2021")</f>
        <v/>
      </c>
      <c r="AC133">
        <f>HYPERLINK("https://klasma.github.io/Logging_0482/tillsyn/A 60562-2021 tillsynsbegäran.docx", "A 60562-2021")</f>
        <v/>
      </c>
      <c r="AD133">
        <f>HYPERLINK("https://klasma.github.io/Logging_0482/tillsynsmail/A 60562-2021 tillsynsbegäran mail.docx", "A 60562-2021")</f>
        <v/>
      </c>
    </row>
    <row r="134" ht="15" customHeight="1">
      <c r="A134" t="inlineStr">
        <is>
          <t>A 50202-2022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44865</v>
      </c>
      <c r="E134" s="1" t="n">
        <v>46300</v>
      </c>
      <c r="F134" t="inlineStr">
        <is>
          <t>SÖDERMANLANDS LÄN</t>
        </is>
      </c>
      <c r="G134" t="inlineStr">
        <is>
          <t>FLEN</t>
        </is>
      </c>
      <c r="H134" t="inlineStr">
        <is>
          <t>Kyrkan</t>
        </is>
      </c>
      <c r="I134" t="n">
        <v>5.8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Gullklöver</t>
        </is>
      </c>
      <c r="W134">
        <f>HYPERLINK("https://klasma.github.io/Logging_0482/artfynd/A 50202-2022 artfynd.xlsx", "A 50202-2022")</f>
        <v/>
      </c>
      <c r="X134">
        <f>HYPERLINK("https://klasma.github.io/Logging_0482/kartor/A 50202-2022 karta.png", "A 50202-2022")</f>
        <v/>
      </c>
      <c r="Y134">
        <f>HYPERLINK("https://klasma.github.io/Logging_0482/kartor_geotiff/A 50202-2022 georefererad karta.tif", "A 50202-2022")</f>
        <v/>
      </c>
      <c r="AA134">
        <f>HYPERLINK("https://klasma.github.io/Logging_0482/klagomål/A 50202-2022 FSC-klagomål.docx", "A 50202-2022")</f>
        <v/>
      </c>
      <c r="AB134">
        <f>HYPERLINK("https://klasma.github.io/Logging_0482/klagomålsmail/A 50202-2022 FSC-klagomål mail.docx", "A 50202-2022")</f>
        <v/>
      </c>
      <c r="AC134">
        <f>HYPERLINK("https://klasma.github.io/Logging_0482/tillsyn/A 50202-2022 tillsynsbegäran.docx", "A 50202-2022")</f>
        <v/>
      </c>
      <c r="AD134">
        <f>HYPERLINK("https://klasma.github.io/Logging_0482/tillsynsmail/A 50202-2022 tillsynsbegäran mail.docx", "A 50202-2022")</f>
        <v/>
      </c>
    </row>
    <row r="135" ht="15" customHeight="1">
      <c r="A135" t="inlineStr">
        <is>
          <t>A 7973-2024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45350</v>
      </c>
      <c r="E135" s="1" t="n">
        <v>46300</v>
      </c>
      <c r="F135" t="inlineStr">
        <is>
          <t>SÖDERMANLANDS LÄN</t>
        </is>
      </c>
      <c r="G135" t="inlineStr">
        <is>
          <t>FLEN</t>
        </is>
      </c>
      <c r="I135" t="n">
        <v>0.9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Vippärt</t>
        </is>
      </c>
      <c r="W135">
        <f>HYPERLINK("https://klasma.github.io/Logging_0482/artfynd/A 7973-2024 artfynd.xlsx", "A 7973-2024")</f>
        <v/>
      </c>
      <c r="X135">
        <f>HYPERLINK("https://klasma.github.io/Logging_0482/kartor/A 7973-2024 karta.png", "A 7973-2024")</f>
        <v/>
      </c>
      <c r="Y135">
        <f>HYPERLINK("https://klasma.github.io/Logging_0482/kartor_geotiff/A 7973-2024 georefererad karta.tif", "A 7973-2024")</f>
        <v/>
      </c>
      <c r="AA135">
        <f>HYPERLINK("https://klasma.github.io/Logging_0482/klagomål/A 7973-2024 FSC-klagomål.docx", "A 7973-2024")</f>
        <v/>
      </c>
      <c r="AB135">
        <f>HYPERLINK("https://klasma.github.io/Logging_0482/klagomålsmail/A 7973-2024 FSC-klagomål mail.docx", "A 7973-2024")</f>
        <v/>
      </c>
      <c r="AC135">
        <f>HYPERLINK("https://klasma.github.io/Logging_0482/tillsyn/A 7973-2024 tillsynsbegäran.docx", "A 7973-2024")</f>
        <v/>
      </c>
      <c r="AD135">
        <f>HYPERLINK("https://klasma.github.io/Logging_0482/tillsynsmail/A 7973-2024 tillsynsbegäran mail.docx", "A 7973-2024")</f>
        <v/>
      </c>
    </row>
    <row r="136" ht="15" customHeight="1">
      <c r="A136" t="inlineStr">
        <is>
          <t>A 12056-2024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45377</v>
      </c>
      <c r="E136" s="1" t="n">
        <v>46300</v>
      </c>
      <c r="F136" t="inlineStr">
        <is>
          <t>SÖDERMANLANDS LÄN</t>
        </is>
      </c>
      <c r="G136" t="inlineStr">
        <is>
          <t>FLEN</t>
        </is>
      </c>
      <c r="I136" t="n">
        <v>8.4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Fjällig taggsvamp s.str.</t>
        </is>
      </c>
      <c r="W136">
        <f>HYPERLINK("https://klasma.github.io/Logging_0482/artfynd/A 12056-2024 artfynd.xlsx", "A 12056-2024")</f>
        <v/>
      </c>
      <c r="X136">
        <f>HYPERLINK("https://klasma.github.io/Logging_0482/kartor/A 12056-2024 karta.png", "A 12056-2024")</f>
        <v/>
      </c>
      <c r="Y136">
        <f>HYPERLINK("https://klasma.github.io/Logging_0482/kartor_geotiff/A 12056-2024 georefererad karta.tif", "A 12056-2024")</f>
        <v/>
      </c>
      <c r="AA136">
        <f>HYPERLINK("https://klasma.github.io/Logging_0482/klagomål/A 12056-2024 FSC-klagomål.docx", "A 12056-2024")</f>
        <v/>
      </c>
      <c r="AB136">
        <f>HYPERLINK("https://klasma.github.io/Logging_0482/klagomålsmail/A 12056-2024 FSC-klagomål mail.docx", "A 12056-2024")</f>
        <v/>
      </c>
      <c r="AC136">
        <f>HYPERLINK("https://klasma.github.io/Logging_0482/tillsyn/A 12056-2024 tillsynsbegäran.docx", "A 12056-2024")</f>
        <v/>
      </c>
      <c r="AD136">
        <f>HYPERLINK("https://klasma.github.io/Logging_0482/tillsynsmail/A 12056-2024 tillsynsbegäran mail.docx", "A 12056-2024")</f>
        <v/>
      </c>
    </row>
    <row r="137" ht="15" customHeight="1">
      <c r="A137" t="inlineStr">
        <is>
          <t>A 40333-2026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46294</v>
      </c>
      <c r="E137" s="1" t="n">
        <v>46300</v>
      </c>
      <c r="F137" t="inlineStr">
        <is>
          <t>SÖDERMANLANDS LÄN</t>
        </is>
      </c>
      <c r="G137" t="inlineStr">
        <is>
          <t>FLEN</t>
        </is>
      </c>
      <c r="I137" t="n">
        <v>1.3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Gullviva</t>
        </is>
      </c>
      <c r="W137">
        <f>HYPERLINK("https://klasma.github.io/Logging_0482/artfynd/A 40333-2026 artfynd.xlsx", "A 40333-2026")</f>
        <v/>
      </c>
      <c r="X137">
        <f>HYPERLINK("https://klasma.github.io/Logging_0482/kartor/A 40333-2026 karta.png", "A 40333-2026")</f>
        <v/>
      </c>
      <c r="Y137">
        <f>HYPERLINK("https://klasma.github.io/Logging_0482/kartor_geotiff/A 40333-2026 georefererad karta.tif", "A 40333-2026")</f>
        <v/>
      </c>
      <c r="AA137">
        <f>HYPERLINK("https://klasma.github.io/Logging_0482/klagomål/A 40333-2026 FSC-klagomål.docx", "A 40333-2026")</f>
        <v/>
      </c>
      <c r="AB137">
        <f>HYPERLINK("https://klasma.github.io/Logging_0482/klagomålsmail/A 40333-2026 FSC-klagomål mail.docx", "A 40333-2026")</f>
        <v/>
      </c>
      <c r="AC137">
        <f>HYPERLINK("https://klasma.github.io/Logging_0482/tillsyn/A 40333-2026 tillsynsbegäran.docx", "A 40333-2026")</f>
        <v/>
      </c>
      <c r="AD137">
        <f>HYPERLINK("https://klasma.github.io/Logging_0482/tillsynsmail/A 40333-2026 tillsynsbegäran mail.docx", "A 40333-2026")</f>
        <v/>
      </c>
    </row>
    <row r="138" ht="15" customHeight="1">
      <c r="A138" t="inlineStr">
        <is>
          <t>A 47756-2022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44854</v>
      </c>
      <c r="E138" s="1" t="n">
        <v>46300</v>
      </c>
      <c r="F138" t="inlineStr">
        <is>
          <t>SÖDERMANLANDS LÄN</t>
        </is>
      </c>
      <c r="G138" t="inlineStr">
        <is>
          <t>FLEN</t>
        </is>
      </c>
      <c r="I138" t="n">
        <v>2.4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Svinrot</t>
        </is>
      </c>
      <c r="W138">
        <f>HYPERLINK("https://klasma.github.io/Logging_0482/artfynd/A 47756-2022 artfynd.xlsx", "A 47756-2022")</f>
        <v/>
      </c>
      <c r="X138">
        <f>HYPERLINK("https://klasma.github.io/Logging_0482/kartor/A 47756-2022 karta.png", "A 47756-2022")</f>
        <v/>
      </c>
      <c r="Y138">
        <f>HYPERLINK("https://klasma.github.io/Logging_0482/kartor_geotiff/A 47756-2022 georefererad karta.tif", "A 47756-2022")</f>
        <v/>
      </c>
      <c r="AA138">
        <f>HYPERLINK("https://klasma.github.io/Logging_0482/klagomål/A 47756-2022 FSC-klagomål.docx", "A 47756-2022")</f>
        <v/>
      </c>
      <c r="AB138">
        <f>HYPERLINK("https://klasma.github.io/Logging_0482/klagomålsmail/A 47756-2022 FSC-klagomål mail.docx", "A 47756-2022")</f>
        <v/>
      </c>
      <c r="AC138">
        <f>HYPERLINK("https://klasma.github.io/Logging_0482/tillsyn/A 47756-2022 tillsynsbegäran.docx", "A 47756-2022")</f>
        <v/>
      </c>
      <c r="AD138">
        <f>HYPERLINK("https://klasma.github.io/Logging_0482/tillsynsmail/A 47756-2022 tillsynsbegäran mail.docx", "A 47756-2022")</f>
        <v/>
      </c>
    </row>
    <row r="139" ht="15" customHeight="1">
      <c r="A139" t="inlineStr">
        <is>
          <t>A 62535-2021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46300</v>
      </c>
      <c r="F139" t="inlineStr">
        <is>
          <t>SÖDERMANLANDS LÄN</t>
        </is>
      </c>
      <c r="G139" t="inlineStr">
        <is>
          <t>FLEN</t>
        </is>
      </c>
      <c r="I139" t="n">
        <v>0.6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Blåsippa</t>
        </is>
      </c>
      <c r="W139">
        <f>HYPERLINK("https://klasma.github.io/Logging_0482/artfynd/A 62535-2021 artfynd.xlsx", "A 62535-2021")</f>
        <v/>
      </c>
      <c r="X139">
        <f>HYPERLINK("https://klasma.github.io/Logging_0482/kartor/A 62535-2021 karta.png", "A 62535-2021")</f>
        <v/>
      </c>
      <c r="Y139">
        <f>HYPERLINK("https://klasma.github.io/Logging_0482/kartor_geotiff/A 62535-2021 georefererad karta.tif", "A 62535-2021")</f>
        <v/>
      </c>
      <c r="AA139">
        <f>HYPERLINK("https://klasma.github.io/Logging_0482/klagomål/A 62535-2021 FSC-klagomål.docx", "A 62535-2021")</f>
        <v/>
      </c>
      <c r="AB139">
        <f>HYPERLINK("https://klasma.github.io/Logging_0482/klagomålsmail/A 62535-2021 FSC-klagomål mail.docx", "A 62535-2021")</f>
        <v/>
      </c>
      <c r="AC139">
        <f>HYPERLINK("https://klasma.github.io/Logging_0482/tillsyn/A 62535-2021 tillsynsbegäran.docx", "A 62535-2021")</f>
        <v/>
      </c>
      <c r="AD139">
        <f>HYPERLINK("https://klasma.github.io/Logging_0482/tillsynsmail/A 62535-2021 tillsynsbegäran mail.docx", "A 62535-2021")</f>
        <v/>
      </c>
    </row>
    <row r="140" ht="15" customHeight="1">
      <c r="A140" t="inlineStr">
        <is>
          <t>A 14273-2025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45740</v>
      </c>
      <c r="E140" s="1" t="n">
        <v>46300</v>
      </c>
      <c r="F140" t="inlineStr">
        <is>
          <t>SÖDERMANLANDS LÄN</t>
        </is>
      </c>
      <c r="G140" t="inlineStr">
        <is>
          <t>FLEN</t>
        </is>
      </c>
      <c r="H140" t="inlineStr">
        <is>
          <t>Holmen skog AB</t>
        </is>
      </c>
      <c r="I140" t="n">
        <v>3.1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Vedskivlav</t>
        </is>
      </c>
      <c r="W140">
        <f>HYPERLINK("https://klasma.github.io/Logging_0482/artfynd/A 14273-2025 artfynd.xlsx", "A 14273-2025")</f>
        <v/>
      </c>
      <c r="X140">
        <f>HYPERLINK("https://klasma.github.io/Logging_0482/kartor/A 14273-2025 karta.png", "A 14273-2025")</f>
        <v/>
      </c>
      <c r="Y140">
        <f>HYPERLINK("https://klasma.github.io/Logging_0482/kartor_geotiff/A 14273-2025 georefererad karta.tif", "A 14273-2025")</f>
        <v/>
      </c>
      <c r="AA140">
        <f>HYPERLINK("https://klasma.github.io/Logging_0482/klagomål/A 14273-2025 FSC-klagomål.docx", "A 14273-2025")</f>
        <v/>
      </c>
      <c r="AB140">
        <f>HYPERLINK("https://klasma.github.io/Logging_0482/klagomålsmail/A 14273-2025 FSC-klagomål mail.docx", "A 14273-2025")</f>
        <v/>
      </c>
      <c r="AC140">
        <f>HYPERLINK("https://klasma.github.io/Logging_0482/tillsyn/A 14273-2025 tillsynsbegäran.docx", "A 14273-2025")</f>
        <v/>
      </c>
      <c r="AD140">
        <f>HYPERLINK("https://klasma.github.io/Logging_0482/tillsynsmail/A 14273-2025 tillsynsbegäran mail.docx", "A 14273-2025")</f>
        <v/>
      </c>
    </row>
    <row r="141" ht="15" customHeight="1">
      <c r="A141" t="inlineStr">
        <is>
          <t>A 49820-2023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45211</v>
      </c>
      <c r="E141" s="1" t="n">
        <v>46300</v>
      </c>
      <c r="F141" t="inlineStr">
        <is>
          <t>SÖDERMANLANDS LÄN</t>
        </is>
      </c>
      <c r="G141" t="inlineStr">
        <is>
          <t>FLEN</t>
        </is>
      </c>
      <c r="I141" t="n">
        <v>3.2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Gullviva</t>
        </is>
      </c>
      <c r="W141">
        <f>HYPERLINK("https://klasma.github.io/Logging_0482/artfynd/A 49820-2023 artfynd.xlsx", "A 49820-2023")</f>
        <v/>
      </c>
      <c r="X141">
        <f>HYPERLINK("https://klasma.github.io/Logging_0482/kartor/A 49820-2023 karta.png", "A 49820-2023")</f>
        <v/>
      </c>
      <c r="Y141">
        <f>HYPERLINK("https://klasma.github.io/Logging_0482/kartor_geotiff/A 49820-2023 georefererad karta.tif", "A 49820-2023")</f>
        <v/>
      </c>
      <c r="AA141">
        <f>HYPERLINK("https://klasma.github.io/Logging_0482/klagomål/A 49820-2023 FSC-klagomål.docx", "A 49820-2023")</f>
        <v/>
      </c>
      <c r="AB141">
        <f>HYPERLINK("https://klasma.github.io/Logging_0482/klagomålsmail/A 49820-2023 FSC-klagomål mail.docx", "A 49820-2023")</f>
        <v/>
      </c>
      <c r="AC141">
        <f>HYPERLINK("https://klasma.github.io/Logging_0482/tillsyn/A 49820-2023 tillsynsbegäran.docx", "A 49820-2023")</f>
        <v/>
      </c>
      <c r="AD141">
        <f>HYPERLINK("https://klasma.github.io/Logging_0482/tillsynsmail/A 49820-2023 tillsynsbegäran mail.docx", "A 49820-2023")</f>
        <v/>
      </c>
    </row>
    <row r="142" ht="15" customHeight="1">
      <c r="A142" t="inlineStr">
        <is>
          <t>A 45107-2023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45191</v>
      </c>
      <c r="E142" s="1" t="n">
        <v>46300</v>
      </c>
      <c r="F142" t="inlineStr">
        <is>
          <t>SÖDERMANLANDS LÄN</t>
        </is>
      </c>
      <c r="G142" t="inlineStr">
        <is>
          <t>FLEN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Brudborste</t>
        </is>
      </c>
      <c r="W142">
        <f>HYPERLINK("https://klasma.github.io/Logging_0482/artfynd/A 45107-2023 artfynd.xlsx", "A 45107-2023")</f>
        <v/>
      </c>
      <c r="X142">
        <f>HYPERLINK("https://klasma.github.io/Logging_0482/kartor/A 45107-2023 karta.png", "A 45107-2023")</f>
        <v/>
      </c>
      <c r="Y142">
        <f>HYPERLINK("https://klasma.github.io/Logging_0482/kartor_geotiff/A 45107-2023 georefererad karta.tif", "A 45107-2023")</f>
        <v/>
      </c>
      <c r="AA142">
        <f>HYPERLINK("https://klasma.github.io/Logging_0482/klagomål/A 45107-2023 FSC-klagomål.docx", "A 45107-2023")</f>
        <v/>
      </c>
      <c r="AB142">
        <f>HYPERLINK("https://klasma.github.io/Logging_0482/klagomålsmail/A 45107-2023 FSC-klagomål mail.docx", "A 45107-2023")</f>
        <v/>
      </c>
      <c r="AC142">
        <f>HYPERLINK("https://klasma.github.io/Logging_0482/tillsyn/A 45107-2023 tillsynsbegäran.docx", "A 45107-2023")</f>
        <v/>
      </c>
      <c r="AD142">
        <f>HYPERLINK("https://klasma.github.io/Logging_0482/tillsynsmail/A 45107-2023 tillsynsbegäran mail.docx", "A 45107-2023")</f>
        <v/>
      </c>
    </row>
    <row r="143" ht="15" customHeight="1">
      <c r="A143" t="inlineStr">
        <is>
          <t>A 46115-2023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45196</v>
      </c>
      <c r="E143" s="1" t="n">
        <v>46300</v>
      </c>
      <c r="F143" t="inlineStr">
        <is>
          <t>SÖDERMANLANDS LÄN</t>
        </is>
      </c>
      <c r="G143" t="inlineStr">
        <is>
          <t>FLEN</t>
        </is>
      </c>
      <c r="H143" t="inlineStr">
        <is>
          <t>Kyrkan</t>
        </is>
      </c>
      <c r="I143" t="n">
        <v>3.3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Ullticka</t>
        </is>
      </c>
      <c r="W143">
        <f>HYPERLINK("https://klasma.github.io/Logging_0482/artfynd/A 46115-2023 artfynd.xlsx", "A 46115-2023")</f>
        <v/>
      </c>
      <c r="X143">
        <f>HYPERLINK("https://klasma.github.io/Logging_0482/kartor/A 46115-2023 karta.png", "A 46115-2023")</f>
        <v/>
      </c>
      <c r="Y143">
        <f>HYPERLINK("https://klasma.github.io/Logging_0482/kartor_geotiff/A 46115-2023 georefererad karta.tif", "A 46115-2023")</f>
        <v/>
      </c>
      <c r="AA143">
        <f>HYPERLINK("https://klasma.github.io/Logging_0482/klagomål/A 46115-2023 FSC-klagomål.docx", "A 46115-2023")</f>
        <v/>
      </c>
      <c r="AB143">
        <f>HYPERLINK("https://klasma.github.io/Logging_0482/klagomålsmail/A 46115-2023 FSC-klagomål mail.docx", "A 46115-2023")</f>
        <v/>
      </c>
      <c r="AC143">
        <f>HYPERLINK("https://klasma.github.io/Logging_0482/tillsyn/A 46115-2023 tillsynsbegäran.docx", "A 46115-2023")</f>
        <v/>
      </c>
      <c r="AD143">
        <f>HYPERLINK("https://klasma.github.io/Logging_0482/tillsynsmail/A 46115-2023 tillsynsbegäran mail.docx", "A 46115-2023")</f>
        <v/>
      </c>
    </row>
    <row r="144" ht="15" customHeight="1">
      <c r="A144" t="inlineStr">
        <is>
          <t>A 62223-2021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44501</v>
      </c>
      <c r="E144" s="1" t="n">
        <v>46300</v>
      </c>
      <c r="F144" t="inlineStr">
        <is>
          <t>SÖDERMANLANDS LÄN</t>
        </is>
      </c>
      <c r="G144" t="inlineStr">
        <is>
          <t>FLEN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24037-2022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44724</v>
      </c>
      <c r="E145" s="1" t="n">
        <v>46300</v>
      </c>
      <c r="F145" t="inlineStr">
        <is>
          <t>SÖDERMANLANDS LÄN</t>
        </is>
      </c>
      <c r="G145" t="inlineStr">
        <is>
          <t>FLEN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70701-2021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44536</v>
      </c>
      <c r="E146" s="1" t="n">
        <v>46300</v>
      </c>
      <c r="F146" t="inlineStr">
        <is>
          <t>SÖDERMANLANDS LÄN</t>
        </is>
      </c>
      <c r="G146" t="inlineStr">
        <is>
          <t>FLEN</t>
        </is>
      </c>
      <c r="I146" t="n">
        <v>7.5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8990-2022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44614</v>
      </c>
      <c r="E147" s="1" t="n">
        <v>46300</v>
      </c>
      <c r="F147" t="inlineStr">
        <is>
          <t>SÖDERMANLANDS LÄN</t>
        </is>
      </c>
      <c r="G147" t="inlineStr">
        <is>
          <t>FLEN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70215-2021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44535</v>
      </c>
      <c r="E148" s="1" t="n">
        <v>46300</v>
      </c>
      <c r="F148" t="inlineStr">
        <is>
          <t>SÖDERMANLANDS LÄN</t>
        </is>
      </c>
      <c r="G148" t="inlineStr">
        <is>
          <t>FLEN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23960-2022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44722</v>
      </c>
      <c r="E149" s="1" t="n">
        <v>46300</v>
      </c>
      <c r="F149" t="inlineStr">
        <is>
          <t>SÖDERMANLANDS LÄN</t>
        </is>
      </c>
      <c r="G149" t="inlineStr">
        <is>
          <t>FLEN</t>
        </is>
      </c>
      <c r="H149" t="inlineStr">
        <is>
          <t>Kyrkan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52257-2022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44869</v>
      </c>
      <c r="E150" s="1" t="n">
        <v>46300</v>
      </c>
      <c r="F150" t="inlineStr">
        <is>
          <t>SÖDERMANLANDS LÄN</t>
        </is>
      </c>
      <c r="G150" t="inlineStr">
        <is>
          <t>FLEN</t>
        </is>
      </c>
      <c r="H150" t="inlineStr">
        <is>
          <t>Övriga statliga verk och myndigheter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54645-2021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44473</v>
      </c>
      <c r="E151" s="1" t="n">
        <v>46300</v>
      </c>
      <c r="F151" t="inlineStr">
        <is>
          <t>SÖDERMANLANDS LÄN</t>
        </is>
      </c>
      <c r="G151" t="inlineStr">
        <is>
          <t>FLEN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7863-2022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44608</v>
      </c>
      <c r="E152" s="1" t="n">
        <v>46300</v>
      </c>
      <c r="F152" t="inlineStr">
        <is>
          <t>SÖDERMANLANDS LÄN</t>
        </is>
      </c>
      <c r="G152" t="inlineStr">
        <is>
          <t>FLEN</t>
        </is>
      </c>
      <c r="H152" t="inlineStr">
        <is>
          <t>Övriga statliga verk och myndigheter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29367-2022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44752</v>
      </c>
      <c r="E153" s="1" t="n">
        <v>46300</v>
      </c>
      <c r="F153" t="inlineStr">
        <is>
          <t>SÖDERMANLANDS LÄN</t>
        </is>
      </c>
      <c r="G153" t="inlineStr">
        <is>
          <t>FLEN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23294-2022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44720</v>
      </c>
      <c r="E154" s="1" t="n">
        <v>46300</v>
      </c>
      <c r="F154" t="inlineStr">
        <is>
          <t>SÖDERMANLANDS LÄN</t>
        </is>
      </c>
      <c r="G154" t="inlineStr">
        <is>
          <t>FLEN</t>
        </is>
      </c>
      <c r="H154" t="inlineStr">
        <is>
          <t>Kyrkan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52050-2022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44873</v>
      </c>
      <c r="E155" s="1" t="n">
        <v>46300</v>
      </c>
      <c r="F155" t="inlineStr">
        <is>
          <t>SÖDERMANLANDS LÄN</t>
        </is>
      </c>
      <c r="G155" t="inlineStr">
        <is>
          <t>FLEN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31077-2022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44769</v>
      </c>
      <c r="E156" s="1" t="n">
        <v>46300</v>
      </c>
      <c r="F156" t="inlineStr">
        <is>
          <t>SÖDERMANLANDS LÄN</t>
        </is>
      </c>
      <c r="G156" t="inlineStr">
        <is>
          <t>FLEN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27992-2022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44745</v>
      </c>
      <c r="E157" s="1" t="n">
        <v>46300</v>
      </c>
      <c r="F157" t="inlineStr">
        <is>
          <t>SÖDERMANLANDS LÄN</t>
        </is>
      </c>
      <c r="G157" t="inlineStr">
        <is>
          <t>FLEN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44172-2022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44839</v>
      </c>
      <c r="E158" s="1" t="n">
        <v>46300</v>
      </c>
      <c r="F158" t="inlineStr">
        <is>
          <t>SÖDERMANLANDS LÄN</t>
        </is>
      </c>
      <c r="G158" t="inlineStr">
        <is>
          <t>FLEN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2496-2022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44579</v>
      </c>
      <c r="E159" s="1" t="n">
        <v>46300</v>
      </c>
      <c r="F159" t="inlineStr">
        <is>
          <t>SÖDERMANLANDS LÄN</t>
        </is>
      </c>
      <c r="G159" t="inlineStr">
        <is>
          <t>FLEN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37257-2022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44807</v>
      </c>
      <c r="E160" s="1" t="n">
        <v>46300</v>
      </c>
      <c r="F160" t="inlineStr">
        <is>
          <t>SÖDERMANLANDS LÄN</t>
        </is>
      </c>
      <c r="G160" t="inlineStr">
        <is>
          <t>FLEN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48791-2022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44855</v>
      </c>
      <c r="E161" s="1" t="n">
        <v>46300</v>
      </c>
      <c r="F161" t="inlineStr">
        <is>
          <t>SÖDERMANLANDS LÄN</t>
        </is>
      </c>
      <c r="G161" t="inlineStr">
        <is>
          <t>FLEN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53371-2022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44879</v>
      </c>
      <c r="E162" s="1" t="n">
        <v>46300</v>
      </c>
      <c r="F162" t="inlineStr">
        <is>
          <t>SÖDERMANLANDS LÄN</t>
        </is>
      </c>
      <c r="G162" t="inlineStr">
        <is>
          <t>FLEN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26513-2022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44739</v>
      </c>
      <c r="E163" s="1" t="n">
        <v>46300</v>
      </c>
      <c r="F163" t="inlineStr">
        <is>
          <t>SÖDERMANLANDS LÄN</t>
        </is>
      </c>
      <c r="G163" t="inlineStr">
        <is>
          <t>FLEN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31175-2022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44770</v>
      </c>
      <c r="E164" s="1" t="n">
        <v>46300</v>
      </c>
      <c r="F164" t="inlineStr">
        <is>
          <t>SÖDERMANLANDS LÄN</t>
        </is>
      </c>
      <c r="G164" t="inlineStr">
        <is>
          <t>FLEN</t>
        </is>
      </c>
      <c r="H164" t="inlineStr">
        <is>
          <t>Övriga statliga verk och myndigheter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46300</v>
      </c>
      <c r="F165" t="inlineStr">
        <is>
          <t>SÖDERMANLANDS LÄN</t>
        </is>
      </c>
      <c r="G165" t="inlineStr">
        <is>
          <t>FLEN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12608-2022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44640</v>
      </c>
      <c r="E166" s="1" t="n">
        <v>46300</v>
      </c>
      <c r="F166" t="inlineStr">
        <is>
          <t>SÖDERMANLANDS LÄN</t>
        </is>
      </c>
      <c r="G166" t="inlineStr">
        <is>
          <t>FLEN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24212-2022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44725</v>
      </c>
      <c r="E167" s="1" t="n">
        <v>46300</v>
      </c>
      <c r="F167" t="inlineStr">
        <is>
          <t>SÖDERMANLANDS LÄN</t>
        </is>
      </c>
      <c r="G167" t="inlineStr">
        <is>
          <t>FLEN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46300</v>
      </c>
      <c r="F168" t="inlineStr">
        <is>
          <t>SÖDERMANLANDS LÄN</t>
        </is>
      </c>
      <c r="G168" t="inlineStr">
        <is>
          <t>FLEN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44643</v>
      </c>
      <c r="E169" s="1" t="n">
        <v>46300</v>
      </c>
      <c r="F169" t="inlineStr">
        <is>
          <t>SÖDERMANLANDS LÄN</t>
        </is>
      </c>
      <c r="G169" t="inlineStr">
        <is>
          <t>FLEN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54840-2021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44474</v>
      </c>
      <c r="E170" s="1" t="n">
        <v>46300</v>
      </c>
      <c r="F170" t="inlineStr">
        <is>
          <t>SÖDERMANLANDS LÄN</t>
        </is>
      </c>
      <c r="G170" t="inlineStr">
        <is>
          <t>FLEN</t>
        </is>
      </c>
      <c r="H170" t="inlineStr">
        <is>
          <t>Holmen skog AB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32098-2022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44778</v>
      </c>
      <c r="E171" s="1" t="n">
        <v>46300</v>
      </c>
      <c r="F171" t="inlineStr">
        <is>
          <t>SÖDERMANLANDS LÄN</t>
        </is>
      </c>
      <c r="G171" t="inlineStr">
        <is>
          <t>FLEN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4065-2022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44588</v>
      </c>
      <c r="E172" s="1" t="n">
        <v>46300</v>
      </c>
      <c r="F172" t="inlineStr">
        <is>
          <t>SÖDERMANLANDS LÄN</t>
        </is>
      </c>
      <c r="G172" t="inlineStr">
        <is>
          <t>FLEN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31068-2022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44769</v>
      </c>
      <c r="E173" s="1" t="n">
        <v>46300</v>
      </c>
      <c r="F173" t="inlineStr">
        <is>
          <t>SÖDERMANLANDS LÄN</t>
        </is>
      </c>
      <c r="G173" t="inlineStr">
        <is>
          <t>FLEN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44161-2022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44839</v>
      </c>
      <c r="E174" s="1" t="n">
        <v>46300</v>
      </c>
      <c r="F174" t="inlineStr">
        <is>
          <t>SÖDERMANLANDS LÄN</t>
        </is>
      </c>
      <c r="G174" t="inlineStr">
        <is>
          <t>FLEN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55081-2022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44886</v>
      </c>
      <c r="E175" s="1" t="n">
        <v>46300</v>
      </c>
      <c r="F175" t="inlineStr">
        <is>
          <t>SÖDERMANLANDS LÄN</t>
        </is>
      </c>
      <c r="G175" t="inlineStr">
        <is>
          <t>FLEN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47759-2022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44854</v>
      </c>
      <c r="E176" s="1" t="n">
        <v>46300</v>
      </c>
      <c r="F176" t="inlineStr">
        <is>
          <t>SÖDERMANLANDS LÄN</t>
        </is>
      </c>
      <c r="G176" t="inlineStr">
        <is>
          <t>FLEN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20013-2022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44697</v>
      </c>
      <c r="E177" s="1" t="n">
        <v>46300</v>
      </c>
      <c r="F177" t="inlineStr">
        <is>
          <t>SÖDERMANLANDS LÄN</t>
        </is>
      </c>
      <c r="G177" t="inlineStr">
        <is>
          <t>FLEN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44769</v>
      </c>
      <c r="E178" s="1" t="n">
        <v>46300</v>
      </c>
      <c r="F178" t="inlineStr">
        <is>
          <t>SÖDERMANLANDS LÄN</t>
        </is>
      </c>
      <c r="G178" t="inlineStr">
        <is>
          <t>FLEN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2162-2022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46300</v>
      </c>
      <c r="F179" t="inlineStr">
        <is>
          <t>SÖDERMANLANDS LÄN</t>
        </is>
      </c>
      <c r="G179" t="inlineStr">
        <is>
          <t>FLEN</t>
        </is>
      </c>
      <c r="H179" t="inlineStr">
        <is>
          <t>Övriga statliga verk och myndigheter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46414-2022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44846</v>
      </c>
      <c r="E180" s="1" t="n">
        <v>46300</v>
      </c>
      <c r="F180" t="inlineStr">
        <is>
          <t>SÖDERMANLANDS LÄN</t>
        </is>
      </c>
      <c r="G180" t="inlineStr">
        <is>
          <t>FLEN</t>
        </is>
      </c>
      <c r="H180" t="inlineStr">
        <is>
          <t>Kyrkan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12171-2022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44636</v>
      </c>
      <c r="E181" s="1" t="n">
        <v>46300</v>
      </c>
      <c r="F181" t="inlineStr">
        <is>
          <t>SÖDERMANLANDS LÄN</t>
        </is>
      </c>
      <c r="G181" t="inlineStr">
        <is>
          <t>FLEN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29378-2022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44752</v>
      </c>
      <c r="E182" s="1" t="n">
        <v>46300</v>
      </c>
      <c r="F182" t="inlineStr">
        <is>
          <t>SÖDERMANLANDS LÄN</t>
        </is>
      </c>
      <c r="G182" t="inlineStr">
        <is>
          <t>FLEN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29384-2022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44752</v>
      </c>
      <c r="E183" s="1" t="n">
        <v>46300</v>
      </c>
      <c r="F183" t="inlineStr">
        <is>
          <t>SÖDERMANLANDS LÄN</t>
        </is>
      </c>
      <c r="G183" t="inlineStr">
        <is>
          <t>FLEN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550-2022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44566</v>
      </c>
      <c r="E184" s="1" t="n">
        <v>46300</v>
      </c>
      <c r="F184" t="inlineStr">
        <is>
          <t>SÖDERMANLANDS LÄN</t>
        </is>
      </c>
      <c r="G184" t="inlineStr">
        <is>
          <t>FLEN</t>
        </is>
      </c>
      <c r="H184" t="inlineStr">
        <is>
          <t>Kyrkan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50731-2022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44862</v>
      </c>
      <c r="E185" s="1" t="n">
        <v>46300</v>
      </c>
      <c r="F185" t="inlineStr">
        <is>
          <t>SÖDERMANLANDS LÄN</t>
        </is>
      </c>
      <c r="G185" t="inlineStr">
        <is>
          <t>FLEN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8301-2022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44610</v>
      </c>
      <c r="E186" s="1" t="n">
        <v>46300</v>
      </c>
      <c r="F186" t="inlineStr">
        <is>
          <t>SÖDERMANLANDS LÄN</t>
        </is>
      </c>
      <c r="G186" t="inlineStr">
        <is>
          <t>FLEN</t>
        </is>
      </c>
      <c r="H186" t="inlineStr">
        <is>
          <t>Övriga statliga verk och myndigheter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13533-2022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44643</v>
      </c>
      <c r="E187" s="1" t="n">
        <v>46300</v>
      </c>
      <c r="F187" t="inlineStr">
        <is>
          <t>SÖDERMANLANDS LÄN</t>
        </is>
      </c>
      <c r="G187" t="inlineStr">
        <is>
          <t>FLEN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12174-2022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44636</v>
      </c>
      <c r="E188" s="1" t="n">
        <v>46300</v>
      </c>
      <c r="F188" t="inlineStr">
        <is>
          <t>SÖDERMANLANDS LÄN</t>
        </is>
      </c>
      <c r="G188" t="inlineStr">
        <is>
          <t>FLEN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21351-2022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44705</v>
      </c>
      <c r="E189" s="1" t="n">
        <v>46300</v>
      </c>
      <c r="F189" t="inlineStr">
        <is>
          <t>SÖDERMANLANDS LÄN</t>
        </is>
      </c>
      <c r="G189" t="inlineStr">
        <is>
          <t>FLEN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39673-2022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44818</v>
      </c>
      <c r="E190" s="1" t="n">
        <v>46300</v>
      </c>
      <c r="F190" t="inlineStr">
        <is>
          <t>SÖDERMANLANDS LÄN</t>
        </is>
      </c>
      <c r="G190" t="inlineStr">
        <is>
          <t>FLEN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9257-2023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44980</v>
      </c>
      <c r="E191" s="1" t="n">
        <v>46300</v>
      </c>
      <c r="F191" t="inlineStr">
        <is>
          <t>SÖDERMANLANDS LÄN</t>
        </is>
      </c>
      <c r="G191" t="inlineStr">
        <is>
          <t>FLEN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51925-2022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44868</v>
      </c>
      <c r="E192" s="1" t="n">
        <v>46300</v>
      </c>
      <c r="F192" t="inlineStr">
        <is>
          <t>SÖDERMANLANDS LÄN</t>
        </is>
      </c>
      <c r="G192" t="inlineStr">
        <is>
          <t>FLEN</t>
        </is>
      </c>
      <c r="H192" t="inlineStr">
        <is>
          <t>Övriga statliga verk och myndigheter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12277-2024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45378</v>
      </c>
      <c r="E193" s="1" t="n">
        <v>46300</v>
      </c>
      <c r="F193" t="inlineStr">
        <is>
          <t>SÖDERMANLANDS LÄN</t>
        </is>
      </c>
      <c r="G193" t="inlineStr">
        <is>
          <t>FLEN</t>
        </is>
      </c>
      <c r="H193" t="inlineStr">
        <is>
          <t>Holmen skog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69588-2021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44531</v>
      </c>
      <c r="E194" s="1" t="n">
        <v>46300</v>
      </c>
      <c r="F194" t="inlineStr">
        <is>
          <t>SÖDERMANLANDS LÄN</t>
        </is>
      </c>
      <c r="G194" t="inlineStr">
        <is>
          <t>FLEN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35507-2024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45531</v>
      </c>
      <c r="E195" s="1" t="n">
        <v>46300</v>
      </c>
      <c r="F195" t="inlineStr">
        <is>
          <t>SÖDERMANLANDS LÄN</t>
        </is>
      </c>
      <c r="G195" t="inlineStr">
        <is>
          <t>FLEN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65869-2021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44517</v>
      </c>
      <c r="E196" s="1" t="n">
        <v>46300</v>
      </c>
      <c r="F196" t="inlineStr">
        <is>
          <t>SÖDERMANLANDS LÄN</t>
        </is>
      </c>
      <c r="G196" t="inlineStr">
        <is>
          <t>FLEN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40408-2024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45555</v>
      </c>
      <c r="E197" s="1" t="n">
        <v>46300</v>
      </c>
      <c r="F197" t="inlineStr">
        <is>
          <t>SÖDERMANLANDS LÄN</t>
        </is>
      </c>
      <c r="G197" t="inlineStr">
        <is>
          <t>FLEN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33024-2022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44785</v>
      </c>
      <c r="E198" s="1" t="n">
        <v>46300</v>
      </c>
      <c r="F198" t="inlineStr">
        <is>
          <t>SÖDERMANLANDS LÄN</t>
        </is>
      </c>
      <c r="G198" t="inlineStr">
        <is>
          <t>FLEN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10110-2023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44986</v>
      </c>
      <c r="E199" s="1" t="n">
        <v>46300</v>
      </c>
      <c r="F199" t="inlineStr">
        <is>
          <t>SÖDERMANLANDS LÄN</t>
        </is>
      </c>
      <c r="G199" t="inlineStr">
        <is>
          <t>FLEN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60937-2022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44914</v>
      </c>
      <c r="E200" s="1" t="n">
        <v>46300</v>
      </c>
      <c r="F200" t="inlineStr">
        <is>
          <t>SÖDERMANLANDS LÄN</t>
        </is>
      </c>
      <c r="G200" t="inlineStr">
        <is>
          <t>FLEN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72314-2021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44544</v>
      </c>
      <c r="E201" s="1" t="n">
        <v>46300</v>
      </c>
      <c r="F201" t="inlineStr">
        <is>
          <t>SÖDERMANLANDS LÄN</t>
        </is>
      </c>
      <c r="G201" t="inlineStr">
        <is>
          <t>FLEN</t>
        </is>
      </c>
      <c r="I201" t="n">
        <v>13.8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13909-2023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45008</v>
      </c>
      <c r="E202" s="1" t="n">
        <v>46300</v>
      </c>
      <c r="F202" t="inlineStr">
        <is>
          <t>SÖDERMANLANDS LÄN</t>
        </is>
      </c>
      <c r="G202" t="inlineStr">
        <is>
          <t>FLEN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60255-2021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44495</v>
      </c>
      <c r="E203" s="1" t="n">
        <v>46300</v>
      </c>
      <c r="F203" t="inlineStr">
        <is>
          <t>SÖDERMANLANDS LÄN</t>
        </is>
      </c>
      <c r="G203" t="inlineStr">
        <is>
          <t>FLEN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54666-2021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44473</v>
      </c>
      <c r="E204" s="1" t="n">
        <v>46300</v>
      </c>
      <c r="F204" t="inlineStr">
        <is>
          <t>SÖDERMANLANDS LÄN</t>
        </is>
      </c>
      <c r="G204" t="inlineStr">
        <is>
          <t>FLEN</t>
        </is>
      </c>
      <c r="I204" t="n">
        <v>10.1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58834-2024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45636</v>
      </c>
      <c r="E205" s="1" t="n">
        <v>46300</v>
      </c>
      <c r="F205" t="inlineStr">
        <is>
          <t>SÖDERMANLANDS LÄN</t>
        </is>
      </c>
      <c r="G205" t="inlineStr">
        <is>
          <t>FLEN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21822-2023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45068</v>
      </c>
      <c r="E206" s="1" t="n">
        <v>46300</v>
      </c>
      <c r="F206" t="inlineStr">
        <is>
          <t>SÖDERMANLANDS LÄN</t>
        </is>
      </c>
      <c r="G206" t="inlineStr">
        <is>
          <t>FLEN</t>
        </is>
      </c>
      <c r="H206" t="inlineStr">
        <is>
          <t>Holmen skog AB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31965-2024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45510</v>
      </c>
      <c r="E207" s="1" t="n">
        <v>46300</v>
      </c>
      <c r="F207" t="inlineStr">
        <is>
          <t>SÖDERMANLANDS LÄN</t>
        </is>
      </c>
      <c r="G207" t="inlineStr">
        <is>
          <t>FLEN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52472-2023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45225</v>
      </c>
      <c r="E208" s="1" t="n">
        <v>46300</v>
      </c>
      <c r="F208" t="inlineStr">
        <is>
          <t>SÖDERMANLANDS LÄN</t>
        </is>
      </c>
      <c r="G208" t="inlineStr">
        <is>
          <t>FLEN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34817-2022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44796</v>
      </c>
      <c r="E209" s="1" t="n">
        <v>46300</v>
      </c>
      <c r="F209" t="inlineStr">
        <is>
          <t>SÖDERMANLANDS LÄN</t>
        </is>
      </c>
      <c r="G209" t="inlineStr">
        <is>
          <t>FLEN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22989-2025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45790</v>
      </c>
      <c r="E210" s="1" t="n">
        <v>46300</v>
      </c>
      <c r="F210" t="inlineStr">
        <is>
          <t>SÖDERMANLANDS LÄN</t>
        </is>
      </c>
      <c r="G210" t="inlineStr">
        <is>
          <t>FLEN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29148-2024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45482</v>
      </c>
      <c r="E211" s="1" t="n">
        <v>46300</v>
      </c>
      <c r="F211" t="inlineStr">
        <is>
          <t>SÖDERMANLANDS LÄN</t>
        </is>
      </c>
      <c r="G211" t="inlineStr">
        <is>
          <t>FLEN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56869-2023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45239</v>
      </c>
      <c r="E212" s="1" t="n">
        <v>46300</v>
      </c>
      <c r="F212" t="inlineStr">
        <is>
          <t>SÖDERMANLANDS LÄN</t>
        </is>
      </c>
      <c r="G212" t="inlineStr">
        <is>
          <t>FLEN</t>
        </is>
      </c>
      <c r="H212" t="inlineStr">
        <is>
          <t>Övriga statliga verk och myndigheter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49775-2024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45597</v>
      </c>
      <c r="E213" s="1" t="n">
        <v>46300</v>
      </c>
      <c r="F213" t="inlineStr">
        <is>
          <t>SÖDERMANLANDS LÄN</t>
        </is>
      </c>
      <c r="G213" t="inlineStr">
        <is>
          <t>FLEN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52980-2023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45226</v>
      </c>
      <c r="E214" s="1" t="n">
        <v>46300</v>
      </c>
      <c r="F214" t="inlineStr">
        <is>
          <t>SÖDERMANLANDS LÄN</t>
        </is>
      </c>
      <c r="G214" t="inlineStr">
        <is>
          <t>FLEN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22998-2025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45790</v>
      </c>
      <c r="E215" s="1" t="n">
        <v>46300</v>
      </c>
      <c r="F215" t="inlineStr">
        <is>
          <t>SÖDERMANLANDS LÄN</t>
        </is>
      </c>
      <c r="G215" t="inlineStr">
        <is>
          <t>FLEN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22867-2025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45790</v>
      </c>
      <c r="E216" s="1" t="n">
        <v>46300</v>
      </c>
      <c r="F216" t="inlineStr">
        <is>
          <t>SÖDERMANLANDS LÄN</t>
        </is>
      </c>
      <c r="G216" t="inlineStr">
        <is>
          <t>FLEN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62579-2023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45270</v>
      </c>
      <c r="E217" s="1" t="n">
        <v>46300</v>
      </c>
      <c r="F217" t="inlineStr">
        <is>
          <t>SÖDERMANLANDS LÄN</t>
        </is>
      </c>
      <c r="G217" t="inlineStr">
        <is>
          <t>FLEN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7163-2023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44970</v>
      </c>
      <c r="E218" s="1" t="n">
        <v>46300</v>
      </c>
      <c r="F218" t="inlineStr">
        <is>
          <t>SÖDERMANLANDS LÄN</t>
        </is>
      </c>
      <c r="G218" t="inlineStr">
        <is>
          <t>FLEN</t>
        </is>
      </c>
      <c r="H218" t="inlineStr">
        <is>
          <t>Kommuner</t>
        </is>
      </c>
      <c r="I218" t="n">
        <v>11.2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39226-2023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45166</v>
      </c>
      <c r="E219" s="1" t="n">
        <v>46300</v>
      </c>
      <c r="F219" t="inlineStr">
        <is>
          <t>SÖDERMANLANDS LÄN</t>
        </is>
      </c>
      <c r="G219" t="inlineStr">
        <is>
          <t>FLEN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36096-2023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45149</v>
      </c>
      <c r="E220" s="1" t="n">
        <v>46300</v>
      </c>
      <c r="F220" t="inlineStr">
        <is>
          <t>SÖDERMANLANDS LÄN</t>
        </is>
      </c>
      <c r="G220" t="inlineStr">
        <is>
          <t>FLEN</t>
        </is>
      </c>
      <c r="H220" t="inlineStr">
        <is>
          <t>Kyrkan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2087-2024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45309</v>
      </c>
      <c r="E221" s="1" t="n">
        <v>46300</v>
      </c>
      <c r="F221" t="inlineStr">
        <is>
          <t>SÖDERMANLANDS LÄN</t>
        </is>
      </c>
      <c r="G221" t="inlineStr">
        <is>
          <t>FLEN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25823-2022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44733</v>
      </c>
      <c r="E222" s="1" t="n">
        <v>46300</v>
      </c>
      <c r="F222" t="inlineStr">
        <is>
          <t>SÖDERMANLANDS LÄN</t>
        </is>
      </c>
      <c r="G222" t="inlineStr">
        <is>
          <t>FLEN</t>
        </is>
      </c>
      <c r="I222" t="n">
        <v>8.699999999999999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46036</v>
      </c>
      <c r="E223" s="1" t="n">
        <v>46300</v>
      </c>
      <c r="F223" t="inlineStr">
        <is>
          <t>SÖDERMANLANDS LÄN</t>
        </is>
      </c>
      <c r="G223" t="inlineStr">
        <is>
          <t>FLEN</t>
        </is>
      </c>
      <c r="H223" t="inlineStr">
        <is>
          <t>Holmen skog AB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48858-2023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45209</v>
      </c>
      <c r="E224" s="1" t="n">
        <v>46300</v>
      </c>
      <c r="F224" t="inlineStr">
        <is>
          <t>SÖDERMANLANDS LÄN</t>
        </is>
      </c>
      <c r="G224" t="inlineStr">
        <is>
          <t>FLEN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66867-2021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44522</v>
      </c>
      <c r="E225" s="1" t="n">
        <v>46300</v>
      </c>
      <c r="F225" t="inlineStr">
        <is>
          <t>SÖDERMANLANDS LÄN</t>
        </is>
      </c>
      <c r="G225" t="inlineStr">
        <is>
          <t>FLEN</t>
        </is>
      </c>
      <c r="H225" t="inlineStr">
        <is>
          <t>Kyrkan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52775-2024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45610</v>
      </c>
      <c r="E226" s="1" t="n">
        <v>46300</v>
      </c>
      <c r="F226" t="inlineStr">
        <is>
          <t>SÖDERMANLANDS LÄN</t>
        </is>
      </c>
      <c r="G226" t="inlineStr">
        <is>
          <t>FLEN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40412-2024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45555</v>
      </c>
      <c r="E227" s="1" t="n">
        <v>46300</v>
      </c>
      <c r="F227" t="inlineStr">
        <is>
          <t>SÖDERMANLANDS LÄN</t>
        </is>
      </c>
      <c r="G227" t="inlineStr">
        <is>
          <t>FLEN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24414-2025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45797</v>
      </c>
      <c r="E228" s="1" t="n">
        <v>46300</v>
      </c>
      <c r="F228" t="inlineStr">
        <is>
          <t>SÖDERMANLANDS LÄN</t>
        </is>
      </c>
      <c r="G228" t="inlineStr">
        <is>
          <t>FLEN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46044</v>
      </c>
      <c r="E229" s="1" t="n">
        <v>46300</v>
      </c>
      <c r="F229" t="inlineStr">
        <is>
          <t>SÖDERMANLANDS LÄN</t>
        </is>
      </c>
      <c r="G229" t="inlineStr">
        <is>
          <t>FLEN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44931</v>
      </c>
      <c r="E230" s="1" t="n">
        <v>46300</v>
      </c>
      <c r="F230" t="inlineStr">
        <is>
          <t>SÖDERMANLANDS LÄN</t>
        </is>
      </c>
      <c r="G230" t="inlineStr">
        <is>
          <t>FLEN</t>
        </is>
      </c>
      <c r="H230" t="inlineStr">
        <is>
          <t>Holmen skog AB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24541-2025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45798</v>
      </c>
      <c r="E231" s="1" t="n">
        <v>46300</v>
      </c>
      <c r="F231" t="inlineStr">
        <is>
          <t>SÖDERMANLANDS LÄN</t>
        </is>
      </c>
      <c r="G231" t="inlineStr">
        <is>
          <t>FLEN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24557-2025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45798</v>
      </c>
      <c r="E232" s="1" t="n">
        <v>46300</v>
      </c>
      <c r="F232" t="inlineStr">
        <is>
          <t>SÖDERMANLANDS LÄN</t>
        </is>
      </c>
      <c r="G232" t="inlineStr">
        <is>
          <t>FLEN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7313-2025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45702</v>
      </c>
      <c r="E233" s="1" t="n">
        <v>46300</v>
      </c>
      <c r="F233" t="inlineStr">
        <is>
          <t>SÖDERMANLANDS LÄN</t>
        </is>
      </c>
      <c r="G233" t="inlineStr">
        <is>
          <t>FLEN</t>
        </is>
      </c>
      <c r="I233" t="n">
        <v>7.4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24526-2025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45798</v>
      </c>
      <c r="E234" s="1" t="n">
        <v>46300</v>
      </c>
      <c r="F234" t="inlineStr">
        <is>
          <t>SÖDERMANLANDS LÄN</t>
        </is>
      </c>
      <c r="G234" t="inlineStr">
        <is>
          <t>FLEN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24480-2025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45798</v>
      </c>
      <c r="E235" s="1" t="n">
        <v>46300</v>
      </c>
      <c r="F235" t="inlineStr">
        <is>
          <t>SÖDERMANLANDS LÄN</t>
        </is>
      </c>
      <c r="G235" t="inlineStr">
        <is>
          <t>FLEN</t>
        </is>
      </c>
      <c r="H235" t="inlineStr">
        <is>
          <t>Holmen skog AB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9894-2023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44979</v>
      </c>
      <c r="E236" s="1" t="n">
        <v>46300</v>
      </c>
      <c r="F236" t="inlineStr">
        <is>
          <t>SÖDERMANLANDS LÄN</t>
        </is>
      </c>
      <c r="G236" t="inlineStr">
        <is>
          <t>FLEN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46300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6720-2026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46056</v>
      </c>
      <c r="E238" s="1" t="n">
        <v>46300</v>
      </c>
      <c r="F238" t="inlineStr">
        <is>
          <t>SÖDERMANLANDS LÄN</t>
        </is>
      </c>
      <c r="G238" t="inlineStr">
        <is>
          <t>FLEN</t>
        </is>
      </c>
      <c r="I238" t="n">
        <v>6.1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35600-2023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45147</v>
      </c>
      <c r="E239" s="1" t="n">
        <v>46300</v>
      </c>
      <c r="F239" t="inlineStr">
        <is>
          <t>SÖDERMANLANDS LÄN</t>
        </is>
      </c>
      <c r="G239" t="inlineStr">
        <is>
          <t>FLEN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46662-2025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46300</v>
      </c>
      <c r="F240" t="inlineStr">
        <is>
          <t>SÖDERMANLANDS LÄN</t>
        </is>
      </c>
      <c r="G240" t="inlineStr">
        <is>
          <t>FLEN</t>
        </is>
      </c>
      <c r="H240" t="inlineStr">
        <is>
          <t>Holmen skog AB</t>
        </is>
      </c>
      <c r="I240" t="n">
        <v>11.5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46044</v>
      </c>
      <c r="E241" s="1" t="n">
        <v>46300</v>
      </c>
      <c r="F241" t="inlineStr">
        <is>
          <t>SÖDERMANLANDS LÄN</t>
        </is>
      </c>
      <c r="G241" t="inlineStr">
        <is>
          <t>FLEN</t>
        </is>
      </c>
      <c r="H241" t="inlineStr">
        <is>
          <t>Övriga statliga verk och myndigheter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48785-2022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44859</v>
      </c>
      <c r="E242" s="1" t="n">
        <v>46300</v>
      </c>
      <c r="F242" t="inlineStr">
        <is>
          <t>SÖDERMANLANDS LÄN</t>
        </is>
      </c>
      <c r="G242" t="inlineStr">
        <is>
          <t>FLEN</t>
        </is>
      </c>
      <c r="H242" t="inlineStr">
        <is>
          <t>Holmen skog AB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56996-2023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45244</v>
      </c>
      <c r="E243" s="1" t="n">
        <v>46300</v>
      </c>
      <c r="F243" t="inlineStr">
        <is>
          <t>SÖDERMANLANDS LÄN</t>
        </is>
      </c>
      <c r="G243" t="inlineStr">
        <is>
          <t>FLEN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10771-2022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44624</v>
      </c>
      <c r="E244" s="1" t="n">
        <v>46300</v>
      </c>
      <c r="F244" t="inlineStr">
        <is>
          <t>SÖDERMANLANDS LÄN</t>
        </is>
      </c>
      <c r="G244" t="inlineStr">
        <is>
          <t>FLEN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38762-2023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45163</v>
      </c>
      <c r="E245" s="1" t="n">
        <v>46300</v>
      </c>
      <c r="F245" t="inlineStr">
        <is>
          <t>SÖDERMANLANDS LÄN</t>
        </is>
      </c>
      <c r="G245" t="inlineStr">
        <is>
          <t>FLEN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14106-2025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45740</v>
      </c>
      <c r="E246" s="1" t="n">
        <v>46300</v>
      </c>
      <c r="F246" t="inlineStr">
        <is>
          <t>SÖDERMANLANDS LÄN</t>
        </is>
      </c>
      <c r="G246" t="inlineStr">
        <is>
          <t>FLEN</t>
        </is>
      </c>
      <c r="H246" t="inlineStr">
        <is>
          <t>Övriga statliga verk och myndigheter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48169-2025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45933</v>
      </c>
      <c r="E247" s="1" t="n">
        <v>46300</v>
      </c>
      <c r="F247" t="inlineStr">
        <is>
          <t>SÖDERMANLANDS LÄN</t>
        </is>
      </c>
      <c r="G247" t="inlineStr">
        <is>
          <t>FLEN</t>
        </is>
      </c>
      <c r="H247" t="inlineStr">
        <is>
          <t>Holmen skog AB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47989-2025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45932</v>
      </c>
      <c r="E248" s="1" t="n">
        <v>46300</v>
      </c>
      <c r="F248" t="inlineStr">
        <is>
          <t>SÖDERMANLANDS LÄN</t>
        </is>
      </c>
      <c r="G248" t="inlineStr">
        <is>
          <t>FLEN</t>
        </is>
      </c>
      <c r="H248" t="inlineStr">
        <is>
          <t>Holmen skog AB</t>
        </is>
      </c>
      <c r="I248" t="n">
        <v>9.1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9511-2026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46071</v>
      </c>
      <c r="E249" s="1" t="n">
        <v>46300</v>
      </c>
      <c r="F249" t="inlineStr">
        <is>
          <t>SÖDERMANLANDS LÄN</t>
        </is>
      </c>
      <c r="G249" t="inlineStr">
        <is>
          <t>FLEN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9527-2026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46071</v>
      </c>
      <c r="E250" s="1" t="n">
        <v>46300</v>
      </c>
      <c r="F250" t="inlineStr">
        <is>
          <t>SÖDERMANLANDS LÄN</t>
        </is>
      </c>
      <c r="G250" t="inlineStr">
        <is>
          <t>FLEN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45311</v>
      </c>
      <c r="E251" s="1" t="n">
        <v>46300</v>
      </c>
      <c r="F251" t="inlineStr">
        <is>
          <t>SÖDERMANLANDS LÄN</t>
        </is>
      </c>
      <c r="G251" t="inlineStr">
        <is>
          <t>FLEN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4216-2022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44588</v>
      </c>
      <c r="E252" s="1" t="n">
        <v>46300</v>
      </c>
      <c r="F252" t="inlineStr">
        <is>
          <t>SÖDERMANLANDS LÄN</t>
        </is>
      </c>
      <c r="G252" t="inlineStr">
        <is>
          <t>FLEN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45299</v>
      </c>
      <c r="E253" s="1" t="n">
        <v>46300</v>
      </c>
      <c r="F253" t="inlineStr">
        <is>
          <t>SÖDERMANLANDS LÄN</t>
        </is>
      </c>
      <c r="G253" t="inlineStr">
        <is>
          <t>FLEN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57356-2022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44896</v>
      </c>
      <c r="E254" s="1" t="n">
        <v>46300</v>
      </c>
      <c r="F254" t="inlineStr">
        <is>
          <t>SÖDERMANLANDS LÄN</t>
        </is>
      </c>
      <c r="G254" t="inlineStr">
        <is>
          <t>FLEN</t>
        </is>
      </c>
      <c r="H254" t="inlineStr">
        <is>
          <t>Övriga statliga verk och myndigheter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51872-2022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44872</v>
      </c>
      <c r="E255" s="1" t="n">
        <v>46300</v>
      </c>
      <c r="F255" t="inlineStr">
        <is>
          <t>SÖDERMANLANDS LÄN</t>
        </is>
      </c>
      <c r="G255" t="inlineStr">
        <is>
          <t>FLEN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39161-2025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45888</v>
      </c>
      <c r="E256" s="1" t="n">
        <v>46300</v>
      </c>
      <c r="F256" t="inlineStr">
        <is>
          <t>SÖDERMANLANDS LÄN</t>
        </is>
      </c>
      <c r="G256" t="inlineStr">
        <is>
          <t>FLEN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50727-2025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45946</v>
      </c>
      <c r="E257" s="1" t="n">
        <v>46300</v>
      </c>
      <c r="F257" t="inlineStr">
        <is>
          <t>SÖDERMANLANDS LÄN</t>
        </is>
      </c>
      <c r="G257" t="inlineStr">
        <is>
          <t>FLEN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10397-2026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46077</v>
      </c>
      <c r="E258" s="1" t="n">
        <v>46300</v>
      </c>
      <c r="F258" t="inlineStr">
        <is>
          <t>SÖDERMANLANDS LÄN</t>
        </is>
      </c>
      <c r="G258" t="inlineStr">
        <is>
          <t>FLEN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48826-2022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44859</v>
      </c>
      <c r="E259" s="1" t="n">
        <v>46300</v>
      </c>
      <c r="F259" t="inlineStr">
        <is>
          <t>SÖDERMANLANDS LÄN</t>
        </is>
      </c>
      <c r="G259" t="inlineStr">
        <is>
          <t>FLEN</t>
        </is>
      </c>
      <c r="H259" t="inlineStr">
        <is>
          <t>Holmen skog AB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11148-2026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46080</v>
      </c>
      <c r="E260" s="1" t="n">
        <v>46300</v>
      </c>
      <c r="F260" t="inlineStr">
        <is>
          <t>SÖDERMANLANDS LÄN</t>
        </is>
      </c>
      <c r="G260" t="inlineStr">
        <is>
          <t>FLEN</t>
        </is>
      </c>
      <c r="H260" t="inlineStr">
        <is>
          <t>Holmen skog AB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11180-2026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46080</v>
      </c>
      <c r="E261" s="1" t="n">
        <v>46300</v>
      </c>
      <c r="F261" t="inlineStr">
        <is>
          <t>SÖDERMANLANDS LÄN</t>
        </is>
      </c>
      <c r="G261" t="inlineStr">
        <is>
          <t>FLEN</t>
        </is>
      </c>
      <c r="H261" t="inlineStr">
        <is>
          <t>Holmen skog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11004-2026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46079</v>
      </c>
      <c r="E262" s="1" t="n">
        <v>46300</v>
      </c>
      <c r="F262" t="inlineStr">
        <is>
          <t>SÖDERMANLANDS LÄN</t>
        </is>
      </c>
      <c r="G262" t="inlineStr">
        <is>
          <t>FLEN</t>
        </is>
      </c>
      <c r="H262" t="inlineStr">
        <is>
          <t>Holmen skog AB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11105-2026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46079</v>
      </c>
      <c r="E263" s="1" t="n">
        <v>46300</v>
      </c>
      <c r="F263" t="inlineStr">
        <is>
          <t>SÖDERMANLANDS LÄN</t>
        </is>
      </c>
      <c r="G263" t="inlineStr">
        <is>
          <t>FLEN</t>
        </is>
      </c>
      <c r="H263" t="inlineStr">
        <is>
          <t>Holmen skog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11098-2026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46079</v>
      </c>
      <c r="E264" s="1" t="n">
        <v>46300</v>
      </c>
      <c r="F264" t="inlineStr">
        <is>
          <t>SÖDERMANLANDS LÄN</t>
        </is>
      </c>
      <c r="G264" t="inlineStr">
        <is>
          <t>FLEN</t>
        </is>
      </c>
      <c r="H264" t="inlineStr">
        <is>
          <t>Holmen skog AB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21167-2023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45057</v>
      </c>
      <c r="E265" s="1" t="n">
        <v>46300</v>
      </c>
      <c r="F265" t="inlineStr">
        <is>
          <t>SÖDERMANLANDS LÄN</t>
        </is>
      </c>
      <c r="G265" t="inlineStr">
        <is>
          <t>FLEN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11187-2026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46080</v>
      </c>
      <c r="E266" s="1" t="n">
        <v>46300</v>
      </c>
      <c r="F266" t="inlineStr">
        <is>
          <t>SÖDERMANLANDS LÄN</t>
        </is>
      </c>
      <c r="G266" t="inlineStr">
        <is>
          <t>FLEN</t>
        </is>
      </c>
      <c r="H266" t="inlineStr">
        <is>
          <t>Holmen skog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11339-2026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46082</v>
      </c>
      <c r="E267" s="1" t="n">
        <v>46300</v>
      </c>
      <c r="F267" t="inlineStr">
        <is>
          <t>SÖDERMANLANDS LÄN</t>
        </is>
      </c>
      <c r="G267" t="inlineStr">
        <is>
          <t>FLEN</t>
        </is>
      </c>
      <c r="I267" t="n">
        <v>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11413-2026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46083</v>
      </c>
      <c r="E268" s="1" t="n">
        <v>46300</v>
      </c>
      <c r="F268" t="inlineStr">
        <is>
          <t>SÖDERMANLANDS LÄN</t>
        </is>
      </c>
      <c r="G268" t="inlineStr">
        <is>
          <t>FLEN</t>
        </is>
      </c>
      <c r="H268" t="inlineStr">
        <is>
          <t>Holmen skog AB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53121-2023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45228</v>
      </c>
      <c r="E269" s="1" t="n">
        <v>46300</v>
      </c>
      <c r="F269" t="inlineStr">
        <is>
          <t>SÖDERMANLANDS LÄN</t>
        </is>
      </c>
      <c r="G269" t="inlineStr">
        <is>
          <t>FLEN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3944-2025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45684</v>
      </c>
      <c r="E270" s="1" t="n">
        <v>46300</v>
      </c>
      <c r="F270" t="inlineStr">
        <is>
          <t>SÖDERMANLANDS LÄN</t>
        </is>
      </c>
      <c r="G270" t="inlineStr">
        <is>
          <t>FLEN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17125-2023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45034</v>
      </c>
      <c r="E271" s="1" t="n">
        <v>46300</v>
      </c>
      <c r="F271" t="inlineStr">
        <is>
          <t>SÖDERMANLANDS LÄN</t>
        </is>
      </c>
      <c r="G271" t="inlineStr">
        <is>
          <t>FLEN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54283-2025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45964</v>
      </c>
      <c r="E272" s="1" t="n">
        <v>46300</v>
      </c>
      <c r="F272" t="inlineStr">
        <is>
          <t>SÖDERMANLANDS LÄN</t>
        </is>
      </c>
      <c r="G272" t="inlineStr">
        <is>
          <t>FLEN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54282-2025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45964</v>
      </c>
      <c r="E273" s="1" t="n">
        <v>46300</v>
      </c>
      <c r="F273" t="inlineStr">
        <is>
          <t>SÖDERMANLANDS LÄN</t>
        </is>
      </c>
      <c r="G273" t="inlineStr">
        <is>
          <t>FLEN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27827-2025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45817</v>
      </c>
      <c r="E274" s="1" t="n">
        <v>46300</v>
      </c>
      <c r="F274" t="inlineStr">
        <is>
          <t>SÖDERMANLANDS LÄN</t>
        </is>
      </c>
      <c r="G274" t="inlineStr">
        <is>
          <t>FLEN</t>
        </is>
      </c>
      <c r="H274" t="inlineStr">
        <is>
          <t>Holmen skog AB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6725-2022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44602</v>
      </c>
      <c r="E275" s="1" t="n">
        <v>46300</v>
      </c>
      <c r="F275" t="inlineStr">
        <is>
          <t>SÖDERMANLANDS LÄN</t>
        </is>
      </c>
      <c r="G275" t="inlineStr">
        <is>
          <t>FLEN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14859-2024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45398</v>
      </c>
      <c r="E276" s="1" t="n">
        <v>46300</v>
      </c>
      <c r="F276" t="inlineStr">
        <is>
          <t>SÖDERMANLANDS LÄN</t>
        </is>
      </c>
      <c r="G276" t="inlineStr">
        <is>
          <t>FLEN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25605-2023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45089</v>
      </c>
      <c r="E277" s="1" t="n">
        <v>46300</v>
      </c>
      <c r="F277" t="inlineStr">
        <is>
          <t>SÖDERMANLANDS LÄN</t>
        </is>
      </c>
      <c r="G277" t="inlineStr">
        <is>
          <t>FLEN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56573-2025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45974</v>
      </c>
      <c r="E278" s="1" t="n">
        <v>46300</v>
      </c>
      <c r="F278" t="inlineStr">
        <is>
          <t>SÖDERMANLANDS LÄN</t>
        </is>
      </c>
      <c r="G278" t="inlineStr">
        <is>
          <t>FLEN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1209-2025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45667</v>
      </c>
      <c r="E279" s="1" t="n">
        <v>46300</v>
      </c>
      <c r="F279" t="inlineStr">
        <is>
          <t>SÖDERMANLANDS LÄN</t>
        </is>
      </c>
      <c r="G279" t="inlineStr">
        <is>
          <t>FLEN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30423-2022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44761</v>
      </c>
      <c r="E280" s="1" t="n">
        <v>46300</v>
      </c>
      <c r="F280" t="inlineStr">
        <is>
          <t>SÖDERMANLANDS LÄN</t>
        </is>
      </c>
      <c r="G280" t="inlineStr">
        <is>
          <t>FLEN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16052-2026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46108</v>
      </c>
      <c r="E281" s="1" t="n">
        <v>46300</v>
      </c>
      <c r="F281" t="inlineStr">
        <is>
          <t>SÖDERMANLANDS LÄN</t>
        </is>
      </c>
      <c r="G281" t="inlineStr">
        <is>
          <t>FLEN</t>
        </is>
      </c>
      <c r="H281" t="inlineStr">
        <is>
          <t>Holmen skog AB</t>
        </is>
      </c>
      <c r="I281" t="n">
        <v>8.300000000000001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42731-2024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45566</v>
      </c>
      <c r="E282" s="1" t="n">
        <v>46300</v>
      </c>
      <c r="F282" t="inlineStr">
        <is>
          <t>SÖDERMANLANDS LÄN</t>
        </is>
      </c>
      <c r="G282" t="inlineStr">
        <is>
          <t>FLEN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46106-2024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45581</v>
      </c>
      <c r="E283" s="1" t="n">
        <v>46300</v>
      </c>
      <c r="F283" t="inlineStr">
        <is>
          <t>SÖDERMANLANDS LÄN</t>
        </is>
      </c>
      <c r="G283" t="inlineStr">
        <is>
          <t>FLEN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60613-2023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45260</v>
      </c>
      <c r="E284" s="1" t="n">
        <v>46300</v>
      </c>
      <c r="F284" t="inlineStr">
        <is>
          <t>SÖDERMANLANDS LÄN</t>
        </is>
      </c>
      <c r="G284" t="inlineStr">
        <is>
          <t>FLEN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44006-2022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44838</v>
      </c>
      <c r="E285" s="1" t="n">
        <v>46300</v>
      </c>
      <c r="F285" t="inlineStr">
        <is>
          <t>SÖDERMANLANDS LÄN</t>
        </is>
      </c>
      <c r="G285" t="inlineStr">
        <is>
          <t>FLEN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16502-2026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46112</v>
      </c>
      <c r="E286" s="1" t="n">
        <v>46300</v>
      </c>
      <c r="F286" t="inlineStr">
        <is>
          <t>SÖDERMANLANDS LÄN</t>
        </is>
      </c>
      <c r="G286" t="inlineStr">
        <is>
          <t>FLEN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16803-2026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46300</v>
      </c>
      <c r="F287" t="inlineStr">
        <is>
          <t>SÖDERMANLANDS LÄN</t>
        </is>
      </c>
      <c r="G287" t="inlineStr">
        <is>
          <t>FLEN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9147-2024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45358</v>
      </c>
      <c r="E288" s="1" t="n">
        <v>46300</v>
      </c>
      <c r="F288" t="inlineStr">
        <is>
          <t>SÖDERMANLANDS LÄN</t>
        </is>
      </c>
      <c r="G288" t="inlineStr">
        <is>
          <t>FLEN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59910-2025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45993</v>
      </c>
      <c r="E289" s="1" t="n">
        <v>46300</v>
      </c>
      <c r="F289" t="inlineStr">
        <is>
          <t>SÖDERMANLANDS LÄN</t>
        </is>
      </c>
      <c r="G289" t="inlineStr">
        <is>
          <t>FLEN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59895-2025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45993</v>
      </c>
      <c r="E290" s="1" t="n">
        <v>46300</v>
      </c>
      <c r="F290" t="inlineStr">
        <is>
          <t>SÖDERMANLANDS LÄN</t>
        </is>
      </c>
      <c r="G290" t="inlineStr">
        <is>
          <t>FLEN</t>
        </is>
      </c>
      <c r="I290" t="n">
        <v>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59894-2025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45993</v>
      </c>
      <c r="E291" s="1" t="n">
        <v>46300</v>
      </c>
      <c r="F291" t="inlineStr">
        <is>
          <t>SÖDERMANLANDS LÄN</t>
        </is>
      </c>
      <c r="G291" t="inlineStr">
        <is>
          <t>FLEN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23835-2022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44722</v>
      </c>
      <c r="E292" s="1" t="n">
        <v>46300</v>
      </c>
      <c r="F292" t="inlineStr">
        <is>
          <t>SÖDERMANLANDS LÄN</t>
        </is>
      </c>
      <c r="G292" t="inlineStr">
        <is>
          <t>FLEN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23859-2022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44722</v>
      </c>
      <c r="E293" s="1" t="n">
        <v>46300</v>
      </c>
      <c r="F293" t="inlineStr">
        <is>
          <t>SÖDERMANLANDS LÄN</t>
        </is>
      </c>
      <c r="G293" t="inlineStr">
        <is>
          <t>FLEN</t>
        </is>
      </c>
      <c r="I293" t="n">
        <v>7.1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18508-2026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46126</v>
      </c>
      <c r="E294" s="1" t="n">
        <v>46300</v>
      </c>
      <c r="F294" t="inlineStr">
        <is>
          <t>SÖDERMANLANDS LÄN</t>
        </is>
      </c>
      <c r="G294" t="inlineStr">
        <is>
          <t>FLEN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18471-2026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46126</v>
      </c>
      <c r="E295" s="1" t="n">
        <v>46300</v>
      </c>
      <c r="F295" t="inlineStr">
        <is>
          <t>SÖDERMANLANDS LÄN</t>
        </is>
      </c>
      <c r="G295" t="inlineStr">
        <is>
          <t>FLEN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18000-2026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46125</v>
      </c>
      <c r="E296" s="1" t="n">
        <v>46300</v>
      </c>
      <c r="F296" t="inlineStr">
        <is>
          <t>SÖDERMANLANDS LÄN</t>
        </is>
      </c>
      <c r="G296" t="inlineStr">
        <is>
          <t>FLEN</t>
        </is>
      </c>
      <c r="H296" t="inlineStr">
        <is>
          <t>Holmen skog AB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60144-2025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45994</v>
      </c>
      <c r="E297" s="1" t="n">
        <v>46300</v>
      </c>
      <c r="F297" t="inlineStr">
        <is>
          <t>SÖDERMANLANDS LÄN</t>
        </is>
      </c>
      <c r="G297" t="inlineStr">
        <is>
          <t>FLEN</t>
        </is>
      </c>
      <c r="H297" t="inlineStr">
        <is>
          <t>Kyrkan</t>
        </is>
      </c>
      <c r="I297" t="n">
        <v>9.699999999999999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33103-2022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44785</v>
      </c>
      <c r="E298" s="1" t="n">
        <v>46300</v>
      </c>
      <c r="F298" t="inlineStr">
        <is>
          <t>SÖDERMANLANDS LÄN</t>
        </is>
      </c>
      <c r="G298" t="inlineStr">
        <is>
          <t>FLEN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60401-2025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45995</v>
      </c>
      <c r="E299" s="1" t="n">
        <v>46300</v>
      </c>
      <c r="F299" t="inlineStr">
        <is>
          <t>SÖDERMANLANDS LÄN</t>
        </is>
      </c>
      <c r="G299" t="inlineStr">
        <is>
          <t>FLEN</t>
        </is>
      </c>
      <c r="I299" t="n">
        <v>8.699999999999999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18499-2026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46126</v>
      </c>
      <c r="E300" s="1" t="n">
        <v>46300</v>
      </c>
      <c r="F300" t="inlineStr">
        <is>
          <t>SÖDERMANLANDS LÄN</t>
        </is>
      </c>
      <c r="G300" t="inlineStr">
        <is>
          <t>FLEN</t>
        </is>
      </c>
      <c r="I300" t="n">
        <v>7.9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60382-2025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45995</v>
      </c>
      <c r="E301" s="1" t="n">
        <v>46300</v>
      </c>
      <c r="F301" t="inlineStr">
        <is>
          <t>SÖDERMANLANDS LÄN</t>
        </is>
      </c>
      <c r="G301" t="inlineStr">
        <is>
          <t>FLEN</t>
        </is>
      </c>
      <c r="H301" t="inlineStr">
        <is>
          <t>Holmen skog AB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17840-2026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46121</v>
      </c>
      <c r="E302" s="1" t="n">
        <v>46300</v>
      </c>
      <c r="F302" t="inlineStr">
        <is>
          <t>SÖDERMANLANDS LÄN</t>
        </is>
      </c>
      <c r="G302" t="inlineStr">
        <is>
          <t>FLEN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60206-2025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45994</v>
      </c>
      <c r="E303" s="1" t="n">
        <v>46300</v>
      </c>
      <c r="F303" t="inlineStr">
        <is>
          <t>SÖDERMANLANDS LÄN</t>
        </is>
      </c>
      <c r="G303" t="inlineStr">
        <is>
          <t>FLEN</t>
        </is>
      </c>
      <c r="H303" t="inlineStr">
        <is>
          <t>Kyrkan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17847-2026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46121</v>
      </c>
      <c r="E304" s="1" t="n">
        <v>46300</v>
      </c>
      <c r="F304" t="inlineStr">
        <is>
          <t>SÖDERMANLANDS LÄN</t>
        </is>
      </c>
      <c r="G304" t="inlineStr">
        <is>
          <t>FLEN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9431-2022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44616</v>
      </c>
      <c r="E305" s="1" t="n">
        <v>46300</v>
      </c>
      <c r="F305" t="inlineStr">
        <is>
          <t>SÖDERMANLANDS LÄN</t>
        </is>
      </c>
      <c r="G305" t="inlineStr">
        <is>
          <t>FLEN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18918-2026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46129</v>
      </c>
      <c r="E306" s="1" t="n">
        <v>46300</v>
      </c>
      <c r="F306" t="inlineStr">
        <is>
          <t>SÖDERMANLANDS LÄN</t>
        </is>
      </c>
      <c r="G306" t="inlineStr">
        <is>
          <t>FLEN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17848-2026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46121</v>
      </c>
      <c r="E307" s="1" t="n">
        <v>46300</v>
      </c>
      <c r="F307" t="inlineStr">
        <is>
          <t>SÖDERMANLANDS LÄN</t>
        </is>
      </c>
      <c r="G307" t="inlineStr">
        <is>
          <t>FLEN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30494-2025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45830</v>
      </c>
      <c r="E308" s="1" t="n">
        <v>46300</v>
      </c>
      <c r="F308" t="inlineStr">
        <is>
          <t>SÖDERMANLANDS LÄN</t>
        </is>
      </c>
      <c r="G308" t="inlineStr">
        <is>
          <t>FLEN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61041-2025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46300</v>
      </c>
      <c r="F309" t="inlineStr">
        <is>
          <t>SÖDERMANLANDS LÄN</t>
        </is>
      </c>
      <c r="G309" t="inlineStr">
        <is>
          <t>FLEN</t>
        </is>
      </c>
      <c r="H309" t="inlineStr">
        <is>
          <t>Holmen skog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19072-2026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46132</v>
      </c>
      <c r="E310" s="1" t="n">
        <v>46300</v>
      </c>
      <c r="F310" t="inlineStr">
        <is>
          <t>SÖDERMANLANDS LÄN</t>
        </is>
      </c>
      <c r="G310" t="inlineStr">
        <is>
          <t>FLEN</t>
        </is>
      </c>
      <c r="H310" t="inlineStr">
        <is>
          <t>Holmen skog AB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30493-2025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45830</v>
      </c>
      <c r="E311" s="1" t="n">
        <v>46300</v>
      </c>
      <c r="F311" t="inlineStr">
        <is>
          <t>SÖDERMANLANDS LÄN</t>
        </is>
      </c>
      <c r="G311" t="inlineStr">
        <is>
          <t>FLEN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19102-2026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46132</v>
      </c>
      <c r="E312" s="1" t="n">
        <v>46300</v>
      </c>
      <c r="F312" t="inlineStr">
        <is>
          <t>SÖDERMANLANDS LÄN</t>
        </is>
      </c>
      <c r="G312" t="inlineStr">
        <is>
          <t>FLEN</t>
        </is>
      </c>
      <c r="H312" t="inlineStr">
        <is>
          <t>Holmen skog AB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39821-2024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45553</v>
      </c>
      <c r="E313" s="1" t="n">
        <v>46300</v>
      </c>
      <c r="F313" t="inlineStr">
        <is>
          <t>SÖDERMANLANDS LÄN</t>
        </is>
      </c>
      <c r="G313" t="inlineStr">
        <is>
          <t>FLEN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28529-2023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45103</v>
      </c>
      <c r="E314" s="1" t="n">
        <v>46300</v>
      </c>
      <c r="F314" t="inlineStr">
        <is>
          <t>SÖDERMANLANDS LÄN</t>
        </is>
      </c>
      <c r="G314" t="inlineStr">
        <is>
          <t>FLEN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49891-2023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45213</v>
      </c>
      <c r="E315" s="1" t="n">
        <v>46300</v>
      </c>
      <c r="F315" t="inlineStr">
        <is>
          <t>SÖDERMANLANDS LÄN</t>
        </is>
      </c>
      <c r="G315" t="inlineStr">
        <is>
          <t>FLEN</t>
        </is>
      </c>
      <c r="H315" t="inlineStr">
        <is>
          <t>Holmen skog AB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39171-2025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45888</v>
      </c>
      <c r="E316" s="1" t="n">
        <v>46300</v>
      </c>
      <c r="F316" t="inlineStr">
        <is>
          <t>SÖDERMANLANDS LÄN</t>
        </is>
      </c>
      <c r="G316" t="inlineStr">
        <is>
          <t>FLEN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26253-2025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45805</v>
      </c>
      <c r="E317" s="1" t="n">
        <v>46300</v>
      </c>
      <c r="F317" t="inlineStr">
        <is>
          <t>SÖDERMANLANDS LÄN</t>
        </is>
      </c>
      <c r="G317" t="inlineStr">
        <is>
          <t>FLEN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28938-2023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45104</v>
      </c>
      <c r="E318" s="1" t="n">
        <v>46300</v>
      </c>
      <c r="F318" t="inlineStr">
        <is>
          <t>SÖDERMANLANDS LÄN</t>
        </is>
      </c>
      <c r="G318" t="inlineStr">
        <is>
          <t>FLEN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9979-2025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45718</v>
      </c>
      <c r="E319" s="1" t="n">
        <v>46300</v>
      </c>
      <c r="F319" t="inlineStr">
        <is>
          <t>SÖDERMANLANDS LÄN</t>
        </is>
      </c>
      <c r="G319" t="inlineStr">
        <is>
          <t>FLEN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3926-2024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45322</v>
      </c>
      <c r="E320" s="1" t="n">
        <v>46300</v>
      </c>
      <c r="F320" t="inlineStr">
        <is>
          <t>SÖDERMANLANDS LÄN</t>
        </is>
      </c>
      <c r="G320" t="inlineStr">
        <is>
          <t>FLEN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64480-2023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45280</v>
      </c>
      <c r="E321" s="1" t="n">
        <v>46300</v>
      </c>
      <c r="F321" t="inlineStr">
        <is>
          <t>SÖDERMANLANDS LÄN</t>
        </is>
      </c>
      <c r="G321" t="inlineStr">
        <is>
          <t>FLEN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49828-2022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44862</v>
      </c>
      <c r="E322" s="1" t="n">
        <v>46300</v>
      </c>
      <c r="F322" t="inlineStr">
        <is>
          <t>SÖDERMANLANDS LÄN</t>
        </is>
      </c>
      <c r="G322" t="inlineStr">
        <is>
          <t>FLEN</t>
        </is>
      </c>
      <c r="H322" t="inlineStr">
        <is>
          <t>Kyrkan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67464-2021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44524</v>
      </c>
      <c r="E323" s="1" t="n">
        <v>46300</v>
      </c>
      <c r="F323" t="inlineStr">
        <is>
          <t>SÖDERMANLANDS LÄN</t>
        </is>
      </c>
      <c r="G323" t="inlineStr">
        <is>
          <t>FLEN</t>
        </is>
      </c>
      <c r="I323" t="n">
        <v>7.7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66979-2021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44522</v>
      </c>
      <c r="E324" s="1" t="n">
        <v>46300</v>
      </c>
      <c r="F324" t="inlineStr">
        <is>
          <t>SÖDERMANLANDS LÄN</t>
        </is>
      </c>
      <c r="G324" t="inlineStr">
        <is>
          <t>FLEN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16908-2024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45411</v>
      </c>
      <c r="E325" s="1" t="n">
        <v>46300</v>
      </c>
      <c r="F325" t="inlineStr">
        <is>
          <t>SÖDERMANLANDS LÄN</t>
        </is>
      </c>
      <c r="G325" t="inlineStr">
        <is>
          <t>FLEN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8883-2023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44979</v>
      </c>
      <c r="E326" s="1" t="n">
        <v>46300</v>
      </c>
      <c r="F326" t="inlineStr">
        <is>
          <t>SÖDERMANLANDS LÄN</t>
        </is>
      </c>
      <c r="G326" t="inlineStr">
        <is>
          <t>FLEN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40404-2024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45555</v>
      </c>
      <c r="E327" s="1" t="n">
        <v>46300</v>
      </c>
      <c r="F327" t="inlineStr">
        <is>
          <t>SÖDERMANLANDS LÄN</t>
        </is>
      </c>
      <c r="G327" t="inlineStr">
        <is>
          <t>FLEN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7312-2025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45702</v>
      </c>
      <c r="E328" s="1" t="n">
        <v>46300</v>
      </c>
      <c r="F328" t="inlineStr">
        <is>
          <t>SÖDERMANLANDS LÄN</t>
        </is>
      </c>
      <c r="G328" t="inlineStr">
        <is>
          <t>FLEN</t>
        </is>
      </c>
      <c r="I328" t="n">
        <v>7.4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56229-2025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45974</v>
      </c>
      <c r="E329" s="1" t="n">
        <v>46300</v>
      </c>
      <c r="F329" t="inlineStr">
        <is>
          <t>SÖDERMANLANDS LÄN</t>
        </is>
      </c>
      <c r="G329" t="inlineStr">
        <is>
          <t>FLEN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12295-2025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45729</v>
      </c>
      <c r="E330" s="1" t="n">
        <v>46300</v>
      </c>
      <c r="F330" t="inlineStr">
        <is>
          <t>SÖDERMANLANDS LÄN</t>
        </is>
      </c>
      <c r="G330" t="inlineStr">
        <is>
          <t>FLEN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25467-2023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45081</v>
      </c>
      <c r="E331" s="1" t="n">
        <v>46300</v>
      </c>
      <c r="F331" t="inlineStr">
        <is>
          <t>SÖDERMANLANDS LÄN</t>
        </is>
      </c>
      <c r="G331" t="inlineStr">
        <is>
          <t>FLEN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25474-2023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45081</v>
      </c>
      <c r="E332" s="1" t="n">
        <v>46300</v>
      </c>
      <c r="F332" t="inlineStr">
        <is>
          <t>SÖDERMANLANDS LÄN</t>
        </is>
      </c>
      <c r="G332" t="inlineStr">
        <is>
          <t>FLEN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10565-2023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44988</v>
      </c>
      <c r="E333" s="1" t="n">
        <v>46300</v>
      </c>
      <c r="F333" t="inlineStr">
        <is>
          <t>SÖDERMANLANDS LÄN</t>
        </is>
      </c>
      <c r="G333" t="inlineStr">
        <is>
          <t>FLEN</t>
        </is>
      </c>
      <c r="H333" t="inlineStr">
        <is>
          <t>Holmen skog AB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53119-2023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45228</v>
      </c>
      <c r="E334" s="1" t="n">
        <v>46300</v>
      </c>
      <c r="F334" t="inlineStr">
        <is>
          <t>SÖDERMANLANDS LÄN</t>
        </is>
      </c>
      <c r="G334" t="inlineStr">
        <is>
          <t>FLEN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15904-2023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45022</v>
      </c>
      <c r="E335" s="1" t="n">
        <v>46300</v>
      </c>
      <c r="F335" t="inlineStr">
        <is>
          <t>SÖDERMANLANDS LÄN</t>
        </is>
      </c>
      <c r="G335" t="inlineStr">
        <is>
          <t>FLEN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58631-2024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45632</v>
      </c>
      <c r="E336" s="1" t="n">
        <v>46300</v>
      </c>
      <c r="F336" t="inlineStr">
        <is>
          <t>SÖDERMANLANDS LÄN</t>
        </is>
      </c>
      <c r="G336" t="inlineStr">
        <is>
          <t>FLEN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15897-2023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45022</v>
      </c>
      <c r="E337" s="1" t="n">
        <v>46300</v>
      </c>
      <c r="F337" t="inlineStr">
        <is>
          <t>SÖDERMANLANDS LÄN</t>
        </is>
      </c>
      <c r="G337" t="inlineStr">
        <is>
          <t>FLEN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59258-2022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44897</v>
      </c>
      <c r="E338" s="1" t="n">
        <v>46300</v>
      </c>
      <c r="F338" t="inlineStr">
        <is>
          <t>SÖDERMANLANDS LÄN</t>
        </is>
      </c>
      <c r="G338" t="inlineStr">
        <is>
          <t>FLEN</t>
        </is>
      </c>
      <c r="H338" t="inlineStr">
        <is>
          <t>Övriga statliga verk och myndigheter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32023-2022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44778</v>
      </c>
      <c r="E339" s="1" t="n">
        <v>46300</v>
      </c>
      <c r="F339" t="inlineStr">
        <is>
          <t>SÖDERMANLANDS LÄN</t>
        </is>
      </c>
      <c r="G339" t="inlineStr">
        <is>
          <t>FLEN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40439-2025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45895</v>
      </c>
      <c r="E340" s="1" t="n">
        <v>46300</v>
      </c>
      <c r="F340" t="inlineStr">
        <is>
          <t>SÖDERMANLANDS LÄN</t>
        </is>
      </c>
      <c r="G340" t="inlineStr">
        <is>
          <t>FLEN</t>
        </is>
      </c>
      <c r="I340" t="n">
        <v>7.1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36453-2025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45869</v>
      </c>
      <c r="E341" s="1" t="n">
        <v>46300</v>
      </c>
      <c r="F341" t="inlineStr">
        <is>
          <t>SÖDERMANLANDS LÄN</t>
        </is>
      </c>
      <c r="G341" t="inlineStr">
        <is>
          <t>FLEN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37256-2022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44807</v>
      </c>
      <c r="E342" s="1" t="n">
        <v>46300</v>
      </c>
      <c r="F342" t="inlineStr">
        <is>
          <t>SÖDERMANLANDS LÄN</t>
        </is>
      </c>
      <c r="G342" t="inlineStr">
        <is>
          <t>FLEN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5331-2024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45331</v>
      </c>
      <c r="E343" s="1" t="n">
        <v>46300</v>
      </c>
      <c r="F343" t="inlineStr">
        <is>
          <t>SÖDERMANLANDS LÄN</t>
        </is>
      </c>
      <c r="G343" t="inlineStr">
        <is>
          <t>FLEN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22028-2023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45066</v>
      </c>
      <c r="E344" s="1" t="n">
        <v>46300</v>
      </c>
      <c r="F344" t="inlineStr">
        <is>
          <t>SÖDERMANLANDS LÄN</t>
        </is>
      </c>
      <c r="G344" t="inlineStr">
        <is>
          <t>FLEN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9892-2023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44979</v>
      </c>
      <c r="E345" s="1" t="n">
        <v>46300</v>
      </c>
      <c r="F345" t="inlineStr">
        <is>
          <t>SÖDERMANLANDS LÄN</t>
        </is>
      </c>
      <c r="G345" t="inlineStr">
        <is>
          <t>FLEN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5194-2024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45330</v>
      </c>
      <c r="E346" s="1" t="n">
        <v>46300</v>
      </c>
      <c r="F346" t="inlineStr">
        <is>
          <t>SÖDERMANLANDS LÄN</t>
        </is>
      </c>
      <c r="G346" t="inlineStr">
        <is>
          <t>FLEN</t>
        </is>
      </c>
      <c r="H346" t="inlineStr">
        <is>
          <t>Övriga statliga verk och myndigheter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50898-2022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44864</v>
      </c>
      <c r="E347" s="1" t="n">
        <v>46300</v>
      </c>
      <c r="F347" t="inlineStr">
        <is>
          <t>SÖDERMANLANDS LÄN</t>
        </is>
      </c>
      <c r="G347" t="inlineStr">
        <is>
          <t>FLEN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48749-2022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44855</v>
      </c>
      <c r="E348" s="1" t="n">
        <v>46300</v>
      </c>
      <c r="F348" t="inlineStr">
        <is>
          <t>SÖDERMANLANDS LÄN</t>
        </is>
      </c>
      <c r="G348" t="inlineStr">
        <is>
          <t>FLEN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23216-2025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45791</v>
      </c>
      <c r="E349" s="1" t="n">
        <v>46300</v>
      </c>
      <c r="F349" t="inlineStr">
        <is>
          <t>SÖDERMANLANDS LÄN</t>
        </is>
      </c>
      <c r="G349" t="inlineStr">
        <is>
          <t>FLEN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58364-2023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45250</v>
      </c>
      <c r="E350" s="1" t="n">
        <v>46300</v>
      </c>
      <c r="F350" t="inlineStr">
        <is>
          <t>SÖDERMANLANDS LÄN</t>
        </is>
      </c>
      <c r="G350" t="inlineStr">
        <is>
          <t>FLEN</t>
        </is>
      </c>
      <c r="H350" t="inlineStr">
        <is>
          <t>Holmen skog AB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58377-2023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45250</v>
      </c>
      <c r="E351" s="1" t="n">
        <v>46300</v>
      </c>
      <c r="F351" t="inlineStr">
        <is>
          <t>SÖDERMANLANDS LÄN</t>
        </is>
      </c>
      <c r="G351" t="inlineStr">
        <is>
          <t>FLEN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48774-2022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44855</v>
      </c>
      <c r="E352" s="1" t="n">
        <v>46300</v>
      </c>
      <c r="F352" t="inlineStr">
        <is>
          <t>SÖDERMANLANDS LÄN</t>
        </is>
      </c>
      <c r="G352" t="inlineStr">
        <is>
          <t>FLEN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57863-2022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44899</v>
      </c>
      <c r="E353" s="1" t="n">
        <v>46300</v>
      </c>
      <c r="F353" t="inlineStr">
        <is>
          <t>SÖDERMANLANDS LÄN</t>
        </is>
      </c>
      <c r="G353" t="inlineStr">
        <is>
          <t>FLEN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59891-2025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45993</v>
      </c>
      <c r="E354" s="1" t="n">
        <v>46300</v>
      </c>
      <c r="F354" t="inlineStr">
        <is>
          <t>SÖDERMANLANDS LÄN</t>
        </is>
      </c>
      <c r="G354" t="inlineStr">
        <is>
          <t>FLEN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35118-2024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45528</v>
      </c>
      <c r="E355" s="1" t="n">
        <v>46300</v>
      </c>
      <c r="F355" t="inlineStr">
        <is>
          <t>SÖDERMANLANDS LÄN</t>
        </is>
      </c>
      <c r="G355" t="inlineStr">
        <is>
          <t>FLEN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57353-2022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44896</v>
      </c>
      <c r="E356" s="1" t="n">
        <v>46300</v>
      </c>
      <c r="F356" t="inlineStr">
        <is>
          <t>SÖDERMANLANDS LÄN</t>
        </is>
      </c>
      <c r="G356" t="inlineStr">
        <is>
          <t>FLEN</t>
        </is>
      </c>
      <c r="H356" t="inlineStr">
        <is>
          <t>Övriga statliga verk och myndigheter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7194-2023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44970</v>
      </c>
      <c r="E357" s="1" t="n">
        <v>46300</v>
      </c>
      <c r="F357" t="inlineStr">
        <is>
          <t>SÖDERMANLANDS LÄN</t>
        </is>
      </c>
      <c r="G357" t="inlineStr">
        <is>
          <t>FLEN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34783-2023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45140</v>
      </c>
      <c r="E358" s="1" t="n">
        <v>46300</v>
      </c>
      <c r="F358" t="inlineStr">
        <is>
          <t>SÖDERMANLANDS LÄN</t>
        </is>
      </c>
      <c r="G358" t="inlineStr">
        <is>
          <t>FLEN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9079-2025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45713</v>
      </c>
      <c r="E359" s="1" t="n">
        <v>46300</v>
      </c>
      <c r="F359" t="inlineStr">
        <is>
          <t>SÖDERMANLANDS LÄN</t>
        </is>
      </c>
      <c r="G359" t="inlineStr">
        <is>
          <t>FLEN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4742-2023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44957</v>
      </c>
      <c r="E360" s="1" t="n">
        <v>46300</v>
      </c>
      <c r="F360" t="inlineStr">
        <is>
          <t>SÖDERMANLANDS LÄN</t>
        </is>
      </c>
      <c r="G360" t="inlineStr">
        <is>
          <t>FLEN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48852-2023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45209</v>
      </c>
      <c r="E361" s="1" t="n">
        <v>46300</v>
      </c>
      <c r="F361" t="inlineStr">
        <is>
          <t>SÖDERMANLANDS LÄN</t>
        </is>
      </c>
      <c r="G361" t="inlineStr">
        <is>
          <t>FLEN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57044-2023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45244</v>
      </c>
      <c r="E362" s="1" t="n">
        <v>46300</v>
      </c>
      <c r="F362" t="inlineStr">
        <is>
          <t>SÖDERMANLANDS LÄN</t>
        </is>
      </c>
      <c r="G362" t="inlineStr">
        <is>
          <t>FLEN</t>
        </is>
      </c>
      <c r="H362" t="inlineStr">
        <is>
          <t>Övriga statliga verk och myndigheter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52353-2023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45224</v>
      </c>
      <c r="E363" s="1" t="n">
        <v>46300</v>
      </c>
      <c r="F363" t="inlineStr">
        <is>
          <t>SÖDERMANLANDS LÄN</t>
        </is>
      </c>
      <c r="G363" t="inlineStr">
        <is>
          <t>FLEN</t>
        </is>
      </c>
      <c r="H363" t="inlineStr">
        <is>
          <t>Kyrkan</t>
        </is>
      </c>
      <c r="I363" t="n">
        <v>8.199999999999999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10886-2023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44991</v>
      </c>
      <c r="E364" s="1" t="n">
        <v>46300</v>
      </c>
      <c r="F364" t="inlineStr">
        <is>
          <t>SÖDERMANLANDS LÄN</t>
        </is>
      </c>
      <c r="G364" t="inlineStr">
        <is>
          <t>FLEN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19150-2023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45048</v>
      </c>
      <c r="E365" s="1" t="n">
        <v>46300</v>
      </c>
      <c r="F365" t="inlineStr">
        <is>
          <t>SÖDERMANLANDS LÄN</t>
        </is>
      </c>
      <c r="G365" t="inlineStr">
        <is>
          <t>FLEN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9088-2026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46069</v>
      </c>
      <c r="E366" s="1" t="n">
        <v>46300</v>
      </c>
      <c r="F366" t="inlineStr">
        <is>
          <t>SÖDERMANLANDS LÄN</t>
        </is>
      </c>
      <c r="G366" t="inlineStr">
        <is>
          <t>FLEN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20980-2023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45056</v>
      </c>
      <c r="E367" s="1" t="n">
        <v>46300</v>
      </c>
      <c r="F367" t="inlineStr">
        <is>
          <t>SÖDERMANLANDS LÄN</t>
        </is>
      </c>
      <c r="G367" t="inlineStr">
        <is>
          <t>FLEN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44561-2024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45574</v>
      </c>
      <c r="E368" s="1" t="n">
        <v>46300</v>
      </c>
      <c r="F368" t="inlineStr">
        <is>
          <t>SÖDERMANLANDS LÄN</t>
        </is>
      </c>
      <c r="G368" t="inlineStr">
        <is>
          <t>FLEN</t>
        </is>
      </c>
      <c r="H368" t="inlineStr">
        <is>
          <t>Övriga statliga verk och myndigheter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53509-2023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45230</v>
      </c>
      <c r="E369" s="1" t="n">
        <v>46300</v>
      </c>
      <c r="F369" t="inlineStr">
        <is>
          <t>SÖDERMANLANDS LÄN</t>
        </is>
      </c>
      <c r="G369" t="inlineStr">
        <is>
          <t>FLEN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33742-2023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45119</v>
      </c>
      <c r="E370" s="1" t="n">
        <v>46300</v>
      </c>
      <c r="F370" t="inlineStr">
        <is>
          <t>SÖDERMANLANDS LÄN</t>
        </is>
      </c>
      <c r="G370" t="inlineStr">
        <is>
          <t>FLEN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44566</v>
      </c>
      <c r="E371" s="1" t="n">
        <v>46300</v>
      </c>
      <c r="F371" t="inlineStr">
        <is>
          <t>SÖDERMANLANDS LÄN</t>
        </is>
      </c>
      <c r="G371" t="inlineStr">
        <is>
          <t>FLEN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24223-2026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46168</v>
      </c>
      <c r="E372" s="1" t="n">
        <v>46300</v>
      </c>
      <c r="F372" t="inlineStr">
        <is>
          <t>SÖDERMANLANDS LÄN</t>
        </is>
      </c>
      <c r="G372" t="inlineStr">
        <is>
          <t>FLEN</t>
        </is>
      </c>
      <c r="H372" t="inlineStr">
        <is>
          <t>Holmen skog AB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24116-2026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46168</v>
      </c>
      <c r="E373" s="1" t="n">
        <v>46300</v>
      </c>
      <c r="F373" t="inlineStr">
        <is>
          <t>SÖDERMANLANDS LÄN</t>
        </is>
      </c>
      <c r="G373" t="inlineStr">
        <is>
          <t>FLEN</t>
        </is>
      </c>
      <c r="H373" t="inlineStr">
        <is>
          <t>Holmen skog AB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37775-2025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45880</v>
      </c>
      <c r="E374" s="1" t="n">
        <v>46300</v>
      </c>
      <c r="F374" t="inlineStr">
        <is>
          <t>SÖDERMANLANDS LÄN</t>
        </is>
      </c>
      <c r="G374" t="inlineStr">
        <is>
          <t>FLEN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24157-2026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46168</v>
      </c>
      <c r="E375" s="1" t="n">
        <v>46300</v>
      </c>
      <c r="F375" t="inlineStr">
        <is>
          <t>SÖDERMANLANDS LÄN</t>
        </is>
      </c>
      <c r="G375" t="inlineStr">
        <is>
          <t>FLEN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24151-2026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46168</v>
      </c>
      <c r="E376" s="1" t="n">
        <v>46300</v>
      </c>
      <c r="F376" t="inlineStr">
        <is>
          <t>SÖDERMANLANDS LÄN</t>
        </is>
      </c>
      <c r="G376" t="inlineStr">
        <is>
          <t>FLEN</t>
        </is>
      </c>
      <c r="H376" t="inlineStr">
        <is>
          <t>Holmen skog AB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24155-2026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46168</v>
      </c>
      <c r="E377" s="1" t="n">
        <v>46300</v>
      </c>
      <c r="F377" t="inlineStr">
        <is>
          <t>SÖDERMANLANDS LÄN</t>
        </is>
      </c>
      <c r="G377" t="inlineStr">
        <is>
          <t>FLEN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24163-2026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46168</v>
      </c>
      <c r="E378" s="1" t="n">
        <v>46300</v>
      </c>
      <c r="F378" t="inlineStr">
        <is>
          <t>SÖDERMANLANDS LÄN</t>
        </is>
      </c>
      <c r="G378" t="inlineStr">
        <is>
          <t>FLEN</t>
        </is>
      </c>
      <c r="H378" t="inlineStr">
        <is>
          <t>Holmen skog AB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10828-2022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44624</v>
      </c>
      <c r="E379" s="1" t="n">
        <v>46300</v>
      </c>
      <c r="F379" t="inlineStr">
        <is>
          <t>SÖDERMANLANDS LÄN</t>
        </is>
      </c>
      <c r="G379" t="inlineStr">
        <is>
          <t>FLEN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17838-2026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46121</v>
      </c>
      <c r="E380" s="1" t="n">
        <v>46300</v>
      </c>
      <c r="F380" t="inlineStr">
        <is>
          <t>SÖDERMANLANDS LÄN</t>
        </is>
      </c>
      <c r="G380" t="inlineStr">
        <is>
          <t>FLEN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24450-2026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46170</v>
      </c>
      <c r="E381" s="1" t="n">
        <v>46300</v>
      </c>
      <c r="F381" t="inlineStr">
        <is>
          <t>SÖDERMANLANDS LÄN</t>
        </is>
      </c>
      <c r="G381" t="inlineStr">
        <is>
          <t>FLEN</t>
        </is>
      </c>
      <c r="H381" t="inlineStr">
        <is>
          <t>Holmen skog AB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  <c r="Z381">
        <f>HYPERLINK("https://klasma.github.io/Logging_0482/knärot/A 24450-2026 karta knärot.png", "A 24450-2026")</f>
        <v/>
      </c>
      <c r="AA381">
        <f>HYPERLINK("https://klasma.github.io/Logging_0482/klagomål/A 24450-2026 FSC-klagomål.docx", "A 24450-2026")</f>
        <v/>
      </c>
      <c r="AB381">
        <f>HYPERLINK("https://klasma.github.io/Logging_0482/klagomålsmail/A 24450-2026 FSC-klagomål mail.docx", "A 24450-2026")</f>
        <v/>
      </c>
      <c r="AC381">
        <f>HYPERLINK("https://klasma.github.io/Logging_0482/tillsyn/A 24450-2026 tillsynsbegäran.docx", "A 24450-2026")</f>
        <v/>
      </c>
      <c r="AD381">
        <f>HYPERLINK("https://klasma.github.io/Logging_0482/tillsynsmail/A 24450-2026 tillsynsbegäran mail.docx", "A 24450-2026")</f>
        <v/>
      </c>
    </row>
    <row r="382" ht="15" customHeight="1">
      <c r="A382" t="inlineStr">
        <is>
          <t>A 24721-2026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46170</v>
      </c>
      <c r="E382" s="1" t="n">
        <v>46300</v>
      </c>
      <c r="F382" t="inlineStr">
        <is>
          <t>SÖDERMANLANDS LÄN</t>
        </is>
      </c>
      <c r="G382" t="inlineStr">
        <is>
          <t>FLEN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54781-2024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45618</v>
      </c>
      <c r="E383" s="1" t="n">
        <v>46300</v>
      </c>
      <c r="F383" t="inlineStr">
        <is>
          <t>SÖDERMANLANDS LÄN</t>
        </is>
      </c>
      <c r="G383" t="inlineStr">
        <is>
          <t>FLEN</t>
        </is>
      </c>
      <c r="I383" t="n">
        <v>10.3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38464-2025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45883</v>
      </c>
      <c r="E384" s="1" t="n">
        <v>46300</v>
      </c>
      <c r="F384" t="inlineStr">
        <is>
          <t>SÖDERMANLANDS LÄN</t>
        </is>
      </c>
      <c r="G384" t="inlineStr">
        <is>
          <t>FLEN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47872-2025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45932</v>
      </c>
      <c r="E385" s="1" t="n">
        <v>46300</v>
      </c>
      <c r="F385" t="inlineStr">
        <is>
          <t>SÖDERMANLANDS LÄN</t>
        </is>
      </c>
      <c r="G385" t="inlineStr">
        <is>
          <t>FLEN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25147-2026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46175</v>
      </c>
      <c r="E386" s="1" t="n">
        <v>46300</v>
      </c>
      <c r="F386" t="inlineStr">
        <is>
          <t>SÖDERMANLANDS LÄN</t>
        </is>
      </c>
      <c r="G386" t="inlineStr">
        <is>
          <t>FLEN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25303-2026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46176</v>
      </c>
      <c r="E387" s="1" t="n">
        <v>46300</v>
      </c>
      <c r="F387" t="inlineStr">
        <is>
          <t>SÖDERMANLANDS LÄN</t>
        </is>
      </c>
      <c r="G387" t="inlineStr">
        <is>
          <t>FLEN</t>
        </is>
      </c>
      <c r="H387" t="inlineStr">
        <is>
          <t>Holmen skog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26318-2026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46181</v>
      </c>
      <c r="E388" s="1" t="n">
        <v>46300</v>
      </c>
      <c r="F388" t="inlineStr">
        <is>
          <t>SÖDERMANLANDS LÄN</t>
        </is>
      </c>
      <c r="G388" t="inlineStr">
        <is>
          <t>FLEN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26326-2026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46181</v>
      </c>
      <c r="E389" s="1" t="n">
        <v>46300</v>
      </c>
      <c r="F389" t="inlineStr">
        <is>
          <t>SÖDERMANLANDS LÄN</t>
        </is>
      </c>
      <c r="G389" t="inlineStr">
        <is>
          <t>FLEN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18511-2023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45041</v>
      </c>
      <c r="E390" s="1" t="n">
        <v>46300</v>
      </c>
      <c r="F390" t="inlineStr">
        <is>
          <t>SÖDERMANLANDS LÄN</t>
        </is>
      </c>
      <c r="G390" t="inlineStr">
        <is>
          <t>FLEN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51768-2023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45222</v>
      </c>
      <c r="E391" s="1" t="n">
        <v>46300</v>
      </c>
      <c r="F391" t="inlineStr">
        <is>
          <t>SÖDERMANLANDS LÄN</t>
        </is>
      </c>
      <c r="G391" t="inlineStr">
        <is>
          <t>FLEN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39335-2023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45166</v>
      </c>
      <c r="E392" s="1" t="n">
        <v>46300</v>
      </c>
      <c r="F392" t="inlineStr">
        <is>
          <t>SÖDERMANLANDS LÄN</t>
        </is>
      </c>
      <c r="G392" t="inlineStr">
        <is>
          <t>FLEN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20791-2022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44701</v>
      </c>
      <c r="E393" s="1" t="n">
        <v>46300</v>
      </c>
      <c r="F393" t="inlineStr">
        <is>
          <t>SÖDERMANLANDS LÄN</t>
        </is>
      </c>
      <c r="G393" t="inlineStr">
        <is>
          <t>FLEN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14260-2025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45740</v>
      </c>
      <c r="E394" s="1" t="n">
        <v>46300</v>
      </c>
      <c r="F394" t="inlineStr">
        <is>
          <t>SÖDERMANLANDS LÄN</t>
        </is>
      </c>
      <c r="G394" t="inlineStr">
        <is>
          <t>FLEN</t>
        </is>
      </c>
      <c r="H394" t="inlineStr">
        <is>
          <t>Holmen skog AB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60150-2022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44909</v>
      </c>
      <c r="E395" s="1" t="n">
        <v>46300</v>
      </c>
      <c r="F395" t="inlineStr">
        <is>
          <t>SÖDERMANLANDS LÄN</t>
        </is>
      </c>
      <c r="G395" t="inlineStr">
        <is>
          <t>FLEN</t>
        </is>
      </c>
      <c r="H395" t="inlineStr">
        <is>
          <t>Holmen skog AB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26050-2026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46181</v>
      </c>
      <c r="E396" s="1" t="n">
        <v>46300</v>
      </c>
      <c r="F396" t="inlineStr">
        <is>
          <t>SÖDERMANLANDS LÄN</t>
        </is>
      </c>
      <c r="G396" t="inlineStr">
        <is>
          <t>FLEN</t>
        </is>
      </c>
      <c r="H396" t="inlineStr">
        <is>
          <t>Holmen skog AB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33228-2024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45518</v>
      </c>
      <c r="E397" s="1" t="n">
        <v>46300</v>
      </c>
      <c r="F397" t="inlineStr">
        <is>
          <t>SÖDERMANLANDS LÄN</t>
        </is>
      </c>
      <c r="G397" t="inlineStr">
        <is>
          <t>FLEN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62763-2023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45271</v>
      </c>
      <c r="E398" s="1" t="n">
        <v>46300</v>
      </c>
      <c r="F398" t="inlineStr">
        <is>
          <t>SÖDERMANLANDS LÄN</t>
        </is>
      </c>
      <c r="G398" t="inlineStr">
        <is>
          <t>FLEN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24455-2026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46170</v>
      </c>
      <c r="E399" s="1" t="n">
        <v>46300</v>
      </c>
      <c r="F399" t="inlineStr">
        <is>
          <t>SÖDERMANLANDS LÄN</t>
        </is>
      </c>
      <c r="G399" t="inlineStr">
        <is>
          <t>FLEN</t>
        </is>
      </c>
      <c r="H399" t="inlineStr">
        <is>
          <t>Holmen skog AB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26854-2026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46185</v>
      </c>
      <c r="E400" s="1" t="n">
        <v>46300</v>
      </c>
      <c r="F400" t="inlineStr">
        <is>
          <t>SÖDERMANLANDS LÄN</t>
        </is>
      </c>
      <c r="G400" t="inlineStr">
        <is>
          <t>FLEN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59779-2023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45257</v>
      </c>
      <c r="E401" s="1" t="n">
        <v>46300</v>
      </c>
      <c r="F401" t="inlineStr">
        <is>
          <t>SÖDERMANLANDS LÄN</t>
        </is>
      </c>
      <c r="G401" t="inlineStr">
        <is>
          <t>FLEN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58635-2024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45632</v>
      </c>
      <c r="E402" s="1" t="n">
        <v>46300</v>
      </c>
      <c r="F402" t="inlineStr">
        <is>
          <t>SÖDERMANLANDS LÄN</t>
        </is>
      </c>
      <c r="G402" t="inlineStr">
        <is>
          <t>FLEN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26444-2026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46183</v>
      </c>
      <c r="E403" s="1" t="n">
        <v>46300</v>
      </c>
      <c r="F403" t="inlineStr">
        <is>
          <t>SÖDERMANLANDS LÄN</t>
        </is>
      </c>
      <c r="G403" t="inlineStr">
        <is>
          <t>FLEN</t>
        </is>
      </c>
      <c r="H403" t="inlineStr">
        <is>
          <t>Holmen skog AB</t>
        </is>
      </c>
      <c r="I403" t="n">
        <v>7.2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27304-2026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46188</v>
      </c>
      <c r="E404" s="1" t="n">
        <v>46300</v>
      </c>
      <c r="F404" t="inlineStr">
        <is>
          <t>SÖDERMANLANDS LÄN</t>
        </is>
      </c>
      <c r="G404" t="inlineStr">
        <is>
          <t>FLEN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2901-2024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45315</v>
      </c>
      <c r="E405" s="1" t="n">
        <v>46300</v>
      </c>
      <c r="F405" t="inlineStr">
        <is>
          <t>SÖDERMANLANDS LÄN</t>
        </is>
      </c>
      <c r="G405" t="inlineStr">
        <is>
          <t>FLEN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45321</v>
      </c>
      <c r="E406" s="1" t="n">
        <v>46300</v>
      </c>
      <c r="F406" t="inlineStr">
        <is>
          <t>SÖDERMANLANDS LÄN</t>
        </is>
      </c>
      <c r="G406" t="inlineStr">
        <is>
          <t>FLEN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27317-2026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46300</v>
      </c>
      <c r="F407" t="inlineStr">
        <is>
          <t>SÖDERMANLANDS LÄN</t>
        </is>
      </c>
      <c r="G407" t="inlineStr">
        <is>
          <t>FLEN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27328-2026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46188</v>
      </c>
      <c r="E408" s="1" t="n">
        <v>46300</v>
      </c>
      <c r="F408" t="inlineStr">
        <is>
          <t>SÖDERMANLANDS LÄN</t>
        </is>
      </c>
      <c r="G408" t="inlineStr">
        <is>
          <t>FLEN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16937-2022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44676</v>
      </c>
      <c r="E409" s="1" t="n">
        <v>46300</v>
      </c>
      <c r="F409" t="inlineStr">
        <is>
          <t>SÖDERMANLANDS LÄN</t>
        </is>
      </c>
      <c r="G409" t="inlineStr">
        <is>
          <t>FLEN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14599-2023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45013</v>
      </c>
      <c r="E410" s="1" t="n">
        <v>46300</v>
      </c>
      <c r="F410" t="inlineStr">
        <is>
          <t>SÖDERMANLANDS LÄN</t>
        </is>
      </c>
      <c r="G410" t="inlineStr">
        <is>
          <t>FLEN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53507-2023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45230</v>
      </c>
      <c r="E411" s="1" t="n">
        <v>46300</v>
      </c>
      <c r="F411" t="inlineStr">
        <is>
          <t>SÖDERMANLANDS LÄN</t>
        </is>
      </c>
      <c r="G411" t="inlineStr">
        <is>
          <t>FLEN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53518-2023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45230</v>
      </c>
      <c r="E412" s="1" t="n">
        <v>46300</v>
      </c>
      <c r="F412" t="inlineStr">
        <is>
          <t>SÖDERMANLANDS LÄN</t>
        </is>
      </c>
      <c r="G412" t="inlineStr">
        <is>
          <t>FLEN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28316-2026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46196</v>
      </c>
      <c r="E413" s="1" t="n">
        <v>46300</v>
      </c>
      <c r="F413" t="inlineStr">
        <is>
          <t>SÖDERMANLANDS LÄN</t>
        </is>
      </c>
      <c r="G413" t="inlineStr">
        <is>
          <t>FLEN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39053-2023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45163</v>
      </c>
      <c r="E414" s="1" t="n">
        <v>46300</v>
      </c>
      <c r="F414" t="inlineStr">
        <is>
          <t>SÖDERMANLANDS LÄN</t>
        </is>
      </c>
      <c r="G414" t="inlineStr">
        <is>
          <t>FLEN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27146-2022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44741</v>
      </c>
      <c r="E415" s="1" t="n">
        <v>46300</v>
      </c>
      <c r="F415" t="inlineStr">
        <is>
          <t>SÖDERMANLANDS LÄN</t>
        </is>
      </c>
      <c r="G415" t="inlineStr">
        <is>
          <t>FLEN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12172-2022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44636</v>
      </c>
      <c r="E416" s="1" t="n">
        <v>46300</v>
      </c>
      <c r="F416" t="inlineStr">
        <is>
          <t>SÖDERMANLANDS LÄN</t>
        </is>
      </c>
      <c r="G416" t="inlineStr">
        <is>
          <t>FLEN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56393-2022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44887</v>
      </c>
      <c r="E417" s="1" t="n">
        <v>46300</v>
      </c>
      <c r="F417" t="inlineStr">
        <is>
          <t>SÖDERMANLANDS LÄN</t>
        </is>
      </c>
      <c r="G417" t="inlineStr">
        <is>
          <t>FLEN</t>
        </is>
      </c>
      <c r="I417" t="n">
        <v>11.3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38331-2023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45161</v>
      </c>
      <c r="E418" s="1" t="n">
        <v>46300</v>
      </c>
      <c r="F418" t="inlineStr">
        <is>
          <t>SÖDERMANLANDS LÄN</t>
        </is>
      </c>
      <c r="G418" t="inlineStr">
        <is>
          <t>FLEN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60609-2022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44911</v>
      </c>
      <c r="E419" s="1" t="n">
        <v>46300</v>
      </c>
      <c r="F419" t="inlineStr">
        <is>
          <t>SÖDERMANLANDS LÄN</t>
        </is>
      </c>
      <c r="G419" t="inlineStr">
        <is>
          <t>FLEN</t>
        </is>
      </c>
      <c r="H419" t="inlineStr">
        <is>
          <t>Holmen skog AB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34844-2026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46258</v>
      </c>
      <c r="E420" s="1" t="n">
        <v>46300</v>
      </c>
      <c r="F420" t="inlineStr">
        <is>
          <t>SÖDERMANLANDS LÄN</t>
        </is>
      </c>
      <c r="G420" t="inlineStr">
        <is>
          <t>FLEN</t>
        </is>
      </c>
      <c r="H420" t="inlineStr">
        <is>
          <t>Holmen skog AB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34851-2026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46258</v>
      </c>
      <c r="E421" s="1" t="n">
        <v>46300</v>
      </c>
      <c r="F421" t="inlineStr">
        <is>
          <t>SÖDERMANLANDS LÄN</t>
        </is>
      </c>
      <c r="G421" t="inlineStr">
        <is>
          <t>FLEN</t>
        </is>
      </c>
      <c r="H421" t="inlineStr">
        <is>
          <t>Holmen skog AB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31214-2023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45114</v>
      </c>
      <c r="E422" s="1" t="n">
        <v>46300</v>
      </c>
      <c r="F422" t="inlineStr">
        <is>
          <t>SÖDERMANLANDS LÄN</t>
        </is>
      </c>
      <c r="G422" t="inlineStr">
        <is>
          <t>FLEN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34839-2026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46258</v>
      </c>
      <c r="E423" s="1" t="n">
        <v>46300</v>
      </c>
      <c r="F423" t="inlineStr">
        <is>
          <t>SÖDERMANLANDS LÄN</t>
        </is>
      </c>
      <c r="G423" t="inlineStr">
        <is>
          <t>FLEN</t>
        </is>
      </c>
      <c r="H423" t="inlineStr">
        <is>
          <t>Holmen skog AB</t>
        </is>
      </c>
      <c r="I423" t="n">
        <v>8.5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38217-2023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45161</v>
      </c>
      <c r="E424" s="1" t="n">
        <v>46300</v>
      </c>
      <c r="F424" t="inlineStr">
        <is>
          <t>SÖDERMANLANDS LÄN</t>
        </is>
      </c>
      <c r="G424" t="inlineStr">
        <is>
          <t>FLEN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14412-2023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45012</v>
      </c>
      <c r="E425" s="1" t="n">
        <v>46300</v>
      </c>
      <c r="F425" t="inlineStr">
        <is>
          <t>SÖDERMANLANDS LÄN</t>
        </is>
      </c>
      <c r="G425" t="inlineStr">
        <is>
          <t>FLEN</t>
        </is>
      </c>
      <c r="H425" t="inlineStr">
        <is>
          <t>Holmen skog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56497-2022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44887</v>
      </c>
      <c r="E426" s="1" t="n">
        <v>46300</v>
      </c>
      <c r="F426" t="inlineStr">
        <is>
          <t>SÖDERMANLANDS LÄN</t>
        </is>
      </c>
      <c r="G426" t="inlineStr">
        <is>
          <t>FLEN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5109-2023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44958</v>
      </c>
      <c r="E427" s="1" t="n">
        <v>46300</v>
      </c>
      <c r="F427" t="inlineStr">
        <is>
          <t>SÖDERMANLANDS LÄN</t>
        </is>
      </c>
      <c r="G427" t="inlineStr">
        <is>
          <t>FLEN</t>
        </is>
      </c>
      <c r="I427" t="n">
        <v>7.5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35742-2026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46265</v>
      </c>
      <c r="E428" s="1" t="n">
        <v>46300</v>
      </c>
      <c r="F428" t="inlineStr">
        <is>
          <t>SÖDERMANLANDS LÄN</t>
        </is>
      </c>
      <c r="G428" t="inlineStr">
        <is>
          <t>FLEN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35990-2026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46266</v>
      </c>
      <c r="E429" s="1" t="n">
        <v>46300</v>
      </c>
      <c r="F429" t="inlineStr">
        <is>
          <t>SÖDERMANLANDS LÄN</t>
        </is>
      </c>
      <c r="G429" t="inlineStr">
        <is>
          <t>FLEN</t>
        </is>
      </c>
      <c r="H429" t="inlineStr">
        <is>
          <t>Holmen skog AB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59599-2022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44907</v>
      </c>
      <c r="E430" s="1" t="n">
        <v>46300</v>
      </c>
      <c r="F430" t="inlineStr">
        <is>
          <t>SÖDERMANLANDS LÄN</t>
        </is>
      </c>
      <c r="G430" t="inlineStr">
        <is>
          <t>FLEN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59817-2022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44900</v>
      </c>
      <c r="E431" s="1" t="n">
        <v>46300</v>
      </c>
      <c r="F431" t="inlineStr">
        <is>
          <t>SÖDERMANLANDS LÄN</t>
        </is>
      </c>
      <c r="G431" t="inlineStr">
        <is>
          <t>FLEN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36188-2026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46267</v>
      </c>
      <c r="E432" s="1" t="n">
        <v>46300</v>
      </c>
      <c r="F432" t="inlineStr">
        <is>
          <t>SÖDERMANLANDS LÄN</t>
        </is>
      </c>
      <c r="G432" t="inlineStr">
        <is>
          <t>FLEN</t>
        </is>
      </c>
      <c r="H432" t="inlineStr">
        <is>
          <t>Holmen skog AB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22957-2023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45072</v>
      </c>
      <c r="E433" s="1" t="n">
        <v>46300</v>
      </c>
      <c r="F433" t="inlineStr">
        <is>
          <t>SÖDERMANLANDS LÄN</t>
        </is>
      </c>
      <c r="G433" t="inlineStr">
        <is>
          <t>FLEN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36173-2026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46267</v>
      </c>
      <c r="E434" s="1" t="n">
        <v>46300</v>
      </c>
      <c r="F434" t="inlineStr">
        <is>
          <t>SÖDERMANLANDS LÄN</t>
        </is>
      </c>
      <c r="G434" t="inlineStr">
        <is>
          <t>FLEN</t>
        </is>
      </c>
      <c r="H434" t="inlineStr">
        <is>
          <t>Holmen skog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36184-2026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46267</v>
      </c>
      <c r="E435" s="1" t="n">
        <v>46300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50646-2023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45217</v>
      </c>
      <c r="E436" s="1" t="n">
        <v>46300</v>
      </c>
      <c r="F436" t="inlineStr">
        <is>
          <t>SÖDERMANLANDS LÄN</t>
        </is>
      </c>
      <c r="G436" t="inlineStr">
        <is>
          <t>FLEN</t>
        </is>
      </c>
      <c r="H436" t="inlineStr">
        <is>
          <t>Holmen skog AB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31352-2023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45114</v>
      </c>
      <c r="E437" s="1" t="n">
        <v>46300</v>
      </c>
      <c r="F437" t="inlineStr">
        <is>
          <t>SÖDERMANLANDS LÄN</t>
        </is>
      </c>
      <c r="G437" t="inlineStr">
        <is>
          <t>FLEN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45299</v>
      </c>
      <c r="E438" s="1" t="n">
        <v>46300</v>
      </c>
      <c r="F438" t="inlineStr">
        <is>
          <t>SÖDERMANLANDS LÄN</t>
        </is>
      </c>
      <c r="G438" t="inlineStr">
        <is>
          <t>FLEN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36990-2026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46273</v>
      </c>
      <c r="E439" s="1" t="n">
        <v>46300</v>
      </c>
      <c r="F439" t="inlineStr">
        <is>
          <t>SÖDERMANLANDS LÄN</t>
        </is>
      </c>
      <c r="G439" t="inlineStr">
        <is>
          <t>FLEN</t>
        </is>
      </c>
      <c r="H439" t="inlineStr">
        <is>
          <t>Holmen skog AB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45923-2023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45189</v>
      </c>
      <c r="E440" s="1" t="n">
        <v>46300</v>
      </c>
      <c r="F440" t="inlineStr">
        <is>
          <t>SÖDERMANLANDS LÄN</t>
        </is>
      </c>
      <c r="G440" t="inlineStr">
        <is>
          <t>FLEN</t>
        </is>
      </c>
      <c r="H440" t="inlineStr">
        <is>
          <t>Övriga statliga verk och myndigheter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24348-2023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45082</v>
      </c>
      <c r="E441" s="1" t="n">
        <v>46300</v>
      </c>
      <c r="F441" t="inlineStr">
        <is>
          <t>SÖDERMANLANDS LÄN</t>
        </is>
      </c>
      <c r="G441" t="inlineStr">
        <is>
          <t>FLEN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37002-2026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46273</v>
      </c>
      <c r="E442" s="1" t="n">
        <v>46300</v>
      </c>
      <c r="F442" t="inlineStr">
        <is>
          <t>SÖDERMANLANDS LÄN</t>
        </is>
      </c>
      <c r="G442" t="inlineStr">
        <is>
          <t>FLEN</t>
        </is>
      </c>
      <c r="H442" t="inlineStr">
        <is>
          <t>Holmen skog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16580-2023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45030</v>
      </c>
      <c r="E443" s="1" t="n">
        <v>46300</v>
      </c>
      <c r="F443" t="inlineStr">
        <is>
          <t>SÖDERMANLANDS LÄN</t>
        </is>
      </c>
      <c r="G443" t="inlineStr">
        <is>
          <t>FLEN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31762-2026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46229</v>
      </c>
      <c r="E444" s="1" t="n">
        <v>46300</v>
      </c>
      <c r="F444" t="inlineStr">
        <is>
          <t>SÖDERMANLANDS LÄN</t>
        </is>
      </c>
      <c r="G444" t="inlineStr">
        <is>
          <t>FLEN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36982-2026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46273</v>
      </c>
      <c r="E445" s="1" t="n">
        <v>46300</v>
      </c>
      <c r="F445" t="inlineStr">
        <is>
          <t>SÖDERMANLANDS LÄN</t>
        </is>
      </c>
      <c r="G445" t="inlineStr">
        <is>
          <t>FLEN</t>
        </is>
      </c>
      <c r="H445" t="inlineStr">
        <is>
          <t>Holmen skog AB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55445-2022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44887</v>
      </c>
      <c r="E446" s="1" t="n">
        <v>46300</v>
      </c>
      <c r="F446" t="inlineStr">
        <is>
          <t>SÖDERMANLANDS LÄN</t>
        </is>
      </c>
      <c r="G446" t="inlineStr">
        <is>
          <t>FLEN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40286-2023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45169</v>
      </c>
      <c r="E447" s="1" t="n">
        <v>46300</v>
      </c>
      <c r="F447" t="inlineStr">
        <is>
          <t>SÖDERMANLANDS LÄN</t>
        </is>
      </c>
      <c r="G447" t="inlineStr">
        <is>
          <t>FLEN</t>
        </is>
      </c>
      <c r="I447" t="n">
        <v>4.1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54340-2023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45225</v>
      </c>
      <c r="E448" s="1" t="n">
        <v>46300</v>
      </c>
      <c r="F448" t="inlineStr">
        <is>
          <t>SÖDERMANLANDS LÄN</t>
        </is>
      </c>
      <c r="G448" t="inlineStr">
        <is>
          <t>FLEN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31028-2024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45501</v>
      </c>
      <c r="E449" s="1" t="n">
        <v>46300</v>
      </c>
      <c r="F449" t="inlineStr">
        <is>
          <t>SÖDERMANLANDS LÄN</t>
        </is>
      </c>
      <c r="G449" t="inlineStr">
        <is>
          <t>FLEN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40420-2024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45555</v>
      </c>
      <c r="E450" s="1" t="n">
        <v>46300</v>
      </c>
      <c r="F450" t="inlineStr">
        <is>
          <t>SÖDERMANLANDS LÄN</t>
        </is>
      </c>
      <c r="G450" t="inlineStr">
        <is>
          <t>FLEN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46401-2022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44846</v>
      </c>
      <c r="E451" s="1" t="n">
        <v>46300</v>
      </c>
      <c r="F451" t="inlineStr">
        <is>
          <t>SÖDERMANLANDS LÄN</t>
        </is>
      </c>
      <c r="G451" t="inlineStr">
        <is>
          <t>FLEN</t>
        </is>
      </c>
      <c r="H451" t="inlineStr">
        <is>
          <t>Kyrkan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38209-2023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45161</v>
      </c>
      <c r="E452" s="1" t="n">
        <v>46300</v>
      </c>
      <c r="F452" t="inlineStr">
        <is>
          <t>SÖDERMANLANDS LÄN</t>
        </is>
      </c>
      <c r="G452" t="inlineStr">
        <is>
          <t>FLEN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58267-2023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45250</v>
      </c>
      <c r="E453" s="1" t="n">
        <v>46300</v>
      </c>
      <c r="F453" t="inlineStr">
        <is>
          <t>SÖDERMANLANDS LÄN</t>
        </is>
      </c>
      <c r="G453" t="inlineStr">
        <is>
          <t>FLEN</t>
        </is>
      </c>
      <c r="H453" t="inlineStr">
        <is>
          <t>Holmen skog AB</t>
        </is>
      </c>
      <c r="I453" t="n">
        <v>14.7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32693-2026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46240</v>
      </c>
      <c r="E454" s="1" t="n">
        <v>46300</v>
      </c>
      <c r="F454" t="inlineStr">
        <is>
          <t>SÖDERMANLANDS LÄN</t>
        </is>
      </c>
      <c r="G454" t="inlineStr">
        <is>
          <t>FLEN</t>
        </is>
      </c>
      <c r="I454" t="n">
        <v>9.5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49811-2023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45211</v>
      </c>
      <c r="E455" s="1" t="n">
        <v>46300</v>
      </c>
      <c r="F455" t="inlineStr">
        <is>
          <t>SÖDERMANLANDS LÄN</t>
        </is>
      </c>
      <c r="G455" t="inlineStr">
        <is>
          <t>FLEN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38594-2026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46283</v>
      </c>
      <c r="E456" s="1" t="n">
        <v>46300</v>
      </c>
      <c r="F456" t="inlineStr">
        <is>
          <t>SÖDERMANLANDS LÄN</t>
        </is>
      </c>
      <c r="G456" t="inlineStr">
        <is>
          <t>FLEN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52481-2023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45225</v>
      </c>
      <c r="E457" s="1" t="n">
        <v>46300</v>
      </c>
      <c r="F457" t="inlineStr">
        <is>
          <t>SÖDERMANLANDS LÄN</t>
        </is>
      </c>
      <c r="G457" t="inlineStr">
        <is>
          <t>FLEN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12712-2026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46091</v>
      </c>
      <c r="E458" s="1" t="n">
        <v>46300</v>
      </c>
      <c r="F458" t="inlineStr">
        <is>
          <t>SÖDERMANLANDS LÄN</t>
        </is>
      </c>
      <c r="G458" t="inlineStr">
        <is>
          <t>FLEN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47187-2022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44848</v>
      </c>
      <c r="E459" s="1" t="n">
        <v>46300</v>
      </c>
      <c r="F459" t="inlineStr">
        <is>
          <t>SÖDERMANLANDS LÄN</t>
        </is>
      </c>
      <c r="G459" t="inlineStr">
        <is>
          <t>FLEN</t>
        </is>
      </c>
      <c r="H459" t="inlineStr">
        <is>
          <t>Övriga statliga verk och myndigheter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21476-2024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45441</v>
      </c>
      <c r="E460" s="1" t="n">
        <v>46300</v>
      </c>
      <c r="F460" t="inlineStr">
        <is>
          <t>SÖDERMANLANDS LÄN</t>
        </is>
      </c>
      <c r="G460" t="inlineStr">
        <is>
          <t>FLEN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39133-2026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46286</v>
      </c>
      <c r="E461" s="1" t="n">
        <v>46300</v>
      </c>
      <c r="F461" t="inlineStr">
        <is>
          <t>SÖDERMANLANDS LÄN</t>
        </is>
      </c>
      <c r="G461" t="inlineStr">
        <is>
          <t>FLEN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8903-2022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44614</v>
      </c>
      <c r="E462" s="1" t="n">
        <v>46300</v>
      </c>
      <c r="F462" t="inlineStr">
        <is>
          <t>SÖDERMANLANDS LÄN</t>
        </is>
      </c>
      <c r="G462" t="inlineStr">
        <is>
          <t>FLEN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33000-2026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46244</v>
      </c>
      <c r="E463" s="1" t="n">
        <v>46300</v>
      </c>
      <c r="F463" t="inlineStr">
        <is>
          <t>SÖDERMANLANDS LÄN</t>
        </is>
      </c>
      <c r="G463" t="inlineStr">
        <is>
          <t>FLEN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10281-2025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45720</v>
      </c>
      <c r="E464" s="1" t="n">
        <v>46300</v>
      </c>
      <c r="F464" t="inlineStr">
        <is>
          <t>SÖDERMANLANDS LÄN</t>
        </is>
      </c>
      <c r="G464" t="inlineStr">
        <is>
          <t>FLEN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53517-2023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45230</v>
      </c>
      <c r="E465" s="1" t="n">
        <v>46300</v>
      </c>
      <c r="F465" t="inlineStr">
        <is>
          <t>SÖDERMANLANDS LÄN</t>
        </is>
      </c>
      <c r="G465" t="inlineStr">
        <is>
          <t>FLEN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37286-2024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45540</v>
      </c>
      <c r="E466" s="1" t="n">
        <v>46300</v>
      </c>
      <c r="F466" t="inlineStr">
        <is>
          <t>SÖDERMANLANDS LÄN</t>
        </is>
      </c>
      <c r="G466" t="inlineStr">
        <is>
          <t>FLEN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8793-2022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44614</v>
      </c>
      <c r="E467" s="1" t="n">
        <v>46300</v>
      </c>
      <c r="F467" t="inlineStr">
        <is>
          <t>SÖDERMANLANDS LÄN</t>
        </is>
      </c>
      <c r="G467" t="inlineStr">
        <is>
          <t>FLEN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33936-2026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46250</v>
      </c>
      <c r="E468" s="1" t="n">
        <v>46300</v>
      </c>
      <c r="F468" t="inlineStr">
        <is>
          <t>SÖDERMANLANDS LÄN</t>
        </is>
      </c>
      <c r="G468" t="inlineStr">
        <is>
          <t>FLEN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25121-2026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46175</v>
      </c>
      <c r="E469" s="1" t="n">
        <v>46300</v>
      </c>
      <c r="F469" t="inlineStr">
        <is>
          <t>SÖDERMANLANDS LÄN</t>
        </is>
      </c>
      <c r="G469" t="inlineStr">
        <is>
          <t>FLEN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60034-2022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44909</v>
      </c>
      <c r="E470" s="1" t="n">
        <v>46300</v>
      </c>
      <c r="F470" t="inlineStr">
        <is>
          <t>SÖDERMANLANDS LÄN</t>
        </is>
      </c>
      <c r="G470" t="inlineStr">
        <is>
          <t>FLEN</t>
        </is>
      </c>
      <c r="H470" t="inlineStr">
        <is>
          <t>Holmen skog AB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40216-2026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46293</v>
      </c>
      <c r="E471" s="1" t="n">
        <v>46300</v>
      </c>
      <c r="F471" t="inlineStr">
        <is>
          <t>SÖDERMANLANDS LÄN</t>
        </is>
      </c>
      <c r="G471" t="inlineStr">
        <is>
          <t>FLEN</t>
        </is>
      </c>
      <c r="H471" t="inlineStr">
        <is>
          <t>Kyrkan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4536-2024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45327</v>
      </c>
      <c r="E472" s="1" t="n">
        <v>46300</v>
      </c>
      <c r="F472" t="inlineStr">
        <is>
          <t>SÖDERMANLANDS LÄN</t>
        </is>
      </c>
      <c r="G472" t="inlineStr">
        <is>
          <t>FLEN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12936-2023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45001</v>
      </c>
      <c r="E473" s="1" t="n">
        <v>46300</v>
      </c>
      <c r="F473" t="inlineStr">
        <is>
          <t>SÖDERMANLANDS LÄN</t>
        </is>
      </c>
      <c r="G473" t="inlineStr">
        <is>
          <t>FLEN</t>
        </is>
      </c>
      <c r="H473" t="inlineStr">
        <is>
          <t>Holmen skog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33694-2026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46249</v>
      </c>
      <c r="E474" s="1" t="n">
        <v>46300</v>
      </c>
      <c r="F474" t="inlineStr">
        <is>
          <t>SÖDERMANLANDS LÄN</t>
        </is>
      </c>
      <c r="G474" t="inlineStr">
        <is>
          <t>FLEN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73923-2021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44553</v>
      </c>
      <c r="E475" s="1" t="n">
        <v>46300</v>
      </c>
      <c r="F475" t="inlineStr">
        <is>
          <t>SÖDERMANLANDS LÄN</t>
        </is>
      </c>
      <c r="G475" t="inlineStr">
        <is>
          <t>FLEN</t>
        </is>
      </c>
      <c r="I475" t="n">
        <v>5.7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33727-2026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46251</v>
      </c>
      <c r="E476" s="1" t="n">
        <v>46300</v>
      </c>
      <c r="F476" t="inlineStr">
        <is>
          <t>SÖDERMANLANDS LÄN</t>
        </is>
      </c>
      <c r="G476" t="inlineStr">
        <is>
          <t>FLEN</t>
        </is>
      </c>
      <c r="H476" t="inlineStr">
        <is>
          <t>Holmen skog AB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34097-2026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46252</v>
      </c>
      <c r="E477" s="1" t="n">
        <v>46300</v>
      </c>
      <c r="F477" t="inlineStr">
        <is>
          <t>SÖDERMANLANDS LÄN</t>
        </is>
      </c>
      <c r="G477" t="inlineStr">
        <is>
          <t>FLEN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7381-2024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45345</v>
      </c>
      <c r="E478" s="1" t="n">
        <v>46300</v>
      </c>
      <c r="F478" t="inlineStr">
        <is>
          <t>SÖDERMANLANDS LÄN</t>
        </is>
      </c>
      <c r="G478" t="inlineStr">
        <is>
          <t>FLEN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34325-2026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46253</v>
      </c>
      <c r="E479" s="1" t="n">
        <v>46300</v>
      </c>
      <c r="F479" t="inlineStr">
        <is>
          <t>SÖDERMANLANDS LÄN</t>
        </is>
      </c>
      <c r="G479" t="inlineStr">
        <is>
          <t>FLEN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33730-2026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46251</v>
      </c>
      <c r="E480" s="1" t="n">
        <v>46300</v>
      </c>
      <c r="F480" t="inlineStr">
        <is>
          <t>SÖDERMANLANDS LÄN</t>
        </is>
      </c>
      <c r="G480" t="inlineStr">
        <is>
          <t>FLEN</t>
        </is>
      </c>
      <c r="H480" t="inlineStr">
        <is>
          <t>Holmen skog AB</t>
        </is>
      </c>
      <c r="I480" t="n">
        <v>5.1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33717-2026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46251</v>
      </c>
      <c r="E481" s="1" t="n">
        <v>46300</v>
      </c>
      <c r="F481" t="inlineStr">
        <is>
          <t>SÖDERMANLANDS LÄN</t>
        </is>
      </c>
      <c r="G481" t="inlineStr">
        <is>
          <t>FLEN</t>
        </is>
      </c>
      <c r="H481" t="inlineStr">
        <is>
          <t>Holmen skog AB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34055-2026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46252</v>
      </c>
      <c r="E482" s="1" t="n">
        <v>46300</v>
      </c>
      <c r="F482" t="inlineStr">
        <is>
          <t>SÖDERMANLANDS LÄN</t>
        </is>
      </c>
      <c r="G482" t="inlineStr">
        <is>
          <t>FLEN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29897-2026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46205</v>
      </c>
      <c r="E483" s="1" t="n">
        <v>46300</v>
      </c>
      <c r="F483" t="inlineStr">
        <is>
          <t>SÖDERMANLANDS LÄN</t>
        </is>
      </c>
      <c r="G483" t="inlineStr">
        <is>
          <t>FLEN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13587-2022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44648</v>
      </c>
      <c r="E484" s="1" t="n">
        <v>46300</v>
      </c>
      <c r="F484" t="inlineStr">
        <is>
          <t>SÖDERMANLANDS LÄN</t>
        </is>
      </c>
      <c r="G484" t="inlineStr">
        <is>
          <t>FLEN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26663-2022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44739</v>
      </c>
      <c r="E485" s="1" t="n">
        <v>46300</v>
      </c>
      <c r="F485" t="inlineStr">
        <is>
          <t>SÖDERMANLANDS LÄN</t>
        </is>
      </c>
      <c r="G485" t="inlineStr">
        <is>
          <t>FLEN</t>
        </is>
      </c>
      <c r="I485" t="n">
        <v>5.9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40567-2026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46295</v>
      </c>
      <c r="E486" s="1" t="n">
        <v>46300</v>
      </c>
      <c r="F486" t="inlineStr">
        <is>
          <t>SÖDERMANLANDS LÄN</t>
        </is>
      </c>
      <c r="G486" t="inlineStr">
        <is>
          <t>FLEN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23716-2024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45454</v>
      </c>
      <c r="E487" s="1" t="n">
        <v>46300</v>
      </c>
      <c r="F487" t="inlineStr">
        <is>
          <t>SÖDERMANLANDS LÄN</t>
        </is>
      </c>
      <c r="G487" t="inlineStr">
        <is>
          <t>FLEN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28768-2024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45478</v>
      </c>
      <c r="E488" s="1" t="n">
        <v>46300</v>
      </c>
      <c r="F488" t="inlineStr">
        <is>
          <t>SÖDERMANLANDS LÄN</t>
        </is>
      </c>
      <c r="G488" t="inlineStr">
        <is>
          <t>FLEN</t>
        </is>
      </c>
      <c r="I488" t="n">
        <v>5.2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40663-2026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46296</v>
      </c>
      <c r="E489" s="1" t="n">
        <v>46300</v>
      </c>
      <c r="F489" t="inlineStr">
        <is>
          <t>SÖDERMANLANDS LÄN</t>
        </is>
      </c>
      <c r="G489" t="inlineStr">
        <is>
          <t>FLEN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9074-2025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45713</v>
      </c>
      <c r="E490" s="1" t="n">
        <v>46300</v>
      </c>
      <c r="F490" t="inlineStr">
        <is>
          <t>SÖDERMANLANDS LÄN</t>
        </is>
      </c>
      <c r="G490" t="inlineStr">
        <is>
          <t>FLEN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2738-2022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44580</v>
      </c>
      <c r="E491" s="1" t="n">
        <v>46300</v>
      </c>
      <c r="F491" t="inlineStr">
        <is>
          <t>SÖDERMANLANDS LÄN</t>
        </is>
      </c>
      <c r="G491" t="inlineStr">
        <is>
          <t>FLEN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34612-2023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45140</v>
      </c>
      <c r="E492" s="1" t="n">
        <v>46300</v>
      </c>
      <c r="F492" t="inlineStr">
        <is>
          <t>SÖDERMANLANDS LÄN</t>
        </is>
      </c>
      <c r="G492" t="inlineStr">
        <is>
          <t>FLEN</t>
        </is>
      </c>
      <c r="H492" t="inlineStr">
        <is>
          <t>Kyrkan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39891-2022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44819</v>
      </c>
      <c r="E493" s="1" t="n">
        <v>46300</v>
      </c>
      <c r="F493" t="inlineStr">
        <is>
          <t>SÖDERMANLANDS LÄN</t>
        </is>
      </c>
      <c r="G493" t="inlineStr">
        <is>
          <t>FLEN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31083-2022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44769</v>
      </c>
      <c r="E494" s="1" t="n">
        <v>46300</v>
      </c>
      <c r="F494" t="inlineStr">
        <is>
          <t>SÖDERMANLANDS LÄN</t>
        </is>
      </c>
      <c r="G494" t="inlineStr">
        <is>
          <t>FLEN</t>
        </is>
      </c>
      <c r="I494" t="n">
        <v>7.1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32407-2023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45110</v>
      </c>
      <c r="E495" s="1" t="n">
        <v>46300</v>
      </c>
      <c r="F495" t="inlineStr">
        <is>
          <t>SÖDERMANLANDS LÄN</t>
        </is>
      </c>
      <c r="G495" t="inlineStr">
        <is>
          <t>FLEN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58926-2023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45250</v>
      </c>
      <c r="E496" s="1" t="n">
        <v>46300</v>
      </c>
      <c r="F496" t="inlineStr">
        <is>
          <t>SÖDERMANLANDS LÄN</t>
        </is>
      </c>
      <c r="G496" t="inlineStr">
        <is>
          <t>FLEN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38135-2023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45161</v>
      </c>
      <c r="E497" s="1" t="n">
        <v>46300</v>
      </c>
      <c r="F497" t="inlineStr">
        <is>
          <t>SÖDERMANLANDS LÄN</t>
        </is>
      </c>
      <c r="G497" t="inlineStr">
        <is>
          <t>FLEN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5582-2023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44960</v>
      </c>
      <c r="E498" s="1" t="n">
        <v>46300</v>
      </c>
      <c r="F498" t="inlineStr">
        <is>
          <t>SÖDERMANLANDS LÄN</t>
        </is>
      </c>
      <c r="G498" t="inlineStr">
        <is>
          <t>FLEN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57046-2023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45244</v>
      </c>
      <c r="E499" s="1" t="n">
        <v>46300</v>
      </c>
      <c r="F499" t="inlineStr">
        <is>
          <t>SÖDERMANLANDS LÄN</t>
        </is>
      </c>
      <c r="G499" t="inlineStr">
        <is>
          <t>FLEN</t>
        </is>
      </c>
      <c r="H499" t="inlineStr">
        <is>
          <t>Övriga statliga verk och myndigheter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4657-2024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45328</v>
      </c>
      <c r="E500" s="1" t="n">
        <v>46300</v>
      </c>
      <c r="F500" t="inlineStr">
        <is>
          <t>SÖDERMANLANDS LÄN</t>
        </is>
      </c>
      <c r="G500" t="inlineStr">
        <is>
          <t>FLEN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41630-2023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45175</v>
      </c>
      <c r="E501" s="1" t="n">
        <v>46300</v>
      </c>
      <c r="F501" t="inlineStr">
        <is>
          <t>SÖDERMANLANDS LÄN</t>
        </is>
      </c>
      <c r="G501" t="inlineStr">
        <is>
          <t>FLEN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17654-2023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45036</v>
      </c>
      <c r="E502" s="1" t="n">
        <v>46300</v>
      </c>
      <c r="F502" t="inlineStr">
        <is>
          <t>SÖDERMANLANDS LÄN</t>
        </is>
      </c>
      <c r="G502" t="inlineStr">
        <is>
          <t>FLEN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59439-2022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44907</v>
      </c>
      <c r="E503" s="1" t="n">
        <v>46300</v>
      </c>
      <c r="F503" t="inlineStr">
        <is>
          <t>SÖDERMANLANDS LÄN</t>
        </is>
      </c>
      <c r="G503" t="inlineStr">
        <is>
          <t>FLEN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10256-2024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45365</v>
      </c>
      <c r="E504" s="1" t="n">
        <v>46300</v>
      </c>
      <c r="F504" t="inlineStr">
        <is>
          <t>SÖDERMANLANDS LÄN</t>
        </is>
      </c>
      <c r="G504" t="inlineStr">
        <is>
          <t>FLEN</t>
        </is>
      </c>
      <c r="I504" t="n">
        <v>5.6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56991-2023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45244</v>
      </c>
      <c r="E505" s="1" t="n">
        <v>46300</v>
      </c>
      <c r="F505" t="inlineStr">
        <is>
          <t>SÖDERMANLANDS LÄN</t>
        </is>
      </c>
      <c r="G505" t="inlineStr">
        <is>
          <t>FLEN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11747-2022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44634</v>
      </c>
      <c r="E506" s="1" t="n">
        <v>46300</v>
      </c>
      <c r="F506" t="inlineStr">
        <is>
          <t>SÖDERMANLANDS LÄN</t>
        </is>
      </c>
      <c r="G506" t="inlineStr">
        <is>
          <t>FLEN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41806-2023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45176</v>
      </c>
      <c r="E507" s="1" t="n">
        <v>46300</v>
      </c>
      <c r="F507" t="inlineStr">
        <is>
          <t>SÖDERMANLANDS LÄN</t>
        </is>
      </c>
      <c r="G507" t="inlineStr">
        <is>
          <t>FLEN</t>
        </is>
      </c>
      <c r="I507" t="n">
        <v>4.8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50358-2023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45216</v>
      </c>
      <c r="E508" s="1" t="n">
        <v>46300</v>
      </c>
      <c r="F508" t="inlineStr">
        <is>
          <t>SÖDERMANLANDS LÄN</t>
        </is>
      </c>
      <c r="G508" t="inlineStr">
        <is>
          <t>FLEN</t>
        </is>
      </c>
      <c r="H508" t="inlineStr">
        <is>
          <t>Holmen skog AB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42388-2023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45180</v>
      </c>
      <c r="E509" s="1" t="n">
        <v>46300</v>
      </c>
      <c r="F509" t="inlineStr">
        <is>
          <t>SÖDERMANLANDS LÄN</t>
        </is>
      </c>
      <c r="G509" t="inlineStr">
        <is>
          <t>FLEN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59690-2023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45256</v>
      </c>
      <c r="E510" s="1" t="n">
        <v>46300</v>
      </c>
      <c r="F510" t="inlineStr">
        <is>
          <t>SÖDERMANLANDS LÄN</t>
        </is>
      </c>
      <c r="G510" t="inlineStr">
        <is>
          <t>FLEN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13824-2023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45007</v>
      </c>
      <c r="E511" s="1" t="n">
        <v>46300</v>
      </c>
      <c r="F511" t="inlineStr">
        <is>
          <t>SÖDERMANLANDS LÄN</t>
        </is>
      </c>
      <c r="G511" t="inlineStr">
        <is>
          <t>FLEN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22827-2024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45448</v>
      </c>
      <c r="E512" s="1" t="n">
        <v>46300</v>
      </c>
      <c r="F512" t="inlineStr">
        <is>
          <t>SÖDERMANLANDS LÄN</t>
        </is>
      </c>
      <c r="G512" t="inlineStr">
        <is>
          <t>FLEN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13233-2024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45386</v>
      </c>
      <c r="E513" s="1" t="n">
        <v>46300</v>
      </c>
      <c r="F513" t="inlineStr">
        <is>
          <t>SÖDERMANLANDS LÄN</t>
        </is>
      </c>
      <c r="G513" t="inlineStr">
        <is>
          <t>FLEN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8293-2022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44610</v>
      </c>
      <c r="E514" s="1" t="n">
        <v>46300</v>
      </c>
      <c r="F514" t="inlineStr">
        <is>
          <t>SÖDERMANLANDS LÄN</t>
        </is>
      </c>
      <c r="G514" t="inlineStr">
        <is>
          <t>FLEN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14755-2023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45014</v>
      </c>
      <c r="E515" s="1" t="n">
        <v>46300</v>
      </c>
      <c r="F515" t="inlineStr">
        <is>
          <t>SÖDERMANLANDS LÄN</t>
        </is>
      </c>
      <c r="G515" t="inlineStr">
        <is>
          <t>FLEN</t>
        </is>
      </c>
      <c r="H515" t="inlineStr">
        <is>
          <t>Holmen skog AB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1899-2025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45671</v>
      </c>
      <c r="E516" s="1" t="n">
        <v>46300</v>
      </c>
      <c r="F516" t="inlineStr">
        <is>
          <t>SÖDERMANLANDS LÄN</t>
        </is>
      </c>
      <c r="G516" t="inlineStr">
        <is>
          <t>FLEN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38753-2023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45163</v>
      </c>
      <c r="E517" s="1" t="n">
        <v>46300</v>
      </c>
      <c r="F517" t="inlineStr">
        <is>
          <t>SÖDERMANLANDS LÄN</t>
        </is>
      </c>
      <c r="G517" t="inlineStr">
        <is>
          <t>FLEN</t>
        </is>
      </c>
      <c r="I517" t="n">
        <v>7.9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4899-2023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44958</v>
      </c>
      <c r="E518" s="1" t="n">
        <v>46300</v>
      </c>
      <c r="F518" t="inlineStr">
        <is>
          <t>SÖDERMANLANDS LÄN</t>
        </is>
      </c>
      <c r="G518" t="inlineStr">
        <is>
          <t>FLEN</t>
        </is>
      </c>
      <c r="H518" t="inlineStr">
        <is>
          <t>Kyrkan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20952-2025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45777</v>
      </c>
      <c r="E519" s="1" t="n">
        <v>46300</v>
      </c>
      <c r="F519" t="inlineStr">
        <is>
          <t>SÖDERMANLANDS LÄN</t>
        </is>
      </c>
      <c r="G519" t="inlineStr">
        <is>
          <t>FLEN</t>
        </is>
      </c>
      <c r="H519" t="inlineStr">
        <is>
          <t>Holmen skog AB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17290-2024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45414</v>
      </c>
      <c r="E520" s="1" t="n">
        <v>46300</v>
      </c>
      <c r="F520" t="inlineStr">
        <is>
          <t>SÖDERMANLANDS LÄN</t>
        </is>
      </c>
      <c r="G520" t="inlineStr">
        <is>
          <t>FLEN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59051-2023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45252</v>
      </c>
      <c r="E521" s="1" t="n">
        <v>46300</v>
      </c>
      <c r="F521" t="inlineStr">
        <is>
          <t>SÖDERMANLANDS LÄN</t>
        </is>
      </c>
      <c r="G521" t="inlineStr">
        <is>
          <t>FLEN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7960-2024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45350</v>
      </c>
      <c r="E522" s="1" t="n">
        <v>46300</v>
      </c>
      <c r="F522" t="inlineStr">
        <is>
          <t>SÖDERMANLANDS LÄN</t>
        </is>
      </c>
      <c r="G522" t="inlineStr">
        <is>
          <t>FLEN</t>
        </is>
      </c>
      <c r="I522" t="n">
        <v>10.4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54736-2022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44883</v>
      </c>
      <c r="E523" s="1" t="n">
        <v>46300</v>
      </c>
      <c r="F523" t="inlineStr">
        <is>
          <t>SÖDERMANLANDS LÄN</t>
        </is>
      </c>
      <c r="G523" t="inlineStr">
        <is>
          <t>FLEN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47055-2022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44852</v>
      </c>
      <c r="E524" s="1" t="n">
        <v>46300</v>
      </c>
      <c r="F524" t="inlineStr">
        <is>
          <t>SÖDERMANLANDS LÄN</t>
        </is>
      </c>
      <c r="G524" t="inlineStr">
        <is>
          <t>FLEN</t>
        </is>
      </c>
      <c r="I524" t="n">
        <v>8.699999999999999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458-2023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44964</v>
      </c>
      <c r="E525" s="1" t="n">
        <v>46300</v>
      </c>
      <c r="F525" t="inlineStr">
        <is>
          <t>SÖDERMANLANDS LÄN</t>
        </is>
      </c>
      <c r="G525" t="inlineStr">
        <is>
          <t>FLEN</t>
        </is>
      </c>
      <c r="H525" t="inlineStr">
        <is>
          <t>Kyrkan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292-2025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45686</v>
      </c>
      <c r="E526" s="1" t="n">
        <v>46300</v>
      </c>
      <c r="F526" t="inlineStr">
        <is>
          <t>SÖDERMANLANDS LÄN</t>
        </is>
      </c>
      <c r="G526" t="inlineStr">
        <is>
          <t>FLEN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3723-2022</t>
        </is>
      </c>
      <c r="B527" t="inlineStr">
        <is>
          <t>samrådsanmälan</t>
        </is>
      </c>
      <c r="C527" t="inlineStr">
        <is>
          <t>Åtgärd i nyckelbiotop</t>
        </is>
      </c>
      <c r="D527" s="1" t="n">
        <v>44742</v>
      </c>
      <c r="E527" s="1" t="n">
        <v>46300</v>
      </c>
      <c r="F527" t="inlineStr">
        <is>
          <t>SÖDERMANLANDS LÄN</t>
        </is>
      </c>
      <c r="G527" t="inlineStr">
        <is>
          <t>FLEN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482-2022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44588</v>
      </c>
      <c r="E528" s="1" t="n">
        <v>46300</v>
      </c>
      <c r="F528" t="inlineStr">
        <is>
          <t>SÖDERMANLANDS LÄN</t>
        </is>
      </c>
      <c r="G528" t="inlineStr">
        <is>
          <t>FLEN</t>
        </is>
      </c>
      <c r="I528" t="n">
        <v>0.1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2321-2022</t>
        </is>
      </c>
      <c r="B529" t="inlineStr">
        <is>
          <t>samrådsanmälan</t>
        </is>
      </c>
      <c r="C529" t="inlineStr">
        <is>
          <t>Åtgärd i nyckelbiotop</t>
        </is>
      </c>
      <c r="D529" s="1" t="n">
        <v>44685</v>
      </c>
      <c r="E529" s="1" t="n">
        <v>46300</v>
      </c>
      <c r="F529" t="inlineStr">
        <is>
          <t>SÖDERMANLANDS LÄN</t>
        </is>
      </c>
      <c r="G529" t="inlineStr">
        <is>
          <t>FLEN</t>
        </is>
      </c>
      <c r="H529" t="inlineStr">
        <is>
          <t>Kyrkan</t>
        </is>
      </c>
      <c r="I529" t="n">
        <v>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1976-2024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45446</v>
      </c>
      <c r="E530" s="1" t="n">
        <v>46300</v>
      </c>
      <c r="F530" t="inlineStr">
        <is>
          <t>SÖDERMANLANDS LÄN</t>
        </is>
      </c>
      <c r="G530" t="inlineStr">
        <is>
          <t>FLEN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1287-2024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45403</v>
      </c>
      <c r="E531" s="1" t="n">
        <v>46300</v>
      </c>
      <c r="F531" t="inlineStr">
        <is>
          <t>SÖDERMANLANDS LÄN</t>
        </is>
      </c>
      <c r="G531" t="inlineStr">
        <is>
          <t>FLEN</t>
        </is>
      </c>
      <c r="I531" t="n">
        <v>0.1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>
      <c r="A532" t="inlineStr">
        <is>
          <t>S 1528-2026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46164</v>
      </c>
      <c r="E532" s="1" t="n">
        <v>46300</v>
      </c>
      <c r="F532" t="inlineStr">
        <is>
          <t>SÖDERMANLANDS LÄN</t>
        </is>
      </c>
      <c r="G532" t="inlineStr">
        <is>
          <t>FLEN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2026-10-05T01:50:45Z</dcterms:created>
  <dcterms:modified xmlns:dcterms="http://purl.org/dc/terms/" xmlns:xsi="http://www.w3.org/2001/XMLSchema-instance" xsi:type="dcterms:W3CDTF">2026-10-05T01:50:45Z</dcterms:modified>
</cp:coreProperties>
</file>