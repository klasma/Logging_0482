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45792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45792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45792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45792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45792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45792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45792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45792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45792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45792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45792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45792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45792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45792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45792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45792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45792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45792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45792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45792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45792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45792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45792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45792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45792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45792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45792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45792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45792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45792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45792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45792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45792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45792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45792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45792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45792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45792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45792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45792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45792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45792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45792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45792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45792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45792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45792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45792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45792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45792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45792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45792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45792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45792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45792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45792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45792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45792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45792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45792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45792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45792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45792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45792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45792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45792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45792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45792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45792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45792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45792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45792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45792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45792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45792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45792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45792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45792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45792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45792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45792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45792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45792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45792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45792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45792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57251-2024</t>
        </is>
      </c>
      <c r="B129" s="1" t="n">
        <v>45629</v>
      </c>
      <c r="C129" s="1" t="n">
        <v>45792</v>
      </c>
      <c r="D129" t="inlineStr">
        <is>
          <t>SÖDERMANLANDS LÄN</t>
        </is>
      </c>
      <c r="E129" t="inlineStr">
        <is>
          <t>FLEN</t>
        </is>
      </c>
      <c r="G129" t="n">
        <v>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57251-2024 artfynd.xlsx", "A 57251-2024")</f>
        <v/>
      </c>
      <c r="T129">
        <f>HYPERLINK("https://klasma.github.io/Logging_0482/kartor/A 57251-2024 karta.png", "A 57251-2024")</f>
        <v/>
      </c>
      <c r="V129">
        <f>HYPERLINK("https://klasma.github.io/Logging_0482/klagomål/A 57251-2024 FSC-klagomål.docx", "A 57251-2024")</f>
        <v/>
      </c>
      <c r="W129">
        <f>HYPERLINK("https://klasma.github.io/Logging_0482/klagomålsmail/A 57251-2024 FSC-klagomål mail.docx", "A 57251-2024")</f>
        <v/>
      </c>
      <c r="X129">
        <f>HYPERLINK("https://klasma.github.io/Logging_0482/tillsyn/A 57251-2024 tillsynsbegäran.docx", "A 57251-2024")</f>
        <v/>
      </c>
      <c r="Y129">
        <f>HYPERLINK("https://klasma.github.io/Logging_0482/tillsynsmail/A 57251-2024 tillsynsbegäran mail.docx", "A 57251-2024")</f>
        <v/>
      </c>
    </row>
    <row r="130" ht="15" customHeight="1">
      <c r="A130" t="inlineStr">
        <is>
          <t>A 60529-2024</t>
        </is>
      </c>
      <c r="B130" s="1" t="n">
        <v>45643</v>
      </c>
      <c r="C130" s="1" t="n">
        <v>45792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HYPERLINK("https://klasma.github.io/Logging_0482/artfynd/A 60529-2024 artfynd.xlsx", "A 60529-2024")</f>
        <v/>
      </c>
      <c r="T130">
        <f>HYPERLINK("https://klasma.github.io/Logging_0482/kartor/A 60529-2024 karta.png", "A 60529-2024")</f>
        <v/>
      </c>
      <c r="V130">
        <f>HYPERLINK("https://klasma.github.io/Logging_0482/klagomål/A 60529-2024 FSC-klagomål.docx", "A 60529-2024")</f>
        <v/>
      </c>
      <c r="W130">
        <f>HYPERLINK("https://klasma.github.io/Logging_0482/klagomålsmail/A 60529-2024 FSC-klagomål mail.docx", "A 60529-2024")</f>
        <v/>
      </c>
      <c r="X130">
        <f>HYPERLINK("https://klasma.github.io/Logging_0482/tillsyn/A 60529-2024 tillsynsbegäran.docx", "A 60529-2024")</f>
        <v/>
      </c>
      <c r="Y130">
        <f>HYPERLINK("https://klasma.github.io/Logging_0482/tillsynsmail/A 60529-2024 tillsynsbegäran mail.docx", "A 60529-2024")</f>
        <v/>
      </c>
    </row>
    <row r="131" ht="15" customHeight="1">
      <c r="A131" t="inlineStr">
        <is>
          <t>A 1148-2025</t>
        </is>
      </c>
      <c r="B131" s="1" t="n">
        <v>45666</v>
      </c>
      <c r="C131" s="1" t="n">
        <v>45792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HYPERLINK("https://klasma.github.io/Logging_0482/artfynd/A 1148-2025 artfynd.xlsx", "A 1148-2025")</f>
        <v/>
      </c>
      <c r="T131">
        <f>HYPERLINK("https://klasma.github.io/Logging_0482/kartor/A 1148-2025 karta.png", "A 1148-2025")</f>
        <v/>
      </c>
      <c r="V131">
        <f>HYPERLINK("https://klasma.github.io/Logging_0482/klagomål/A 1148-2025 FSC-klagomål.docx", "A 1148-2025")</f>
        <v/>
      </c>
      <c r="W131">
        <f>HYPERLINK("https://klasma.github.io/Logging_0482/klagomålsmail/A 1148-2025 FSC-klagomål mail.docx", "A 1148-2025")</f>
        <v/>
      </c>
      <c r="X131">
        <f>HYPERLINK("https://klasma.github.io/Logging_0482/tillsyn/A 1148-2025 tillsynsbegäran.docx", "A 1148-2025")</f>
        <v/>
      </c>
      <c r="Y131">
        <f>HYPERLINK("https://klasma.github.io/Logging_0482/tillsynsmail/A 1148-2025 tillsynsbegäran mail.docx", "A 1148-2025")</f>
        <v/>
      </c>
    </row>
    <row r="132" ht="15" customHeight="1">
      <c r="A132" t="inlineStr">
        <is>
          <t>A 1861-2025</t>
        </is>
      </c>
      <c r="B132" s="1" t="n">
        <v>45671</v>
      </c>
      <c r="C132" s="1" t="n">
        <v>45792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Skogsalm</t>
        </is>
      </c>
      <c r="S132">
        <f>HYPERLINK("https://klasma.github.io/Logging_0482/artfynd/A 1861-2025 artfynd.xlsx", "A 1861-2025")</f>
        <v/>
      </c>
      <c r="T132">
        <f>HYPERLINK("https://klasma.github.io/Logging_0482/kartor/A 1861-2025 karta.png", "A 1861-2025")</f>
        <v/>
      </c>
      <c r="V132">
        <f>HYPERLINK("https://klasma.github.io/Logging_0482/klagomål/A 1861-2025 FSC-klagomål.docx", "A 1861-2025")</f>
        <v/>
      </c>
      <c r="W132">
        <f>HYPERLINK("https://klasma.github.io/Logging_0482/klagomålsmail/A 1861-2025 FSC-klagomål mail.docx", "A 1861-2025")</f>
        <v/>
      </c>
      <c r="X132">
        <f>HYPERLINK("https://klasma.github.io/Logging_0482/tillsyn/A 1861-2025 tillsynsbegäran.docx", "A 1861-2025")</f>
        <v/>
      </c>
      <c r="Y132">
        <f>HYPERLINK("https://klasma.github.io/Logging_0482/tillsynsmail/A 1861-2025 tillsynsbegäran mail.docx", "A 1861-2025")</f>
        <v/>
      </c>
    </row>
    <row r="133" ht="15" customHeight="1">
      <c r="A133" t="inlineStr">
        <is>
          <t>A 9066-2025</t>
        </is>
      </c>
      <c r="B133" s="1" t="n">
        <v>45713</v>
      </c>
      <c r="C133" s="1" t="n">
        <v>45792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9066-2025 artfynd.xlsx", "A 9066-2025")</f>
        <v/>
      </c>
      <c r="T133">
        <f>HYPERLINK("https://klasma.github.io/Logging_0482/kartor/A 9066-2025 karta.png", "A 9066-2025")</f>
        <v/>
      </c>
      <c r="V133">
        <f>HYPERLINK("https://klasma.github.io/Logging_0482/klagomål/A 9066-2025 FSC-klagomål.docx", "A 9066-2025")</f>
        <v/>
      </c>
      <c r="W133">
        <f>HYPERLINK("https://klasma.github.io/Logging_0482/klagomålsmail/A 9066-2025 FSC-klagomål mail.docx", "A 9066-2025")</f>
        <v/>
      </c>
      <c r="X133">
        <f>HYPERLINK("https://klasma.github.io/Logging_0482/tillsyn/A 9066-2025 tillsynsbegäran.docx", "A 9066-2025")</f>
        <v/>
      </c>
      <c r="Y133">
        <f>HYPERLINK("https://klasma.github.io/Logging_0482/tillsynsmail/A 9066-2025 tillsynsbegäran mail.docx", "A 9066-2025")</f>
        <v/>
      </c>
    </row>
    <row r="134" ht="15" customHeight="1">
      <c r="A134" t="inlineStr">
        <is>
          <t>A 10828-2025</t>
        </is>
      </c>
      <c r="B134" s="1" t="n">
        <v>45722</v>
      </c>
      <c r="C134" s="1" t="n">
        <v>45792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HYPERLINK("https://klasma.github.io/Logging_040482/artfynd/A 10828-2025 artfynd.xlsx", "A 10828-2025")</f>
        <v/>
      </c>
      <c r="T134">
        <f>HYPERLINK("https://klasma.github.io/Logging_040482/kartor/A 10828-2025 karta.png", "A 10828-2025")</f>
        <v/>
      </c>
      <c r="V134">
        <f>HYPERLINK("https://klasma.github.io/Logging_040482/klagomål/A 10828-2025 FSC-klagomål.docx", "A 10828-2025")</f>
        <v/>
      </c>
      <c r="W134">
        <f>HYPERLINK("https://klasma.github.io/Logging_040482/klagomålsmail/A 10828-2025 FSC-klagomål mail.docx", "A 10828-2025")</f>
        <v/>
      </c>
      <c r="X134">
        <f>HYPERLINK("https://klasma.github.io/Logging_040482/tillsyn/A 10828-2025 tillsynsbegäran.docx", "A 10828-2025")</f>
        <v/>
      </c>
      <c r="Y134">
        <f>HYPERLINK("https://klasma.github.io/Logging_040482/tillsynsmail/A 10828-2025 tillsynsbegäran mail.docx", "A 10828-2025")</f>
        <v/>
      </c>
    </row>
    <row r="135" ht="15" customHeight="1">
      <c r="A135" t="inlineStr">
        <is>
          <t>A 14101-2025</t>
        </is>
      </c>
      <c r="B135" s="1" t="n">
        <v>45740</v>
      </c>
      <c r="C135" s="1" t="n">
        <v>45792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HYPERLINK("https://klasma.github.io/Logging_040482/artfynd/A 14101-2025 artfynd.xlsx", "A 14101-2025")</f>
        <v/>
      </c>
      <c r="T135">
        <f>HYPERLINK("https://klasma.github.io/Logging_040482/kartor/A 14101-2025 karta.png", "A 14101-2025")</f>
        <v/>
      </c>
      <c r="V135">
        <f>HYPERLINK("https://klasma.github.io/Logging_040482/klagomål/A 14101-2025 FSC-klagomål.docx", "A 14101-2025")</f>
        <v/>
      </c>
      <c r="W135">
        <f>HYPERLINK("https://klasma.github.io/Logging_040482/klagomålsmail/A 14101-2025 FSC-klagomål mail.docx", "A 14101-2025")</f>
        <v/>
      </c>
      <c r="X135">
        <f>HYPERLINK("https://klasma.github.io/Logging_040482/tillsyn/A 14101-2025 tillsynsbegäran.docx", "A 14101-2025")</f>
        <v/>
      </c>
      <c r="Y135">
        <f>HYPERLINK("https://klasma.github.io/Logging_040482/tillsynsmail/A 14101-2025 tillsynsbegäran mail.docx", "A 14101-2025")</f>
        <v/>
      </c>
    </row>
    <row r="136" ht="15" customHeight="1">
      <c r="A136" t="inlineStr">
        <is>
          <t>A 14273-2025</t>
        </is>
      </c>
      <c r="B136" s="1" t="n">
        <v>45740</v>
      </c>
      <c r="C136" s="1" t="n">
        <v>45792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HYPERLINK("https://klasma.github.io/Logging_040482/artfynd/A 14273-2025 artfynd.xlsx", "A 14273-2025")</f>
        <v/>
      </c>
      <c r="T136">
        <f>HYPERLINK("https://klasma.github.io/Logging_040482/kartor/A 14273-2025 karta.png", "A 14273-2025")</f>
        <v/>
      </c>
      <c r="V136">
        <f>HYPERLINK("https://klasma.github.io/Logging_040482/klagomål/A 14273-2025 FSC-klagomål.docx", "A 14273-2025")</f>
        <v/>
      </c>
      <c r="W136">
        <f>HYPERLINK("https://klasma.github.io/Logging_040482/klagomålsmail/A 14273-2025 FSC-klagomål mail.docx", "A 14273-2025")</f>
        <v/>
      </c>
      <c r="X136">
        <f>HYPERLINK("https://klasma.github.io/Logging_040482/tillsyn/A 14273-2025 tillsynsbegäran.docx", "A 14273-2025")</f>
        <v/>
      </c>
      <c r="Y136">
        <f>HYPERLINK("https://klasma.github.io/Logging_040482/tillsynsmail/A 14273-2025 tillsynsbegäran mail.docx", "A 14273-2025")</f>
        <v/>
      </c>
    </row>
    <row r="137" ht="15" customHeight="1">
      <c r="A137" t="inlineStr">
        <is>
          <t>A 14113-2025</t>
        </is>
      </c>
      <c r="B137" s="1" t="n">
        <v>45740</v>
      </c>
      <c r="C137" s="1" t="n">
        <v>45792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HYPERLINK("https://klasma.github.io/Logging_040482/artfynd/A 14113-2025 artfynd.xlsx", "A 14113-2025")</f>
        <v/>
      </c>
      <c r="T137">
        <f>HYPERLINK("https://klasma.github.io/Logging_040482/kartor/A 14113-2025 karta.png", "A 14113-2025")</f>
        <v/>
      </c>
      <c r="V137">
        <f>HYPERLINK("https://klasma.github.io/Logging_040482/klagomål/A 14113-2025 FSC-klagomål.docx", "A 14113-2025")</f>
        <v/>
      </c>
      <c r="W137">
        <f>HYPERLINK("https://klasma.github.io/Logging_040482/klagomålsmail/A 14113-2025 FSC-klagomål mail.docx", "A 14113-2025")</f>
        <v/>
      </c>
      <c r="X137">
        <f>HYPERLINK("https://klasma.github.io/Logging_040482/tillsyn/A 14113-2025 tillsynsbegäran.docx", "A 14113-2025")</f>
        <v/>
      </c>
      <c r="Y137">
        <f>HYPERLINK("https://klasma.github.io/Logging_040482/tillsynsmail/A 14113-2025 tillsynsbegäran mail.docx", "A 14113-2025")</f>
        <v/>
      </c>
    </row>
    <row r="138" ht="15" customHeight="1">
      <c r="A138" t="inlineStr">
        <is>
          <t>A 16831-2025</t>
        </is>
      </c>
      <c r="B138" s="1" t="n">
        <v>45754</v>
      </c>
      <c r="C138" s="1" t="n">
        <v>45792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6.6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HYPERLINK("https://klasma.github.io/Logging_040482/artfynd/A 16831-2025 artfynd.xlsx", "A 16831-2025")</f>
        <v/>
      </c>
      <c r="T138">
        <f>HYPERLINK("https://klasma.github.io/Logging_040482/kartor/A 16831-2025 karta.png", "A 16831-2025")</f>
        <v/>
      </c>
      <c r="V138">
        <f>HYPERLINK("https://klasma.github.io/Logging_040482/klagomål/A 16831-2025 FSC-klagomål.docx", "A 16831-2025")</f>
        <v/>
      </c>
      <c r="W138">
        <f>HYPERLINK("https://klasma.github.io/Logging_040482/klagomålsmail/A 16831-2025 FSC-klagomål mail.docx", "A 16831-2025")</f>
        <v/>
      </c>
      <c r="X138">
        <f>HYPERLINK("https://klasma.github.io/Logging_040482/tillsyn/A 16831-2025 tillsynsbegäran.docx", "A 16831-2025")</f>
        <v/>
      </c>
      <c r="Y138">
        <f>HYPERLINK("https://klasma.github.io/Logging_040482/tillsynsmail/A 16831-2025 tillsynsbegäran mail.docx", "A 16831-2025")</f>
        <v/>
      </c>
    </row>
    <row r="139" ht="15" customHeight="1">
      <c r="A139" t="inlineStr">
        <is>
          <t>A 18391-2019</t>
        </is>
      </c>
      <c r="B139" s="1" t="n">
        <v>43558</v>
      </c>
      <c r="C139" s="1" t="n">
        <v>45792</v>
      </c>
      <c r="D139" t="inlineStr">
        <is>
          <t>SÖDERMANLANDS LÄN</t>
        </is>
      </c>
      <c r="E139" t="inlineStr">
        <is>
          <t>FLEN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18543-2019</t>
        </is>
      </c>
      <c r="B140" s="1" t="n">
        <v>43558</v>
      </c>
      <c r="C140" s="1" t="n">
        <v>45792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18700-2019</t>
        </is>
      </c>
      <c r="B141" s="1" t="n">
        <v>43559</v>
      </c>
      <c r="C141" s="1" t="n">
        <v>45792</v>
      </c>
      <c r="D141" t="inlineStr">
        <is>
          <t>SÖDERMANLANDS LÄN</t>
        </is>
      </c>
      <c r="E141" t="inlineStr">
        <is>
          <t>FLEN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18688-2019</t>
        </is>
      </c>
      <c r="B142" s="1" t="n">
        <v>43559</v>
      </c>
      <c r="C142" s="1" t="n">
        <v>45792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18645-2019</t>
        </is>
      </c>
      <c r="B143" s="1" t="n">
        <v>43560</v>
      </c>
      <c r="C143" s="1" t="n">
        <v>45792</v>
      </c>
      <c r="D143" t="inlineStr">
        <is>
          <t>SÖDERMANLANDS LÄN</t>
        </is>
      </c>
      <c r="E143" t="inlineStr">
        <is>
          <t>FLEN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18824-2019</t>
        </is>
      </c>
      <c r="B144" s="1" t="n">
        <v>43560</v>
      </c>
      <c r="C144" s="1" t="n">
        <v>45792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19395-2019</t>
        </is>
      </c>
      <c r="B145" s="1" t="n">
        <v>43565</v>
      </c>
      <c r="C145" s="1" t="n">
        <v>45792</v>
      </c>
      <c r="D145" t="inlineStr">
        <is>
          <t>SÖDERMANLANDS LÄN</t>
        </is>
      </c>
      <c r="E145" t="inlineStr">
        <is>
          <t>FLEN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19834-2019</t>
        </is>
      </c>
      <c r="B146" s="1" t="n">
        <v>43567</v>
      </c>
      <c r="C146" s="1" t="n">
        <v>45792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20284-2019</t>
        </is>
      </c>
      <c r="B147" s="1" t="n">
        <v>43570</v>
      </c>
      <c r="C147" s="1" t="n">
        <v>45792</v>
      </c>
      <c r="D147" t="inlineStr">
        <is>
          <t>SÖDERMANLANDS LÄN</t>
        </is>
      </c>
      <c r="E147" t="inlineStr">
        <is>
          <t>FLEN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21920-2019</t>
        </is>
      </c>
      <c r="B148" s="1" t="n">
        <v>43584</v>
      </c>
      <c r="C148" s="1" t="n">
        <v>45792</v>
      </c>
      <c r="D148" t="inlineStr">
        <is>
          <t>SÖDERMANLANDS LÄN</t>
        </is>
      </c>
      <c r="E148" t="inlineStr">
        <is>
          <t>FLEN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28911-2019</t>
        </is>
      </c>
      <c r="B149" s="1" t="n">
        <v>43616</v>
      </c>
      <c r="C149" s="1" t="n">
        <v>45792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28058-2019</t>
        </is>
      </c>
      <c r="B150" s="1" t="n">
        <v>43621</v>
      </c>
      <c r="C150" s="1" t="n">
        <v>45792</v>
      </c>
      <c r="D150" t="inlineStr">
        <is>
          <t>SÖDERMANLANDS LÄN</t>
        </is>
      </c>
      <c r="E150" t="inlineStr">
        <is>
          <t>FLEN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29977-2019</t>
        </is>
      </c>
      <c r="B151" s="1" t="n">
        <v>43630</v>
      </c>
      <c r="C151" s="1" t="n">
        <v>45792</v>
      </c>
      <c r="D151" t="inlineStr">
        <is>
          <t>SÖDERMANLANDS LÄN</t>
        </is>
      </c>
      <c r="E151" t="inlineStr">
        <is>
          <t>FLEN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30492-2019</t>
        </is>
      </c>
      <c r="B152" s="1" t="n">
        <v>43635</v>
      </c>
      <c r="C152" s="1" t="n">
        <v>45792</v>
      </c>
      <c r="D152" t="inlineStr">
        <is>
          <t>SÖDERMANLANDS LÄN</t>
        </is>
      </c>
      <c r="E152" t="inlineStr">
        <is>
          <t>FLEN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30872-2019</t>
        </is>
      </c>
      <c r="B153" s="1" t="n">
        <v>43636</v>
      </c>
      <c r="C153" s="1" t="n">
        <v>45792</v>
      </c>
      <c r="D153" t="inlineStr">
        <is>
          <t>SÖDERMANLANDS LÄN</t>
        </is>
      </c>
      <c r="E153" t="inlineStr">
        <is>
          <t>FLEN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32070-2019</t>
        </is>
      </c>
      <c r="B154" s="1" t="n">
        <v>43643</v>
      </c>
      <c r="C154" s="1" t="n">
        <v>45792</v>
      </c>
      <c r="D154" t="inlineStr">
        <is>
          <t>SÖDERMANLANDS LÄN</t>
        </is>
      </c>
      <c r="E154" t="inlineStr">
        <is>
          <t>FLEN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35583-2019</t>
        </is>
      </c>
      <c r="B155" s="1" t="n">
        <v>43655</v>
      </c>
      <c r="C155" s="1" t="n">
        <v>45792</v>
      </c>
      <c r="D155" t="inlineStr">
        <is>
          <t>SÖDERMANLANDS LÄN</t>
        </is>
      </c>
      <c r="E155" t="inlineStr">
        <is>
          <t>FLEN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34988-2019</t>
        </is>
      </c>
      <c r="B156" s="1" t="n">
        <v>43659</v>
      </c>
      <c r="C156" s="1" t="n">
        <v>45792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35023-2019</t>
        </is>
      </c>
      <c r="B157" s="1" t="n">
        <v>43661</v>
      </c>
      <c r="C157" s="1" t="n">
        <v>45792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35086-2019</t>
        </is>
      </c>
      <c r="B158" s="1" t="n">
        <v>43661</v>
      </c>
      <c r="C158" s="1" t="n">
        <v>45792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35052-2019</t>
        </is>
      </c>
      <c r="B159" s="1" t="n">
        <v>43661</v>
      </c>
      <c r="C159" s="1" t="n">
        <v>45792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35182-2019</t>
        </is>
      </c>
      <c r="B160" s="1" t="n">
        <v>43661</v>
      </c>
      <c r="C160" s="1" t="n">
        <v>45792</v>
      </c>
      <c r="D160" t="inlineStr">
        <is>
          <t>SÖDERMANLANDS LÄN</t>
        </is>
      </c>
      <c r="E160" t="inlineStr">
        <is>
          <t>FLEN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35702-2019</t>
        </is>
      </c>
      <c r="B161" s="1" t="n">
        <v>43664</v>
      </c>
      <c r="C161" s="1" t="n">
        <v>45792</v>
      </c>
      <c r="D161" t="inlineStr">
        <is>
          <t>SÖDERMANLANDS LÄN</t>
        </is>
      </c>
      <c r="E161" t="inlineStr">
        <is>
          <t>FLEN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36152-2019</t>
        </is>
      </c>
      <c r="B162" s="1" t="n">
        <v>43668</v>
      </c>
      <c r="C162" s="1" t="n">
        <v>45792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36223-2019</t>
        </is>
      </c>
      <c r="B163" s="1" t="n">
        <v>43669</v>
      </c>
      <c r="C163" s="1" t="n">
        <v>45792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36612-2019</t>
        </is>
      </c>
      <c r="B164" s="1" t="n">
        <v>43669</v>
      </c>
      <c r="C164" s="1" t="n">
        <v>45792</v>
      </c>
      <c r="D164" t="inlineStr">
        <is>
          <t>SÖDERMANLANDS LÄN</t>
        </is>
      </c>
      <c r="E164" t="inlineStr">
        <is>
          <t>FLEN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36225-2019</t>
        </is>
      </c>
      <c r="B165" s="1" t="n">
        <v>43669</v>
      </c>
      <c r="C165" s="1" t="n">
        <v>45792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36619-2019</t>
        </is>
      </c>
      <c r="B166" s="1" t="n">
        <v>43669</v>
      </c>
      <c r="C166" s="1" t="n">
        <v>45792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36901-2019</t>
        </is>
      </c>
      <c r="B167" s="1" t="n">
        <v>43675</v>
      </c>
      <c r="C167" s="1" t="n">
        <v>45792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36978-2019</t>
        </is>
      </c>
      <c r="B168" s="1" t="n">
        <v>43676</v>
      </c>
      <c r="C168" s="1" t="n">
        <v>45792</v>
      </c>
      <c r="D168" t="inlineStr">
        <is>
          <t>SÖDERMANLANDS LÄN</t>
        </is>
      </c>
      <c r="E168" t="inlineStr">
        <is>
          <t>FLEN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36994-2019</t>
        </is>
      </c>
      <c r="B169" s="1" t="n">
        <v>43676</v>
      </c>
      <c r="C169" s="1" t="n">
        <v>45792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37337-2019</t>
        </is>
      </c>
      <c r="B170" s="1" t="n">
        <v>43678</v>
      </c>
      <c r="C170" s="1" t="n">
        <v>45792</v>
      </c>
      <c r="D170" t="inlineStr">
        <is>
          <t>SÖDERMANLANDS LÄN</t>
        </is>
      </c>
      <c r="E170" t="inlineStr">
        <is>
          <t>FLEN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37574-2019</t>
        </is>
      </c>
      <c r="B171" s="1" t="n">
        <v>43679</v>
      </c>
      <c r="C171" s="1" t="n">
        <v>45792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37560-2019</t>
        </is>
      </c>
      <c r="B172" s="1" t="n">
        <v>43679</v>
      </c>
      <c r="C172" s="1" t="n">
        <v>45792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37571-2019</t>
        </is>
      </c>
      <c r="B173" s="1" t="n">
        <v>43679</v>
      </c>
      <c r="C173" s="1" t="n">
        <v>45792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37572-2019</t>
        </is>
      </c>
      <c r="B174" s="1" t="n">
        <v>43679</v>
      </c>
      <c r="C174" s="1" t="n">
        <v>45792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37769-2019</t>
        </is>
      </c>
      <c r="B175" s="1" t="n">
        <v>43682</v>
      </c>
      <c r="C175" s="1" t="n">
        <v>45792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38241-2019</t>
        </is>
      </c>
      <c r="B176" s="1" t="n">
        <v>43684</v>
      </c>
      <c r="C176" s="1" t="n">
        <v>45792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38795-2019</t>
        </is>
      </c>
      <c r="B177" s="1" t="n">
        <v>43688</v>
      </c>
      <c r="C177" s="1" t="n">
        <v>45792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38796-2019</t>
        </is>
      </c>
      <c r="B178" s="1" t="n">
        <v>43688</v>
      </c>
      <c r="C178" s="1" t="n">
        <v>45792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39441-2019</t>
        </is>
      </c>
      <c r="B179" s="1" t="n">
        <v>43691</v>
      </c>
      <c r="C179" s="1" t="n">
        <v>45792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41114-2019</t>
        </is>
      </c>
      <c r="B180" s="1" t="n">
        <v>43691</v>
      </c>
      <c r="C180" s="1" t="n">
        <v>45792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40314-2019</t>
        </is>
      </c>
      <c r="B181" s="1" t="n">
        <v>43696</v>
      </c>
      <c r="C181" s="1" t="n">
        <v>45792</v>
      </c>
      <c r="D181" t="inlineStr">
        <is>
          <t>SÖDERMANLANDS LÄN</t>
        </is>
      </c>
      <c r="E181" t="inlineStr">
        <is>
          <t>FLEN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41847-2019</t>
        </is>
      </c>
      <c r="B182" s="1" t="n">
        <v>43697</v>
      </c>
      <c r="C182" s="1" t="n">
        <v>45792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46628-2019</t>
        </is>
      </c>
      <c r="B183" s="1" t="n">
        <v>43717</v>
      </c>
      <c r="C183" s="1" t="n">
        <v>45792</v>
      </c>
      <c r="D183" t="inlineStr">
        <is>
          <t>SÖDERMANLANDS LÄN</t>
        </is>
      </c>
      <c r="E183" t="inlineStr">
        <is>
          <t>FLEN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47345-2019</t>
        </is>
      </c>
      <c r="B184" s="1" t="n">
        <v>43721</v>
      </c>
      <c r="C184" s="1" t="n">
        <v>45792</v>
      </c>
      <c r="D184" t="inlineStr">
        <is>
          <t>SÖDERMANLANDS LÄN</t>
        </is>
      </c>
      <c r="E184" t="inlineStr">
        <is>
          <t>FLEN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48078-2019</t>
        </is>
      </c>
      <c r="B185" s="1" t="n">
        <v>43725</v>
      </c>
      <c r="C185" s="1" t="n">
        <v>45792</v>
      </c>
      <c r="D185" t="inlineStr">
        <is>
          <t>SÖDERMANLANDS LÄN</t>
        </is>
      </c>
      <c r="E185" t="inlineStr">
        <is>
          <t>FLEN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48240-2019</t>
        </is>
      </c>
      <c r="B186" s="1" t="n">
        <v>43726</v>
      </c>
      <c r="C186" s="1" t="n">
        <v>45792</v>
      </c>
      <c r="D186" t="inlineStr">
        <is>
          <t>SÖDERMANLANDS LÄN</t>
        </is>
      </c>
      <c r="E186" t="inlineStr">
        <is>
          <t>FLEN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49342-2019</t>
        </is>
      </c>
      <c r="B187" s="1" t="n">
        <v>43730</v>
      </c>
      <c r="C187" s="1" t="n">
        <v>45792</v>
      </c>
      <c r="D187" t="inlineStr">
        <is>
          <t>SÖDERMANLANDS LÄN</t>
        </is>
      </c>
      <c r="E187" t="inlineStr">
        <is>
          <t>FLEN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50710-2019</t>
        </is>
      </c>
      <c r="B188" s="1" t="n">
        <v>43738</v>
      </c>
      <c r="C188" s="1" t="n">
        <v>45792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51170-2019</t>
        </is>
      </c>
      <c r="B189" s="1" t="n">
        <v>43739</v>
      </c>
      <c r="C189" s="1" t="n">
        <v>45792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51738-2019</t>
        </is>
      </c>
      <c r="B190" s="1" t="n">
        <v>43740</v>
      </c>
      <c r="C190" s="1" t="n">
        <v>45792</v>
      </c>
      <c r="D190" t="inlineStr">
        <is>
          <t>SÖDERMANLANDS LÄN</t>
        </is>
      </c>
      <c r="E190" t="inlineStr">
        <is>
          <t>FLEN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54175-2019</t>
        </is>
      </c>
      <c r="B191" s="1" t="n">
        <v>43745</v>
      </c>
      <c r="C191" s="1" t="n">
        <v>45792</v>
      </c>
      <c r="D191" t="inlineStr">
        <is>
          <t>SÖDERMANLANDS LÄN</t>
        </is>
      </c>
      <c r="E191" t="inlineStr">
        <is>
          <t>FLEN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52871-2019</t>
        </is>
      </c>
      <c r="B192" s="1" t="n">
        <v>43746</v>
      </c>
      <c r="C192" s="1" t="n">
        <v>45792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54412-2019</t>
        </is>
      </c>
      <c r="B193" s="1" t="n">
        <v>43747</v>
      </c>
      <c r="C193" s="1" t="n">
        <v>45792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55088-2019</t>
        </is>
      </c>
      <c r="B194" s="1" t="n">
        <v>43752</v>
      </c>
      <c r="C194" s="1" t="n">
        <v>45792</v>
      </c>
      <c r="D194" t="inlineStr">
        <is>
          <t>SÖDERMANLANDS LÄN</t>
        </is>
      </c>
      <c r="E194" t="inlineStr">
        <is>
          <t>FLEN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55122-2019</t>
        </is>
      </c>
      <c r="B195" s="1" t="n">
        <v>43752</v>
      </c>
      <c r="C195" s="1" t="n">
        <v>45792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54307-2019</t>
        </is>
      </c>
      <c r="B196" s="1" t="n">
        <v>43753</v>
      </c>
      <c r="C196" s="1" t="n">
        <v>45792</v>
      </c>
      <c r="D196" t="inlineStr">
        <is>
          <t>SÖDERMANLANDS LÄN</t>
        </is>
      </c>
      <c r="E196" t="inlineStr">
        <is>
          <t>FLEN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55346-2019</t>
        </is>
      </c>
      <c r="B197" s="1" t="n">
        <v>43756</v>
      </c>
      <c r="C197" s="1" t="n">
        <v>45792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55417-2019</t>
        </is>
      </c>
      <c r="B198" s="1" t="n">
        <v>43758</v>
      </c>
      <c r="C198" s="1" t="n">
        <v>45792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55421-2019</t>
        </is>
      </c>
      <c r="B199" s="1" t="n">
        <v>43758</v>
      </c>
      <c r="C199" s="1" t="n">
        <v>45792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57898-2019</t>
        </is>
      </c>
      <c r="B200" s="1" t="n">
        <v>43762</v>
      </c>
      <c r="C200" s="1" t="n">
        <v>45792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58909-2019</t>
        </is>
      </c>
      <c r="B201" s="1" t="n">
        <v>43769</v>
      </c>
      <c r="C201" s="1" t="n">
        <v>45792</v>
      </c>
      <c r="D201" t="inlineStr">
        <is>
          <t>SÖDERMANLANDS LÄN</t>
        </is>
      </c>
      <c r="E201" t="inlineStr">
        <is>
          <t>FLEN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59014-2019</t>
        </is>
      </c>
      <c r="B202" s="1" t="n">
        <v>43774</v>
      </c>
      <c r="C202" s="1" t="n">
        <v>45792</v>
      </c>
      <c r="D202" t="inlineStr">
        <is>
          <t>SÖDERMANLANDS LÄN</t>
        </is>
      </c>
      <c r="E202" t="inlineStr">
        <is>
          <t>FLEN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59454-2019</t>
        </is>
      </c>
      <c r="B203" s="1" t="n">
        <v>43776</v>
      </c>
      <c r="C203" s="1" t="n">
        <v>45792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59448-2019</t>
        </is>
      </c>
      <c r="B204" s="1" t="n">
        <v>43776</v>
      </c>
      <c r="C204" s="1" t="n">
        <v>45792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59750-2019</t>
        </is>
      </c>
      <c r="B205" s="1" t="n">
        <v>43776</v>
      </c>
      <c r="C205" s="1" t="n">
        <v>45792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59446-2019</t>
        </is>
      </c>
      <c r="B206" s="1" t="n">
        <v>43776</v>
      </c>
      <c r="C206" s="1" t="n">
        <v>45792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61889-2019</t>
        </is>
      </c>
      <c r="B207" s="1" t="n">
        <v>43787</v>
      </c>
      <c r="C207" s="1" t="n">
        <v>45792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64580-2019</t>
        </is>
      </c>
      <c r="B208" s="1" t="n">
        <v>43794</v>
      </c>
      <c r="C208" s="1" t="n">
        <v>45792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63758-2019</t>
        </is>
      </c>
      <c r="B209" s="1" t="n">
        <v>43795</v>
      </c>
      <c r="C209" s="1" t="n">
        <v>45792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64576-2019</t>
        </is>
      </c>
      <c r="B210" s="1" t="n">
        <v>43798</v>
      </c>
      <c r="C210" s="1" t="n">
        <v>45792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65346-2019</t>
        </is>
      </c>
      <c r="B211" s="1" t="n">
        <v>43803</v>
      </c>
      <c r="C211" s="1" t="n">
        <v>45792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68476-2019</t>
        </is>
      </c>
      <c r="B212" s="1" t="n">
        <v>43811</v>
      </c>
      <c r="C212" s="1" t="n">
        <v>45792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68491-2019</t>
        </is>
      </c>
      <c r="B213" s="1" t="n">
        <v>43811</v>
      </c>
      <c r="C213" s="1" t="n">
        <v>45792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68481-2019</t>
        </is>
      </c>
      <c r="B214" s="1" t="n">
        <v>43811</v>
      </c>
      <c r="C214" s="1" t="n">
        <v>45792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68976-2019</t>
        </is>
      </c>
      <c r="B215" s="1" t="n">
        <v>43823</v>
      </c>
      <c r="C215" s="1" t="n">
        <v>45792</v>
      </c>
      <c r="D215" t="inlineStr">
        <is>
          <t>SÖDERMANLANDS LÄN</t>
        </is>
      </c>
      <c r="E215" t="inlineStr">
        <is>
          <t>FLEN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82-2020</t>
        </is>
      </c>
      <c r="B216" s="1" t="n">
        <v>43832</v>
      </c>
      <c r="C216" s="1" t="n">
        <v>45792</v>
      </c>
      <c r="D216" t="inlineStr">
        <is>
          <t>SÖDERMANLANDS LÄN</t>
        </is>
      </c>
      <c r="E216" t="inlineStr">
        <is>
          <t>FLEN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235-2020</t>
        </is>
      </c>
      <c r="B217" s="1" t="n">
        <v>43834</v>
      </c>
      <c r="C217" s="1" t="n">
        <v>45792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236-2020</t>
        </is>
      </c>
      <c r="B218" s="1" t="n">
        <v>43834</v>
      </c>
      <c r="C218" s="1" t="n">
        <v>45792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1007-2020</t>
        </is>
      </c>
      <c r="B219" s="1" t="n">
        <v>43839</v>
      </c>
      <c r="C219" s="1" t="n">
        <v>45792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4033-2020</t>
        </is>
      </c>
      <c r="B220" s="1" t="n">
        <v>43846</v>
      </c>
      <c r="C220" s="1" t="n">
        <v>45792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2538-2020</t>
        </is>
      </c>
      <c r="B221" s="1" t="n">
        <v>43847</v>
      </c>
      <c r="C221" s="1" t="n">
        <v>45792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3831-2020</t>
        </is>
      </c>
      <c r="B222" s="1" t="n">
        <v>43847</v>
      </c>
      <c r="C222" s="1" t="n">
        <v>45792</v>
      </c>
      <c r="D222" t="inlineStr">
        <is>
          <t>SÖDERMANLANDS LÄN</t>
        </is>
      </c>
      <c r="E222" t="inlineStr">
        <is>
          <t>FLEN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3619-2020</t>
        </is>
      </c>
      <c r="B223" s="1" t="n">
        <v>43853</v>
      </c>
      <c r="C223" s="1" t="n">
        <v>45792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4092-2020</t>
        </is>
      </c>
      <c r="B224" s="1" t="n">
        <v>43857</v>
      </c>
      <c r="C224" s="1" t="n">
        <v>45792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5777-2020</t>
        </is>
      </c>
      <c r="B225" s="1" t="n">
        <v>43864</v>
      </c>
      <c r="C225" s="1" t="n">
        <v>45792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7747-2020</t>
        </is>
      </c>
      <c r="B226" s="1" t="n">
        <v>43872</v>
      </c>
      <c r="C226" s="1" t="n">
        <v>45792</v>
      </c>
      <c r="D226" t="inlineStr">
        <is>
          <t>SÖDERMANLANDS LÄN</t>
        </is>
      </c>
      <c r="E226" t="inlineStr">
        <is>
          <t>FLEN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7941-2020</t>
        </is>
      </c>
      <c r="B227" s="1" t="n">
        <v>43873</v>
      </c>
      <c r="C227" s="1" t="n">
        <v>45792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9740-2020</t>
        </is>
      </c>
      <c r="B228" s="1" t="n">
        <v>43881</v>
      </c>
      <c r="C228" s="1" t="n">
        <v>45792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10193-2020</t>
        </is>
      </c>
      <c r="B229" s="1" t="n">
        <v>43885</v>
      </c>
      <c r="C229" s="1" t="n">
        <v>45792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11059-2020</t>
        </is>
      </c>
      <c r="B230" s="1" t="n">
        <v>43885</v>
      </c>
      <c r="C230" s="1" t="n">
        <v>45792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10705-2020</t>
        </is>
      </c>
      <c r="B231" s="1" t="n">
        <v>43888</v>
      </c>
      <c r="C231" s="1" t="n">
        <v>45792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10918-2020</t>
        </is>
      </c>
      <c r="B232" s="1" t="n">
        <v>43889</v>
      </c>
      <c r="C232" s="1" t="n">
        <v>45792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10913-2020</t>
        </is>
      </c>
      <c r="B233" s="1" t="n">
        <v>43889</v>
      </c>
      <c r="C233" s="1" t="n">
        <v>45792</v>
      </c>
      <c r="D233" t="inlineStr">
        <is>
          <t>SÖDERMANLANDS LÄN</t>
        </is>
      </c>
      <c r="E233" t="inlineStr">
        <is>
          <t>FLEN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11517-2020</t>
        </is>
      </c>
      <c r="B234" s="1" t="n">
        <v>43893</v>
      </c>
      <c r="C234" s="1" t="n">
        <v>45792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11811-2020</t>
        </is>
      </c>
      <c r="B235" s="1" t="n">
        <v>43894</v>
      </c>
      <c r="C235" s="1" t="n">
        <v>45792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13194-2020</t>
        </is>
      </c>
      <c r="B236" s="1" t="n">
        <v>43901</v>
      </c>
      <c r="C236" s="1" t="n">
        <v>45792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13255-2020</t>
        </is>
      </c>
      <c r="B237" s="1" t="n">
        <v>43901</v>
      </c>
      <c r="C237" s="1" t="n">
        <v>45792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13251-2020</t>
        </is>
      </c>
      <c r="B238" s="1" t="n">
        <v>43901</v>
      </c>
      <c r="C238" s="1" t="n">
        <v>45792</v>
      </c>
      <c r="D238" t="inlineStr">
        <is>
          <t>SÖDERMANLANDS LÄN</t>
        </is>
      </c>
      <c r="E238" t="inlineStr">
        <is>
          <t>FLEN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13473-2020</t>
        </is>
      </c>
      <c r="B239" s="1" t="n">
        <v>43902</v>
      </c>
      <c r="C239" s="1" t="n">
        <v>45792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13698-2020</t>
        </is>
      </c>
      <c r="B240" s="1" t="n">
        <v>43902</v>
      </c>
      <c r="C240" s="1" t="n">
        <v>45792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14200-2020</t>
        </is>
      </c>
      <c r="B241" s="1" t="n">
        <v>43907</v>
      </c>
      <c r="C241" s="1" t="n">
        <v>45792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15132-2020</t>
        </is>
      </c>
      <c r="B242" s="1" t="n">
        <v>43911</v>
      </c>
      <c r="C242" s="1" t="n">
        <v>45792</v>
      </c>
      <c r="D242" t="inlineStr">
        <is>
          <t>SÖDERMANLANDS LÄN</t>
        </is>
      </c>
      <c r="E242" t="inlineStr">
        <is>
          <t>FLEN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16206-2020</t>
        </is>
      </c>
      <c r="B243" s="1" t="n">
        <v>43917</v>
      </c>
      <c r="C243" s="1" t="n">
        <v>45792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16684-2020</t>
        </is>
      </c>
      <c r="B244" s="1" t="n">
        <v>43920</v>
      </c>
      <c r="C244" s="1" t="n">
        <v>45792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17154-2020</t>
        </is>
      </c>
      <c r="B245" s="1" t="n">
        <v>43922</v>
      </c>
      <c r="C245" s="1" t="n">
        <v>45792</v>
      </c>
      <c r="D245" t="inlineStr">
        <is>
          <t>SÖDERMANLANDS LÄN</t>
        </is>
      </c>
      <c r="E245" t="inlineStr">
        <is>
          <t>FLEN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20002-2020</t>
        </is>
      </c>
      <c r="B246" s="1" t="n">
        <v>43943</v>
      </c>
      <c r="C246" s="1" t="n">
        <v>45792</v>
      </c>
      <c r="D246" t="inlineStr">
        <is>
          <t>SÖDERMANLANDS LÄN</t>
        </is>
      </c>
      <c r="E246" t="inlineStr">
        <is>
          <t>FLEN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20527-2020</t>
        </is>
      </c>
      <c r="B247" s="1" t="n">
        <v>43948</v>
      </c>
      <c r="C247" s="1" t="n">
        <v>45792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21401-2020</t>
        </is>
      </c>
      <c r="B248" s="1" t="n">
        <v>43955</v>
      </c>
      <c r="C248" s="1" t="n">
        <v>45792</v>
      </c>
      <c r="D248" t="inlineStr">
        <is>
          <t>SÖDERMANLANDS LÄN</t>
        </is>
      </c>
      <c r="E248" t="inlineStr">
        <is>
          <t>FLEN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21404-2020</t>
        </is>
      </c>
      <c r="B249" s="1" t="n">
        <v>43955</v>
      </c>
      <c r="C249" s="1" t="n">
        <v>45792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22347-2020</t>
        </is>
      </c>
      <c r="B250" s="1" t="n">
        <v>43957</v>
      </c>
      <c r="C250" s="1" t="n">
        <v>45792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21902-2020</t>
        </is>
      </c>
      <c r="B251" s="1" t="n">
        <v>43958</v>
      </c>
      <c r="C251" s="1" t="n">
        <v>45792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22237-2020</t>
        </is>
      </c>
      <c r="B252" s="1" t="n">
        <v>43959</v>
      </c>
      <c r="C252" s="1" t="n">
        <v>45792</v>
      </c>
      <c r="D252" t="inlineStr">
        <is>
          <t>SÖDERMANLANDS LÄN</t>
        </is>
      </c>
      <c r="E252" t="inlineStr">
        <is>
          <t>FLEN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22243-2020</t>
        </is>
      </c>
      <c r="B253" s="1" t="n">
        <v>43959</v>
      </c>
      <c r="C253" s="1" t="n">
        <v>45792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22241-2020</t>
        </is>
      </c>
      <c r="B254" s="1" t="n">
        <v>43959</v>
      </c>
      <c r="C254" s="1" t="n">
        <v>45792</v>
      </c>
      <c r="D254" t="inlineStr">
        <is>
          <t>SÖDERMANLANDS LÄN</t>
        </is>
      </c>
      <c r="E254" t="inlineStr">
        <is>
          <t>FLEN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25067-2020</t>
        </is>
      </c>
      <c r="B255" s="1" t="n">
        <v>43979</v>
      </c>
      <c r="C255" s="1" t="n">
        <v>45792</v>
      </c>
      <c r="D255" t="inlineStr">
        <is>
          <t>SÖDERMANLANDS LÄN</t>
        </is>
      </c>
      <c r="E255" t="inlineStr">
        <is>
          <t>FLEN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25280-2020</t>
        </is>
      </c>
      <c r="B256" s="1" t="n">
        <v>43980</v>
      </c>
      <c r="C256" s="1" t="n">
        <v>45792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25842-2020</t>
        </is>
      </c>
      <c r="B257" s="1" t="n">
        <v>43983</v>
      </c>
      <c r="C257" s="1" t="n">
        <v>45792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25466-2020</t>
        </is>
      </c>
      <c r="B258" s="1" t="n">
        <v>43983</v>
      </c>
      <c r="C258" s="1" t="n">
        <v>45792</v>
      </c>
      <c r="D258" t="inlineStr">
        <is>
          <t>SÖDERMANLANDS LÄN</t>
        </is>
      </c>
      <c r="E258" t="inlineStr">
        <is>
          <t>FLEN</t>
        </is>
      </c>
      <c r="G258" t="n">
        <v>30.4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25880-2020</t>
        </is>
      </c>
      <c r="B259" s="1" t="n">
        <v>43983</v>
      </c>
      <c r="C259" s="1" t="n">
        <v>45792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26063-2020</t>
        </is>
      </c>
      <c r="B260" s="1" t="n">
        <v>43985</v>
      </c>
      <c r="C260" s="1" t="n">
        <v>45792</v>
      </c>
      <c r="D260" t="inlineStr">
        <is>
          <t>SÖDERMANLANDS LÄN</t>
        </is>
      </c>
      <c r="E260" t="inlineStr">
        <is>
          <t>FLEN</t>
        </is>
      </c>
      <c r="G260" t="n">
        <v>22.3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28981-2020</t>
        </is>
      </c>
      <c r="B261" s="1" t="n">
        <v>43998</v>
      </c>
      <c r="C261" s="1" t="n">
        <v>45792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28562-2020</t>
        </is>
      </c>
      <c r="B262" s="1" t="n">
        <v>43999</v>
      </c>
      <c r="C262" s="1" t="n">
        <v>45792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28676-2020</t>
        </is>
      </c>
      <c r="B263" s="1" t="n">
        <v>43999</v>
      </c>
      <c r="C263" s="1" t="n">
        <v>45792</v>
      </c>
      <c r="D263" t="inlineStr">
        <is>
          <t>SÖDERMANLANDS LÄN</t>
        </is>
      </c>
      <c r="E263" t="inlineStr">
        <is>
          <t>FLEN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29455-2020</t>
        </is>
      </c>
      <c r="B264" s="1" t="n">
        <v>44004</v>
      </c>
      <c r="C264" s="1" t="n">
        <v>45792</v>
      </c>
      <c r="D264" t="inlineStr">
        <is>
          <t>SÖDERMANLANDS LÄN</t>
        </is>
      </c>
      <c r="E264" t="inlineStr">
        <is>
          <t>FLEN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29557-2020</t>
        </is>
      </c>
      <c r="B265" s="1" t="n">
        <v>44005</v>
      </c>
      <c r="C265" s="1" t="n">
        <v>45792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30209-2020</t>
        </is>
      </c>
      <c r="B266" s="1" t="n">
        <v>44007</v>
      </c>
      <c r="C266" s="1" t="n">
        <v>45792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30879-2020</t>
        </is>
      </c>
      <c r="B267" s="1" t="n">
        <v>44011</v>
      </c>
      <c r="C267" s="1" t="n">
        <v>45792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30871-2020</t>
        </is>
      </c>
      <c r="B268" s="1" t="n">
        <v>44011</v>
      </c>
      <c r="C268" s="1" t="n">
        <v>45792</v>
      </c>
      <c r="D268" t="inlineStr">
        <is>
          <t>SÖDERMANLANDS LÄN</t>
        </is>
      </c>
      <c r="E268" t="inlineStr">
        <is>
          <t>FLEN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31118-2020</t>
        </is>
      </c>
      <c r="B269" s="1" t="n">
        <v>44012</v>
      </c>
      <c r="C269" s="1" t="n">
        <v>45792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32142-2020</t>
        </is>
      </c>
      <c r="B270" s="1" t="n">
        <v>44015</v>
      </c>
      <c r="C270" s="1" t="n">
        <v>45792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32366-2020</t>
        </is>
      </c>
      <c r="B271" s="1" t="n">
        <v>44018</v>
      </c>
      <c r="C271" s="1" t="n">
        <v>45792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32585-2020</t>
        </is>
      </c>
      <c r="B272" s="1" t="n">
        <v>44018</v>
      </c>
      <c r="C272" s="1" t="n">
        <v>45792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33146-2020</t>
        </is>
      </c>
      <c r="B273" s="1" t="n">
        <v>44021</v>
      </c>
      <c r="C273" s="1" t="n">
        <v>45792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33464-2020</t>
        </is>
      </c>
      <c r="B274" s="1" t="n">
        <v>44023</v>
      </c>
      <c r="C274" s="1" t="n">
        <v>45792</v>
      </c>
      <c r="D274" t="inlineStr">
        <is>
          <t>SÖDERMANLANDS LÄN</t>
        </is>
      </c>
      <c r="E274" t="inlineStr">
        <is>
          <t>FLEN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33682-2020</t>
        </is>
      </c>
      <c r="B275" s="1" t="n">
        <v>44026</v>
      </c>
      <c r="C275" s="1" t="n">
        <v>45792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34066-2020</t>
        </is>
      </c>
      <c r="B276" s="1" t="n">
        <v>44027</v>
      </c>
      <c r="C276" s="1" t="n">
        <v>45792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34072-2020</t>
        </is>
      </c>
      <c r="B277" s="1" t="n">
        <v>44028</v>
      </c>
      <c r="C277" s="1" t="n">
        <v>45792</v>
      </c>
      <c r="D277" t="inlineStr">
        <is>
          <t>SÖDERMANLANDS LÄN</t>
        </is>
      </c>
      <c r="E277" t="inlineStr">
        <is>
          <t>FLEN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34489-2020</t>
        </is>
      </c>
      <c r="B278" s="1" t="n">
        <v>44029</v>
      </c>
      <c r="C278" s="1" t="n">
        <v>45792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34992-2020</t>
        </is>
      </c>
      <c r="B279" s="1" t="n">
        <v>44039</v>
      </c>
      <c r="C279" s="1" t="n">
        <v>45792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35093-2020</t>
        </is>
      </c>
      <c r="B280" s="1" t="n">
        <v>44039</v>
      </c>
      <c r="C280" s="1" t="n">
        <v>45792</v>
      </c>
      <c r="D280" t="inlineStr">
        <is>
          <t>SÖDERMANLANDS LÄN</t>
        </is>
      </c>
      <c r="E280" t="inlineStr">
        <is>
          <t>FLEN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35176-2020</t>
        </is>
      </c>
      <c r="B281" s="1" t="n">
        <v>44040</v>
      </c>
      <c r="C281" s="1" t="n">
        <v>45792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35501-2020</t>
        </is>
      </c>
      <c r="B282" s="1" t="n">
        <v>44042</v>
      </c>
      <c r="C282" s="1" t="n">
        <v>45792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35563-2020</t>
        </is>
      </c>
      <c r="B283" s="1" t="n">
        <v>44043</v>
      </c>
      <c r="C283" s="1" t="n">
        <v>45792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35560-2020</t>
        </is>
      </c>
      <c r="B284" s="1" t="n">
        <v>44043</v>
      </c>
      <c r="C284" s="1" t="n">
        <v>45792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35817-2020</t>
        </is>
      </c>
      <c r="B285" s="1" t="n">
        <v>44047</v>
      </c>
      <c r="C285" s="1" t="n">
        <v>45792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36317-2020</t>
        </is>
      </c>
      <c r="B286" s="1" t="n">
        <v>44049</v>
      </c>
      <c r="C286" s="1" t="n">
        <v>45792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36366-2020</t>
        </is>
      </c>
      <c r="B287" s="1" t="n">
        <v>44049</v>
      </c>
      <c r="C287" s="1" t="n">
        <v>45792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36880-2020</t>
        </is>
      </c>
      <c r="B288" s="1" t="n">
        <v>44053</v>
      </c>
      <c r="C288" s="1" t="n">
        <v>45792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36891-2020</t>
        </is>
      </c>
      <c r="B289" s="1" t="n">
        <v>44053</v>
      </c>
      <c r="C289" s="1" t="n">
        <v>45792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37214-2020</t>
        </is>
      </c>
      <c r="B290" s="1" t="n">
        <v>44054</v>
      </c>
      <c r="C290" s="1" t="n">
        <v>45792</v>
      </c>
      <c r="D290" t="inlineStr">
        <is>
          <t>SÖDERMANLANDS LÄN</t>
        </is>
      </c>
      <c r="E290" t="inlineStr">
        <is>
          <t>FLEN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37274-2020</t>
        </is>
      </c>
      <c r="B291" s="1" t="n">
        <v>44054</v>
      </c>
      <c r="C291" s="1" t="n">
        <v>45792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37736-2020</t>
        </is>
      </c>
      <c r="B292" s="1" t="n">
        <v>44056</v>
      </c>
      <c r="C292" s="1" t="n">
        <v>45792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37897-2020</t>
        </is>
      </c>
      <c r="B293" s="1" t="n">
        <v>44057</v>
      </c>
      <c r="C293" s="1" t="n">
        <v>45792</v>
      </c>
      <c r="D293" t="inlineStr">
        <is>
          <t>SÖDERMANLANDS LÄN</t>
        </is>
      </c>
      <c r="E293" t="inlineStr">
        <is>
          <t>FLEN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38613-2020</t>
        </is>
      </c>
      <c r="B294" s="1" t="n">
        <v>44061</v>
      </c>
      <c r="C294" s="1" t="n">
        <v>45792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38849-2020</t>
        </is>
      </c>
      <c r="B295" s="1" t="n">
        <v>44062</v>
      </c>
      <c r="C295" s="1" t="n">
        <v>45792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38854-2020</t>
        </is>
      </c>
      <c r="B296" s="1" t="n">
        <v>44062</v>
      </c>
      <c r="C296" s="1" t="n">
        <v>45792</v>
      </c>
      <c r="D296" t="inlineStr">
        <is>
          <t>SÖDERMANLANDS LÄN</t>
        </is>
      </c>
      <c r="E296" t="inlineStr">
        <is>
          <t>FLEN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40693-2020</t>
        </is>
      </c>
      <c r="B297" s="1" t="n">
        <v>44067</v>
      </c>
      <c r="C297" s="1" t="n">
        <v>45792</v>
      </c>
      <c r="D297" t="inlineStr">
        <is>
          <t>SÖDERMANLANDS LÄN</t>
        </is>
      </c>
      <c r="E297" t="inlineStr">
        <is>
          <t>FLEN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45305-2020</t>
        </is>
      </c>
      <c r="B298" s="1" t="n">
        <v>44085</v>
      </c>
      <c r="C298" s="1" t="n">
        <v>45792</v>
      </c>
      <c r="D298" t="inlineStr">
        <is>
          <t>SÖDERMANLANDS LÄN</t>
        </is>
      </c>
      <c r="E298" t="inlineStr">
        <is>
          <t>FLEN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45315-2020</t>
        </is>
      </c>
      <c r="B299" s="1" t="n">
        <v>44085</v>
      </c>
      <c r="C299" s="1" t="n">
        <v>45792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45265-2020</t>
        </is>
      </c>
      <c r="B300" s="1" t="n">
        <v>44089</v>
      </c>
      <c r="C300" s="1" t="n">
        <v>45792</v>
      </c>
      <c r="D300" t="inlineStr">
        <is>
          <t>SÖDERMANLANDS LÄN</t>
        </is>
      </c>
      <c r="E300" t="inlineStr">
        <is>
          <t>FLEN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HYPERLINK("https://klasma.github.io/Logging_0482/knärot/A 45265-2020 karta knärot.png", "A 45265-2020")</f>
        <v/>
      </c>
      <c r="V300">
        <f>HYPERLINK("https://klasma.github.io/Logging_0482/klagomål/A 45265-2020 FSC-klagomål.docx", "A 45265-2020")</f>
        <v/>
      </c>
      <c r="W300">
        <f>HYPERLINK("https://klasma.github.io/Logging_0482/klagomålsmail/A 45265-2020 FSC-klagomål mail.docx", "A 45265-2020")</f>
        <v/>
      </c>
      <c r="X300">
        <f>HYPERLINK("https://klasma.github.io/Logging_0482/tillsyn/A 45265-2020 tillsynsbegäran.docx", "A 45265-2020")</f>
        <v/>
      </c>
      <c r="Y300">
        <f>HYPERLINK("https://klasma.github.io/Logging_0482/tillsynsmail/A 45265-2020 tillsynsbegäran mail.docx", "A 45265-2020")</f>
        <v/>
      </c>
    </row>
    <row r="301" ht="15" customHeight="1">
      <c r="A301" t="inlineStr">
        <is>
          <t>A 47401-2020</t>
        </is>
      </c>
      <c r="B301" s="1" t="n">
        <v>44097</v>
      </c>
      <c r="C301" s="1" t="n">
        <v>45792</v>
      </c>
      <c r="D301" t="inlineStr">
        <is>
          <t>SÖDERMANLANDS LÄN</t>
        </is>
      </c>
      <c r="E301" t="inlineStr">
        <is>
          <t>FLEN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47669-2020</t>
        </is>
      </c>
      <c r="B302" s="1" t="n">
        <v>44098</v>
      </c>
      <c r="C302" s="1" t="n">
        <v>45792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47681-2020</t>
        </is>
      </c>
      <c r="B303" s="1" t="n">
        <v>44098</v>
      </c>
      <c r="C303" s="1" t="n">
        <v>45792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48869-2020</t>
        </is>
      </c>
      <c r="B304" s="1" t="n">
        <v>44104</v>
      </c>
      <c r="C304" s="1" t="n">
        <v>45792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51315-2020</t>
        </is>
      </c>
      <c r="B305" s="1" t="n">
        <v>44106</v>
      </c>
      <c r="C305" s="1" t="n">
        <v>45792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51836-2020</t>
        </is>
      </c>
      <c r="B306" s="1" t="n">
        <v>44109</v>
      </c>
      <c r="C306" s="1" t="n">
        <v>45792</v>
      </c>
      <c r="D306" t="inlineStr">
        <is>
          <t>SÖDERMANLANDS LÄN</t>
        </is>
      </c>
      <c r="E306" t="inlineStr">
        <is>
          <t>FLEN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51933-2020</t>
        </is>
      </c>
      <c r="B307" s="1" t="n">
        <v>44109</v>
      </c>
      <c r="C307" s="1" t="n">
        <v>45792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50467-2020</t>
        </is>
      </c>
      <c r="B308" s="1" t="n">
        <v>44110</v>
      </c>
      <c r="C308" s="1" t="n">
        <v>45792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51864-2020</t>
        </is>
      </c>
      <c r="B309" s="1" t="n">
        <v>44113</v>
      </c>
      <c r="C309" s="1" t="n">
        <v>45792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53424-2020</t>
        </is>
      </c>
      <c r="B310" s="1" t="n">
        <v>44123</v>
      </c>
      <c r="C310" s="1" t="n">
        <v>45792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54919-2020</t>
        </is>
      </c>
      <c r="B311" s="1" t="n">
        <v>44127</v>
      </c>
      <c r="C311" s="1" t="n">
        <v>45792</v>
      </c>
      <c r="D311" t="inlineStr">
        <is>
          <t>SÖDERMANLANDS LÄN</t>
        </is>
      </c>
      <c r="E311" t="inlineStr">
        <is>
          <t>FLEN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54918-2020</t>
        </is>
      </c>
      <c r="B312" s="1" t="n">
        <v>44127</v>
      </c>
      <c r="C312" s="1" t="n">
        <v>45792</v>
      </c>
      <c r="D312" t="inlineStr">
        <is>
          <t>SÖDERMANLANDS LÄN</t>
        </is>
      </c>
      <c r="E312" t="inlineStr">
        <is>
          <t>FLEN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56930-2020</t>
        </is>
      </c>
      <c r="B313" s="1" t="n">
        <v>44138</v>
      </c>
      <c r="C313" s="1" t="n">
        <v>45792</v>
      </c>
      <c r="D313" t="inlineStr">
        <is>
          <t>SÖDERMANLANDS LÄN</t>
        </is>
      </c>
      <c r="E313" t="inlineStr">
        <is>
          <t>FLEN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56863-2020</t>
        </is>
      </c>
      <c r="B314" s="1" t="n">
        <v>44138</v>
      </c>
      <c r="C314" s="1" t="n">
        <v>45792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57165-2020</t>
        </is>
      </c>
      <c r="B315" s="1" t="n">
        <v>44138</v>
      </c>
      <c r="C315" s="1" t="n">
        <v>45792</v>
      </c>
      <c r="D315" t="inlineStr">
        <is>
          <t>SÖDERMANLANDS LÄN</t>
        </is>
      </c>
      <c r="E315" t="inlineStr">
        <is>
          <t>FLEN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57251-2020</t>
        </is>
      </c>
      <c r="B316" s="1" t="n">
        <v>44139</v>
      </c>
      <c r="C316" s="1" t="n">
        <v>45792</v>
      </c>
      <c r="D316" t="inlineStr">
        <is>
          <t>SÖDERMANLANDS LÄN</t>
        </is>
      </c>
      <c r="E316" t="inlineStr">
        <is>
          <t>FLEN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57682-2020</t>
        </is>
      </c>
      <c r="B317" s="1" t="n">
        <v>44140</v>
      </c>
      <c r="C317" s="1" t="n">
        <v>45792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57689-2020</t>
        </is>
      </c>
      <c r="B318" s="1" t="n">
        <v>44140</v>
      </c>
      <c r="C318" s="1" t="n">
        <v>45792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58592-2020</t>
        </is>
      </c>
      <c r="B319" s="1" t="n">
        <v>44145</v>
      </c>
      <c r="C319" s="1" t="n">
        <v>45792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58948-2020</t>
        </is>
      </c>
      <c r="B320" s="1" t="n">
        <v>44146</v>
      </c>
      <c r="C320" s="1" t="n">
        <v>45792</v>
      </c>
      <c r="D320" t="inlineStr">
        <is>
          <t>SÖDERMANLANDS LÄN</t>
        </is>
      </c>
      <c r="E320" t="inlineStr">
        <is>
          <t>FLEN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60409-2020</t>
        </is>
      </c>
      <c r="B321" s="1" t="n">
        <v>44152</v>
      </c>
      <c r="C321" s="1" t="n">
        <v>45792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61697-2020</t>
        </is>
      </c>
      <c r="B322" s="1" t="n">
        <v>44158</v>
      </c>
      <c r="C322" s="1" t="n">
        <v>45792</v>
      </c>
      <c r="D322" t="inlineStr">
        <is>
          <t>SÖDERMANLANDS LÄN</t>
        </is>
      </c>
      <c r="E322" t="inlineStr">
        <is>
          <t>FLEN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61713-2020</t>
        </is>
      </c>
      <c r="B323" s="1" t="n">
        <v>44158</v>
      </c>
      <c r="C323" s="1" t="n">
        <v>45792</v>
      </c>
      <c r="D323" t="inlineStr">
        <is>
          <t>SÖDERMANLANDS LÄN</t>
        </is>
      </c>
      <c r="E323" t="inlineStr">
        <is>
          <t>FLEN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62512-2020</t>
        </is>
      </c>
      <c r="B324" s="1" t="n">
        <v>44160</v>
      </c>
      <c r="C324" s="1" t="n">
        <v>45792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65233-2020</t>
        </is>
      </c>
      <c r="B325" s="1" t="n">
        <v>44172</v>
      </c>
      <c r="C325" s="1" t="n">
        <v>45792</v>
      </c>
      <c r="D325" t="inlineStr">
        <is>
          <t>SÖDERMANLANDS LÄN</t>
        </is>
      </c>
      <c r="E325" t="inlineStr">
        <is>
          <t>FLEN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66511-2020</t>
        </is>
      </c>
      <c r="B326" s="1" t="n">
        <v>44178</v>
      </c>
      <c r="C326" s="1" t="n">
        <v>45792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69019-2020</t>
        </is>
      </c>
      <c r="B327" s="1" t="n">
        <v>44187</v>
      </c>
      <c r="C327" s="1" t="n">
        <v>45792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69015-2020</t>
        </is>
      </c>
      <c r="B328" s="1" t="n">
        <v>44188</v>
      </c>
      <c r="C328" s="1" t="n">
        <v>45792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69388-2020</t>
        </is>
      </c>
      <c r="B329" s="1" t="n">
        <v>44193</v>
      </c>
      <c r="C329" s="1" t="n">
        <v>45792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527-2021</t>
        </is>
      </c>
      <c r="B330" s="1" t="n">
        <v>44201</v>
      </c>
      <c r="C330" s="1" t="n">
        <v>45792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587-2021</t>
        </is>
      </c>
      <c r="B331" s="1" t="n">
        <v>44203</v>
      </c>
      <c r="C331" s="1" t="n">
        <v>45792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1329-2021</t>
        </is>
      </c>
      <c r="B332" s="1" t="n">
        <v>44208</v>
      </c>
      <c r="C332" s="1" t="n">
        <v>45792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1333-2021</t>
        </is>
      </c>
      <c r="B333" s="1" t="n">
        <v>44208</v>
      </c>
      <c r="C333" s="1" t="n">
        <v>45792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1330-2021</t>
        </is>
      </c>
      <c r="B334" s="1" t="n">
        <v>44208</v>
      </c>
      <c r="C334" s="1" t="n">
        <v>45792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1565-2021</t>
        </is>
      </c>
      <c r="B335" s="1" t="n">
        <v>44209</v>
      </c>
      <c r="C335" s="1" t="n">
        <v>45792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2460-2021</t>
        </is>
      </c>
      <c r="B336" s="1" t="n">
        <v>44214</v>
      </c>
      <c r="C336" s="1" t="n">
        <v>45792</v>
      </c>
      <c r="D336" t="inlineStr">
        <is>
          <t>SÖDERMANLANDS LÄN</t>
        </is>
      </c>
      <c r="E336" t="inlineStr">
        <is>
          <t>FLEN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2488-2021</t>
        </is>
      </c>
      <c r="B337" s="1" t="n">
        <v>44214</v>
      </c>
      <c r="C337" s="1" t="n">
        <v>45792</v>
      </c>
      <c r="D337" t="inlineStr">
        <is>
          <t>SÖDERMANLANDS LÄN</t>
        </is>
      </c>
      <c r="E337" t="inlineStr">
        <is>
          <t>FLEN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3169-2021</t>
        </is>
      </c>
      <c r="B338" s="1" t="n">
        <v>44217</v>
      </c>
      <c r="C338" s="1" t="n">
        <v>45792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3513-2021</t>
        </is>
      </c>
      <c r="B339" s="1" t="n">
        <v>44218</v>
      </c>
      <c r="C339" s="1" t="n">
        <v>45792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4348-2021</t>
        </is>
      </c>
      <c r="B340" s="1" t="n">
        <v>44223</v>
      </c>
      <c r="C340" s="1" t="n">
        <v>45792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5971-2021</t>
        </is>
      </c>
      <c r="B341" s="1" t="n">
        <v>44230</v>
      </c>
      <c r="C341" s="1" t="n">
        <v>45792</v>
      </c>
      <c r="D341" t="inlineStr">
        <is>
          <t>SÖDERMANLANDS LÄN</t>
        </is>
      </c>
      <c r="E341" t="inlineStr">
        <is>
          <t>FLEN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6827-2021</t>
        </is>
      </c>
      <c r="B342" s="1" t="n">
        <v>44237</v>
      </c>
      <c r="C342" s="1" t="n">
        <v>45792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7858-2021</t>
        </is>
      </c>
      <c r="B343" s="1" t="n">
        <v>44242</v>
      </c>
      <c r="C343" s="1" t="n">
        <v>45792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8141-2021</t>
        </is>
      </c>
      <c r="B344" s="1" t="n">
        <v>44242</v>
      </c>
      <c r="C344" s="1" t="n">
        <v>45792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45792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45792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45792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45792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45792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45792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45792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45792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45792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45792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45792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45792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45792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45792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45792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45792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45792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45792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45792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45792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45792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45792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45792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45792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45792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45792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45792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45792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45792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45792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45792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45792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45792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45792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45792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45792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45792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45792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45792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45792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45792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45792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45792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45792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45792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45792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45792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45792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45792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45792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45792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45792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45792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45792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45792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45792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45792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45792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45792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45792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45792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45792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45792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45792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45792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45792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45792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45792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45792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45792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45792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45792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45792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45792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45792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45792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45792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45792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45792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45792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45792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45792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45792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45792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45792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45792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45792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45792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45792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45792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45792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45792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48298-2021</t>
        </is>
      </c>
      <c r="B437" s="1" t="n">
        <v>44450</v>
      </c>
      <c r="C437" s="1" t="n">
        <v>45792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48763-2021</t>
        </is>
      </c>
      <c r="B438" s="1" t="n">
        <v>44452</v>
      </c>
      <c r="C438" s="1" t="n">
        <v>45792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48925-2021</t>
        </is>
      </c>
      <c r="B439" s="1" t="n">
        <v>44452</v>
      </c>
      <c r="C439" s="1" t="n">
        <v>45792</v>
      </c>
      <c r="D439" t="inlineStr">
        <is>
          <t>SÖDERMANLANDS LÄN</t>
        </is>
      </c>
      <c r="E439" t="inlineStr">
        <is>
          <t>FLEN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49323-2021</t>
        </is>
      </c>
      <c r="B440" s="1" t="n">
        <v>44453</v>
      </c>
      <c r="C440" s="1" t="n">
        <v>45792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49275-2021</t>
        </is>
      </c>
      <c r="B441" s="1" t="n">
        <v>44453</v>
      </c>
      <c r="C441" s="1" t="n">
        <v>45792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49252-2021</t>
        </is>
      </c>
      <c r="B442" s="1" t="n">
        <v>44454</v>
      </c>
      <c r="C442" s="1" t="n">
        <v>45792</v>
      </c>
      <c r="D442" t="inlineStr">
        <is>
          <t>SÖDERMANLANDS LÄN</t>
        </is>
      </c>
      <c r="E442" t="inlineStr">
        <is>
          <t>FLEN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45792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45792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45792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45792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45792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45792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45792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45792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45792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45792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45792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45792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45792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45792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45792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45792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45792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45792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45792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45792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45792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45792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45792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45792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45792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45792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45792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45792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45792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45792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45792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45792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45792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45792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45792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45792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45792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45792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45792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45792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45792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45792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45792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45792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45792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45792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45792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45792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45792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45792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45792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45792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45792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45792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45792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45792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45792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45792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45792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45792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45792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45792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45792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45792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45792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45792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45792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45792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45792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45792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45792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45792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45792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45792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45792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45792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45792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45792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45792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45792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45792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45792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45792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45792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45792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45792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45792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45792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45792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45792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45792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45792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45792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45792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45792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45792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45792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45792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45792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45792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45792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45792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45792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45792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45792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45792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45792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45792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45792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45792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45792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45792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45792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45792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45792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45792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45792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45792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45792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45792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45792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45792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45792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45792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45792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45792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45792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45792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45792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45792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45792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45792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45792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45792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45792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45792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45792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45792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45792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45792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45792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45792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45792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45792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45792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45792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45792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45792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45792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45792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45792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45792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45792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45792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45792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45792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45792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45792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45792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45792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45792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45792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45792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45792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45792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45792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45792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45792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45792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45792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45792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45792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45792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45792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45792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45792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45792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45792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45792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45792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45792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45792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45792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45792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45792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45792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45792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45792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45792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45792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45792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45792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45792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45792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45792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45792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45792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45792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45792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45792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45792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45792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45792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45792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45792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45792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45792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45792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45792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45792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45792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45792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45792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45792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45792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45792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45792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45792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45792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45792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45792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45792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45792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45792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45792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45792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45792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45792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45792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45792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45792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45792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45792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45792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45792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45792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45792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45792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45792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45792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45792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45792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45792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45792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45792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45792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45792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45792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45792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45792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45792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45792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45792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45792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45792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45792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45792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45792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45792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45792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45792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45792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45792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45792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45792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45792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45792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45792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45792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45792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45792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45792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45792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45792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45792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45792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45792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45792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45792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45792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45792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45792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45792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45792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45792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45792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45792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45792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45792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45792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45792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45792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45792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45792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45792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45792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45792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45792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45792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45792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45792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45792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45792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45792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45792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45792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45792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45792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45792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45792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45792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45792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45792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45792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45792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45792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45792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45792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45792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45792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45792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45792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45792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45792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45792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45792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45792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45792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45792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45792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45792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45792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45792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45792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45792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45792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45792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45792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45792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45792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45792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45792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45792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45792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45792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45792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45792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45792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45792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45792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45792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45792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45792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45792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45792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45792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45792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45792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45792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45792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45792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45792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45792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45792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45792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45792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45792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45792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45792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45792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45792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45792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45792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45792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45792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45792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45792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45792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45792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45792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45792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45792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45792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45792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45792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45792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45792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45792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45792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45792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45792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45792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45792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45792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45792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45792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45792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45792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45792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45792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45792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45792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45792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45792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45792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45792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45792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45792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45792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45792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45792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45792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45792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45792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45792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45792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45792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45792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45792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45792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45792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45792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45792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45792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45792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45792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45792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45792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45792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45792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45792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45792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45792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45792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45792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45792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45792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45792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45792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45792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45792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45792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45792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45792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45792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45792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45792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45792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45792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45792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45792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45792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45792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45792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45792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45792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45792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45792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45792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45792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45792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45792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45792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45792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45792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45792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45792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45792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45792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45792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45792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45792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45792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45792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45792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45792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45792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45792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45792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45792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45792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45792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45792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45792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45792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45792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45792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45792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45792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45792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45792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45792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45792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45792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45792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45792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45792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45792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45792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45792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45792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45792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45792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45792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45792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45792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45792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45792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45792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45792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45792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45792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45792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45792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45792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45792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45792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45792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45792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45792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45792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45792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45792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45792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45792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45792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45792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45792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45792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45792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45792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45792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45792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45792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45792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45792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45792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45792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45792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45792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45792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45792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45792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45792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45792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45792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45792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45792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45792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45792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45792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45792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45792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45792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45792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45792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45792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45792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45792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45792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45792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45792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45792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45792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45792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45792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45792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45792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45792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45792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45792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45792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45792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45792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45792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45792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45792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45792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45792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45792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45792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45792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45792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45792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45792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45792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45792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45792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45792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45792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45792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45792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45792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45792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45792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45792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45792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45792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45792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45792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45792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45792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45792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45792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45792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45792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45792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45792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45792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45792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45792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45792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45792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45792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45792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45792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45792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45792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45792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45792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45792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45792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45792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45792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45792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45792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45792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45792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45792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45792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45792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45792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45792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45792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45792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45792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45792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45792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45792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45792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45792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45792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45792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45792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45792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45792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45792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45792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45792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45792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45792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45792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45792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45792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45792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45792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45792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45792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45792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45792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45792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45792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45792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45792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45792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45792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45792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45792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45792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45792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45792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45792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45792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45792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45792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21004-2025</t>
        </is>
      </c>
      <c r="B1160" s="1" t="n">
        <v>45777</v>
      </c>
      <c r="C1160" s="1" t="n">
        <v>45792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20875-2025</t>
        </is>
      </c>
      <c r="B1161" s="1" t="n">
        <v>45777</v>
      </c>
      <c r="C1161" s="1" t="n">
        <v>45792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20849-2025</t>
        </is>
      </c>
      <c r="B1162" s="1" t="n">
        <v>45777</v>
      </c>
      <c r="C1162" s="1" t="n">
        <v>45792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20952-2025</t>
        </is>
      </c>
      <c r="B1163" s="1" t="n">
        <v>45777</v>
      </c>
      <c r="C1163" s="1" t="n">
        <v>45792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45792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22867-2025</t>
        </is>
      </c>
      <c r="B1165" s="1" t="n">
        <v>45790</v>
      </c>
      <c r="C1165" s="1" t="n">
        <v>45792</v>
      </c>
      <c r="D1165" t="inlineStr">
        <is>
          <t>SÖDERMANLANDS LÄN</t>
        </is>
      </c>
      <c r="E1165" t="inlineStr">
        <is>
          <t>FLEN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22882-2025</t>
        </is>
      </c>
      <c r="B1166" s="1" t="n">
        <v>45790</v>
      </c>
      <c r="C1166" s="1" t="n">
        <v>45792</v>
      </c>
      <c r="D1166" t="inlineStr">
        <is>
          <t>SÖDERMANLANDS LÄN</t>
        </is>
      </c>
      <c r="E1166" t="inlineStr">
        <is>
          <t>FLEN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45792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45792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22998-2025</t>
        </is>
      </c>
      <c r="B1169" s="1" t="n">
        <v>45790</v>
      </c>
      <c r="C1169" s="1" t="n">
        <v>45792</v>
      </c>
      <c r="D1169" t="inlineStr">
        <is>
          <t>SÖDERMANLANDS LÄN</t>
        </is>
      </c>
      <c r="E1169" t="inlineStr">
        <is>
          <t>FLEN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45792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45792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23218-2025</t>
        </is>
      </c>
      <c r="B1172" s="1" t="n">
        <v>45791</v>
      </c>
      <c r="C1172" s="1" t="n">
        <v>45792</v>
      </c>
      <c r="D1172" t="inlineStr">
        <is>
          <t>SÖDERMANLANDS LÄN</t>
        </is>
      </c>
      <c r="E1172" t="inlineStr">
        <is>
          <t>FLEN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23222-2025</t>
        </is>
      </c>
      <c r="B1173" s="1" t="n">
        <v>45791</v>
      </c>
      <c r="C1173" s="1" t="n">
        <v>45792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2025-05-15T16:45:39Z</dcterms:created>
  <dcterms:modified xmlns:dcterms="http://purl.org/dc/terms/" xmlns:xsi="http://www.w3.org/2001/XMLSchema-instance" xsi:type="dcterms:W3CDTF">2025-05-15T16:45:40Z</dcterms:modified>
</cp:coreProperties>
</file>