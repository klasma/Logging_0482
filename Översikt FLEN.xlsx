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45781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45781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45781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45781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45781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45781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45781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45781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45781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45781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45781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45781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45781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45781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45781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45781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45781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45781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45781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45781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45781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45781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45781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45781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45781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45781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45781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45781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45781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45781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45781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45781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45781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45781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45781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45781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45781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45781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45781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45781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45781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45781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45781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45781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45781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45781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45781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45781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45781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45781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45781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45781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45781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45781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45781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45781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45781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45781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45781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45781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45781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45781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45781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45781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45781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45781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45781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45781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45781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45781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45781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45781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45781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45781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45781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45781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45781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45781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45781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45781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45781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45781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45781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45781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45781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45781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45781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45781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45781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45781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45781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45781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45781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45781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45781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45781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45781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45781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45781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45781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45781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45781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45781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45781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45781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45781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45781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45781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45781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37317-2023</t>
        </is>
      </c>
      <c r="B111" s="1" t="n">
        <v>45156</v>
      </c>
      <c r="C111" s="1" t="n">
        <v>45781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HYPERLINK("https://klasma.github.io/Logging_0482/artfynd/A 37317-2023 artfynd.xlsx", "A 37317-2023")</f>
        <v/>
      </c>
      <c r="T111">
        <f>HYPERLINK("https://klasma.github.io/Logging_0482/kartor/A 37317-2023 karta.png", "A 37317-2023")</f>
        <v/>
      </c>
      <c r="V111">
        <f>HYPERLINK("https://klasma.github.io/Logging_0482/klagomål/A 37317-2023 FSC-klagomål.docx", "A 37317-2023")</f>
        <v/>
      </c>
      <c r="W111">
        <f>HYPERLINK("https://klasma.github.io/Logging_0482/klagomålsmail/A 37317-2023 FSC-klagomål mail.docx", "A 37317-2023")</f>
        <v/>
      </c>
      <c r="X111">
        <f>HYPERLINK("https://klasma.github.io/Logging_0482/tillsyn/A 37317-2023 tillsynsbegäran.docx", "A 37317-2023")</f>
        <v/>
      </c>
      <c r="Y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39240-2023</t>
        </is>
      </c>
      <c r="B112" s="1" t="n">
        <v>45166</v>
      </c>
      <c r="C112" s="1" t="n">
        <v>45781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4.6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Blodticka</t>
        </is>
      </c>
      <c r="S112">
        <f>HYPERLINK("https://klasma.github.io/Logging_0482/artfynd/A 39240-2023 artfynd.xlsx", "A 39240-2023")</f>
        <v/>
      </c>
      <c r="T112">
        <f>HYPERLINK("https://klasma.github.io/Logging_0482/kartor/A 39240-2023 karta.png", "A 39240-2023")</f>
        <v/>
      </c>
      <c r="V112">
        <f>HYPERLINK("https://klasma.github.io/Logging_0482/klagomål/A 39240-2023 FSC-klagomål.docx", "A 39240-2023")</f>
        <v/>
      </c>
      <c r="W112">
        <f>HYPERLINK("https://klasma.github.io/Logging_0482/klagomålsmail/A 39240-2023 FSC-klagomål mail.docx", "A 39240-2023")</f>
        <v/>
      </c>
      <c r="X112">
        <f>HYPERLINK("https://klasma.github.io/Logging_0482/tillsyn/A 39240-2023 tillsynsbegäran.docx", "A 39240-2023")</f>
        <v/>
      </c>
      <c r="Y112">
        <f>HYPERLINK("https://klasma.github.io/Logging_0482/tillsynsmail/A 39240-2023 tillsynsbegäran mail.docx", "A 39240-2023")</f>
        <v/>
      </c>
    </row>
    <row r="113" ht="15" customHeight="1">
      <c r="A113" t="inlineStr">
        <is>
          <t>A 44476-2023</t>
        </is>
      </c>
      <c r="B113" s="1" t="n">
        <v>45189</v>
      </c>
      <c r="C113" s="1" t="n">
        <v>45781</v>
      </c>
      <c r="D113" t="inlineStr">
        <is>
          <t>SÖDERMANLANDS LÄN</t>
        </is>
      </c>
      <c r="E113" t="inlineStr">
        <is>
          <t>FLEN</t>
        </is>
      </c>
      <c r="G113" t="n">
        <v>3.2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44476-2023 artfynd.xlsx", "A 44476-2023")</f>
        <v/>
      </c>
      <c r="T113">
        <f>HYPERLINK("https://klasma.github.io/Logging_0482/kartor/A 44476-2023 karta.png", "A 44476-2023")</f>
        <v/>
      </c>
      <c r="V113">
        <f>HYPERLINK("https://klasma.github.io/Logging_0482/klagomål/A 44476-2023 FSC-klagomål.docx", "A 44476-2023")</f>
        <v/>
      </c>
      <c r="W113">
        <f>HYPERLINK("https://klasma.github.io/Logging_0482/klagomålsmail/A 44476-2023 FSC-klagomål mail.docx", "A 44476-2023")</f>
        <v/>
      </c>
      <c r="X113">
        <f>HYPERLINK("https://klasma.github.io/Logging_0482/tillsyn/A 44476-2023 tillsynsbegäran.docx", "A 44476-2023")</f>
        <v/>
      </c>
      <c r="Y113">
        <f>HYPERLINK("https://klasma.github.io/Logging_0482/tillsynsmail/A 44476-2023 tillsynsbegäran mail.docx", "A 44476-2023")</f>
        <v/>
      </c>
    </row>
    <row r="114" ht="15" customHeight="1">
      <c r="A114" t="inlineStr">
        <is>
          <t>A 48896-2023</t>
        </is>
      </c>
      <c r="B114" s="1" t="n">
        <v>45209</v>
      </c>
      <c r="C114" s="1" t="n">
        <v>45781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6.6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48896-2023 artfynd.xlsx", "A 48896-2023")</f>
        <v/>
      </c>
      <c r="T114">
        <f>HYPERLINK("https://klasma.github.io/Logging_0482/kartor/A 48896-2023 karta.png", "A 48896-2023")</f>
        <v/>
      </c>
      <c r="V114">
        <f>HYPERLINK("https://klasma.github.io/Logging_0482/klagomål/A 48896-2023 FSC-klagomål.docx", "A 48896-2023")</f>
        <v/>
      </c>
      <c r="W114">
        <f>HYPERLINK("https://klasma.github.io/Logging_0482/klagomålsmail/A 48896-2023 FSC-klagomål mail.docx", "A 48896-2023")</f>
        <v/>
      </c>
      <c r="X114">
        <f>HYPERLINK("https://klasma.github.io/Logging_0482/tillsyn/A 48896-2023 tillsynsbegäran.docx", "A 48896-2023")</f>
        <v/>
      </c>
      <c r="Y114">
        <f>HYPERLINK("https://klasma.github.io/Logging_0482/tillsynsmail/A 48896-2023 tillsynsbegäran mail.docx", "A 48896-2023")</f>
        <v/>
      </c>
    </row>
    <row r="115" ht="15" customHeight="1">
      <c r="A115" t="inlineStr">
        <is>
          <t>A 49808-2023</t>
        </is>
      </c>
      <c r="B115" s="1" t="n">
        <v>45212</v>
      </c>
      <c r="C115" s="1" t="n">
        <v>45781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12.3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49808-2023 artfynd.xlsx", "A 49808-2023")</f>
        <v/>
      </c>
      <c r="T115">
        <f>HYPERLINK("https://klasma.github.io/Logging_0482/kartor/A 49808-2023 karta.png", "A 49808-2023")</f>
        <v/>
      </c>
      <c r="V115">
        <f>HYPERLINK("https://klasma.github.io/Logging_0482/klagomål/A 49808-2023 FSC-klagomål.docx", "A 49808-2023")</f>
        <v/>
      </c>
      <c r="W115">
        <f>HYPERLINK("https://klasma.github.io/Logging_0482/klagomålsmail/A 49808-2023 FSC-klagomål mail.docx", "A 49808-2023")</f>
        <v/>
      </c>
      <c r="X115">
        <f>HYPERLINK("https://klasma.github.io/Logging_0482/tillsyn/A 49808-2023 tillsynsbegäran.docx", "A 49808-2023")</f>
        <v/>
      </c>
      <c r="Y115">
        <f>HYPERLINK("https://klasma.github.io/Logging_0482/tillsynsmail/A 49808-2023 tillsynsbegäran mail.docx", "A 49808-2023")</f>
        <v/>
      </c>
    </row>
    <row r="116" ht="15" customHeight="1">
      <c r="A116" t="inlineStr">
        <is>
          <t>A 53339-2023</t>
        </is>
      </c>
      <c r="B116" s="1" t="n">
        <v>45222</v>
      </c>
      <c r="C116" s="1" t="n">
        <v>45781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HYPERLINK("https://klasma.github.io/Logging_0482/artfynd/A 53339-2023 artfynd.xlsx", "A 53339-2023")</f>
        <v/>
      </c>
      <c r="T116">
        <f>HYPERLINK("https://klasma.github.io/Logging_0482/kartor/A 53339-2023 karta.png", "A 53339-2023")</f>
        <v/>
      </c>
      <c r="V116">
        <f>HYPERLINK("https://klasma.github.io/Logging_0482/klagomål/A 53339-2023 FSC-klagomål.docx", "A 53339-2023")</f>
        <v/>
      </c>
      <c r="W116">
        <f>HYPERLINK("https://klasma.github.io/Logging_0482/klagomålsmail/A 53339-2023 FSC-klagomål mail.docx", "A 53339-2023")</f>
        <v/>
      </c>
      <c r="X116">
        <f>HYPERLINK("https://klasma.github.io/Logging_0482/tillsyn/A 53339-2023 tillsynsbegäran.docx", "A 53339-2023")</f>
        <v/>
      </c>
      <c r="Y116">
        <f>HYPERLINK("https://klasma.github.io/Logging_0482/tillsynsmail/A 53339-2023 tillsynsbegäran mail.docx", "A 53339-2023")</f>
        <v/>
      </c>
    </row>
    <row r="117" ht="15" customHeight="1">
      <c r="A117" t="inlineStr">
        <is>
          <t>A 4154-2024</t>
        </is>
      </c>
      <c r="B117" s="1" t="n">
        <v>45323</v>
      </c>
      <c r="C117" s="1" t="n">
        <v>45781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4154-2024 artfynd.xlsx", "A 4154-2024")</f>
        <v/>
      </c>
      <c r="T117">
        <f>HYPERLINK("https://klasma.github.io/Logging_0482/kartor/A 4154-2024 karta.png", "A 4154-2024")</f>
        <v/>
      </c>
      <c r="V117">
        <f>HYPERLINK("https://klasma.github.io/Logging_0482/klagomål/A 4154-2024 FSC-klagomål.docx", "A 4154-2024")</f>
        <v/>
      </c>
      <c r="W117">
        <f>HYPERLINK("https://klasma.github.io/Logging_0482/klagomålsmail/A 4154-2024 FSC-klagomål mail.docx", "A 4154-2024")</f>
        <v/>
      </c>
      <c r="X117">
        <f>HYPERLINK("https://klasma.github.io/Logging_0482/tillsyn/A 4154-2024 tillsynsbegäran.docx", "A 4154-2024")</f>
        <v/>
      </c>
      <c r="Y117">
        <f>HYPERLINK("https://klasma.github.io/Logging_0482/tillsynsmail/A 4154-2024 tillsynsbegäran mail.docx", "A 4154-2024")</f>
        <v/>
      </c>
    </row>
    <row r="118" ht="15" customHeight="1">
      <c r="A118" t="inlineStr">
        <is>
          <t>A 7973-2024</t>
        </is>
      </c>
      <c r="B118" s="1" t="n">
        <v>45350</v>
      </c>
      <c r="C118" s="1" t="n">
        <v>45781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7973-2024 artfynd.xlsx", "A 7973-2024")</f>
        <v/>
      </c>
      <c r="T118">
        <f>HYPERLINK("https://klasma.github.io/Logging_0482/kartor/A 7973-2024 karta.png", "A 7973-2024")</f>
        <v/>
      </c>
      <c r="V118">
        <f>HYPERLINK("https://klasma.github.io/Logging_0482/klagomål/A 7973-2024 FSC-klagomål.docx", "A 7973-2024")</f>
        <v/>
      </c>
      <c r="W118">
        <f>HYPERLINK("https://klasma.github.io/Logging_0482/klagomålsmail/A 7973-2024 FSC-klagomål mail.docx", "A 7973-2024")</f>
        <v/>
      </c>
      <c r="X118">
        <f>HYPERLINK("https://klasma.github.io/Logging_0482/tillsyn/A 7973-2024 tillsynsbegäran.docx", "A 7973-2024")</f>
        <v/>
      </c>
      <c r="Y118">
        <f>HYPERLINK("https://klasma.github.io/Logging_0482/tillsynsmail/A 7973-2024 tillsynsbegäran mail.docx", "A 7973-2024")</f>
        <v/>
      </c>
    </row>
    <row r="119" ht="15" customHeight="1">
      <c r="A119" t="inlineStr">
        <is>
          <t>A 12056-2024</t>
        </is>
      </c>
      <c r="B119" s="1" t="n">
        <v>45377</v>
      </c>
      <c r="C119" s="1" t="n">
        <v>45781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HYPERLINK("https://klasma.github.io/Logging_0482/artfynd/A 12056-2024 artfynd.xlsx", "A 12056-2024")</f>
        <v/>
      </c>
      <c r="T119">
        <f>HYPERLINK("https://klasma.github.io/Logging_0482/kartor/A 12056-2024 karta.png", "A 12056-2024")</f>
        <v/>
      </c>
      <c r="V119">
        <f>HYPERLINK("https://klasma.github.io/Logging_0482/klagomål/A 12056-2024 FSC-klagomål.docx", "A 12056-2024")</f>
        <v/>
      </c>
      <c r="W119">
        <f>HYPERLINK("https://klasma.github.io/Logging_0482/klagomålsmail/A 12056-2024 FSC-klagomål mail.docx", "A 12056-2024")</f>
        <v/>
      </c>
      <c r="X119">
        <f>HYPERLINK("https://klasma.github.io/Logging_0482/tillsyn/A 12056-2024 tillsynsbegäran.docx", "A 12056-2024")</f>
        <v/>
      </c>
      <c r="Y119">
        <f>HYPERLINK("https://klasma.github.io/Logging_0482/tillsynsmail/A 12056-2024 tillsynsbegäran mail.docx", "A 12056-2024")</f>
        <v/>
      </c>
    </row>
    <row r="120" ht="15" customHeight="1">
      <c r="A120" t="inlineStr">
        <is>
          <t>A 14854-2024</t>
        </is>
      </c>
      <c r="B120" s="1" t="n">
        <v>45398</v>
      </c>
      <c r="C120" s="1" t="n">
        <v>45781</v>
      </c>
      <c r="D120" t="inlineStr">
        <is>
          <t>SÖDERMANLANDS LÄN</t>
        </is>
      </c>
      <c r="E120" t="inlineStr">
        <is>
          <t>FLEN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14854-2024 artfynd.xlsx", "A 14854-2024")</f>
        <v/>
      </c>
      <c r="T120">
        <f>HYPERLINK("https://klasma.github.io/Logging_0482/kartor/A 14854-2024 karta.png", "A 14854-2024")</f>
        <v/>
      </c>
      <c r="V120">
        <f>HYPERLINK("https://klasma.github.io/Logging_0482/klagomål/A 14854-2024 FSC-klagomål.docx", "A 14854-2024")</f>
        <v/>
      </c>
      <c r="W120">
        <f>HYPERLINK("https://klasma.github.io/Logging_0482/klagomålsmail/A 14854-2024 FSC-klagomål mail.docx", "A 14854-2024")</f>
        <v/>
      </c>
      <c r="X120">
        <f>HYPERLINK("https://klasma.github.io/Logging_0482/tillsyn/A 14854-2024 tillsynsbegäran.docx", "A 14854-2024")</f>
        <v/>
      </c>
      <c r="Y120">
        <f>HYPERLINK("https://klasma.github.io/Logging_0482/tillsynsmail/A 14854-2024 tillsynsbegäran mail.docx", "A 14854-2024")</f>
        <v/>
      </c>
    </row>
    <row r="121" ht="15" customHeight="1">
      <c r="A121" t="inlineStr">
        <is>
          <t>A 28779-2024</t>
        </is>
      </c>
      <c r="B121" s="1" t="n">
        <v>45478</v>
      </c>
      <c r="C121" s="1" t="n">
        <v>45781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28779-2024 artfynd.xlsx", "A 28779-2024")</f>
        <v/>
      </c>
      <c r="T121">
        <f>HYPERLINK("https://klasma.github.io/Logging_0482/kartor/A 28779-2024 karta.png", "A 28779-2024")</f>
        <v/>
      </c>
      <c r="V121">
        <f>HYPERLINK("https://klasma.github.io/Logging_0482/klagomål/A 28779-2024 FSC-klagomål.docx", "A 28779-2024")</f>
        <v/>
      </c>
      <c r="W121">
        <f>HYPERLINK("https://klasma.github.io/Logging_0482/klagomålsmail/A 28779-2024 FSC-klagomål mail.docx", "A 28779-2024")</f>
        <v/>
      </c>
      <c r="X121">
        <f>HYPERLINK("https://klasma.github.io/Logging_0482/tillsyn/A 28779-2024 tillsynsbegäran.docx", "A 28779-2024")</f>
        <v/>
      </c>
      <c r="Y121">
        <f>HYPERLINK("https://klasma.github.io/Logging_0482/tillsynsmail/A 28779-2024 tillsynsbegäran mail.docx", "A 28779-2024")</f>
        <v/>
      </c>
    </row>
    <row r="122" ht="15" customHeight="1">
      <c r="A122" t="inlineStr">
        <is>
          <t>A 33216-2024</t>
        </is>
      </c>
      <c r="B122" s="1" t="n">
        <v>45518</v>
      </c>
      <c r="C122" s="1" t="n">
        <v>45781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HYPERLINK("https://klasma.github.io/Logging_0482/artfynd/A 33216-2024 artfynd.xlsx", "A 33216-2024")</f>
        <v/>
      </c>
      <c r="T122">
        <f>HYPERLINK("https://klasma.github.io/Logging_0482/kartor/A 33216-2024 karta.png", "A 33216-2024")</f>
        <v/>
      </c>
      <c r="V122">
        <f>HYPERLINK("https://klasma.github.io/Logging_0482/klagomål/A 33216-2024 FSC-klagomål.docx", "A 33216-2024")</f>
        <v/>
      </c>
      <c r="W122">
        <f>HYPERLINK("https://klasma.github.io/Logging_0482/klagomålsmail/A 33216-2024 FSC-klagomål mail.docx", "A 33216-2024")</f>
        <v/>
      </c>
      <c r="X122">
        <f>HYPERLINK("https://klasma.github.io/Logging_0482/tillsyn/A 33216-2024 tillsynsbegäran.docx", "A 33216-2024")</f>
        <v/>
      </c>
      <c r="Y122">
        <f>HYPERLINK("https://klasma.github.io/Logging_0482/tillsynsmail/A 33216-2024 tillsynsbegäran mail.docx", "A 33216-2024")</f>
        <v/>
      </c>
    </row>
    <row r="123" ht="15" customHeight="1">
      <c r="A123" t="inlineStr">
        <is>
          <t>A 37282-2024</t>
        </is>
      </c>
      <c r="B123" s="1" t="n">
        <v>45540</v>
      </c>
      <c r="C123" s="1" t="n">
        <v>45781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37282-2024 artfynd.xlsx", "A 37282-2024")</f>
        <v/>
      </c>
      <c r="T123">
        <f>HYPERLINK("https://klasma.github.io/Logging_0482/kartor/A 37282-2024 karta.png", "A 37282-2024")</f>
        <v/>
      </c>
      <c r="V123">
        <f>HYPERLINK("https://klasma.github.io/Logging_0482/klagomål/A 37282-2024 FSC-klagomål.docx", "A 37282-2024")</f>
        <v/>
      </c>
      <c r="W123">
        <f>HYPERLINK("https://klasma.github.io/Logging_0482/klagomålsmail/A 37282-2024 FSC-klagomål mail.docx", "A 37282-2024")</f>
        <v/>
      </c>
      <c r="X123">
        <f>HYPERLINK("https://klasma.github.io/Logging_0482/tillsyn/A 37282-2024 tillsynsbegäran.docx", "A 37282-2024")</f>
        <v/>
      </c>
      <c r="Y123">
        <f>HYPERLINK("https://klasma.github.io/Logging_0482/tillsynsmail/A 37282-2024 tillsynsbegäran mail.docx", "A 37282-2024")</f>
        <v/>
      </c>
    </row>
    <row r="124" ht="15" customHeight="1">
      <c r="A124" t="inlineStr">
        <is>
          <t>A 37284-2024</t>
        </is>
      </c>
      <c r="B124" s="1" t="n">
        <v>45540</v>
      </c>
      <c r="C124" s="1" t="n">
        <v>45781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HYPERLINK("https://klasma.github.io/Logging_0482/artfynd/A 37284-2024 artfynd.xlsx", "A 37284-2024")</f>
        <v/>
      </c>
      <c r="T124">
        <f>HYPERLINK("https://klasma.github.io/Logging_0482/kartor/A 37284-2024 karta.png", "A 37284-2024")</f>
        <v/>
      </c>
      <c r="V124">
        <f>HYPERLINK("https://klasma.github.io/Logging_0482/klagomål/A 37284-2024 FSC-klagomål.docx", "A 37284-2024")</f>
        <v/>
      </c>
      <c r="W124">
        <f>HYPERLINK("https://klasma.github.io/Logging_0482/klagomålsmail/A 37284-2024 FSC-klagomål mail.docx", "A 37284-2024")</f>
        <v/>
      </c>
      <c r="X124">
        <f>HYPERLINK("https://klasma.github.io/Logging_0482/tillsyn/A 37284-2024 tillsynsbegäran.docx", "A 37284-2024")</f>
        <v/>
      </c>
      <c r="Y124">
        <f>HYPERLINK("https://klasma.github.io/Logging_0482/tillsynsmail/A 37284-2024 tillsynsbegäran mail.docx", "A 37284-2024")</f>
        <v/>
      </c>
    </row>
    <row r="125" ht="15" customHeight="1">
      <c r="A125" t="inlineStr">
        <is>
          <t>A 40820-2024</t>
        </is>
      </c>
      <c r="B125" s="1" t="n">
        <v>45558</v>
      </c>
      <c r="C125" s="1" t="n">
        <v>45781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40820-2024 artfynd.xlsx", "A 40820-2024")</f>
        <v/>
      </c>
      <c r="T125">
        <f>HYPERLINK("https://klasma.github.io/Logging_0482/kartor/A 40820-2024 karta.png", "A 40820-2024")</f>
        <v/>
      </c>
      <c r="U125">
        <f>HYPERLINK("https://klasma.github.io/Logging_0482/knärot/A 40820-2024 karta knärot.png", "A 40820-2024")</f>
        <v/>
      </c>
      <c r="V125">
        <f>HYPERLINK("https://klasma.github.io/Logging_0482/klagomål/A 40820-2024 FSC-klagomål.docx", "A 40820-2024")</f>
        <v/>
      </c>
      <c r="W125">
        <f>HYPERLINK("https://klasma.github.io/Logging_0482/klagomålsmail/A 40820-2024 FSC-klagomål mail.docx", "A 40820-2024")</f>
        <v/>
      </c>
      <c r="X125">
        <f>HYPERLINK("https://klasma.github.io/Logging_0482/tillsyn/A 40820-2024 tillsynsbegäran.docx", "A 40820-2024")</f>
        <v/>
      </c>
      <c r="Y125">
        <f>HYPERLINK("https://klasma.github.io/Logging_0482/tillsynsmail/A 40820-2024 tillsynsbegäran mail.docx", "A 40820-2024")</f>
        <v/>
      </c>
    </row>
    <row r="126" ht="15" customHeight="1">
      <c r="A126" t="inlineStr">
        <is>
          <t>A 45718-2024</t>
        </is>
      </c>
      <c r="B126" s="1" t="n">
        <v>45579</v>
      </c>
      <c r="C126" s="1" t="n">
        <v>45781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45718-2024 artfynd.xlsx", "A 45718-2024")</f>
        <v/>
      </c>
      <c r="T126">
        <f>HYPERLINK("https://klasma.github.io/Logging_0482/kartor/A 45718-2024 karta.png", "A 45718-2024")</f>
        <v/>
      </c>
      <c r="U126">
        <f>HYPERLINK("https://klasma.github.io/Logging_0482/knärot/A 45718-2024 karta knärot.png", "A 45718-2024")</f>
        <v/>
      </c>
      <c r="V126">
        <f>HYPERLINK("https://klasma.github.io/Logging_0482/klagomål/A 45718-2024 FSC-klagomål.docx", "A 45718-2024")</f>
        <v/>
      </c>
      <c r="W126">
        <f>HYPERLINK("https://klasma.github.io/Logging_0482/klagomålsmail/A 45718-2024 FSC-klagomål mail.docx", "A 45718-2024")</f>
        <v/>
      </c>
      <c r="X126">
        <f>HYPERLINK("https://klasma.github.io/Logging_0482/tillsyn/A 45718-2024 tillsynsbegäran.docx", "A 45718-2024")</f>
        <v/>
      </c>
      <c r="Y126">
        <f>HYPERLINK("https://klasma.github.io/Logging_0482/tillsynsmail/A 45718-2024 tillsynsbegäran mail.docx", "A 45718-2024")</f>
        <v/>
      </c>
    </row>
    <row r="127" ht="15" customHeight="1">
      <c r="A127" t="inlineStr">
        <is>
          <t>A 57251-2024</t>
        </is>
      </c>
      <c r="B127" s="1" t="n">
        <v>45629</v>
      </c>
      <c r="C127" s="1" t="n">
        <v>45781</v>
      </c>
      <c r="D127" t="inlineStr">
        <is>
          <t>SÖDERMANLANDS LÄN</t>
        </is>
      </c>
      <c r="E127" t="inlineStr">
        <is>
          <t>FLEN</t>
        </is>
      </c>
      <c r="G127" t="n">
        <v>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57251-2024 artfynd.xlsx", "A 57251-2024")</f>
        <v/>
      </c>
      <c r="T127">
        <f>HYPERLINK("https://klasma.github.io/Logging_0482/kartor/A 57251-2024 karta.png", "A 57251-2024")</f>
        <v/>
      </c>
      <c r="V127">
        <f>HYPERLINK("https://klasma.github.io/Logging_0482/klagomål/A 57251-2024 FSC-klagomål.docx", "A 57251-2024")</f>
        <v/>
      </c>
      <c r="W127">
        <f>HYPERLINK("https://klasma.github.io/Logging_0482/klagomålsmail/A 57251-2024 FSC-klagomål mail.docx", "A 57251-2024")</f>
        <v/>
      </c>
      <c r="X127">
        <f>HYPERLINK("https://klasma.github.io/Logging_0482/tillsyn/A 57251-2024 tillsynsbegäran.docx", "A 57251-2024")</f>
        <v/>
      </c>
      <c r="Y127">
        <f>HYPERLINK("https://klasma.github.io/Logging_0482/tillsynsmail/A 57251-2024 tillsynsbegäran mail.docx", "A 57251-2024")</f>
        <v/>
      </c>
    </row>
    <row r="128" ht="15" customHeight="1">
      <c r="A128" t="inlineStr">
        <is>
          <t>A 60529-2024</t>
        </is>
      </c>
      <c r="B128" s="1" t="n">
        <v>45643</v>
      </c>
      <c r="C128" s="1" t="n">
        <v>45781</v>
      </c>
      <c r="D128" t="inlineStr">
        <is>
          <t>SÖDERMANLANDS LÄN</t>
        </is>
      </c>
      <c r="E128" t="inlineStr">
        <is>
          <t>FLEN</t>
        </is>
      </c>
      <c r="G128" t="n">
        <v>2.5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HYPERLINK("https://klasma.github.io/Logging_0482/artfynd/A 60529-2024 artfynd.xlsx", "A 60529-2024")</f>
        <v/>
      </c>
      <c r="T128">
        <f>HYPERLINK("https://klasma.github.io/Logging_0482/kartor/A 60529-2024 karta.png", "A 60529-2024")</f>
        <v/>
      </c>
      <c r="V128">
        <f>HYPERLINK("https://klasma.github.io/Logging_0482/klagomål/A 60529-2024 FSC-klagomål.docx", "A 60529-2024")</f>
        <v/>
      </c>
      <c r="W128">
        <f>HYPERLINK("https://klasma.github.io/Logging_0482/klagomålsmail/A 60529-2024 FSC-klagomål mail.docx", "A 60529-2024")</f>
        <v/>
      </c>
      <c r="X128">
        <f>HYPERLINK("https://klasma.github.io/Logging_0482/tillsyn/A 60529-2024 tillsynsbegäran.docx", "A 60529-2024")</f>
        <v/>
      </c>
      <c r="Y128">
        <f>HYPERLINK("https://klasma.github.io/Logging_0482/tillsynsmail/A 60529-2024 tillsynsbegäran mail.docx", "A 60529-2024")</f>
        <v/>
      </c>
    </row>
    <row r="129" ht="15" customHeight="1">
      <c r="A129" t="inlineStr">
        <is>
          <t>A 1148-2025</t>
        </is>
      </c>
      <c r="B129" s="1" t="n">
        <v>45666</v>
      </c>
      <c r="C129" s="1" t="n">
        <v>45781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HYPERLINK("https://klasma.github.io/Logging_0482/artfynd/A 1148-2025 artfynd.xlsx", "A 1148-2025")</f>
        <v/>
      </c>
      <c r="T129">
        <f>HYPERLINK("https://klasma.github.io/Logging_0482/kartor/A 1148-2025 karta.png", "A 1148-2025")</f>
        <v/>
      </c>
      <c r="V129">
        <f>HYPERLINK("https://klasma.github.io/Logging_0482/klagomål/A 1148-2025 FSC-klagomål.docx", "A 1148-2025")</f>
        <v/>
      </c>
      <c r="W129">
        <f>HYPERLINK("https://klasma.github.io/Logging_0482/klagomålsmail/A 1148-2025 FSC-klagomål mail.docx", "A 1148-2025")</f>
        <v/>
      </c>
      <c r="X129">
        <f>HYPERLINK("https://klasma.github.io/Logging_0482/tillsyn/A 1148-2025 tillsynsbegäran.docx", "A 1148-2025")</f>
        <v/>
      </c>
      <c r="Y129">
        <f>HYPERLINK("https://klasma.github.io/Logging_0482/tillsynsmail/A 1148-2025 tillsynsbegäran mail.docx", "A 1148-2025")</f>
        <v/>
      </c>
    </row>
    <row r="130" ht="15" customHeight="1">
      <c r="A130" t="inlineStr">
        <is>
          <t>A 9066-2025</t>
        </is>
      </c>
      <c r="B130" s="1" t="n">
        <v>45713</v>
      </c>
      <c r="C130" s="1" t="n">
        <v>45781</v>
      </c>
      <c r="D130" t="inlineStr">
        <is>
          <t>SÖDERMANLANDS LÄN</t>
        </is>
      </c>
      <c r="E130" t="inlineStr">
        <is>
          <t>FLEN</t>
        </is>
      </c>
      <c r="G130" t="n">
        <v>4.5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Gullklöver</t>
        </is>
      </c>
      <c r="S130">
        <f>HYPERLINK("https://klasma.github.io/Logging_0482/artfynd/A 9066-2025 artfynd.xlsx", "A 9066-2025")</f>
        <v/>
      </c>
      <c r="T130">
        <f>HYPERLINK("https://klasma.github.io/Logging_0482/kartor/A 9066-2025 karta.png", "A 9066-2025")</f>
        <v/>
      </c>
      <c r="V130">
        <f>HYPERLINK("https://klasma.github.io/Logging_0482/klagomål/A 9066-2025 FSC-klagomål.docx", "A 9066-2025")</f>
        <v/>
      </c>
      <c r="W130">
        <f>HYPERLINK("https://klasma.github.io/Logging_0482/klagomålsmail/A 9066-2025 FSC-klagomål mail.docx", "A 9066-2025")</f>
        <v/>
      </c>
      <c r="X130">
        <f>HYPERLINK("https://klasma.github.io/Logging_0482/tillsyn/A 9066-2025 tillsynsbegäran.docx", "A 9066-2025")</f>
        <v/>
      </c>
      <c r="Y130">
        <f>HYPERLINK("https://klasma.github.io/Logging_0482/tillsynsmail/A 9066-2025 tillsynsbegäran mail.docx", "A 9066-2025")</f>
        <v/>
      </c>
    </row>
    <row r="131" ht="15" customHeight="1">
      <c r="A131" t="inlineStr">
        <is>
          <t>A 10828-2025</t>
        </is>
      </c>
      <c r="B131" s="1" t="n">
        <v>45722</v>
      </c>
      <c r="C131" s="1" t="n">
        <v>45781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3.7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HYPERLINK("https://klasma.github.io/Logging_040482/artfynd/A 10828-2025 artfynd.xlsx", "A 10828-2025")</f>
        <v/>
      </c>
      <c r="T131">
        <f>HYPERLINK("https://klasma.github.io/Logging_040482/kartor/A 10828-2025 karta.png", "A 10828-2025")</f>
        <v/>
      </c>
      <c r="V131">
        <f>HYPERLINK("https://klasma.github.io/Logging_040482/klagomål/A 10828-2025 FSC-klagomål.docx", "A 10828-2025")</f>
        <v/>
      </c>
      <c r="W131">
        <f>HYPERLINK("https://klasma.github.io/Logging_040482/klagomålsmail/A 10828-2025 FSC-klagomål mail.docx", "A 10828-2025")</f>
        <v/>
      </c>
      <c r="X131">
        <f>HYPERLINK("https://klasma.github.io/Logging_040482/tillsyn/A 10828-2025 tillsynsbegäran.docx", "A 10828-2025")</f>
        <v/>
      </c>
      <c r="Y131">
        <f>HYPERLINK("https://klasma.github.io/Logging_040482/tillsynsmail/A 10828-2025 tillsynsbegäran mail.docx", "A 10828-2025")</f>
        <v/>
      </c>
    </row>
    <row r="132" ht="15" customHeight="1">
      <c r="A132" t="inlineStr">
        <is>
          <t>A 14101-2025</t>
        </is>
      </c>
      <c r="B132" s="1" t="n">
        <v>45740</v>
      </c>
      <c r="C132" s="1" t="n">
        <v>45781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HYPERLINK("https://klasma.github.io/Logging_040482/artfynd/A 14101-2025 artfynd.xlsx", "A 14101-2025")</f>
        <v/>
      </c>
      <c r="T132">
        <f>HYPERLINK("https://klasma.github.io/Logging_040482/kartor/A 14101-2025 karta.png", "A 14101-2025")</f>
        <v/>
      </c>
      <c r="V132">
        <f>HYPERLINK("https://klasma.github.io/Logging_040482/klagomål/A 14101-2025 FSC-klagomål.docx", "A 14101-2025")</f>
        <v/>
      </c>
      <c r="W132">
        <f>HYPERLINK("https://klasma.github.io/Logging_040482/klagomålsmail/A 14101-2025 FSC-klagomål mail.docx", "A 14101-2025")</f>
        <v/>
      </c>
      <c r="X132">
        <f>HYPERLINK("https://klasma.github.io/Logging_040482/tillsyn/A 14101-2025 tillsynsbegäran.docx", "A 14101-2025")</f>
        <v/>
      </c>
      <c r="Y132">
        <f>HYPERLINK("https://klasma.github.io/Logging_040482/tillsynsmail/A 14101-2025 tillsynsbegäran mail.docx", "A 14101-2025")</f>
        <v/>
      </c>
    </row>
    <row r="133" ht="15" customHeight="1">
      <c r="A133" t="inlineStr">
        <is>
          <t>A 14273-2025</t>
        </is>
      </c>
      <c r="B133" s="1" t="n">
        <v>45740</v>
      </c>
      <c r="C133" s="1" t="n">
        <v>45781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Vedskivlav</t>
        </is>
      </c>
      <c r="S133">
        <f>HYPERLINK("https://klasma.github.io/Logging_040482/artfynd/A 14273-2025 artfynd.xlsx", "A 14273-2025")</f>
        <v/>
      </c>
      <c r="T133">
        <f>HYPERLINK("https://klasma.github.io/Logging_040482/kartor/A 14273-2025 karta.png", "A 14273-2025")</f>
        <v/>
      </c>
      <c r="V133">
        <f>HYPERLINK("https://klasma.github.io/Logging_040482/klagomål/A 14273-2025 FSC-klagomål.docx", "A 14273-2025")</f>
        <v/>
      </c>
      <c r="W133">
        <f>HYPERLINK("https://klasma.github.io/Logging_040482/klagomålsmail/A 14273-2025 FSC-klagomål mail.docx", "A 14273-2025")</f>
        <v/>
      </c>
      <c r="X133">
        <f>HYPERLINK("https://klasma.github.io/Logging_040482/tillsyn/A 14273-2025 tillsynsbegäran.docx", "A 14273-2025")</f>
        <v/>
      </c>
      <c r="Y133">
        <f>HYPERLINK("https://klasma.github.io/Logging_040482/tillsynsmail/A 14273-2025 tillsynsbegäran mail.docx", "A 14273-2025")</f>
        <v/>
      </c>
    </row>
    <row r="134" ht="15" customHeight="1">
      <c r="A134" t="inlineStr">
        <is>
          <t>A 14113-2025</t>
        </is>
      </c>
      <c r="B134" s="1" t="n">
        <v>45740</v>
      </c>
      <c r="C134" s="1" t="n">
        <v>45781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3.6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HYPERLINK("https://klasma.github.io/Logging_040482/artfynd/A 14113-2025 artfynd.xlsx", "A 14113-2025")</f>
        <v/>
      </c>
      <c r="T134">
        <f>HYPERLINK("https://klasma.github.io/Logging_040482/kartor/A 14113-2025 karta.png", "A 14113-2025")</f>
        <v/>
      </c>
      <c r="V134">
        <f>HYPERLINK("https://klasma.github.io/Logging_040482/klagomål/A 14113-2025 FSC-klagomål.docx", "A 14113-2025")</f>
        <v/>
      </c>
      <c r="W134">
        <f>HYPERLINK("https://klasma.github.io/Logging_040482/klagomålsmail/A 14113-2025 FSC-klagomål mail.docx", "A 14113-2025")</f>
        <v/>
      </c>
      <c r="X134">
        <f>HYPERLINK("https://klasma.github.io/Logging_040482/tillsyn/A 14113-2025 tillsynsbegäran.docx", "A 14113-2025")</f>
        <v/>
      </c>
      <c r="Y134">
        <f>HYPERLINK("https://klasma.github.io/Logging_040482/tillsynsmail/A 14113-2025 tillsynsbegäran mail.docx", "A 14113-2025")</f>
        <v/>
      </c>
    </row>
    <row r="135" ht="15" customHeight="1">
      <c r="A135" t="inlineStr">
        <is>
          <t>A 16831-2025</t>
        </is>
      </c>
      <c r="B135" s="1" t="n">
        <v>45754</v>
      </c>
      <c r="C135" s="1" t="n">
        <v>45781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6.6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HYPERLINK("https://klasma.github.io/Logging_040482/artfynd/A 16831-2025 artfynd.xlsx", "A 16831-2025")</f>
        <v/>
      </c>
      <c r="T135">
        <f>HYPERLINK("https://klasma.github.io/Logging_040482/kartor/A 16831-2025 karta.png", "A 16831-2025")</f>
        <v/>
      </c>
      <c r="V135">
        <f>HYPERLINK("https://klasma.github.io/Logging_040482/klagomål/A 16831-2025 FSC-klagomål.docx", "A 16831-2025")</f>
        <v/>
      </c>
      <c r="W135">
        <f>HYPERLINK("https://klasma.github.io/Logging_040482/klagomålsmail/A 16831-2025 FSC-klagomål mail.docx", "A 16831-2025")</f>
        <v/>
      </c>
      <c r="X135">
        <f>HYPERLINK("https://klasma.github.io/Logging_040482/tillsyn/A 16831-2025 tillsynsbegäran.docx", "A 16831-2025")</f>
        <v/>
      </c>
      <c r="Y135">
        <f>HYPERLINK("https://klasma.github.io/Logging_040482/tillsynsmail/A 16831-2025 tillsynsbegäran mail.docx", "A 16831-2025")</f>
        <v/>
      </c>
    </row>
    <row r="136" ht="15" customHeight="1">
      <c r="A136" t="inlineStr">
        <is>
          <t>A 18391-2019</t>
        </is>
      </c>
      <c r="B136" s="1" t="n">
        <v>43558</v>
      </c>
      <c r="C136" s="1" t="n">
        <v>45781</v>
      </c>
      <c r="D136" t="inlineStr">
        <is>
          <t>SÖDERMANLANDS LÄN</t>
        </is>
      </c>
      <c r="E136" t="inlineStr">
        <is>
          <t>FLEN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18543-2019</t>
        </is>
      </c>
      <c r="B137" s="1" t="n">
        <v>43558</v>
      </c>
      <c r="C137" s="1" t="n">
        <v>45781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18700-2019</t>
        </is>
      </c>
      <c r="B138" s="1" t="n">
        <v>43559</v>
      </c>
      <c r="C138" s="1" t="n">
        <v>45781</v>
      </c>
      <c r="D138" t="inlineStr">
        <is>
          <t>SÖDERMANLANDS LÄN</t>
        </is>
      </c>
      <c r="E138" t="inlineStr">
        <is>
          <t>FLEN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18688-2019</t>
        </is>
      </c>
      <c r="B139" s="1" t="n">
        <v>43559</v>
      </c>
      <c r="C139" s="1" t="n">
        <v>45781</v>
      </c>
      <c r="D139" t="inlineStr">
        <is>
          <t>SÖDERMANLANDS LÄN</t>
        </is>
      </c>
      <c r="E139" t="inlineStr">
        <is>
          <t>FLEN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18645-2019</t>
        </is>
      </c>
      <c r="B140" s="1" t="n">
        <v>43560</v>
      </c>
      <c r="C140" s="1" t="n">
        <v>45781</v>
      </c>
      <c r="D140" t="inlineStr">
        <is>
          <t>SÖDERMANLANDS LÄN</t>
        </is>
      </c>
      <c r="E140" t="inlineStr">
        <is>
          <t>FLEN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18824-2019</t>
        </is>
      </c>
      <c r="B141" s="1" t="n">
        <v>43560</v>
      </c>
      <c r="C141" s="1" t="n">
        <v>45781</v>
      </c>
      <c r="D141" t="inlineStr">
        <is>
          <t>SÖDERMANLANDS LÄN</t>
        </is>
      </c>
      <c r="E141" t="inlineStr">
        <is>
          <t>FLEN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19395-2019</t>
        </is>
      </c>
      <c r="B142" s="1" t="n">
        <v>43565</v>
      </c>
      <c r="C142" s="1" t="n">
        <v>45781</v>
      </c>
      <c r="D142" t="inlineStr">
        <is>
          <t>SÖDERMANLANDS LÄN</t>
        </is>
      </c>
      <c r="E142" t="inlineStr">
        <is>
          <t>FLEN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19834-2019</t>
        </is>
      </c>
      <c r="B143" s="1" t="n">
        <v>43567</v>
      </c>
      <c r="C143" s="1" t="n">
        <v>45781</v>
      </c>
      <c r="D143" t="inlineStr">
        <is>
          <t>SÖDERMANLANDS LÄN</t>
        </is>
      </c>
      <c r="E143" t="inlineStr">
        <is>
          <t>FLEN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20284-2019</t>
        </is>
      </c>
      <c r="B144" s="1" t="n">
        <v>43570</v>
      </c>
      <c r="C144" s="1" t="n">
        <v>45781</v>
      </c>
      <c r="D144" t="inlineStr">
        <is>
          <t>SÖDERMANLANDS LÄN</t>
        </is>
      </c>
      <c r="E144" t="inlineStr">
        <is>
          <t>FLEN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21920-2019</t>
        </is>
      </c>
      <c r="B145" s="1" t="n">
        <v>43584</v>
      </c>
      <c r="C145" s="1" t="n">
        <v>45781</v>
      </c>
      <c r="D145" t="inlineStr">
        <is>
          <t>SÖDERMANLANDS LÄN</t>
        </is>
      </c>
      <c r="E145" t="inlineStr">
        <is>
          <t>FLEN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28911-2019</t>
        </is>
      </c>
      <c r="B146" s="1" t="n">
        <v>43616</v>
      </c>
      <c r="C146" s="1" t="n">
        <v>45781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28058-2019</t>
        </is>
      </c>
      <c r="B147" s="1" t="n">
        <v>43621</v>
      </c>
      <c r="C147" s="1" t="n">
        <v>45781</v>
      </c>
      <c r="D147" t="inlineStr">
        <is>
          <t>SÖDERMANLANDS LÄN</t>
        </is>
      </c>
      <c r="E147" t="inlineStr">
        <is>
          <t>FLEN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29977-2019</t>
        </is>
      </c>
      <c r="B148" s="1" t="n">
        <v>43630</v>
      </c>
      <c r="C148" s="1" t="n">
        <v>45781</v>
      </c>
      <c r="D148" t="inlineStr">
        <is>
          <t>SÖDERMANLANDS LÄN</t>
        </is>
      </c>
      <c r="E148" t="inlineStr">
        <is>
          <t>FLEN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30492-2019</t>
        </is>
      </c>
      <c r="B149" s="1" t="n">
        <v>43635</v>
      </c>
      <c r="C149" s="1" t="n">
        <v>45781</v>
      </c>
      <c r="D149" t="inlineStr">
        <is>
          <t>SÖDERMANLANDS LÄN</t>
        </is>
      </c>
      <c r="E149" t="inlineStr">
        <is>
          <t>FLEN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30872-2019</t>
        </is>
      </c>
      <c r="B150" s="1" t="n">
        <v>43636</v>
      </c>
      <c r="C150" s="1" t="n">
        <v>45781</v>
      </c>
      <c r="D150" t="inlineStr">
        <is>
          <t>SÖDERMANLANDS LÄN</t>
        </is>
      </c>
      <c r="E150" t="inlineStr">
        <is>
          <t>FLEN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32070-2019</t>
        </is>
      </c>
      <c r="B151" s="1" t="n">
        <v>43643</v>
      </c>
      <c r="C151" s="1" t="n">
        <v>45781</v>
      </c>
      <c r="D151" t="inlineStr">
        <is>
          <t>SÖDERMANLANDS LÄN</t>
        </is>
      </c>
      <c r="E151" t="inlineStr">
        <is>
          <t>FLEN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45781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45781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35023-2019</t>
        </is>
      </c>
      <c r="B154" s="1" t="n">
        <v>43661</v>
      </c>
      <c r="C154" s="1" t="n">
        <v>45781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35086-2019</t>
        </is>
      </c>
      <c r="B155" s="1" t="n">
        <v>43661</v>
      </c>
      <c r="C155" s="1" t="n">
        <v>45781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35052-2019</t>
        </is>
      </c>
      <c r="B156" s="1" t="n">
        <v>43661</v>
      </c>
      <c r="C156" s="1" t="n">
        <v>45781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35182-2019</t>
        </is>
      </c>
      <c r="B157" s="1" t="n">
        <v>43661</v>
      </c>
      <c r="C157" s="1" t="n">
        <v>45781</v>
      </c>
      <c r="D157" t="inlineStr">
        <is>
          <t>SÖDERMANLANDS LÄN</t>
        </is>
      </c>
      <c r="E157" t="inlineStr">
        <is>
          <t>FLEN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35702-2019</t>
        </is>
      </c>
      <c r="B158" s="1" t="n">
        <v>43664</v>
      </c>
      <c r="C158" s="1" t="n">
        <v>45781</v>
      </c>
      <c r="D158" t="inlineStr">
        <is>
          <t>SÖDERMANLANDS LÄN</t>
        </is>
      </c>
      <c r="E158" t="inlineStr">
        <is>
          <t>FLEN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36152-2019</t>
        </is>
      </c>
      <c r="B159" s="1" t="n">
        <v>43668</v>
      </c>
      <c r="C159" s="1" t="n">
        <v>45781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36223-2019</t>
        </is>
      </c>
      <c r="B160" s="1" t="n">
        <v>43669</v>
      </c>
      <c r="C160" s="1" t="n">
        <v>45781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36612-2019</t>
        </is>
      </c>
      <c r="B161" s="1" t="n">
        <v>43669</v>
      </c>
      <c r="C161" s="1" t="n">
        <v>45781</v>
      </c>
      <c r="D161" t="inlineStr">
        <is>
          <t>SÖDERMANLANDS LÄN</t>
        </is>
      </c>
      <c r="E161" t="inlineStr">
        <is>
          <t>FLEN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36225-2019</t>
        </is>
      </c>
      <c r="B162" s="1" t="n">
        <v>43669</v>
      </c>
      <c r="C162" s="1" t="n">
        <v>45781</v>
      </c>
      <c r="D162" t="inlineStr">
        <is>
          <t>SÖDERMANLANDS LÄN</t>
        </is>
      </c>
      <c r="E162" t="inlineStr">
        <is>
          <t>FLEN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36619-2019</t>
        </is>
      </c>
      <c r="B163" s="1" t="n">
        <v>43669</v>
      </c>
      <c r="C163" s="1" t="n">
        <v>45781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36901-2019</t>
        </is>
      </c>
      <c r="B164" s="1" t="n">
        <v>43675</v>
      </c>
      <c r="C164" s="1" t="n">
        <v>45781</v>
      </c>
      <c r="D164" t="inlineStr">
        <is>
          <t>SÖDERMANLANDS LÄN</t>
        </is>
      </c>
      <c r="E164" t="inlineStr">
        <is>
          <t>FLEN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36978-2019</t>
        </is>
      </c>
      <c r="B165" s="1" t="n">
        <v>43676</v>
      </c>
      <c r="C165" s="1" t="n">
        <v>45781</v>
      </c>
      <c r="D165" t="inlineStr">
        <is>
          <t>SÖDERMANLANDS LÄN</t>
        </is>
      </c>
      <c r="E165" t="inlineStr">
        <is>
          <t>FLEN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36994-2019</t>
        </is>
      </c>
      <c r="B166" s="1" t="n">
        <v>43676</v>
      </c>
      <c r="C166" s="1" t="n">
        <v>45781</v>
      </c>
      <c r="D166" t="inlineStr">
        <is>
          <t>SÖDERMANLANDS LÄN</t>
        </is>
      </c>
      <c r="E166" t="inlineStr">
        <is>
          <t>FLEN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37337-2019</t>
        </is>
      </c>
      <c r="B167" s="1" t="n">
        <v>43678</v>
      </c>
      <c r="C167" s="1" t="n">
        <v>45781</v>
      </c>
      <c r="D167" t="inlineStr">
        <is>
          <t>SÖDERMANLANDS LÄN</t>
        </is>
      </c>
      <c r="E167" t="inlineStr">
        <is>
          <t>FLEN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37574-2019</t>
        </is>
      </c>
      <c r="B168" s="1" t="n">
        <v>43679</v>
      </c>
      <c r="C168" s="1" t="n">
        <v>45781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37560-2019</t>
        </is>
      </c>
      <c r="B169" s="1" t="n">
        <v>43679</v>
      </c>
      <c r="C169" s="1" t="n">
        <v>45781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37571-2019</t>
        </is>
      </c>
      <c r="B170" s="1" t="n">
        <v>43679</v>
      </c>
      <c r="C170" s="1" t="n">
        <v>45781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37572-2019</t>
        </is>
      </c>
      <c r="B171" s="1" t="n">
        <v>43679</v>
      </c>
      <c r="C171" s="1" t="n">
        <v>45781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37769-2019</t>
        </is>
      </c>
      <c r="B172" s="1" t="n">
        <v>43682</v>
      </c>
      <c r="C172" s="1" t="n">
        <v>45781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38241-2019</t>
        </is>
      </c>
      <c r="B173" s="1" t="n">
        <v>43684</v>
      </c>
      <c r="C173" s="1" t="n">
        <v>45781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38795-2019</t>
        </is>
      </c>
      <c r="B174" s="1" t="n">
        <v>43688</v>
      </c>
      <c r="C174" s="1" t="n">
        <v>45781</v>
      </c>
      <c r="D174" t="inlineStr">
        <is>
          <t>SÖDERMANLANDS LÄN</t>
        </is>
      </c>
      <c r="E174" t="inlineStr">
        <is>
          <t>FLEN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38796-2019</t>
        </is>
      </c>
      <c r="B175" s="1" t="n">
        <v>43688</v>
      </c>
      <c r="C175" s="1" t="n">
        <v>45781</v>
      </c>
      <c r="D175" t="inlineStr">
        <is>
          <t>SÖDERMANLANDS LÄN</t>
        </is>
      </c>
      <c r="E175" t="inlineStr">
        <is>
          <t>FLEN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39441-2019</t>
        </is>
      </c>
      <c r="B176" s="1" t="n">
        <v>43691</v>
      </c>
      <c r="C176" s="1" t="n">
        <v>45781</v>
      </c>
      <c r="D176" t="inlineStr">
        <is>
          <t>SÖDERMANLANDS LÄN</t>
        </is>
      </c>
      <c r="E176" t="inlineStr">
        <is>
          <t>FLEN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41114-2019</t>
        </is>
      </c>
      <c r="B177" s="1" t="n">
        <v>43691</v>
      </c>
      <c r="C177" s="1" t="n">
        <v>45781</v>
      </c>
      <c r="D177" t="inlineStr">
        <is>
          <t>SÖDERMANLANDS LÄN</t>
        </is>
      </c>
      <c r="E177" t="inlineStr">
        <is>
          <t>FLEN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40314-2019</t>
        </is>
      </c>
      <c r="B178" s="1" t="n">
        <v>43696</v>
      </c>
      <c r="C178" s="1" t="n">
        <v>45781</v>
      </c>
      <c r="D178" t="inlineStr">
        <is>
          <t>SÖDERMANLANDS LÄN</t>
        </is>
      </c>
      <c r="E178" t="inlineStr">
        <is>
          <t>FLEN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41847-2019</t>
        </is>
      </c>
      <c r="B179" s="1" t="n">
        <v>43697</v>
      </c>
      <c r="C179" s="1" t="n">
        <v>45781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46628-2019</t>
        </is>
      </c>
      <c r="B180" s="1" t="n">
        <v>43717</v>
      </c>
      <c r="C180" s="1" t="n">
        <v>45781</v>
      </c>
      <c r="D180" t="inlineStr">
        <is>
          <t>SÖDERMANLANDS LÄN</t>
        </is>
      </c>
      <c r="E180" t="inlineStr">
        <is>
          <t>FLEN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47345-2019</t>
        </is>
      </c>
      <c r="B181" s="1" t="n">
        <v>43721</v>
      </c>
      <c r="C181" s="1" t="n">
        <v>45781</v>
      </c>
      <c r="D181" t="inlineStr">
        <is>
          <t>SÖDERMANLANDS LÄN</t>
        </is>
      </c>
      <c r="E181" t="inlineStr">
        <is>
          <t>FLEN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48078-2019</t>
        </is>
      </c>
      <c r="B182" s="1" t="n">
        <v>43725</v>
      </c>
      <c r="C182" s="1" t="n">
        <v>45781</v>
      </c>
      <c r="D182" t="inlineStr">
        <is>
          <t>SÖDERMANLANDS LÄN</t>
        </is>
      </c>
      <c r="E182" t="inlineStr">
        <is>
          <t>FLEN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48240-2019</t>
        </is>
      </c>
      <c r="B183" s="1" t="n">
        <v>43726</v>
      </c>
      <c r="C183" s="1" t="n">
        <v>45781</v>
      </c>
      <c r="D183" t="inlineStr">
        <is>
          <t>SÖDERMANLANDS LÄN</t>
        </is>
      </c>
      <c r="E183" t="inlineStr">
        <is>
          <t>FLEN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49342-2019</t>
        </is>
      </c>
      <c r="B184" s="1" t="n">
        <v>43730</v>
      </c>
      <c r="C184" s="1" t="n">
        <v>45781</v>
      </c>
      <c r="D184" t="inlineStr">
        <is>
          <t>SÖDERMANLANDS LÄN</t>
        </is>
      </c>
      <c r="E184" t="inlineStr">
        <is>
          <t>FLEN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50710-2019</t>
        </is>
      </c>
      <c r="B185" s="1" t="n">
        <v>43738</v>
      </c>
      <c r="C185" s="1" t="n">
        <v>45781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51170-2019</t>
        </is>
      </c>
      <c r="B186" s="1" t="n">
        <v>43739</v>
      </c>
      <c r="C186" s="1" t="n">
        <v>45781</v>
      </c>
      <c r="D186" t="inlineStr">
        <is>
          <t>SÖDERMANLANDS LÄN</t>
        </is>
      </c>
      <c r="E186" t="inlineStr">
        <is>
          <t>FLEN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51738-2019</t>
        </is>
      </c>
      <c r="B187" s="1" t="n">
        <v>43740</v>
      </c>
      <c r="C187" s="1" t="n">
        <v>45781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54175-2019</t>
        </is>
      </c>
      <c r="B188" s="1" t="n">
        <v>43745</v>
      </c>
      <c r="C188" s="1" t="n">
        <v>45781</v>
      </c>
      <c r="D188" t="inlineStr">
        <is>
          <t>SÖDERMANLANDS LÄN</t>
        </is>
      </c>
      <c r="E188" t="inlineStr">
        <is>
          <t>FLEN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52871-2019</t>
        </is>
      </c>
      <c r="B189" s="1" t="n">
        <v>43746</v>
      </c>
      <c r="C189" s="1" t="n">
        <v>45781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54412-2019</t>
        </is>
      </c>
      <c r="B190" s="1" t="n">
        <v>43747</v>
      </c>
      <c r="C190" s="1" t="n">
        <v>45781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55088-2019</t>
        </is>
      </c>
      <c r="B191" s="1" t="n">
        <v>43752</v>
      </c>
      <c r="C191" s="1" t="n">
        <v>45781</v>
      </c>
      <c r="D191" t="inlineStr">
        <is>
          <t>SÖDERMANLANDS LÄN</t>
        </is>
      </c>
      <c r="E191" t="inlineStr">
        <is>
          <t>FLEN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55122-2019</t>
        </is>
      </c>
      <c r="B192" s="1" t="n">
        <v>43752</v>
      </c>
      <c r="C192" s="1" t="n">
        <v>45781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54307-2019</t>
        </is>
      </c>
      <c r="B193" s="1" t="n">
        <v>43753</v>
      </c>
      <c r="C193" s="1" t="n">
        <v>45781</v>
      </c>
      <c r="D193" t="inlineStr">
        <is>
          <t>SÖDERMANLANDS LÄN</t>
        </is>
      </c>
      <c r="E193" t="inlineStr">
        <is>
          <t>FLEN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55346-2019</t>
        </is>
      </c>
      <c r="B194" s="1" t="n">
        <v>43756</v>
      </c>
      <c r="C194" s="1" t="n">
        <v>45781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55417-2019</t>
        </is>
      </c>
      <c r="B195" s="1" t="n">
        <v>43758</v>
      </c>
      <c r="C195" s="1" t="n">
        <v>45781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55421-2019</t>
        </is>
      </c>
      <c r="B196" s="1" t="n">
        <v>43758</v>
      </c>
      <c r="C196" s="1" t="n">
        <v>45781</v>
      </c>
      <c r="D196" t="inlineStr">
        <is>
          <t>SÖDERMANLANDS LÄN</t>
        </is>
      </c>
      <c r="E196" t="inlineStr">
        <is>
          <t>FLEN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57898-2019</t>
        </is>
      </c>
      <c r="B197" s="1" t="n">
        <v>43762</v>
      </c>
      <c r="C197" s="1" t="n">
        <v>45781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58909-2019</t>
        </is>
      </c>
      <c r="B198" s="1" t="n">
        <v>43769</v>
      </c>
      <c r="C198" s="1" t="n">
        <v>45781</v>
      </c>
      <c r="D198" t="inlineStr">
        <is>
          <t>SÖDERMANLANDS LÄN</t>
        </is>
      </c>
      <c r="E198" t="inlineStr">
        <is>
          <t>FLEN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59014-2019</t>
        </is>
      </c>
      <c r="B199" s="1" t="n">
        <v>43774</v>
      </c>
      <c r="C199" s="1" t="n">
        <v>45781</v>
      </c>
      <c r="D199" t="inlineStr">
        <is>
          <t>SÖDERMANLANDS LÄN</t>
        </is>
      </c>
      <c r="E199" t="inlineStr">
        <is>
          <t>FLEN</t>
        </is>
      </c>
      <c r="F199" t="inlineStr">
        <is>
          <t>Kommuner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59454-2019</t>
        </is>
      </c>
      <c r="B200" s="1" t="n">
        <v>43776</v>
      </c>
      <c r="C200" s="1" t="n">
        <v>45781</v>
      </c>
      <c r="D200" t="inlineStr">
        <is>
          <t>SÖDERMANLANDS LÄN</t>
        </is>
      </c>
      <c r="E200" t="inlineStr">
        <is>
          <t>FLEN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59448-2019</t>
        </is>
      </c>
      <c r="B201" s="1" t="n">
        <v>43776</v>
      </c>
      <c r="C201" s="1" t="n">
        <v>45781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59750-2019</t>
        </is>
      </c>
      <c r="B202" s="1" t="n">
        <v>43776</v>
      </c>
      <c r="C202" s="1" t="n">
        <v>45781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59446-2019</t>
        </is>
      </c>
      <c r="B203" s="1" t="n">
        <v>43776</v>
      </c>
      <c r="C203" s="1" t="n">
        <v>45781</v>
      </c>
      <c r="D203" t="inlineStr">
        <is>
          <t>SÖDERMANLANDS LÄN</t>
        </is>
      </c>
      <c r="E203" t="inlineStr">
        <is>
          <t>FLEN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61889-2019</t>
        </is>
      </c>
      <c r="B204" s="1" t="n">
        <v>43787</v>
      </c>
      <c r="C204" s="1" t="n">
        <v>45781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64580-2019</t>
        </is>
      </c>
      <c r="B205" s="1" t="n">
        <v>43794</v>
      </c>
      <c r="C205" s="1" t="n">
        <v>45781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63758-2019</t>
        </is>
      </c>
      <c r="B206" s="1" t="n">
        <v>43795</v>
      </c>
      <c r="C206" s="1" t="n">
        <v>45781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64576-2019</t>
        </is>
      </c>
      <c r="B207" s="1" t="n">
        <v>43798</v>
      </c>
      <c r="C207" s="1" t="n">
        <v>45781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65346-2019</t>
        </is>
      </c>
      <c r="B208" s="1" t="n">
        <v>43803</v>
      </c>
      <c r="C208" s="1" t="n">
        <v>45781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68476-2019</t>
        </is>
      </c>
      <c r="B209" s="1" t="n">
        <v>43811</v>
      </c>
      <c r="C209" s="1" t="n">
        <v>45781</v>
      </c>
      <c r="D209" t="inlineStr">
        <is>
          <t>SÖDERMANLANDS LÄN</t>
        </is>
      </c>
      <c r="E209" t="inlineStr">
        <is>
          <t>FLEN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68491-2019</t>
        </is>
      </c>
      <c r="B210" s="1" t="n">
        <v>43811</v>
      </c>
      <c r="C210" s="1" t="n">
        <v>45781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68481-2019</t>
        </is>
      </c>
      <c r="B211" s="1" t="n">
        <v>43811</v>
      </c>
      <c r="C211" s="1" t="n">
        <v>45781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68976-2019</t>
        </is>
      </c>
      <c r="B212" s="1" t="n">
        <v>43823</v>
      </c>
      <c r="C212" s="1" t="n">
        <v>45781</v>
      </c>
      <c r="D212" t="inlineStr">
        <is>
          <t>SÖDERMANLANDS LÄN</t>
        </is>
      </c>
      <c r="E212" t="inlineStr">
        <is>
          <t>FLEN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82-2020</t>
        </is>
      </c>
      <c r="B213" s="1" t="n">
        <v>43832</v>
      </c>
      <c r="C213" s="1" t="n">
        <v>45781</v>
      </c>
      <c r="D213" t="inlineStr">
        <is>
          <t>SÖDERMANLANDS LÄN</t>
        </is>
      </c>
      <c r="E213" t="inlineStr">
        <is>
          <t>FLEN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235-2020</t>
        </is>
      </c>
      <c r="B214" s="1" t="n">
        <v>43834</v>
      </c>
      <c r="C214" s="1" t="n">
        <v>45781</v>
      </c>
      <c r="D214" t="inlineStr">
        <is>
          <t>SÖDERMANLANDS LÄN</t>
        </is>
      </c>
      <c r="E214" t="inlineStr">
        <is>
          <t>FLEN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236-2020</t>
        </is>
      </c>
      <c r="B215" s="1" t="n">
        <v>43834</v>
      </c>
      <c r="C215" s="1" t="n">
        <v>45781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1007-2020</t>
        </is>
      </c>
      <c r="B216" s="1" t="n">
        <v>43839</v>
      </c>
      <c r="C216" s="1" t="n">
        <v>45781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4033-2020</t>
        </is>
      </c>
      <c r="B217" s="1" t="n">
        <v>43846</v>
      </c>
      <c r="C217" s="1" t="n">
        <v>45781</v>
      </c>
      <c r="D217" t="inlineStr">
        <is>
          <t>SÖDERMANLANDS LÄN</t>
        </is>
      </c>
      <c r="E217" t="inlineStr">
        <is>
          <t>FLEN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2538-2020</t>
        </is>
      </c>
      <c r="B218" s="1" t="n">
        <v>43847</v>
      </c>
      <c r="C218" s="1" t="n">
        <v>45781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3831-2020</t>
        </is>
      </c>
      <c r="B219" s="1" t="n">
        <v>43847</v>
      </c>
      <c r="C219" s="1" t="n">
        <v>45781</v>
      </c>
      <c r="D219" t="inlineStr">
        <is>
          <t>SÖDERMANLANDS LÄN</t>
        </is>
      </c>
      <c r="E219" t="inlineStr">
        <is>
          <t>FLEN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3619-2020</t>
        </is>
      </c>
      <c r="B220" s="1" t="n">
        <v>43853</v>
      </c>
      <c r="C220" s="1" t="n">
        <v>45781</v>
      </c>
      <c r="D220" t="inlineStr">
        <is>
          <t>SÖDERMANLANDS LÄN</t>
        </is>
      </c>
      <c r="E220" t="inlineStr">
        <is>
          <t>FLEN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4092-2020</t>
        </is>
      </c>
      <c r="B221" s="1" t="n">
        <v>43857</v>
      </c>
      <c r="C221" s="1" t="n">
        <v>45781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5777-2020</t>
        </is>
      </c>
      <c r="B222" s="1" t="n">
        <v>43864</v>
      </c>
      <c r="C222" s="1" t="n">
        <v>45781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7747-2020</t>
        </is>
      </c>
      <c r="B223" s="1" t="n">
        <v>43872</v>
      </c>
      <c r="C223" s="1" t="n">
        <v>45781</v>
      </c>
      <c r="D223" t="inlineStr">
        <is>
          <t>SÖDERMANLANDS LÄN</t>
        </is>
      </c>
      <c r="E223" t="inlineStr">
        <is>
          <t>FLEN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7941-2020</t>
        </is>
      </c>
      <c r="B224" s="1" t="n">
        <v>43873</v>
      </c>
      <c r="C224" s="1" t="n">
        <v>45781</v>
      </c>
      <c r="D224" t="inlineStr">
        <is>
          <t>SÖDERMANLANDS LÄN</t>
        </is>
      </c>
      <c r="E224" t="inlineStr">
        <is>
          <t>FLEN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9740-2020</t>
        </is>
      </c>
      <c r="B225" s="1" t="n">
        <v>43881</v>
      </c>
      <c r="C225" s="1" t="n">
        <v>45781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10193-2020</t>
        </is>
      </c>
      <c r="B226" s="1" t="n">
        <v>43885</v>
      </c>
      <c r="C226" s="1" t="n">
        <v>45781</v>
      </c>
      <c r="D226" t="inlineStr">
        <is>
          <t>SÖDERMANLANDS LÄN</t>
        </is>
      </c>
      <c r="E226" t="inlineStr">
        <is>
          <t>FLEN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11059-2020</t>
        </is>
      </c>
      <c r="B227" s="1" t="n">
        <v>43885</v>
      </c>
      <c r="C227" s="1" t="n">
        <v>45781</v>
      </c>
      <c r="D227" t="inlineStr">
        <is>
          <t>SÖDERMANLANDS LÄN</t>
        </is>
      </c>
      <c r="E227" t="inlineStr">
        <is>
          <t>FLEN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10705-2020</t>
        </is>
      </c>
      <c r="B228" s="1" t="n">
        <v>43888</v>
      </c>
      <c r="C228" s="1" t="n">
        <v>45781</v>
      </c>
      <c r="D228" t="inlineStr">
        <is>
          <t>SÖDERMANLANDS LÄN</t>
        </is>
      </c>
      <c r="E228" t="inlineStr">
        <is>
          <t>FLEN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10918-2020</t>
        </is>
      </c>
      <c r="B229" s="1" t="n">
        <v>43889</v>
      </c>
      <c r="C229" s="1" t="n">
        <v>45781</v>
      </c>
      <c r="D229" t="inlineStr">
        <is>
          <t>SÖDERMANLANDS LÄN</t>
        </is>
      </c>
      <c r="E229" t="inlineStr">
        <is>
          <t>FLEN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10913-2020</t>
        </is>
      </c>
      <c r="B230" s="1" t="n">
        <v>43889</v>
      </c>
      <c r="C230" s="1" t="n">
        <v>45781</v>
      </c>
      <c r="D230" t="inlineStr">
        <is>
          <t>SÖDERMANLANDS LÄN</t>
        </is>
      </c>
      <c r="E230" t="inlineStr">
        <is>
          <t>FLEN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11517-2020</t>
        </is>
      </c>
      <c r="B231" s="1" t="n">
        <v>43893</v>
      </c>
      <c r="C231" s="1" t="n">
        <v>45781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11811-2020</t>
        </is>
      </c>
      <c r="B232" s="1" t="n">
        <v>43894</v>
      </c>
      <c r="C232" s="1" t="n">
        <v>45781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13194-2020</t>
        </is>
      </c>
      <c r="B233" s="1" t="n">
        <v>43901</v>
      </c>
      <c r="C233" s="1" t="n">
        <v>45781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13255-2020</t>
        </is>
      </c>
      <c r="B234" s="1" t="n">
        <v>43901</v>
      </c>
      <c r="C234" s="1" t="n">
        <v>45781</v>
      </c>
      <c r="D234" t="inlineStr">
        <is>
          <t>SÖDERMANLANDS LÄN</t>
        </is>
      </c>
      <c r="E234" t="inlineStr">
        <is>
          <t>FLEN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13251-2020</t>
        </is>
      </c>
      <c r="B235" s="1" t="n">
        <v>43901</v>
      </c>
      <c r="C235" s="1" t="n">
        <v>45781</v>
      </c>
      <c r="D235" t="inlineStr">
        <is>
          <t>SÖDERMANLANDS LÄN</t>
        </is>
      </c>
      <c r="E235" t="inlineStr">
        <is>
          <t>FLEN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13473-2020</t>
        </is>
      </c>
      <c r="B236" s="1" t="n">
        <v>43902</v>
      </c>
      <c r="C236" s="1" t="n">
        <v>45781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13698-2020</t>
        </is>
      </c>
      <c r="B237" s="1" t="n">
        <v>43902</v>
      </c>
      <c r="C237" s="1" t="n">
        <v>45781</v>
      </c>
      <c r="D237" t="inlineStr">
        <is>
          <t>SÖDERMANLANDS LÄN</t>
        </is>
      </c>
      <c r="E237" t="inlineStr">
        <is>
          <t>FLEN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14200-2020</t>
        </is>
      </c>
      <c r="B238" s="1" t="n">
        <v>43907</v>
      </c>
      <c r="C238" s="1" t="n">
        <v>45781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45781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45781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45781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45781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45781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45781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45781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45781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45781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45781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45781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45781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45781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45781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45781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45781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45781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45781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45781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45781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45781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45781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45781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45781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45781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45781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45781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45781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45781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45781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45781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45781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45781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45781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45781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45781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45781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45781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45781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45781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45781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45781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45781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45781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45781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45781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45781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45781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45781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45781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45781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45781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45781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45781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45781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45781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45781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45781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45265-2020</t>
        </is>
      </c>
      <c r="B297" s="1" t="n">
        <v>44089</v>
      </c>
      <c r="C297" s="1" t="n">
        <v>45781</v>
      </c>
      <c r="D297" t="inlineStr">
        <is>
          <t>SÖDERMANLANDS LÄN</t>
        </is>
      </c>
      <c r="E297" t="inlineStr">
        <is>
          <t>FLEN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HYPERLINK("https://klasma.github.io/Logging_0482/knärot/A 45265-2020 karta knärot.png", "A 45265-2020")</f>
        <v/>
      </c>
      <c r="V297">
        <f>HYPERLINK("https://klasma.github.io/Logging_0482/klagomål/A 45265-2020 FSC-klagomål.docx", "A 45265-2020")</f>
        <v/>
      </c>
      <c r="W297">
        <f>HYPERLINK("https://klasma.github.io/Logging_0482/klagomålsmail/A 45265-2020 FSC-klagomål mail.docx", "A 45265-2020")</f>
        <v/>
      </c>
      <c r="X297">
        <f>HYPERLINK("https://klasma.github.io/Logging_0482/tillsyn/A 45265-2020 tillsynsbegäran.docx", "A 45265-2020")</f>
        <v/>
      </c>
      <c r="Y297">
        <f>HYPERLINK("https://klasma.github.io/Logging_0482/tillsynsmail/A 45265-2020 tillsynsbegäran mail.docx", "A 45265-2020")</f>
        <v/>
      </c>
    </row>
    <row r="298" ht="15" customHeight="1">
      <c r="A298" t="inlineStr">
        <is>
          <t>A 47401-2020</t>
        </is>
      </c>
      <c r="B298" s="1" t="n">
        <v>44097</v>
      </c>
      <c r="C298" s="1" t="n">
        <v>45781</v>
      </c>
      <c r="D298" t="inlineStr">
        <is>
          <t>SÖDERMANLANDS LÄN</t>
        </is>
      </c>
      <c r="E298" t="inlineStr">
        <is>
          <t>FLEN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47669-2020</t>
        </is>
      </c>
      <c r="B299" s="1" t="n">
        <v>44098</v>
      </c>
      <c r="C299" s="1" t="n">
        <v>45781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47681-2020</t>
        </is>
      </c>
      <c r="B300" s="1" t="n">
        <v>44098</v>
      </c>
      <c r="C300" s="1" t="n">
        <v>45781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48869-2020</t>
        </is>
      </c>
      <c r="B301" s="1" t="n">
        <v>44104</v>
      </c>
      <c r="C301" s="1" t="n">
        <v>45781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51315-2020</t>
        </is>
      </c>
      <c r="B302" s="1" t="n">
        <v>44106</v>
      </c>
      <c r="C302" s="1" t="n">
        <v>45781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51836-2020</t>
        </is>
      </c>
      <c r="B303" s="1" t="n">
        <v>44109</v>
      </c>
      <c r="C303" s="1" t="n">
        <v>45781</v>
      </c>
      <c r="D303" t="inlineStr">
        <is>
          <t>SÖDERMANLANDS LÄN</t>
        </is>
      </c>
      <c r="E303" t="inlineStr">
        <is>
          <t>FLEN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51933-2020</t>
        </is>
      </c>
      <c r="B304" s="1" t="n">
        <v>44109</v>
      </c>
      <c r="C304" s="1" t="n">
        <v>45781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50467-2020</t>
        </is>
      </c>
      <c r="B305" s="1" t="n">
        <v>44110</v>
      </c>
      <c r="C305" s="1" t="n">
        <v>45781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51864-2020</t>
        </is>
      </c>
      <c r="B306" s="1" t="n">
        <v>44113</v>
      </c>
      <c r="C306" s="1" t="n">
        <v>45781</v>
      </c>
      <c r="D306" t="inlineStr">
        <is>
          <t>SÖDERMANLANDS LÄN</t>
        </is>
      </c>
      <c r="E306" t="inlineStr">
        <is>
          <t>FLEN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53424-2020</t>
        </is>
      </c>
      <c r="B307" s="1" t="n">
        <v>44123</v>
      </c>
      <c r="C307" s="1" t="n">
        <v>45781</v>
      </c>
      <c r="D307" t="inlineStr">
        <is>
          <t>SÖDERMANLANDS LÄN</t>
        </is>
      </c>
      <c r="E307" t="inlineStr">
        <is>
          <t>FLEN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54919-2020</t>
        </is>
      </c>
      <c r="B308" s="1" t="n">
        <v>44127</v>
      </c>
      <c r="C308" s="1" t="n">
        <v>45781</v>
      </c>
      <c r="D308" t="inlineStr">
        <is>
          <t>SÖDERMANLANDS LÄN</t>
        </is>
      </c>
      <c r="E308" t="inlineStr">
        <is>
          <t>FLEN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54918-2020</t>
        </is>
      </c>
      <c r="B309" s="1" t="n">
        <v>44127</v>
      </c>
      <c r="C309" s="1" t="n">
        <v>45781</v>
      </c>
      <c r="D309" t="inlineStr">
        <is>
          <t>SÖDERMANLANDS LÄN</t>
        </is>
      </c>
      <c r="E309" t="inlineStr">
        <is>
          <t>FLEN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56930-2020</t>
        </is>
      </c>
      <c r="B310" s="1" t="n">
        <v>44138</v>
      </c>
      <c r="C310" s="1" t="n">
        <v>45781</v>
      </c>
      <c r="D310" t="inlineStr">
        <is>
          <t>SÖDERMANLANDS LÄN</t>
        </is>
      </c>
      <c r="E310" t="inlineStr">
        <is>
          <t>FLEN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56863-2020</t>
        </is>
      </c>
      <c r="B311" s="1" t="n">
        <v>44138</v>
      </c>
      <c r="C311" s="1" t="n">
        <v>45781</v>
      </c>
      <c r="D311" t="inlineStr">
        <is>
          <t>SÖDERMANLANDS LÄN</t>
        </is>
      </c>
      <c r="E311" t="inlineStr">
        <is>
          <t>FLEN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57165-2020</t>
        </is>
      </c>
      <c r="B312" s="1" t="n">
        <v>44138</v>
      </c>
      <c r="C312" s="1" t="n">
        <v>45781</v>
      </c>
      <c r="D312" t="inlineStr">
        <is>
          <t>SÖDERMANLANDS LÄN</t>
        </is>
      </c>
      <c r="E312" t="inlineStr">
        <is>
          <t>FLEN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45781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45781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45781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45781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45781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45781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45781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45781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45781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45781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45781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45781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45781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45781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45781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45781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45781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45781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45781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45781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45781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45781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45781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45781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45781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45781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45781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45781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45781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8762-2021</t>
        </is>
      </c>
      <c r="B342" s="1" t="n">
        <v>44246</v>
      </c>
      <c r="C342" s="1" t="n">
        <v>45781</v>
      </c>
      <c r="D342" t="inlineStr">
        <is>
          <t>SÖDERMANLANDS LÄN</t>
        </is>
      </c>
      <c r="E342" t="inlineStr">
        <is>
          <t>FLEN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8749-2021</t>
        </is>
      </c>
      <c r="B343" s="1" t="n">
        <v>44246</v>
      </c>
      <c r="C343" s="1" t="n">
        <v>45781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8710-2021</t>
        </is>
      </c>
      <c r="B344" s="1" t="n">
        <v>44246</v>
      </c>
      <c r="C344" s="1" t="n">
        <v>45781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8888-2021</t>
        </is>
      </c>
      <c r="B345" s="1" t="n">
        <v>44248</v>
      </c>
      <c r="C345" s="1" t="n">
        <v>45781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9373-2021</t>
        </is>
      </c>
      <c r="B346" s="1" t="n">
        <v>44250</v>
      </c>
      <c r="C346" s="1" t="n">
        <v>45781</v>
      </c>
      <c r="D346" t="inlineStr">
        <is>
          <t>SÖDERMANLANDS LÄN</t>
        </is>
      </c>
      <c r="E346" t="inlineStr">
        <is>
          <t>FLEN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9237-2021</t>
        </is>
      </c>
      <c r="B347" s="1" t="n">
        <v>44250</v>
      </c>
      <c r="C347" s="1" t="n">
        <v>45781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9634-2021</t>
        </is>
      </c>
      <c r="B348" s="1" t="n">
        <v>44252</v>
      </c>
      <c r="C348" s="1" t="n">
        <v>45781</v>
      </c>
      <c r="D348" t="inlineStr">
        <is>
          <t>SÖDERMANLANDS LÄN</t>
        </is>
      </c>
      <c r="E348" t="inlineStr">
        <is>
          <t>FLEN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9674-2021</t>
        </is>
      </c>
      <c r="B349" s="1" t="n">
        <v>44252</v>
      </c>
      <c r="C349" s="1" t="n">
        <v>45781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10607-2021</t>
        </is>
      </c>
      <c r="B350" s="1" t="n">
        <v>44258</v>
      </c>
      <c r="C350" s="1" t="n">
        <v>45781</v>
      </c>
      <c r="D350" t="inlineStr">
        <is>
          <t>SÖDERMANLANDS LÄN</t>
        </is>
      </c>
      <c r="E350" t="inlineStr">
        <is>
          <t>FLEN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10980-2021</t>
        </is>
      </c>
      <c r="B351" s="1" t="n">
        <v>44260</v>
      </c>
      <c r="C351" s="1" t="n">
        <v>45781</v>
      </c>
      <c r="D351" t="inlineStr">
        <is>
          <t>SÖDERMANLANDS LÄN</t>
        </is>
      </c>
      <c r="E351" t="inlineStr">
        <is>
          <t>FLEN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11030-2021</t>
        </is>
      </c>
      <c r="B352" s="1" t="n">
        <v>44260</v>
      </c>
      <c r="C352" s="1" t="n">
        <v>45781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11068-2021</t>
        </is>
      </c>
      <c r="B353" s="1" t="n">
        <v>44260</v>
      </c>
      <c r="C353" s="1" t="n">
        <v>45781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11288-2021</t>
        </is>
      </c>
      <c r="B354" s="1" t="n">
        <v>44263</v>
      </c>
      <c r="C354" s="1" t="n">
        <v>45781</v>
      </c>
      <c r="D354" t="inlineStr">
        <is>
          <t>SÖDERMANLANDS LÄN</t>
        </is>
      </c>
      <c r="E354" t="inlineStr">
        <is>
          <t>FLEN</t>
        </is>
      </c>
      <c r="G354" t="n">
        <v>19.1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11302-2021</t>
        </is>
      </c>
      <c r="B355" s="1" t="n">
        <v>44263</v>
      </c>
      <c r="C355" s="1" t="n">
        <v>45781</v>
      </c>
      <c r="D355" t="inlineStr">
        <is>
          <t>SÖDERMANLANDS LÄN</t>
        </is>
      </c>
      <c r="E355" t="inlineStr">
        <is>
          <t>FLEN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11731-2021</t>
        </is>
      </c>
      <c r="B356" s="1" t="n">
        <v>44265</v>
      </c>
      <c r="C356" s="1" t="n">
        <v>45781</v>
      </c>
      <c r="D356" t="inlineStr">
        <is>
          <t>SÖDERMANLANDS LÄN</t>
        </is>
      </c>
      <c r="E356" t="inlineStr">
        <is>
          <t>FLEN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12774-2021</t>
        </is>
      </c>
      <c r="B357" s="1" t="n">
        <v>44270</v>
      </c>
      <c r="C357" s="1" t="n">
        <v>45781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14973-2021</t>
        </is>
      </c>
      <c r="B358" s="1" t="n">
        <v>44281</v>
      </c>
      <c r="C358" s="1" t="n">
        <v>45781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15062-2021</t>
        </is>
      </c>
      <c r="B359" s="1" t="n">
        <v>44281</v>
      </c>
      <c r="C359" s="1" t="n">
        <v>45781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15465-2021</t>
        </is>
      </c>
      <c r="B360" s="1" t="n">
        <v>44285</v>
      </c>
      <c r="C360" s="1" t="n">
        <v>45781</v>
      </c>
      <c r="D360" t="inlineStr">
        <is>
          <t>SÖDERMANLANDS LÄN</t>
        </is>
      </c>
      <c r="E360" t="inlineStr">
        <is>
          <t>FLEN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16281-2021</t>
        </is>
      </c>
      <c r="B361" s="1" t="n">
        <v>44292</v>
      </c>
      <c r="C361" s="1" t="n">
        <v>45781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16275-2021</t>
        </is>
      </c>
      <c r="B362" s="1" t="n">
        <v>44292</v>
      </c>
      <c r="C362" s="1" t="n">
        <v>45781</v>
      </c>
      <c r="D362" t="inlineStr">
        <is>
          <t>SÖDERMANLANDS LÄN</t>
        </is>
      </c>
      <c r="E362" t="inlineStr">
        <is>
          <t>FLEN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16276-2021</t>
        </is>
      </c>
      <c r="B363" s="1" t="n">
        <v>44292</v>
      </c>
      <c r="C363" s="1" t="n">
        <v>45781</v>
      </c>
      <c r="D363" t="inlineStr">
        <is>
          <t>SÖDERMANLANDS LÄN</t>
        </is>
      </c>
      <c r="E363" t="inlineStr">
        <is>
          <t>FLEN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16520-2021</t>
        </is>
      </c>
      <c r="B364" s="1" t="n">
        <v>44293</v>
      </c>
      <c r="C364" s="1" t="n">
        <v>45781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17203-2021</t>
        </is>
      </c>
      <c r="B365" s="1" t="n">
        <v>44296</v>
      </c>
      <c r="C365" s="1" t="n">
        <v>45781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17210-2021</t>
        </is>
      </c>
      <c r="B366" s="1" t="n">
        <v>44297</v>
      </c>
      <c r="C366" s="1" t="n">
        <v>45781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17222-2021</t>
        </is>
      </c>
      <c r="B367" s="1" t="n">
        <v>44297</v>
      </c>
      <c r="C367" s="1" t="n">
        <v>45781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17183-2021</t>
        </is>
      </c>
      <c r="B368" s="1" t="n">
        <v>44297</v>
      </c>
      <c r="C368" s="1" t="n">
        <v>45781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17985-2021</t>
        </is>
      </c>
      <c r="B369" s="1" t="n">
        <v>44301</v>
      </c>
      <c r="C369" s="1" t="n">
        <v>45781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17987-2021</t>
        </is>
      </c>
      <c r="B370" s="1" t="n">
        <v>44301</v>
      </c>
      <c r="C370" s="1" t="n">
        <v>45781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18053-2021</t>
        </is>
      </c>
      <c r="B371" s="1" t="n">
        <v>44302</v>
      </c>
      <c r="C371" s="1" t="n">
        <v>45781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18192-2021</t>
        </is>
      </c>
      <c r="B372" s="1" t="n">
        <v>44302</v>
      </c>
      <c r="C372" s="1" t="n">
        <v>45781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18185-2021</t>
        </is>
      </c>
      <c r="B373" s="1" t="n">
        <v>44302</v>
      </c>
      <c r="C373" s="1" t="n">
        <v>45781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18180-2021</t>
        </is>
      </c>
      <c r="B374" s="1" t="n">
        <v>44302</v>
      </c>
      <c r="C374" s="1" t="n">
        <v>45781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19072-2021</t>
        </is>
      </c>
      <c r="B375" s="1" t="n">
        <v>44307</v>
      </c>
      <c r="C375" s="1" t="n">
        <v>45781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19387-2021</t>
        </is>
      </c>
      <c r="B376" s="1" t="n">
        <v>44309</v>
      </c>
      <c r="C376" s="1" t="n">
        <v>45781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22011-2021</t>
        </is>
      </c>
      <c r="B377" s="1" t="n">
        <v>44323</v>
      </c>
      <c r="C377" s="1" t="n">
        <v>45781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22015-2021</t>
        </is>
      </c>
      <c r="B378" s="1" t="n">
        <v>44323</v>
      </c>
      <c r="C378" s="1" t="n">
        <v>45781</v>
      </c>
      <c r="D378" t="inlineStr">
        <is>
          <t>SÖDERMANLANDS LÄN</t>
        </is>
      </c>
      <c r="E378" t="inlineStr">
        <is>
          <t>FLEN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22020-2021</t>
        </is>
      </c>
      <c r="B379" s="1" t="n">
        <v>44323</v>
      </c>
      <c r="C379" s="1" t="n">
        <v>45781</v>
      </c>
      <c r="D379" t="inlineStr">
        <is>
          <t>SÖDERMANLANDS LÄN</t>
        </is>
      </c>
      <c r="E379" t="inlineStr">
        <is>
          <t>FLEN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23004-2021</t>
        </is>
      </c>
      <c r="B380" s="1" t="n">
        <v>44328</v>
      </c>
      <c r="C380" s="1" t="n">
        <v>45781</v>
      </c>
      <c r="D380" t="inlineStr">
        <is>
          <t>SÖDERMANLANDS LÄN</t>
        </is>
      </c>
      <c r="E380" t="inlineStr">
        <is>
          <t>FLEN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26011-2021</t>
        </is>
      </c>
      <c r="B381" s="1" t="n">
        <v>44344</v>
      </c>
      <c r="C381" s="1" t="n">
        <v>45781</v>
      </c>
      <c r="D381" t="inlineStr">
        <is>
          <t>SÖDERMANLANDS LÄN</t>
        </is>
      </c>
      <c r="E381" t="inlineStr">
        <is>
          <t>FLEN</t>
        </is>
      </c>
      <c r="G381" t="n">
        <v>12.4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27190-2021</t>
        </is>
      </c>
      <c r="B382" s="1" t="n">
        <v>44350</v>
      </c>
      <c r="C382" s="1" t="n">
        <v>45781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27184-2021</t>
        </is>
      </c>
      <c r="B383" s="1" t="n">
        <v>44350</v>
      </c>
      <c r="C383" s="1" t="n">
        <v>45781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29002-2021</t>
        </is>
      </c>
      <c r="B384" s="1" t="n">
        <v>44358</v>
      </c>
      <c r="C384" s="1" t="n">
        <v>45781</v>
      </c>
      <c r="D384" t="inlineStr">
        <is>
          <t>SÖDERMANLANDS LÄN</t>
        </is>
      </c>
      <c r="E384" t="inlineStr">
        <is>
          <t>FLEN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29234-2021</t>
        </is>
      </c>
      <c r="B385" s="1" t="n">
        <v>44360</v>
      </c>
      <c r="C385" s="1" t="n">
        <v>45781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29239-2021</t>
        </is>
      </c>
      <c r="B386" s="1" t="n">
        <v>44360</v>
      </c>
      <c r="C386" s="1" t="n">
        <v>45781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29236-2021</t>
        </is>
      </c>
      <c r="B387" s="1" t="n">
        <v>44360</v>
      </c>
      <c r="C387" s="1" t="n">
        <v>45781</v>
      </c>
      <c r="D387" t="inlineStr">
        <is>
          <t>SÖDERMANLANDS LÄN</t>
        </is>
      </c>
      <c r="E387" t="inlineStr">
        <is>
          <t>FLEN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29233-2021</t>
        </is>
      </c>
      <c r="B388" s="1" t="n">
        <v>44360</v>
      </c>
      <c r="C388" s="1" t="n">
        <v>45781</v>
      </c>
      <c r="D388" t="inlineStr">
        <is>
          <t>SÖDERMANLANDS LÄN</t>
        </is>
      </c>
      <c r="E388" t="inlineStr">
        <is>
          <t>FLEN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30847-2021</t>
        </is>
      </c>
      <c r="B389" s="1" t="n">
        <v>44365</v>
      </c>
      <c r="C389" s="1" t="n">
        <v>45781</v>
      </c>
      <c r="D389" t="inlineStr">
        <is>
          <t>SÖDERMANLANDS LÄN</t>
        </is>
      </c>
      <c r="E389" t="inlineStr">
        <is>
          <t>FLEN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30830-2021</t>
        </is>
      </c>
      <c r="B390" s="1" t="n">
        <v>44365</v>
      </c>
      <c r="C390" s="1" t="n">
        <v>45781</v>
      </c>
      <c r="D390" t="inlineStr">
        <is>
          <t>SÖDERMANLANDS LÄN</t>
        </is>
      </c>
      <c r="E390" t="inlineStr">
        <is>
          <t>FLEN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31131-2021</t>
        </is>
      </c>
      <c r="B391" s="1" t="n">
        <v>44365</v>
      </c>
      <c r="C391" s="1" t="n">
        <v>45781</v>
      </c>
      <c r="D391" t="inlineStr">
        <is>
          <t>SÖDERMANLANDS LÄN</t>
        </is>
      </c>
      <c r="E391" t="inlineStr">
        <is>
          <t>FLEN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32416-2021</t>
        </is>
      </c>
      <c r="B392" s="1" t="n">
        <v>44371</v>
      </c>
      <c r="C392" s="1" t="n">
        <v>45781</v>
      </c>
      <c r="D392" t="inlineStr">
        <is>
          <t>SÖDERMANLANDS LÄN</t>
        </is>
      </c>
      <c r="E392" t="inlineStr">
        <is>
          <t>FLEN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34088-2021</t>
        </is>
      </c>
      <c r="B393" s="1" t="n">
        <v>44378</v>
      </c>
      <c r="C393" s="1" t="n">
        <v>45781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34003-2021</t>
        </is>
      </c>
      <c r="B394" s="1" t="n">
        <v>44378</v>
      </c>
      <c r="C394" s="1" t="n">
        <v>45781</v>
      </c>
      <c r="D394" t="inlineStr">
        <is>
          <t>SÖDERMANLANDS LÄN</t>
        </is>
      </c>
      <c r="E394" t="inlineStr">
        <is>
          <t>FLEN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34675-2021</t>
        </is>
      </c>
      <c r="B395" s="1" t="n">
        <v>44379</v>
      </c>
      <c r="C395" s="1" t="n">
        <v>45781</v>
      </c>
      <c r="D395" t="inlineStr">
        <is>
          <t>SÖDERMANLANDS LÄN</t>
        </is>
      </c>
      <c r="E395" t="inlineStr">
        <is>
          <t>FLEN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34448-2021</t>
        </is>
      </c>
      <c r="B396" s="1" t="n">
        <v>44381</v>
      </c>
      <c r="C396" s="1" t="n">
        <v>45781</v>
      </c>
      <c r="D396" t="inlineStr">
        <is>
          <t>SÖDERMANLANDS LÄN</t>
        </is>
      </c>
      <c r="E396" t="inlineStr">
        <is>
          <t>FLEN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34447-2021</t>
        </is>
      </c>
      <c r="B397" s="1" t="n">
        <v>44381</v>
      </c>
      <c r="C397" s="1" t="n">
        <v>45781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35250-2021</t>
        </is>
      </c>
      <c r="B398" s="1" t="n">
        <v>44384</v>
      </c>
      <c r="C398" s="1" t="n">
        <v>45781</v>
      </c>
      <c r="D398" t="inlineStr">
        <is>
          <t>SÖDERMANLANDS LÄN</t>
        </is>
      </c>
      <c r="E398" t="inlineStr">
        <is>
          <t>FLEN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35257-2021</t>
        </is>
      </c>
      <c r="B399" s="1" t="n">
        <v>44384</v>
      </c>
      <c r="C399" s="1" t="n">
        <v>45781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35649-2021</t>
        </is>
      </c>
      <c r="B400" s="1" t="n">
        <v>44384</v>
      </c>
      <c r="C400" s="1" t="n">
        <v>45781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35714-2021</t>
        </is>
      </c>
      <c r="B401" s="1" t="n">
        <v>44386</v>
      </c>
      <c r="C401" s="1" t="n">
        <v>45781</v>
      </c>
      <c r="D401" t="inlineStr">
        <is>
          <t>SÖDERMANLANDS LÄN</t>
        </is>
      </c>
      <c r="E401" t="inlineStr">
        <is>
          <t>FLEN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36595-2021</t>
        </is>
      </c>
      <c r="B402" s="1" t="n">
        <v>44391</v>
      </c>
      <c r="C402" s="1" t="n">
        <v>45781</v>
      </c>
      <c r="D402" t="inlineStr">
        <is>
          <t>SÖDERMANLANDS LÄN</t>
        </is>
      </c>
      <c r="E402" t="inlineStr">
        <is>
          <t>FLEN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37385-2021</t>
        </is>
      </c>
      <c r="B403" s="1" t="n">
        <v>44398</v>
      </c>
      <c r="C403" s="1" t="n">
        <v>45781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38008-2021</t>
        </is>
      </c>
      <c r="B404" s="1" t="n">
        <v>44404</v>
      </c>
      <c r="C404" s="1" t="n">
        <v>45781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38842-2021</t>
        </is>
      </c>
      <c r="B405" s="1" t="n">
        <v>44411</v>
      </c>
      <c r="C405" s="1" t="n">
        <v>45781</v>
      </c>
      <c r="D405" t="inlineStr">
        <is>
          <t>SÖDERMANLANDS LÄN</t>
        </is>
      </c>
      <c r="E405" t="inlineStr">
        <is>
          <t>FLEN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39188-2021</t>
        </is>
      </c>
      <c r="B406" s="1" t="n">
        <v>44413</v>
      </c>
      <c r="C406" s="1" t="n">
        <v>45781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39513-2021</t>
        </is>
      </c>
      <c r="B407" s="1" t="n">
        <v>44414</v>
      </c>
      <c r="C407" s="1" t="n">
        <v>45781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39518-2021</t>
        </is>
      </c>
      <c r="B408" s="1" t="n">
        <v>44414</v>
      </c>
      <c r="C408" s="1" t="n">
        <v>45781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40796-2021</t>
        </is>
      </c>
      <c r="B409" s="1" t="n">
        <v>44421</v>
      </c>
      <c r="C409" s="1" t="n">
        <v>45781</v>
      </c>
      <c r="D409" t="inlineStr">
        <is>
          <t>SÖDERMANLANDS LÄN</t>
        </is>
      </c>
      <c r="E409" t="inlineStr">
        <is>
          <t>FLEN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40961-2021</t>
        </is>
      </c>
      <c r="B410" s="1" t="n">
        <v>44421</v>
      </c>
      <c r="C410" s="1" t="n">
        <v>45781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41148-2021</t>
        </is>
      </c>
      <c r="B411" s="1" t="n">
        <v>44423</v>
      </c>
      <c r="C411" s="1" t="n">
        <v>45781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41150-2021</t>
        </is>
      </c>
      <c r="B412" s="1" t="n">
        <v>44423</v>
      </c>
      <c r="C412" s="1" t="n">
        <v>45781</v>
      </c>
      <c r="D412" t="inlineStr">
        <is>
          <t>SÖDERMANLANDS LÄN</t>
        </is>
      </c>
      <c r="E412" t="inlineStr">
        <is>
          <t>FLEN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41597-2021</t>
        </is>
      </c>
      <c r="B413" s="1" t="n">
        <v>44425</v>
      </c>
      <c r="C413" s="1" t="n">
        <v>45781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41640-2021</t>
        </is>
      </c>
      <c r="B414" s="1" t="n">
        <v>44425</v>
      </c>
      <c r="C414" s="1" t="n">
        <v>45781</v>
      </c>
      <c r="D414" t="inlineStr">
        <is>
          <t>SÖDERMANLANDS LÄN</t>
        </is>
      </c>
      <c r="E414" t="inlineStr">
        <is>
          <t>FLEN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41658-2021</t>
        </is>
      </c>
      <c r="B415" s="1" t="n">
        <v>44425</v>
      </c>
      <c r="C415" s="1" t="n">
        <v>45781</v>
      </c>
      <c r="D415" t="inlineStr">
        <is>
          <t>SÖDERMANLANDS LÄN</t>
        </is>
      </c>
      <c r="E415" t="inlineStr">
        <is>
          <t>FLEN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41638-2021</t>
        </is>
      </c>
      <c r="B416" s="1" t="n">
        <v>44425</v>
      </c>
      <c r="C416" s="1" t="n">
        <v>45781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41709-2021</t>
        </is>
      </c>
      <c r="B417" s="1" t="n">
        <v>44425</v>
      </c>
      <c r="C417" s="1" t="n">
        <v>45781</v>
      </c>
      <c r="D417" t="inlineStr">
        <is>
          <t>SÖDERMANLANDS LÄN</t>
        </is>
      </c>
      <c r="E417" t="inlineStr">
        <is>
          <t>FLEN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41800-2021</t>
        </is>
      </c>
      <c r="B418" s="1" t="n">
        <v>44425</v>
      </c>
      <c r="C418" s="1" t="n">
        <v>45781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41894-2021</t>
        </is>
      </c>
      <c r="B419" s="1" t="n">
        <v>44425</v>
      </c>
      <c r="C419" s="1" t="n">
        <v>45781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42936-2021</t>
        </is>
      </c>
      <c r="B420" s="1" t="n">
        <v>44431</v>
      </c>
      <c r="C420" s="1" t="n">
        <v>45781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43394-2021</t>
        </is>
      </c>
      <c r="B421" s="1" t="n">
        <v>44432</v>
      </c>
      <c r="C421" s="1" t="n">
        <v>45781</v>
      </c>
      <c r="D421" t="inlineStr">
        <is>
          <t>SÖDERMANLANDS LÄN</t>
        </is>
      </c>
      <c r="E421" t="inlineStr">
        <is>
          <t>FLEN</t>
        </is>
      </c>
      <c r="G421" t="n">
        <v>14.4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43450-2021</t>
        </is>
      </c>
      <c r="B422" s="1" t="n">
        <v>44432</v>
      </c>
      <c r="C422" s="1" t="n">
        <v>45781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43640-2021</t>
        </is>
      </c>
      <c r="B423" s="1" t="n">
        <v>44433</v>
      </c>
      <c r="C423" s="1" t="n">
        <v>45781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43541-2021</t>
        </is>
      </c>
      <c r="B424" s="1" t="n">
        <v>44433</v>
      </c>
      <c r="C424" s="1" t="n">
        <v>45781</v>
      </c>
      <c r="D424" t="inlineStr">
        <is>
          <t>SÖDERMANLANDS LÄN</t>
        </is>
      </c>
      <c r="E424" t="inlineStr">
        <is>
          <t>FLEN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44359-2021</t>
        </is>
      </c>
      <c r="B425" s="1" t="n">
        <v>44435</v>
      </c>
      <c r="C425" s="1" t="n">
        <v>45781</v>
      </c>
      <c r="D425" t="inlineStr">
        <is>
          <t>SÖDERMANLANDS LÄN</t>
        </is>
      </c>
      <c r="E425" t="inlineStr">
        <is>
          <t>FLEN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45120-2021</t>
        </is>
      </c>
      <c r="B426" s="1" t="n">
        <v>44439</v>
      </c>
      <c r="C426" s="1" t="n">
        <v>45781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45468-2021</t>
        </is>
      </c>
      <c r="B427" s="1" t="n">
        <v>44440</v>
      </c>
      <c r="C427" s="1" t="n">
        <v>45781</v>
      </c>
      <c r="D427" t="inlineStr">
        <is>
          <t>SÖDERMANLANDS LÄN</t>
        </is>
      </c>
      <c r="E427" t="inlineStr">
        <is>
          <t>FLEN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47609-2021</t>
        </is>
      </c>
      <c r="B428" s="1" t="n">
        <v>44448</v>
      </c>
      <c r="C428" s="1" t="n">
        <v>45781</v>
      </c>
      <c r="D428" t="inlineStr">
        <is>
          <t>SÖDERMANLANDS LÄN</t>
        </is>
      </c>
      <c r="E428" t="inlineStr">
        <is>
          <t>FLEN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47613-2021</t>
        </is>
      </c>
      <c r="B429" s="1" t="n">
        <v>44448</v>
      </c>
      <c r="C429" s="1" t="n">
        <v>45781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47644-2021</t>
        </is>
      </c>
      <c r="B430" s="1" t="n">
        <v>44448</v>
      </c>
      <c r="C430" s="1" t="n">
        <v>45781</v>
      </c>
      <c r="D430" t="inlineStr">
        <is>
          <t>SÖDERMANLANDS LÄN</t>
        </is>
      </c>
      <c r="E430" t="inlineStr">
        <is>
          <t>FLEN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47604-2021</t>
        </is>
      </c>
      <c r="B431" s="1" t="n">
        <v>44448</v>
      </c>
      <c r="C431" s="1" t="n">
        <v>45781</v>
      </c>
      <c r="D431" t="inlineStr">
        <is>
          <t>SÖDERMANLANDS LÄN</t>
        </is>
      </c>
      <c r="E431" t="inlineStr">
        <is>
          <t>FLEN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48166-2021</t>
        </is>
      </c>
      <c r="B432" s="1" t="n">
        <v>44449</v>
      </c>
      <c r="C432" s="1" t="n">
        <v>45781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48497-2021</t>
        </is>
      </c>
      <c r="B433" s="1" t="n">
        <v>44449</v>
      </c>
      <c r="C433" s="1" t="n">
        <v>45781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48298-2021</t>
        </is>
      </c>
      <c r="B434" s="1" t="n">
        <v>44450</v>
      </c>
      <c r="C434" s="1" t="n">
        <v>45781</v>
      </c>
      <c r="D434" t="inlineStr">
        <is>
          <t>SÖDERMANLANDS LÄN</t>
        </is>
      </c>
      <c r="E434" t="inlineStr">
        <is>
          <t>FLEN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48763-2021</t>
        </is>
      </c>
      <c r="B435" s="1" t="n">
        <v>44452</v>
      </c>
      <c r="C435" s="1" t="n">
        <v>45781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48925-2021</t>
        </is>
      </c>
      <c r="B436" s="1" t="n">
        <v>44452</v>
      </c>
      <c r="C436" s="1" t="n">
        <v>45781</v>
      </c>
      <c r="D436" t="inlineStr">
        <is>
          <t>SÖDERMANLANDS LÄN</t>
        </is>
      </c>
      <c r="E436" t="inlineStr">
        <is>
          <t>FLEN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49323-2021</t>
        </is>
      </c>
      <c r="B437" s="1" t="n">
        <v>44453</v>
      </c>
      <c r="C437" s="1" t="n">
        <v>45781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49275-2021</t>
        </is>
      </c>
      <c r="B438" s="1" t="n">
        <v>44453</v>
      </c>
      <c r="C438" s="1" t="n">
        <v>45781</v>
      </c>
      <c r="D438" t="inlineStr">
        <is>
          <t>SÖDERMANLANDS LÄN</t>
        </is>
      </c>
      <c r="E438" t="inlineStr">
        <is>
          <t>FLEN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49252-2021</t>
        </is>
      </c>
      <c r="B439" s="1" t="n">
        <v>44454</v>
      </c>
      <c r="C439" s="1" t="n">
        <v>45781</v>
      </c>
      <c r="D439" t="inlineStr">
        <is>
          <t>SÖDERMANLANDS LÄN</t>
        </is>
      </c>
      <c r="E439" t="inlineStr">
        <is>
          <t>FLEN</t>
        </is>
      </c>
      <c r="G439" t="n">
        <v>14.7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49255-2021</t>
        </is>
      </c>
      <c r="B440" s="1" t="n">
        <v>44454</v>
      </c>
      <c r="C440" s="1" t="n">
        <v>45781</v>
      </c>
      <c r="D440" t="inlineStr">
        <is>
          <t>SÖDERMANLANDS LÄN</t>
        </is>
      </c>
      <c r="E440" t="inlineStr">
        <is>
          <t>FLEN</t>
        </is>
      </c>
      <c r="G440" t="n">
        <v>15.6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49569-2021</t>
        </is>
      </c>
      <c r="B441" s="1" t="n">
        <v>44455</v>
      </c>
      <c r="C441" s="1" t="n">
        <v>45781</v>
      </c>
      <c r="D441" t="inlineStr">
        <is>
          <t>SÖDERMANLANDS LÄN</t>
        </is>
      </c>
      <c r="E441" t="inlineStr">
        <is>
          <t>FLEN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50494-2021</t>
        </is>
      </c>
      <c r="B442" s="1" t="n">
        <v>44458</v>
      </c>
      <c r="C442" s="1" t="n">
        <v>45781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50500-2021</t>
        </is>
      </c>
      <c r="B443" s="1" t="n">
        <v>44458</v>
      </c>
      <c r="C443" s="1" t="n">
        <v>45781</v>
      </c>
      <c r="D443" t="inlineStr">
        <is>
          <t>SÖDERMANLANDS LÄN</t>
        </is>
      </c>
      <c r="E443" t="inlineStr">
        <is>
          <t>FLEN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50301-2021</t>
        </is>
      </c>
      <c r="B444" s="1" t="n">
        <v>44459</v>
      </c>
      <c r="C444" s="1" t="n">
        <v>45781</v>
      </c>
      <c r="D444" t="inlineStr">
        <is>
          <t>SÖDERMANLANDS LÄN</t>
        </is>
      </c>
      <c r="E444" t="inlineStr">
        <is>
          <t>FLEN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50799-2021</t>
        </is>
      </c>
      <c r="B445" s="1" t="n">
        <v>44459</v>
      </c>
      <c r="C445" s="1" t="n">
        <v>45781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50796-2021</t>
        </is>
      </c>
      <c r="B446" s="1" t="n">
        <v>44459</v>
      </c>
      <c r="C446" s="1" t="n">
        <v>45781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52541-2021</t>
        </is>
      </c>
      <c r="B447" s="1" t="n">
        <v>44463</v>
      </c>
      <c r="C447" s="1" t="n">
        <v>45781</v>
      </c>
      <c r="D447" t="inlineStr">
        <is>
          <t>SÖDERMANLANDS LÄN</t>
        </is>
      </c>
      <c r="E447" t="inlineStr">
        <is>
          <t>FLEN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52519-2021</t>
        </is>
      </c>
      <c r="B448" s="1" t="n">
        <v>44463</v>
      </c>
      <c r="C448" s="1" t="n">
        <v>45781</v>
      </c>
      <c r="D448" t="inlineStr">
        <is>
          <t>SÖDERMANLANDS LÄN</t>
        </is>
      </c>
      <c r="E448" t="inlineStr">
        <is>
          <t>FLEN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52563-2021</t>
        </is>
      </c>
      <c r="B449" s="1" t="n">
        <v>44463</v>
      </c>
      <c r="C449" s="1" t="n">
        <v>45781</v>
      </c>
      <c r="D449" t="inlineStr">
        <is>
          <t>SÖDERMANLANDS LÄN</t>
        </is>
      </c>
      <c r="E449" t="inlineStr">
        <is>
          <t>FLEN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52500-2021</t>
        </is>
      </c>
      <c r="B450" s="1" t="n">
        <v>44463</v>
      </c>
      <c r="C450" s="1" t="n">
        <v>45781</v>
      </c>
      <c r="D450" t="inlineStr">
        <is>
          <t>SÖDERMANLANDS LÄN</t>
        </is>
      </c>
      <c r="E450" t="inlineStr">
        <is>
          <t>FLEN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52546-2021</t>
        </is>
      </c>
      <c r="B451" s="1" t="n">
        <v>44463</v>
      </c>
      <c r="C451" s="1" t="n">
        <v>45781</v>
      </c>
      <c r="D451" t="inlineStr">
        <is>
          <t>SÖDERMANLANDS LÄN</t>
        </is>
      </c>
      <c r="E451" t="inlineStr">
        <is>
          <t>FLEN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52534-2021</t>
        </is>
      </c>
      <c r="B452" s="1" t="n">
        <v>44463</v>
      </c>
      <c r="C452" s="1" t="n">
        <v>45781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52692-2021</t>
        </is>
      </c>
      <c r="B453" s="1" t="n">
        <v>44466</v>
      </c>
      <c r="C453" s="1" t="n">
        <v>45781</v>
      </c>
      <c r="D453" t="inlineStr">
        <is>
          <t>SÖDERMANLANDS LÄN</t>
        </is>
      </c>
      <c r="E453" t="inlineStr">
        <is>
          <t>FLEN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53608-2021</t>
        </is>
      </c>
      <c r="B454" s="1" t="n">
        <v>44469</v>
      </c>
      <c r="C454" s="1" t="n">
        <v>45781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53930-2021</t>
        </is>
      </c>
      <c r="B455" s="1" t="n">
        <v>44469</v>
      </c>
      <c r="C455" s="1" t="n">
        <v>45781</v>
      </c>
      <c r="D455" t="inlineStr">
        <is>
          <t>SÖDERMANLANDS LÄN</t>
        </is>
      </c>
      <c r="E455" t="inlineStr">
        <is>
          <t>FLEN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54179-2021</t>
        </is>
      </c>
      <c r="B456" s="1" t="n">
        <v>44470</v>
      </c>
      <c r="C456" s="1" t="n">
        <v>45781</v>
      </c>
      <c r="D456" t="inlineStr">
        <is>
          <t>SÖDERMANLANDS LÄN</t>
        </is>
      </c>
      <c r="E456" t="inlineStr">
        <is>
          <t>FLEN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54325-2021</t>
        </is>
      </c>
      <c r="B457" s="1" t="n">
        <v>44472</v>
      </c>
      <c r="C457" s="1" t="n">
        <v>45781</v>
      </c>
      <c r="D457" t="inlineStr">
        <is>
          <t>SÖDERMANLANDS LÄN</t>
        </is>
      </c>
      <c r="E457" t="inlineStr">
        <is>
          <t>FLEN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54645-2021</t>
        </is>
      </c>
      <c r="B458" s="1" t="n">
        <v>44473</v>
      </c>
      <c r="C458" s="1" t="n">
        <v>45781</v>
      </c>
      <c r="D458" t="inlineStr">
        <is>
          <t>SÖDERMANLANDS LÄN</t>
        </is>
      </c>
      <c r="E458" t="inlineStr">
        <is>
          <t>FLEN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54666-2021</t>
        </is>
      </c>
      <c r="B459" s="1" t="n">
        <v>44473</v>
      </c>
      <c r="C459" s="1" t="n">
        <v>45781</v>
      </c>
      <c r="D459" t="inlineStr">
        <is>
          <t>SÖDERMANLANDS LÄN</t>
        </is>
      </c>
      <c r="E459" t="inlineStr">
        <is>
          <t>FLEN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57753-2021</t>
        </is>
      </c>
      <c r="B460" s="1" t="n">
        <v>44484</v>
      </c>
      <c r="C460" s="1" t="n">
        <v>45781</v>
      </c>
      <c r="D460" t="inlineStr">
        <is>
          <t>SÖDERMANLANDS LÄN</t>
        </is>
      </c>
      <c r="E460" t="inlineStr">
        <is>
          <t>FLEN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58299-2021</t>
        </is>
      </c>
      <c r="B461" s="1" t="n">
        <v>44487</v>
      </c>
      <c r="C461" s="1" t="n">
        <v>45781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59405-2021</t>
        </is>
      </c>
      <c r="B462" s="1" t="n">
        <v>44490</v>
      </c>
      <c r="C462" s="1" t="n">
        <v>45781</v>
      </c>
      <c r="D462" t="inlineStr">
        <is>
          <t>SÖDERMANLANDS LÄN</t>
        </is>
      </c>
      <c r="E462" t="inlineStr">
        <is>
          <t>FLEN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60069-2021</t>
        </is>
      </c>
      <c r="B463" s="1" t="n">
        <v>44495</v>
      </c>
      <c r="C463" s="1" t="n">
        <v>45781</v>
      </c>
      <c r="D463" t="inlineStr">
        <is>
          <t>SÖDERMANLANDS LÄN</t>
        </is>
      </c>
      <c r="E463" t="inlineStr">
        <is>
          <t>FLEN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60077-2021</t>
        </is>
      </c>
      <c r="B464" s="1" t="n">
        <v>44495</v>
      </c>
      <c r="C464" s="1" t="n">
        <v>45781</v>
      </c>
      <c r="D464" t="inlineStr">
        <is>
          <t>SÖDERMANLANDS LÄN</t>
        </is>
      </c>
      <c r="E464" t="inlineStr">
        <is>
          <t>FLEN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60255-2021</t>
        </is>
      </c>
      <c r="B465" s="1" t="n">
        <v>44495</v>
      </c>
      <c r="C465" s="1" t="n">
        <v>45781</v>
      </c>
      <c r="D465" t="inlineStr">
        <is>
          <t>SÖDERMANLANDS LÄN</t>
        </is>
      </c>
      <c r="E465" t="inlineStr">
        <is>
          <t>FLEN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60562-2021</t>
        </is>
      </c>
      <c r="B466" s="1" t="n">
        <v>44495</v>
      </c>
      <c r="C466" s="1" t="n">
        <v>45781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62223-2021</t>
        </is>
      </c>
      <c r="B467" s="1" t="n">
        <v>44501</v>
      </c>
      <c r="C467" s="1" t="n">
        <v>45781</v>
      </c>
      <c r="D467" t="inlineStr">
        <is>
          <t>SÖDERMANLANDS LÄN</t>
        </is>
      </c>
      <c r="E467" t="inlineStr">
        <is>
          <t>FLEN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63444-2021</t>
        </is>
      </c>
      <c r="B468" s="1" t="n">
        <v>44508</v>
      </c>
      <c r="C468" s="1" t="n">
        <v>45781</v>
      </c>
      <c r="D468" t="inlineStr">
        <is>
          <t>SÖDERMANLANDS LÄN</t>
        </is>
      </c>
      <c r="E468" t="inlineStr">
        <is>
          <t>FLEN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64060-2021</t>
        </is>
      </c>
      <c r="B469" s="1" t="n">
        <v>44508</v>
      </c>
      <c r="C469" s="1" t="n">
        <v>45781</v>
      </c>
      <c r="D469" t="inlineStr">
        <is>
          <t>SÖDERMANLANDS LÄN</t>
        </is>
      </c>
      <c r="E469" t="inlineStr">
        <is>
          <t>FLEN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64330-2021</t>
        </is>
      </c>
      <c r="B470" s="1" t="n">
        <v>44511</v>
      </c>
      <c r="C470" s="1" t="n">
        <v>45781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65869-2021</t>
        </is>
      </c>
      <c r="B471" s="1" t="n">
        <v>44517</v>
      </c>
      <c r="C471" s="1" t="n">
        <v>45781</v>
      </c>
      <c r="D471" t="inlineStr">
        <is>
          <t>SÖDERMANLANDS LÄN</t>
        </is>
      </c>
      <c r="E471" t="inlineStr">
        <is>
          <t>FLEN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66230-2021</t>
        </is>
      </c>
      <c r="B472" s="1" t="n">
        <v>44518</v>
      </c>
      <c r="C472" s="1" t="n">
        <v>45781</v>
      </c>
      <c r="D472" t="inlineStr">
        <is>
          <t>SÖDERMANLANDS LÄN</t>
        </is>
      </c>
      <c r="E472" t="inlineStr">
        <is>
          <t>FLEN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66334-2021</t>
        </is>
      </c>
      <c r="B473" s="1" t="n">
        <v>44518</v>
      </c>
      <c r="C473" s="1" t="n">
        <v>45781</v>
      </c>
      <c r="D473" t="inlineStr">
        <is>
          <t>SÖDERMANLANDS LÄN</t>
        </is>
      </c>
      <c r="E473" t="inlineStr">
        <is>
          <t>FLEN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66337-2021</t>
        </is>
      </c>
      <c r="B474" s="1" t="n">
        <v>44518</v>
      </c>
      <c r="C474" s="1" t="n">
        <v>45781</v>
      </c>
      <c r="D474" t="inlineStr">
        <is>
          <t>SÖDERMANLANDS LÄN</t>
        </is>
      </c>
      <c r="E474" t="inlineStr">
        <is>
          <t>FLEN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66867-2021</t>
        </is>
      </c>
      <c r="B475" s="1" t="n">
        <v>44522</v>
      </c>
      <c r="C475" s="1" t="n">
        <v>45781</v>
      </c>
      <c r="D475" t="inlineStr">
        <is>
          <t>SÖDERMANLANDS LÄN</t>
        </is>
      </c>
      <c r="E475" t="inlineStr">
        <is>
          <t>FLEN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66979-2021</t>
        </is>
      </c>
      <c r="B476" s="1" t="n">
        <v>44522</v>
      </c>
      <c r="C476" s="1" t="n">
        <v>45781</v>
      </c>
      <c r="D476" t="inlineStr">
        <is>
          <t>SÖDERMANLANDS LÄN</t>
        </is>
      </c>
      <c r="E476" t="inlineStr">
        <is>
          <t>FLEN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67464-2021</t>
        </is>
      </c>
      <c r="B477" s="1" t="n">
        <v>44524</v>
      </c>
      <c r="C477" s="1" t="n">
        <v>45781</v>
      </c>
      <c r="D477" t="inlineStr">
        <is>
          <t>SÖDERMANLANDS LÄN</t>
        </is>
      </c>
      <c r="E477" t="inlineStr">
        <is>
          <t>FLEN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69588-2021</t>
        </is>
      </c>
      <c r="B478" s="1" t="n">
        <v>44531</v>
      </c>
      <c r="C478" s="1" t="n">
        <v>45781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70215-2021</t>
        </is>
      </c>
      <c r="B479" s="1" t="n">
        <v>44535</v>
      </c>
      <c r="C479" s="1" t="n">
        <v>45781</v>
      </c>
      <c r="D479" t="inlineStr">
        <is>
          <t>SÖDERMANLANDS LÄN</t>
        </is>
      </c>
      <c r="E479" t="inlineStr">
        <is>
          <t>FLEN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70701-2021</t>
        </is>
      </c>
      <c r="B480" s="1" t="n">
        <v>44536</v>
      </c>
      <c r="C480" s="1" t="n">
        <v>45781</v>
      </c>
      <c r="D480" t="inlineStr">
        <is>
          <t>SÖDERMANLANDS LÄN</t>
        </is>
      </c>
      <c r="E480" t="inlineStr">
        <is>
          <t>FLEN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72314-2021</t>
        </is>
      </c>
      <c r="B481" s="1" t="n">
        <v>44544</v>
      </c>
      <c r="C481" s="1" t="n">
        <v>45781</v>
      </c>
      <c r="D481" t="inlineStr">
        <is>
          <t>SÖDERMANLANDS LÄN</t>
        </is>
      </c>
      <c r="E481" t="inlineStr">
        <is>
          <t>FLEN</t>
        </is>
      </c>
      <c r="G481" t="n">
        <v>13.8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73919-2021</t>
        </is>
      </c>
      <c r="B482" s="1" t="n">
        <v>44553</v>
      </c>
      <c r="C482" s="1" t="n">
        <v>45781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476-2022</t>
        </is>
      </c>
      <c r="B483" s="1" t="n">
        <v>44566</v>
      </c>
      <c r="C483" s="1" t="n">
        <v>45781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550-2022</t>
        </is>
      </c>
      <c r="B484" s="1" t="n">
        <v>44566</v>
      </c>
      <c r="C484" s="1" t="n">
        <v>45781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985-2022</t>
        </is>
      </c>
      <c r="B485" s="1" t="n">
        <v>44571</v>
      </c>
      <c r="C485" s="1" t="n">
        <v>45781</v>
      </c>
      <c r="D485" t="inlineStr">
        <is>
          <t>SÖDERMANLANDS LÄN</t>
        </is>
      </c>
      <c r="E485" t="inlineStr">
        <is>
          <t>FLEN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1242-2022</t>
        </is>
      </c>
      <c r="B486" s="1" t="n">
        <v>44572</v>
      </c>
      <c r="C486" s="1" t="n">
        <v>45781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2204-2022</t>
        </is>
      </c>
      <c r="B487" s="1" t="n">
        <v>44578</v>
      </c>
      <c r="C487" s="1" t="n">
        <v>45781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2162-2022</t>
        </is>
      </c>
      <c r="B488" s="1" t="n">
        <v>44578</v>
      </c>
      <c r="C488" s="1" t="n">
        <v>45781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2496-2022</t>
        </is>
      </c>
      <c r="B489" s="1" t="n">
        <v>44579</v>
      </c>
      <c r="C489" s="1" t="n">
        <v>45781</v>
      </c>
      <c r="D489" t="inlineStr">
        <is>
          <t>SÖDERMANLANDS LÄN</t>
        </is>
      </c>
      <c r="E489" t="inlineStr">
        <is>
          <t>FLEN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2734-2022</t>
        </is>
      </c>
      <c r="B490" s="1" t="n">
        <v>44580</v>
      </c>
      <c r="C490" s="1" t="n">
        <v>45781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2738-2022</t>
        </is>
      </c>
      <c r="B491" s="1" t="n">
        <v>44580</v>
      </c>
      <c r="C491" s="1" t="n">
        <v>45781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4065-2022</t>
        </is>
      </c>
      <c r="B492" s="1" t="n">
        <v>44588</v>
      </c>
      <c r="C492" s="1" t="n">
        <v>45781</v>
      </c>
      <c r="D492" t="inlineStr">
        <is>
          <t>SÖDERMANLANDS LÄN</t>
        </is>
      </c>
      <c r="E492" t="inlineStr">
        <is>
          <t>FLEN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4216-2022</t>
        </is>
      </c>
      <c r="B493" s="1" t="n">
        <v>44588</v>
      </c>
      <c r="C493" s="1" t="n">
        <v>45781</v>
      </c>
      <c r="D493" t="inlineStr">
        <is>
          <t>SÖDERMANLANDS LÄN</t>
        </is>
      </c>
      <c r="E493" t="inlineStr">
        <is>
          <t>FLEN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5260-2022</t>
        </is>
      </c>
      <c r="B494" s="1" t="n">
        <v>44594</v>
      </c>
      <c r="C494" s="1" t="n">
        <v>45781</v>
      </c>
      <c r="D494" t="inlineStr">
        <is>
          <t>SÖDERMANLANDS LÄN</t>
        </is>
      </c>
      <c r="E494" t="inlineStr">
        <is>
          <t>FLEN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5859-2022</t>
        </is>
      </c>
      <c r="B495" s="1" t="n">
        <v>44596</v>
      </c>
      <c r="C495" s="1" t="n">
        <v>45781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5852-2022</t>
        </is>
      </c>
      <c r="B496" s="1" t="n">
        <v>44596</v>
      </c>
      <c r="C496" s="1" t="n">
        <v>45781</v>
      </c>
      <c r="D496" t="inlineStr">
        <is>
          <t>SÖDERMANLANDS LÄN</t>
        </is>
      </c>
      <c r="E496" t="inlineStr">
        <is>
          <t>FLEN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6725-2022</t>
        </is>
      </c>
      <c r="B497" s="1" t="n">
        <v>44602</v>
      </c>
      <c r="C497" s="1" t="n">
        <v>45781</v>
      </c>
      <c r="D497" t="inlineStr">
        <is>
          <t>SÖDERMANLANDS LÄN</t>
        </is>
      </c>
      <c r="E497" t="inlineStr">
        <is>
          <t>FLEN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7170-2022</t>
        </is>
      </c>
      <c r="B498" s="1" t="n">
        <v>44604</v>
      </c>
      <c r="C498" s="1" t="n">
        <v>45781</v>
      </c>
      <c r="D498" t="inlineStr">
        <is>
          <t>SÖDERMANLANDS LÄN</t>
        </is>
      </c>
      <c r="E498" t="inlineStr">
        <is>
          <t>FLEN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7242-2022</t>
        </is>
      </c>
      <c r="B499" s="1" t="n">
        <v>44606</v>
      </c>
      <c r="C499" s="1" t="n">
        <v>45781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7863-2022</t>
        </is>
      </c>
      <c r="B500" s="1" t="n">
        <v>44608</v>
      </c>
      <c r="C500" s="1" t="n">
        <v>45781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8301-2022</t>
        </is>
      </c>
      <c r="B501" s="1" t="n">
        <v>44610</v>
      </c>
      <c r="C501" s="1" t="n">
        <v>45781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8293-2022</t>
        </is>
      </c>
      <c r="B502" s="1" t="n">
        <v>44610</v>
      </c>
      <c r="C502" s="1" t="n">
        <v>45781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8793-2022</t>
        </is>
      </c>
      <c r="B503" s="1" t="n">
        <v>44614</v>
      </c>
      <c r="C503" s="1" t="n">
        <v>45781</v>
      </c>
      <c r="D503" t="inlineStr">
        <is>
          <t>SÖDERMANLANDS LÄN</t>
        </is>
      </c>
      <c r="E503" t="inlineStr">
        <is>
          <t>FLEN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8903-2022</t>
        </is>
      </c>
      <c r="B504" s="1" t="n">
        <v>44614</v>
      </c>
      <c r="C504" s="1" t="n">
        <v>45781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8990-2022</t>
        </is>
      </c>
      <c r="B505" s="1" t="n">
        <v>44614</v>
      </c>
      <c r="C505" s="1" t="n">
        <v>45781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9431-2022</t>
        </is>
      </c>
      <c r="B506" s="1" t="n">
        <v>44616</v>
      </c>
      <c r="C506" s="1" t="n">
        <v>45781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10738-2022</t>
        </is>
      </c>
      <c r="B507" s="1" t="n">
        <v>44624</v>
      </c>
      <c r="C507" s="1" t="n">
        <v>45781</v>
      </c>
      <c r="D507" t="inlineStr">
        <is>
          <t>SÖDERMANLANDS LÄN</t>
        </is>
      </c>
      <c r="E507" t="inlineStr">
        <is>
          <t>FLEN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10771-2022</t>
        </is>
      </c>
      <c r="B508" s="1" t="n">
        <v>44624</v>
      </c>
      <c r="C508" s="1" t="n">
        <v>45781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10828-2022</t>
        </is>
      </c>
      <c r="B509" s="1" t="n">
        <v>44624</v>
      </c>
      <c r="C509" s="1" t="n">
        <v>45781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10827-2022</t>
        </is>
      </c>
      <c r="B510" s="1" t="n">
        <v>44624</v>
      </c>
      <c r="C510" s="1" t="n">
        <v>45781</v>
      </c>
      <c r="D510" t="inlineStr">
        <is>
          <t>SÖDERMANLANDS LÄN</t>
        </is>
      </c>
      <c r="E510" t="inlineStr">
        <is>
          <t>FLEN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10745-2022</t>
        </is>
      </c>
      <c r="B511" s="1" t="n">
        <v>44624</v>
      </c>
      <c r="C511" s="1" t="n">
        <v>45781</v>
      </c>
      <c r="D511" t="inlineStr">
        <is>
          <t>SÖDERMANLANDS LÄN</t>
        </is>
      </c>
      <c r="E511" t="inlineStr">
        <is>
          <t>FLEN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12172-2022</t>
        </is>
      </c>
      <c r="B512" s="1" t="n">
        <v>44636</v>
      </c>
      <c r="C512" s="1" t="n">
        <v>45781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12116-2022</t>
        </is>
      </c>
      <c r="B513" s="1" t="n">
        <v>44636</v>
      </c>
      <c r="C513" s="1" t="n">
        <v>45781</v>
      </c>
      <c r="D513" t="inlineStr">
        <is>
          <t>SÖDERMANLANDS LÄN</t>
        </is>
      </c>
      <c r="E513" t="inlineStr">
        <is>
          <t>FLEN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12171-2022</t>
        </is>
      </c>
      <c r="B514" s="1" t="n">
        <v>44636</v>
      </c>
      <c r="C514" s="1" t="n">
        <v>45781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12174-2022</t>
        </is>
      </c>
      <c r="B515" s="1" t="n">
        <v>44636</v>
      </c>
      <c r="C515" s="1" t="n">
        <v>45781</v>
      </c>
      <c r="D515" t="inlineStr">
        <is>
          <t>SÖDERMANLANDS LÄN</t>
        </is>
      </c>
      <c r="E515" t="inlineStr">
        <is>
          <t>FLEN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45781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45781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45781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45781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45781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45781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45781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45781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45781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45781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45781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45781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45781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45781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45781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45781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45781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45781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45781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45781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45781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45781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45781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45781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45781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45781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45781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45781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45781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45781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45781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45781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45781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45781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45781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45781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45781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45781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45781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45781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45781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45781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45781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45781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45781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45781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45781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45781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45781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45781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45781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45781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45781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45781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45781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45781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45781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45781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45781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45781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45781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45781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45781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45781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45781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45781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45781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45781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45781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45781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45781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45781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45781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45781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45781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45781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45781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45781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45781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45781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45781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45781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45781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45781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45781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45781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45781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45781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45781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45781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45781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45781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45781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45781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45781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45781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45781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45781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45781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45781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45781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45781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45781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45781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45781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45781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45781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45781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45781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45781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45781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45781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45781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45781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45781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45781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45781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45781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45781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45781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45781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45781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45781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45781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45781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45781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45781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45781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45781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45781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45781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45781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45781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45781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45781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45781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45781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45781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45781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45781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45781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45781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45781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45781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45781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45781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45781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45781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45781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45781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45781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45781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45781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45781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45781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45781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45781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45781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45781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45781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45781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45781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45781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45781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45781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45781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45781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45781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45781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45781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45781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45781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45781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45781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45781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45781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45781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45781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45781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45781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45781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45781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45781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45781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45781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45781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45781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45781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45781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45781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45781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45781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45781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45781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45781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45781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45781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45781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45781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45781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45781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45781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45781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45781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45781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45781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45781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45781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45781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45781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45781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45781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45781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45781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45781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45781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45781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45781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45781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45781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45781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45781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45781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45781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45781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45781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45781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45781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45781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45781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45781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45781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45781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45781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45781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45781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45781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45781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45781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45781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45781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45781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45781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45781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45781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45781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45781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45781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45781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45781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45781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45781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45781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45781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45781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45781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45781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45781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45781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45781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45781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45781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45781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45781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45781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45781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45781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45781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45781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45781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45781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45781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45781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45781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45781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45781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45781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45781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45781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45781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45781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45781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45781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45781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45781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45781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45781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45781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45781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45781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45781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45781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45781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45781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45781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45781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45781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45781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45781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45781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45781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45781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45781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45781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45781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45781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45781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45781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45781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45781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45781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45781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45781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45781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45781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45781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45781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45781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45781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45781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45781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45781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45781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45781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45781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45781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45781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45781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45781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45781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45781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45781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45781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45781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45781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45781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45781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45781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45781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45781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45781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45781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45781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45781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45781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45781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45781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45781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45781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45781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45781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45781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45781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45781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45781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45781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45781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45781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45781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45781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45781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45781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45781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45781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45781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45781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45781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45781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45781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45781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45781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45781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45781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45781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45781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45781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45781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45781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45781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45781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45781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45781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45781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45781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45781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45781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45781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45781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45781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45781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45781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45781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45781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45781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45781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45781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45781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45781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45781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45781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45781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45781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45781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45781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45781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45781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45781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45781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45781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45781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45781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45781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45781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45781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45781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45781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45781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45781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45781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45781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45781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45781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45781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45781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45781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45781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45781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45781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45781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45781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45781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45781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45781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45781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45781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45781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45781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45781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45781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45781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45781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45781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45781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45781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45781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45781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45781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45781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45781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45781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45781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45781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45781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45781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45781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45781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45781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45781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45781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45781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45781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45781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45781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45781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45781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45781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45781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45781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45781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45781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45781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45781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45781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45781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45781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45781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45781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45781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45781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45781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45781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45781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45781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45781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45781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45781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45781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45781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45781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45781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45781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45781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45781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45781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45781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45781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45781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45781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45781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45781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45781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45781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45781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45781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45781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45781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45781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45781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45781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45781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45781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45781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45781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45781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45781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45781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45781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45781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45781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45781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45781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45781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45781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45781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45781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45781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45781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45781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45781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45781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45781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45781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45781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45781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45781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45781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45781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45781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45781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45781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45781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45781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45781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45781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45781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45781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45781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45781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45781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45781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45781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45781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45781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45781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45781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45781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45781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45781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45781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45781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45781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45781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45781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45781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45781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45781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45781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45781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45781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45781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45781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45781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45781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45781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45781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45781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45781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45781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45781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45781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45781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45781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45781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45781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45781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45781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45781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45781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45781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45781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45781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45781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45781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45781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45781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45781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45781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45781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45781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45781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45781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45781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45781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45781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45781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45781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45781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45781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45781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45781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45781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45781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45781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45781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45781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45781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45781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45781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45781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45781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45781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45781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45781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45781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45781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45781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45781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45781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45781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45781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45781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45781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45781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45781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45781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45781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45781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45781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45781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45781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45781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20833-2025</t>
        </is>
      </c>
      <c r="B1157" s="1" t="n">
        <v>45776</v>
      </c>
      <c r="C1157" s="1" t="n">
        <v>45781</v>
      </c>
      <c r="D1157" t="inlineStr">
        <is>
          <t>SÖDERMANLANDS LÄN</t>
        </is>
      </c>
      <c r="E1157" t="inlineStr">
        <is>
          <t>FLEN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20788-2025</t>
        </is>
      </c>
      <c r="B1158" s="1" t="n">
        <v>45776</v>
      </c>
      <c r="C1158" s="1" t="n">
        <v>45781</v>
      </c>
      <c r="D1158" t="inlineStr">
        <is>
          <t>SÖDERMANLANDS LÄN</t>
        </is>
      </c>
      <c r="E1158" t="inlineStr">
        <is>
          <t>FLEN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20849-2025</t>
        </is>
      </c>
      <c r="B1159" s="1" t="n">
        <v>45777</v>
      </c>
      <c r="C1159" s="1" t="n">
        <v>45781</v>
      </c>
      <c r="D1159" t="inlineStr">
        <is>
          <t>SÖDERMANLANDS LÄN</t>
        </is>
      </c>
      <c r="E1159" t="inlineStr">
        <is>
          <t>FLEN</t>
        </is>
      </c>
      <c r="F1159" t="inlineStr">
        <is>
          <t>Holmen skog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20952-2025</t>
        </is>
      </c>
      <c r="B1160" s="1" t="n">
        <v>45777</v>
      </c>
      <c r="C1160" s="1" t="n">
        <v>45781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21004-2025</t>
        </is>
      </c>
      <c r="B1161" s="1" t="n">
        <v>45777</v>
      </c>
      <c r="C1161" s="1" t="n">
        <v>45781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20875-2025</t>
        </is>
      </c>
      <c r="B1162" s="1" t="n">
        <v>45777</v>
      </c>
      <c r="C1162" s="1" t="n">
        <v>45781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2025-05-04T21:32:38Z</dcterms:created>
  <dcterms:modified xmlns:dcterms="http://purl.org/dc/terms/" xmlns:xsi="http://www.w3.org/2001/XMLSchema-instance" xsi:type="dcterms:W3CDTF">2025-05-04T21:32:39Z</dcterms:modified>
</cp:coreProperties>
</file>