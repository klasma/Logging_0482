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46253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46253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46253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46253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46253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46253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46253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46253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46253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46253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46253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46253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46253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46253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46253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46253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46253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46253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46253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46253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46253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46253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46253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46253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46253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46253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46253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46253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46253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46253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46253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46253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46253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46253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46253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46253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46253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46253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46253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46253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46253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46253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46253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46253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46253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46253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46253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46253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49816-2023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46253</v>
      </c>
      <c r="F70" t="inlineStr">
        <is>
          <t>SÖDERMANLANDS LÄN</t>
        </is>
      </c>
      <c r="G70" t="inlineStr">
        <is>
          <t>FLEN</t>
        </is>
      </c>
      <c r="I70" t="n">
        <v>4.6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Reliktbock
Tallticka</t>
        </is>
      </c>
      <c r="W70">
        <f>HYPERLINK("https://klasma.github.io/Logging_0482/artfynd/A 49816-2023 artfynd.xlsx", "A 49816-2023")</f>
        <v/>
      </c>
      <c r="X70">
        <f>HYPERLINK("https://klasma.github.io/Logging_0482/kartor/A 49816-2023 karta.png", "A 49816-2023")</f>
        <v/>
      </c>
      <c r="Y70">
        <f>HYPERLINK("https://klasma.github.io/Logging_0482/kartor_geotiff/A 49816-2023 georefererad karta.tif", "A 49816-2023")</f>
        <v/>
      </c>
      <c r="AA70">
        <f>HYPERLINK("https://klasma.github.io/Logging_0482/klagomål/A 49816-2023 FSC-klagomål.docx", "A 49816-2023")</f>
        <v/>
      </c>
      <c r="AB70">
        <f>HYPERLINK("https://klasma.github.io/Logging_0482/klagomålsmail/A 49816-2023 FSC-klagomål mail.docx", "A 49816-2023")</f>
        <v/>
      </c>
      <c r="AC70">
        <f>HYPERLINK("https://klasma.github.io/Logging_0482/tillsyn/A 49816-2023 tillsynsbegäran.docx", "A 49816-2023")</f>
        <v/>
      </c>
      <c r="AD70">
        <f>HYPERLINK("https://klasma.github.io/Logging_0482/tillsynsmail/A 49816-2023 tillsynsbegäran mail.docx", "A 49816-2023")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46253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46253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46253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46253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46253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46253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46253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46253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46253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46253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46253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46253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15557-2026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46253</v>
      </c>
      <c r="F83" t="inlineStr">
        <is>
          <t>SÖDERMANLANDS LÄN</t>
        </is>
      </c>
      <c r="G83" t="inlineStr">
        <is>
          <t>FLEN</t>
        </is>
      </c>
      <c r="I83" t="n">
        <v>2.3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4</v>
      </c>
      <c r="U83" t="n">
        <v>0</v>
      </c>
      <c r="V83" s="2" t="inlineStr">
        <is>
          <t>Gullklöver
Svinrot</t>
        </is>
      </c>
      <c r="W83">
        <f>HYPERLINK("https://klasma.github.io/Logging_0482/artfynd/A 15557-2026 artfynd.xlsx", "A 15557-2026")</f>
        <v/>
      </c>
      <c r="X83">
        <f>HYPERLINK("https://klasma.github.io/Logging_0482/kartor/A 15557-2026 karta.png", "A 15557-2026")</f>
        <v/>
      </c>
      <c r="Y83">
        <f>HYPERLINK("https://klasma.github.io/Logging_0482/kartor_geotiff/A 15557-2026 georefererad karta.tif", "A 15557-2026")</f>
        <v/>
      </c>
      <c r="AA83">
        <f>HYPERLINK("https://klasma.github.io/Logging_0482/klagomål/A 15557-2026 FSC-klagomål.docx", "A 15557-2026")</f>
        <v/>
      </c>
      <c r="AB83">
        <f>HYPERLINK("https://klasma.github.io/Logging_0482/klagomålsmail/A 15557-2026 FSC-klagomål mail.docx", "A 15557-2026")</f>
        <v/>
      </c>
      <c r="AC83">
        <f>HYPERLINK("https://klasma.github.io/Logging_0482/tillsyn/A 15557-2026 tillsynsbegäran.docx", "A 15557-2026")</f>
        <v/>
      </c>
      <c r="AD83">
        <f>HYPERLINK("https://klasma.github.io/Logging_0482/tillsynsmail/A 15557-2026 tillsynsbegäran mail.docx", "A 15557-2026")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46253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46253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46253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46253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Backstarr
Revlummer</t>
        </is>
      </c>
      <c r="W87">
        <f>HYPERLINK("https://klasma.github.io/Logging_0482/artfynd/A 49255-2021 artfynd.xlsx", "A 49255-2021")</f>
        <v/>
      </c>
      <c r="X87">
        <f>HYPERLINK("https://klasma.github.io/Logging_0482/kartor/A 49255-2021 karta.png", "A 49255-2021")</f>
        <v/>
      </c>
      <c r="Y87">
        <f>HYPERLINK("https://klasma.github.io/Logging_0482/kartor_geotiff/A 49255-2021 georefererad karta.tif", "A 49255-2021")</f>
        <v/>
      </c>
      <c r="AA87">
        <f>HYPERLINK("https://klasma.github.io/Logging_0482/klagomål/A 49255-2021 FSC-klagomål.docx", "A 49255-2021")</f>
        <v/>
      </c>
      <c r="AB87">
        <f>HYPERLINK("https://klasma.github.io/Logging_0482/klagomålsmail/A 49255-2021 FSC-klagomål mail.docx", "A 49255-2021")</f>
        <v/>
      </c>
      <c r="AC87">
        <f>HYPERLINK("https://klasma.github.io/Logging_0482/tillsyn/A 49255-2021 tillsynsbegäran.docx", "A 49255-2021")</f>
        <v/>
      </c>
      <c r="AD87">
        <f>HYPERLINK("https://klasma.github.io/Logging_0482/tillsynsmail/A 49255-2021 tillsynsbegäran mail.docx", "A 49255-2021")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46253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46253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24464-2025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46253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Motaggsvamp
Vedskivlav</t>
        </is>
      </c>
      <c r="W90">
        <f>HYPERLINK("https://klasma.github.io/Logging_0482/artfynd/A 24464-2025 artfynd.xlsx", "A 24464-2025")</f>
        <v/>
      </c>
      <c r="X90">
        <f>HYPERLINK("https://klasma.github.io/Logging_0482/kartor/A 24464-2025 karta.png", "A 24464-2025")</f>
        <v/>
      </c>
      <c r="Y90">
        <f>HYPERLINK("https://klasma.github.io/Logging_0482/kartor_geotiff/A 24464-2025 georefererad karta.tif", "A 24464-2025")</f>
        <v/>
      </c>
      <c r="AA90">
        <f>HYPERLINK("https://klasma.github.io/Logging_0482/klagomål/A 24464-2025 FSC-klagomål.docx", "A 24464-2025")</f>
        <v/>
      </c>
      <c r="AB90">
        <f>HYPERLINK("https://klasma.github.io/Logging_0482/klagomålsmail/A 24464-2025 FSC-klagomål mail.docx", "A 24464-2025")</f>
        <v/>
      </c>
      <c r="AC90">
        <f>HYPERLINK("https://klasma.github.io/Logging_0482/tillsyn/A 24464-2025 tillsynsbegäran.docx", "A 24464-2025")</f>
        <v/>
      </c>
      <c r="AD90">
        <f>HYPERLINK("https://klasma.github.io/Logging_0482/tillsynsmail/A 24464-2025 tillsynsbegäran mail.docx", "A 24464-2025")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46253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Mandelriska</t>
        </is>
      </c>
      <c r="W91">
        <f>HYPERLINK("https://klasma.github.io/Logging_0482/artfynd/A 19994-2022 artfynd.xlsx", "A 19994-2022")</f>
        <v/>
      </c>
      <c r="X91">
        <f>HYPERLINK("https://klasma.github.io/Logging_0482/kartor/A 19994-2022 karta.png", "A 19994-2022")</f>
        <v/>
      </c>
      <c r="Y91">
        <f>HYPERLINK("https://klasma.github.io/Logging_0482/kartor_geotiff/A 19994-2022 georefererad karta.tif", "A 19994-2022")</f>
        <v/>
      </c>
      <c r="AA91">
        <f>HYPERLINK("https://klasma.github.io/Logging_0482/klagomål/A 19994-2022 FSC-klagomål.docx", "A 19994-2022")</f>
        <v/>
      </c>
      <c r="AB91">
        <f>HYPERLINK("https://klasma.github.io/Logging_0482/klagomålsmail/A 19994-2022 FSC-klagomål mail.docx", "A 19994-2022")</f>
        <v/>
      </c>
      <c r="AC91">
        <f>HYPERLINK("https://klasma.github.io/Logging_0482/tillsyn/A 19994-2022 tillsynsbegäran.docx", "A 19994-2022")</f>
        <v/>
      </c>
      <c r="AD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46253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HYPERLINK("https://klasma.github.io/Logging_0482/artfynd/A 28153-2022 artfynd.xlsx", "A 28153-2022")</f>
        <v/>
      </c>
      <c r="X92">
        <f>HYPERLINK("https://klasma.github.io/Logging_0482/kartor/A 28153-2022 karta.png", "A 28153-2022")</f>
        <v/>
      </c>
      <c r="Y92">
        <f>HYPERLINK("https://klasma.github.io/Logging_0482/kartor_geotiff/A 28153-2022 georefererad karta.tif", "A 28153-2022")</f>
        <v/>
      </c>
      <c r="AA92">
        <f>HYPERLINK("https://klasma.github.io/Logging_0482/klagomål/A 28153-2022 FSC-klagomål.docx", "A 28153-2022")</f>
        <v/>
      </c>
      <c r="AB92">
        <f>HYPERLINK("https://klasma.github.io/Logging_0482/klagomålsmail/A 28153-2022 FSC-klagomål mail.docx", "A 28153-2022")</f>
        <v/>
      </c>
      <c r="AC92">
        <f>HYPERLINK("https://klasma.github.io/Logging_0482/tillsyn/A 28153-2022 tillsynsbegäran.docx", "A 28153-2022")</f>
        <v/>
      </c>
      <c r="AD92">
        <f>HYPERLINK("https://klasma.github.io/Logging_0482/tillsynsmail/A 28153-2022 tillsynsbegäran mail.docx", "A 28153-2022")</f>
        <v/>
      </c>
    </row>
    <row r="93" ht="15" customHeight="1">
      <c r="A93" t="inlineStr">
        <is>
          <t>A 62355-2021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46253</v>
      </c>
      <c r="F93" t="inlineStr">
        <is>
          <t>SÖDERMANLANDS LÄN</t>
        </is>
      </c>
      <c r="G93" t="inlineStr">
        <is>
          <t>FLEN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HYPERLINK("https://klasma.github.io/Logging_0482/artfynd/A 62355-2021 artfynd.xlsx", "A 62355-2021")</f>
        <v/>
      </c>
      <c r="X93">
        <f>HYPERLINK("https://klasma.github.io/Logging_0482/kartor/A 62355-2021 karta.png", "A 62355-2021")</f>
        <v/>
      </c>
      <c r="Y93">
        <f>HYPERLINK("https://klasma.github.io/Logging_0482/kartor_geotiff/A 62355-2021 georefererad karta.tif", "A 62355-2021")</f>
        <v/>
      </c>
      <c r="AA93">
        <f>HYPERLINK("https://klasma.github.io/Logging_0482/klagomål/A 62355-2021 FSC-klagomål.docx", "A 62355-2021")</f>
        <v/>
      </c>
      <c r="AB93">
        <f>HYPERLINK("https://klasma.github.io/Logging_0482/klagomålsmail/A 62355-2021 FSC-klagomål mail.docx", "A 62355-2021")</f>
        <v/>
      </c>
      <c r="AC93">
        <f>HYPERLINK("https://klasma.github.io/Logging_0482/tillsyn/A 62355-2021 tillsynsbegäran.docx", "A 62355-2021")</f>
        <v/>
      </c>
      <c r="AD93">
        <f>HYPERLINK("https://klasma.github.io/Logging_0482/tillsynsmail/A 62355-2021 tillsynsbegäran mail.docx", "A 62355-2021")</f>
        <v/>
      </c>
    </row>
    <row r="94" ht="15" customHeight="1">
      <c r="A94" t="inlineStr">
        <is>
          <t>A 7883-2022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46253</v>
      </c>
      <c r="F94" t="inlineStr">
        <is>
          <t>SÖDERMANLANDS LÄN</t>
        </is>
      </c>
      <c r="G94" t="inlineStr">
        <is>
          <t>FLEN</t>
        </is>
      </c>
      <c r="H94" t="inlineStr">
        <is>
          <t>Övriga statliga verk och myndigheter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Plattlummer</t>
        </is>
      </c>
      <c r="W94">
        <f>HYPERLINK("https://klasma.github.io/Logging_0482/artfynd/A 7883-2022 artfynd.xlsx", "A 7883-2022")</f>
        <v/>
      </c>
      <c r="X94">
        <f>HYPERLINK("https://klasma.github.io/Logging_0482/kartor/A 7883-2022 karta.png", "A 7883-2022")</f>
        <v/>
      </c>
      <c r="Y94">
        <f>HYPERLINK("https://klasma.github.io/Logging_0482/kartor_geotiff/A 7883-2022 georefererad karta.tif", "A 7883-2022")</f>
        <v/>
      </c>
      <c r="AA94">
        <f>HYPERLINK("https://klasma.github.io/Logging_0482/klagomål/A 7883-2022 FSC-klagomål.docx", "A 7883-2022")</f>
        <v/>
      </c>
      <c r="AB94">
        <f>HYPERLINK("https://klasma.github.io/Logging_0482/klagomålsmail/A 7883-2022 FSC-klagomål mail.docx", "A 7883-2022")</f>
        <v/>
      </c>
      <c r="AC94">
        <f>HYPERLINK("https://klasma.github.io/Logging_0482/tillsyn/A 7883-2022 tillsynsbegäran.docx", "A 7883-2022")</f>
        <v/>
      </c>
      <c r="AD94">
        <f>HYPERLINK("https://klasma.github.io/Logging_0482/tillsynsmail/A 7883-2022 tillsynsbegäran mail.docx", "A 7883-2022")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46253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46253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45120-2021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44439</v>
      </c>
      <c r="E97" s="1" t="n">
        <v>46253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Svinrot</t>
        </is>
      </c>
      <c r="W97">
        <f>HYPERLINK("https://klasma.github.io/Logging_0482/artfynd/A 45120-2021 artfynd.xlsx", "A 45120-2021")</f>
        <v/>
      </c>
      <c r="X97">
        <f>HYPERLINK("https://klasma.github.io/Logging_0482/kartor/A 45120-2021 karta.png", "A 45120-2021")</f>
        <v/>
      </c>
      <c r="Y97">
        <f>HYPERLINK("https://klasma.github.io/Logging_0482/kartor_geotiff/A 45120-2021 georefererad karta.tif", "A 45120-2021")</f>
        <v/>
      </c>
      <c r="AA97">
        <f>HYPERLINK("https://klasma.github.io/Logging_0482/klagomål/A 45120-2021 FSC-klagomål.docx", "A 45120-2021")</f>
        <v/>
      </c>
      <c r="AB97">
        <f>HYPERLINK("https://klasma.github.io/Logging_0482/klagomålsmail/A 45120-2021 FSC-klagomål mail.docx", "A 45120-2021")</f>
        <v/>
      </c>
      <c r="AC97">
        <f>HYPERLINK("https://klasma.github.io/Logging_0482/tillsyn/A 45120-2021 tillsynsbegäran.docx", "A 45120-2021")</f>
        <v/>
      </c>
      <c r="AD97">
        <f>HYPERLINK("https://klasma.github.io/Logging_0482/tillsynsmail/A 45120-2021 tillsynsbegäran mail.docx", "A 45120-2021")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46253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12056-2024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46253</v>
      </c>
      <c r="F99" t="inlineStr">
        <is>
          <t>SÖDERMANLANDS LÄN</t>
        </is>
      </c>
      <c r="G99" t="inlineStr">
        <is>
          <t>FLEN</t>
        </is>
      </c>
      <c r="I99" t="n">
        <v>8.4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Fjällig taggsvamp s.str.</t>
        </is>
      </c>
      <c r="W99">
        <f>HYPERLINK("https://klasma.github.io/Logging_0482/artfynd/A 12056-2024 artfynd.xlsx", "A 12056-2024")</f>
        <v/>
      </c>
      <c r="X99">
        <f>HYPERLINK("https://klasma.github.io/Logging_0482/kartor/A 12056-2024 karta.png", "A 12056-2024")</f>
        <v/>
      </c>
      <c r="Y99">
        <f>HYPERLINK("https://klasma.github.io/Logging_0482/kartor_geotiff/A 12056-2024 georefererad karta.tif", "A 12056-2024")</f>
        <v/>
      </c>
      <c r="AA99">
        <f>HYPERLINK("https://klasma.github.io/Logging_0482/klagomål/A 12056-2024 FSC-klagomål.docx", "A 12056-2024")</f>
        <v/>
      </c>
      <c r="AB99">
        <f>HYPERLINK("https://klasma.github.io/Logging_0482/klagomålsmail/A 12056-2024 FSC-klagomål mail.docx", "A 12056-2024")</f>
        <v/>
      </c>
      <c r="AC99">
        <f>HYPERLINK("https://klasma.github.io/Logging_0482/tillsyn/A 12056-2024 tillsynsbegäran.docx", "A 12056-2024")</f>
        <v/>
      </c>
      <c r="AD99">
        <f>HYPERLINK("https://klasma.github.io/Logging_0482/tillsynsmail/A 12056-2024 tillsynsbegäran mail.docx", "A 12056-2024")</f>
        <v/>
      </c>
    </row>
    <row r="100" ht="15" customHeight="1">
      <c r="A100" t="inlineStr">
        <is>
          <t>A 10770-2022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46253</v>
      </c>
      <c r="F100" t="inlineStr">
        <is>
          <t>SÖDERMANLANDS LÄN</t>
        </is>
      </c>
      <c r="G100" t="inlineStr">
        <is>
          <t>FLEN</t>
        </is>
      </c>
      <c r="I100" t="n">
        <v>2.3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Svinrot</t>
        </is>
      </c>
      <c r="W100">
        <f>HYPERLINK("https://klasma.github.io/Logging_0482/artfynd/A 10770-2022 artfynd.xlsx", "A 10770-2022")</f>
        <v/>
      </c>
      <c r="X100">
        <f>HYPERLINK("https://klasma.github.io/Logging_0482/kartor/A 10770-2022 karta.png", "A 10770-2022")</f>
        <v/>
      </c>
      <c r="Y100">
        <f>HYPERLINK("https://klasma.github.io/Logging_0482/kartor_geotiff/A 10770-2022 georefererad karta.tif", "A 10770-2022")</f>
        <v/>
      </c>
      <c r="AA100">
        <f>HYPERLINK("https://klasma.github.io/Logging_0482/klagomål/A 10770-2022 FSC-klagomål.docx", "A 10770-2022")</f>
        <v/>
      </c>
      <c r="AB100">
        <f>HYPERLINK("https://klasma.github.io/Logging_0482/klagomålsmail/A 10770-2022 FSC-klagomål mail.docx", "A 10770-2022")</f>
        <v/>
      </c>
      <c r="AC100">
        <f>HYPERLINK("https://klasma.github.io/Logging_0482/tillsyn/A 10770-2022 tillsynsbegäran.docx", "A 10770-2022")</f>
        <v/>
      </c>
      <c r="AD100">
        <f>HYPERLINK("https://klasma.github.io/Logging_0482/tillsynsmail/A 10770-2022 tillsynsbegäran mail.docx", "A 10770-2022")</f>
        <v/>
      </c>
    </row>
    <row r="101" ht="15" customHeight="1">
      <c r="A101" t="inlineStr">
        <is>
          <t>A 52546-2021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46253</v>
      </c>
      <c r="F101" t="inlineStr">
        <is>
          <t>SÖDERMANLANDS LÄN</t>
        </is>
      </c>
      <c r="G101" t="inlineStr">
        <is>
          <t>FLEN</t>
        </is>
      </c>
      <c r="I101" t="n">
        <v>6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Mindre bastardsvärmare</t>
        </is>
      </c>
      <c r="W101">
        <f>HYPERLINK("https://klasma.github.io/Logging_0482/artfynd/A 52546-2021 artfynd.xlsx", "A 52546-2021")</f>
        <v/>
      </c>
      <c r="X101">
        <f>HYPERLINK("https://klasma.github.io/Logging_0482/kartor/A 52546-2021 karta.png", "A 52546-2021")</f>
        <v/>
      </c>
      <c r="Y101">
        <f>HYPERLINK("https://klasma.github.io/Logging_0482/kartor_geotiff/A 52546-2021 georefererad karta.tif", "A 52546-2021")</f>
        <v/>
      </c>
      <c r="AA101">
        <f>HYPERLINK("https://klasma.github.io/Logging_0482/klagomål/A 52546-2021 FSC-klagomål.docx", "A 52546-2021")</f>
        <v/>
      </c>
      <c r="AB101">
        <f>HYPERLINK("https://klasma.github.io/Logging_0482/klagomålsmail/A 52546-2021 FSC-klagomål mail.docx", "A 52546-2021")</f>
        <v/>
      </c>
      <c r="AC101">
        <f>HYPERLINK("https://klasma.github.io/Logging_0482/tillsyn/A 52546-2021 tillsynsbegäran.docx", "A 52546-2021")</f>
        <v/>
      </c>
      <c r="AD101">
        <f>HYPERLINK("https://klasma.github.io/Logging_0482/tillsynsmail/A 52546-2021 tillsynsbegäran mail.docx", "A 52546-2021")</f>
        <v/>
      </c>
    </row>
    <row r="102" ht="15" customHeight="1">
      <c r="A102" t="inlineStr">
        <is>
          <t>A 14273-2025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46253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Vedskivlav</t>
        </is>
      </c>
      <c r="W102">
        <f>HYPERLINK("https://klasma.github.io/Logging_0482/artfynd/A 14273-2025 artfynd.xlsx", "A 14273-2025")</f>
        <v/>
      </c>
      <c r="X102">
        <f>HYPERLINK("https://klasma.github.io/Logging_0482/kartor/A 14273-2025 karta.png", "A 14273-2025")</f>
        <v/>
      </c>
      <c r="Y102">
        <f>HYPERLINK("https://klasma.github.io/Logging_0482/kartor_geotiff/A 14273-2025 georefererad karta.tif", "A 14273-2025")</f>
        <v/>
      </c>
      <c r="AA102">
        <f>HYPERLINK("https://klasma.github.io/Logging_0482/klagomål/A 14273-2025 FSC-klagomål.docx", "A 14273-2025")</f>
        <v/>
      </c>
      <c r="AB102">
        <f>HYPERLINK("https://klasma.github.io/Logging_0482/klagomålsmail/A 14273-2025 FSC-klagomål mail.docx", "A 14273-2025")</f>
        <v/>
      </c>
      <c r="AC102">
        <f>HYPERLINK("https://klasma.github.io/Logging_0482/tillsyn/A 14273-2025 tillsynsbegäran.docx", "A 14273-2025")</f>
        <v/>
      </c>
      <c r="AD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46253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6714-2026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46056</v>
      </c>
      <c r="E104" s="1" t="n">
        <v>46253</v>
      </c>
      <c r="F104" t="inlineStr">
        <is>
          <t>SÖDERMANLANDS LÄN</t>
        </is>
      </c>
      <c r="G104" t="inlineStr">
        <is>
          <t>FLEN</t>
        </is>
      </c>
      <c r="I104" t="n">
        <v>4.6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6714-2026 artfynd.xlsx", "A 6714-2026")</f>
        <v/>
      </c>
      <c r="X104">
        <f>HYPERLINK("https://klasma.github.io/Logging_0482/kartor/A 6714-2026 karta.png", "A 6714-2026")</f>
        <v/>
      </c>
      <c r="Y104">
        <f>HYPERLINK("https://klasma.github.io/Logging_0482/kartor_geotiff/A 6714-2026 georefererad karta.tif", "A 6714-2026")</f>
        <v/>
      </c>
      <c r="AA104">
        <f>HYPERLINK("https://klasma.github.io/Logging_0482/klagomål/A 6714-2026 FSC-klagomål.docx", "A 6714-2026")</f>
        <v/>
      </c>
      <c r="AB104">
        <f>HYPERLINK("https://klasma.github.io/Logging_0482/klagomålsmail/A 6714-2026 FSC-klagomål mail.docx", "A 6714-2026")</f>
        <v/>
      </c>
      <c r="AC104">
        <f>HYPERLINK("https://klasma.github.io/Logging_0482/tillsyn/A 6714-2026 tillsynsbegäran.docx", "A 6714-2026")</f>
        <v/>
      </c>
      <c r="AD104">
        <f>HYPERLINK("https://klasma.github.io/Logging_0482/tillsynsmail/A 6714-2026 tillsynsbegäran mail.docx", "A 6714-2026")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46253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46253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46253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46253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46253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46253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46253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50202-2022 artfynd.xlsx", "A 50202-2022")</f>
        <v/>
      </c>
      <c r="X111">
        <f>HYPERLINK("https://klasma.github.io/Logging_0482/kartor/A 50202-2022 karta.png", "A 50202-2022")</f>
        <v/>
      </c>
      <c r="Y111">
        <f>HYPERLINK("https://klasma.github.io/Logging_0482/kartor_geotiff/A 50202-2022 georefererad karta.tif", "A 50202-2022")</f>
        <v/>
      </c>
      <c r="AA111">
        <f>HYPERLINK("https://klasma.github.io/Logging_0482/klagomål/A 50202-2022 FSC-klagomål.docx", "A 50202-2022")</f>
        <v/>
      </c>
      <c r="AB111">
        <f>HYPERLINK("https://klasma.github.io/Logging_0482/klagomålsmail/A 50202-2022 FSC-klagomål mail.docx", "A 50202-2022")</f>
        <v/>
      </c>
      <c r="AC111">
        <f>HYPERLINK("https://klasma.github.io/Logging_0482/tillsyn/A 50202-2022 tillsynsbegäran.docx", "A 50202-2022")</f>
        <v/>
      </c>
      <c r="AD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52563-2021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46253</v>
      </c>
      <c r="F112" t="inlineStr">
        <is>
          <t>SÖDERMANLANDS LÄN</t>
        </is>
      </c>
      <c r="G112" t="inlineStr">
        <is>
          <t>FLEN</t>
        </is>
      </c>
      <c r="I112" t="n">
        <v>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Gulsparv</t>
        </is>
      </c>
      <c r="W112">
        <f>HYPERLINK("https://klasma.github.io/Logging_0482/artfynd/A 52563-2021 artfynd.xlsx", "A 52563-2021")</f>
        <v/>
      </c>
      <c r="X112">
        <f>HYPERLINK("https://klasma.github.io/Logging_0482/kartor/A 52563-2021 karta.png", "A 52563-2021")</f>
        <v/>
      </c>
      <c r="Y112">
        <f>HYPERLINK("https://klasma.github.io/Logging_0482/kartor_geotiff/A 52563-2021 georefererad karta.tif", "A 52563-2021")</f>
        <v/>
      </c>
      <c r="AA112">
        <f>HYPERLINK("https://klasma.github.io/Logging_0482/klagomål/A 52563-2021 FSC-klagomål.docx", "A 52563-2021")</f>
        <v/>
      </c>
      <c r="AB112">
        <f>HYPERLINK("https://klasma.github.io/Logging_0482/klagomålsmail/A 52563-2021 FSC-klagomål mail.docx", "A 52563-2021")</f>
        <v/>
      </c>
      <c r="AC112">
        <f>HYPERLINK("https://klasma.github.io/Logging_0482/tillsyn/A 52563-2021 tillsynsbegäran.docx", "A 52563-2021")</f>
        <v/>
      </c>
      <c r="AD112">
        <f>HYPERLINK("https://klasma.github.io/Logging_0482/tillsynsmail/A 52563-2021 tillsynsbegäran mail.docx", "A 52563-2021")</f>
        <v/>
      </c>
      <c r="AE112">
        <f>HYPERLINK("https://klasma.github.io/Logging_0482/fåglar/A 52563-2021 prioriterade fågelarter.docx", "A 52563-2021")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46253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46253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46253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46253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21704-2026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46253</v>
      </c>
      <c r="F117" t="inlineStr">
        <is>
          <t>SÖDERMANLANDS LÄN</t>
        </is>
      </c>
      <c r="G117" t="inlineStr">
        <is>
          <t>FLEN</t>
        </is>
      </c>
      <c r="I117" t="n">
        <v>10.2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Kandelabersvamp</t>
        </is>
      </c>
      <c r="W117">
        <f>HYPERLINK("https://klasma.github.io/Logging_0482/artfynd/A 21704-2026 artfynd.xlsx", "A 21704-2026")</f>
        <v/>
      </c>
      <c r="X117">
        <f>HYPERLINK("https://klasma.github.io/Logging_0482/kartor/A 21704-2026 karta.png", "A 21704-2026")</f>
        <v/>
      </c>
      <c r="Y117">
        <f>HYPERLINK("https://klasma.github.io/Logging_0482/kartor_geotiff/A 21704-2026 georefererad karta.tif", "A 21704-2026")</f>
        <v/>
      </c>
      <c r="AA117">
        <f>HYPERLINK("https://klasma.github.io/Logging_0482/klagomål/A 21704-2026 FSC-klagomål.docx", "A 21704-2026")</f>
        <v/>
      </c>
      <c r="AB117">
        <f>HYPERLINK("https://klasma.github.io/Logging_0482/klagomålsmail/A 21704-2026 FSC-klagomål mail.docx", "A 21704-2026")</f>
        <v/>
      </c>
      <c r="AC117">
        <f>HYPERLINK("https://klasma.github.io/Logging_0482/tillsyn/A 21704-2026 tillsynsbegäran.docx", "A 21704-2026")</f>
        <v/>
      </c>
      <c r="AD117">
        <f>HYPERLINK("https://klasma.github.io/Logging_0482/tillsynsmail/A 21704-2026 tillsynsbegäran mail.docx", "A 21704-2026")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46253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Scharlakansvaxing</t>
        </is>
      </c>
      <c r="W118">
        <f>HYPERLINK("https://klasma.github.io/Logging_0482/artfynd/A 2043-2026 artfynd.xlsx", "A 2043-2026")</f>
        <v/>
      </c>
      <c r="X118">
        <f>HYPERLINK("https://klasma.github.io/Logging_0482/kartor/A 2043-2026 karta.png", "A 2043-2026")</f>
        <v/>
      </c>
      <c r="Y118">
        <f>HYPERLINK("https://klasma.github.io/Logging_0482/kartor_geotiff/A 2043-2026 georefererad karta.tif", "A 2043-2026")</f>
        <v/>
      </c>
      <c r="AA118">
        <f>HYPERLINK("https://klasma.github.io/Logging_0482/klagomål/A 2043-2026 FSC-klagomål.docx", "A 2043-2026")</f>
        <v/>
      </c>
      <c r="AB118">
        <f>HYPERLINK("https://klasma.github.io/Logging_0482/klagomålsmail/A 2043-2026 FSC-klagomål mail.docx", "A 2043-2026")</f>
        <v/>
      </c>
      <c r="AC118">
        <f>HYPERLINK("https://klasma.github.io/Logging_0482/tillsyn/A 2043-2026 tillsynsbegäran.docx", "A 2043-2026")</f>
        <v/>
      </c>
      <c r="AD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46253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HYPERLINK("https://klasma.github.io/Logging_0482/artfynd/A 2036-2026 artfynd.xlsx", "A 2036-2026")</f>
        <v/>
      </c>
      <c r="X119">
        <f>HYPERLINK("https://klasma.github.io/Logging_0482/kartor/A 2036-2026 karta.png", "A 2036-2026")</f>
        <v/>
      </c>
      <c r="Y119">
        <f>HYPERLINK("https://klasma.github.io/Logging_0482/kartor_geotiff/A 2036-2026 georefererad karta.tif", "A 2036-2026")</f>
        <v/>
      </c>
      <c r="Z119">
        <f>HYPERLINK("https://klasma.github.io/Logging_0482/knärot/A 2036-2026 karta knärot.png", "A 2036-2026")</f>
        <v/>
      </c>
      <c r="AA119">
        <f>HYPERLINK("https://klasma.github.io/Logging_0482/klagomål/A 2036-2026 FSC-klagomål.docx", "A 2036-2026")</f>
        <v/>
      </c>
      <c r="AB119">
        <f>HYPERLINK("https://klasma.github.io/Logging_0482/klagomålsmail/A 2036-2026 FSC-klagomål mail.docx", "A 2036-2026")</f>
        <v/>
      </c>
      <c r="AC119">
        <f>HYPERLINK("https://klasma.github.io/Logging_0482/tillsyn/A 2036-2026 tillsynsbegäran.docx", "A 2036-2026")</f>
        <v/>
      </c>
      <c r="AD119">
        <f>HYPERLINK("https://klasma.github.io/Logging_0482/tillsynsmail/A 2036-2026 tillsynsbegäran mail.docx", "A 2036-2026")</f>
        <v/>
      </c>
    </row>
    <row r="120" ht="15" customHeight="1">
      <c r="A120" t="inlineStr">
        <is>
          <t>A 54302-2025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46253</v>
      </c>
      <c r="F120" t="inlineStr">
        <is>
          <t>SÖDERMANLANDS LÄN</t>
        </is>
      </c>
      <c r="G120" t="inlineStr">
        <is>
          <t>FLEN</t>
        </is>
      </c>
      <c r="I120" t="n">
        <v>12.6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Dofttaggsvamp</t>
        </is>
      </c>
      <c r="W120">
        <f>HYPERLINK("https://klasma.github.io/Logging_0482/artfynd/A 54302-2025 artfynd.xlsx", "A 54302-2025")</f>
        <v/>
      </c>
      <c r="X120">
        <f>HYPERLINK("https://klasma.github.io/Logging_0482/kartor/A 54302-2025 karta.png", "A 54302-2025")</f>
        <v/>
      </c>
      <c r="Y120">
        <f>HYPERLINK("https://klasma.github.io/Logging_0482/kartor_geotiff/A 54302-2025 georefererad karta.tif", "A 54302-2025")</f>
        <v/>
      </c>
      <c r="AA120">
        <f>HYPERLINK("https://klasma.github.io/Logging_0482/klagomål/A 54302-2025 FSC-klagomål.docx", "A 54302-2025")</f>
        <v/>
      </c>
      <c r="AB120">
        <f>HYPERLINK("https://klasma.github.io/Logging_0482/klagomålsmail/A 54302-2025 FSC-klagomål mail.docx", "A 54302-2025")</f>
        <v/>
      </c>
      <c r="AC120">
        <f>HYPERLINK("https://klasma.github.io/Logging_0482/tillsyn/A 54302-2025 tillsynsbegäran.docx", "A 54302-2025")</f>
        <v/>
      </c>
      <c r="AD120">
        <f>HYPERLINK("https://klasma.github.io/Logging_0482/tillsynsmail/A 54302-2025 tillsynsbegäran mail.docx", "A 54302-2025")</f>
        <v/>
      </c>
    </row>
    <row r="121" ht="15" customHeight="1">
      <c r="A121" t="inlineStr">
        <is>
          <t>A 45107-2023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46253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Brudborste</t>
        </is>
      </c>
      <c r="W121">
        <f>HYPERLINK("https://klasma.github.io/Logging_0482/artfynd/A 45107-2023 artfynd.xlsx", "A 45107-2023")</f>
        <v/>
      </c>
      <c r="X121">
        <f>HYPERLINK("https://klasma.github.io/Logging_0482/kartor/A 45107-2023 karta.png", "A 45107-2023")</f>
        <v/>
      </c>
      <c r="Y121">
        <f>HYPERLINK("https://klasma.github.io/Logging_0482/kartor_geotiff/A 45107-2023 georefererad karta.tif", "A 45107-2023")</f>
        <v/>
      </c>
      <c r="AA121">
        <f>HYPERLINK("https://klasma.github.io/Logging_0482/klagomål/A 45107-2023 FSC-klagomål.docx", "A 45107-2023")</f>
        <v/>
      </c>
      <c r="AB121">
        <f>HYPERLINK("https://klasma.github.io/Logging_0482/klagomålsmail/A 45107-2023 FSC-klagomål mail.docx", "A 45107-2023")</f>
        <v/>
      </c>
      <c r="AC121">
        <f>HYPERLINK("https://klasma.github.io/Logging_0482/tillsyn/A 45107-2023 tillsynsbegäran.docx", "A 45107-2023")</f>
        <v/>
      </c>
      <c r="AD121">
        <f>HYPERLINK("https://klasma.github.io/Logging_0482/tillsynsmail/A 45107-2023 tillsynsbegäran mail.docx", "A 45107-2023")</f>
        <v/>
      </c>
    </row>
    <row r="122" ht="15" customHeight="1">
      <c r="A122" t="inlineStr">
        <is>
          <t>A 24179-2026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46168</v>
      </c>
      <c r="E122" s="1" t="n">
        <v>46253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24179-2026 artfynd.xlsx", "A 24179-2026")</f>
        <v/>
      </c>
      <c r="X122">
        <f>HYPERLINK("https://klasma.github.io/Logging_0482/kartor/A 24179-2026 karta.png", "A 24179-2026")</f>
        <v/>
      </c>
      <c r="Y122">
        <f>HYPERLINK("https://klasma.github.io/Logging_0482/kartor_geotiff/A 24179-2026 georefererad karta.tif", "A 24179-2026")</f>
        <v/>
      </c>
      <c r="AA122">
        <f>HYPERLINK("https://klasma.github.io/Logging_0482/klagomål/A 24179-2026 FSC-klagomål.docx", "A 24179-2026")</f>
        <v/>
      </c>
      <c r="AB122">
        <f>HYPERLINK("https://klasma.github.io/Logging_0482/klagomålsmail/A 24179-2026 FSC-klagomål mail.docx", "A 24179-2026")</f>
        <v/>
      </c>
      <c r="AC122">
        <f>HYPERLINK("https://klasma.github.io/Logging_0482/tillsyn/A 24179-2026 tillsynsbegäran.docx", "A 24179-2026")</f>
        <v/>
      </c>
      <c r="AD122">
        <f>HYPERLINK("https://klasma.github.io/Logging_0482/tillsynsmail/A 24179-2026 tillsynsbegäran mail.docx", "A 24179-2026")</f>
        <v/>
      </c>
    </row>
    <row r="123" ht="15" customHeight="1">
      <c r="A123" t="inlineStr">
        <is>
          <t>A 1242-2022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46253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Slåtterfibbla</t>
        </is>
      </c>
      <c r="W123">
        <f>HYPERLINK("https://klasma.github.io/Logging_0482/artfynd/A 1242-2022 artfynd.xlsx", "A 1242-2022")</f>
        <v/>
      </c>
      <c r="X123">
        <f>HYPERLINK("https://klasma.github.io/Logging_0482/kartor/A 1242-2022 karta.png", "A 1242-2022")</f>
        <v/>
      </c>
      <c r="Y123">
        <f>HYPERLINK("https://klasma.github.io/Logging_0482/kartor_geotiff/A 1242-2022 georefererad karta.tif", "A 1242-2022")</f>
        <v/>
      </c>
      <c r="AA123">
        <f>HYPERLINK("https://klasma.github.io/Logging_0482/klagomål/A 1242-2022 FSC-klagomål.docx", "A 1242-2022")</f>
        <v/>
      </c>
      <c r="AB123">
        <f>HYPERLINK("https://klasma.github.io/Logging_0482/klagomålsmail/A 1242-2022 FSC-klagomål mail.docx", "A 1242-2022")</f>
        <v/>
      </c>
      <c r="AC123">
        <f>HYPERLINK("https://klasma.github.io/Logging_0482/tillsyn/A 1242-2022 tillsynsbegäran.docx", "A 1242-2022")</f>
        <v/>
      </c>
      <c r="AD123">
        <f>HYPERLINK("https://klasma.github.io/Logging_0482/tillsynsmail/A 1242-2022 tillsynsbegäran mail.docx", "A 1242-2022")</f>
        <v/>
      </c>
    </row>
    <row r="124" ht="15" customHeight="1">
      <c r="A124" t="inlineStr">
        <is>
          <t>A 12371-2022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44637</v>
      </c>
      <c r="E124" s="1" t="n">
        <v>46253</v>
      </c>
      <c r="F124" t="inlineStr">
        <is>
          <t>SÖDERMANLANDS LÄN</t>
        </is>
      </c>
      <c r="G124" t="inlineStr">
        <is>
          <t>FLEN</t>
        </is>
      </c>
      <c r="H124" t="inlineStr">
        <is>
          <t>Kommuner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12371-2022 artfynd.xlsx", "A 12371-2022")</f>
        <v/>
      </c>
      <c r="X124">
        <f>HYPERLINK("https://klasma.github.io/Logging_0482/kartor/A 12371-2022 karta.png", "A 12371-2022")</f>
        <v/>
      </c>
      <c r="Y124">
        <f>HYPERLINK("https://klasma.github.io/Logging_0482/kartor_geotiff/A 12371-2022 georefererad karta.tif", "A 12371-2022")</f>
        <v/>
      </c>
      <c r="AA124">
        <f>HYPERLINK("https://klasma.github.io/Logging_0482/klagomål/A 12371-2022 FSC-klagomål.docx", "A 12371-2022")</f>
        <v/>
      </c>
      <c r="AB124">
        <f>HYPERLINK("https://klasma.github.io/Logging_0482/klagomålsmail/A 12371-2022 FSC-klagomål mail.docx", "A 12371-2022")</f>
        <v/>
      </c>
      <c r="AC124">
        <f>HYPERLINK("https://klasma.github.io/Logging_0482/tillsyn/A 12371-2022 tillsynsbegäran.docx", "A 12371-2022")</f>
        <v/>
      </c>
      <c r="AD124">
        <f>HYPERLINK("https://klasma.github.io/Logging_0482/tillsynsmail/A 12371-2022 tillsynsbegäran mail.docx", "A 12371-2022")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46253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14113-2025 artfynd.xlsx", "A 14113-2025")</f>
        <v/>
      </c>
      <c r="X125">
        <f>HYPERLINK("https://klasma.github.io/Logging_0482/kartor/A 14113-2025 karta.png", "A 14113-2025")</f>
        <v/>
      </c>
      <c r="Y125">
        <f>HYPERLINK("https://klasma.github.io/Logging_0482/kartor_geotiff/A 14113-2025 georefererad karta.tif", "A 14113-2025")</f>
        <v/>
      </c>
      <c r="AA125">
        <f>HYPERLINK("https://klasma.github.io/Logging_0482/klagomål/A 14113-2025 FSC-klagomål.docx", "A 14113-2025")</f>
        <v/>
      </c>
      <c r="AB125">
        <f>HYPERLINK("https://klasma.github.io/Logging_0482/klagomålsmail/A 14113-2025 FSC-klagomål mail.docx", "A 14113-2025")</f>
        <v/>
      </c>
      <c r="AC125">
        <f>HYPERLINK("https://klasma.github.io/Logging_0482/tillsyn/A 14113-2025 tillsynsbegäran.docx", "A 14113-2025")</f>
        <v/>
      </c>
      <c r="AD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26310-2026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46253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HYPERLINK("https://klasma.github.io/Logging_0482/artfynd/A 26310-2026 artfynd.xlsx", "A 26310-2026")</f>
        <v/>
      </c>
      <c r="X126">
        <f>HYPERLINK("https://klasma.github.io/Logging_0482/kartor/A 26310-2026 karta.png", "A 26310-2026")</f>
        <v/>
      </c>
      <c r="Y126">
        <f>HYPERLINK("https://klasma.github.io/Logging_0482/kartor_geotiff/A 26310-2026 georefererad karta.tif", "A 26310-2026")</f>
        <v/>
      </c>
      <c r="AA126">
        <f>HYPERLINK("https://klasma.github.io/Logging_0482/klagomål/A 26310-2026 FSC-klagomål.docx", "A 26310-2026")</f>
        <v/>
      </c>
      <c r="AB126">
        <f>HYPERLINK("https://klasma.github.io/Logging_0482/klagomålsmail/A 26310-2026 FSC-klagomål mail.docx", "A 26310-2026")</f>
        <v/>
      </c>
      <c r="AC126">
        <f>HYPERLINK("https://klasma.github.io/Logging_0482/tillsyn/A 26310-2026 tillsynsbegäran.docx", "A 26310-2026")</f>
        <v/>
      </c>
      <c r="AD126">
        <f>HYPERLINK("https://klasma.github.io/Logging_0482/tillsynsmail/A 26310-2026 tillsynsbegäran mail.docx", "A 26310-2026")</f>
        <v/>
      </c>
      <c r="AE126">
        <f>HYPERLINK("https://klasma.github.io/Logging_0482/fåglar/A 26310-2026 prioriterade fågelarter.docx", "A 26310-2026")</f>
        <v/>
      </c>
    </row>
    <row r="127" ht="15" customHeight="1">
      <c r="A127" t="inlineStr">
        <is>
          <t>A 39036-2023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46253</v>
      </c>
      <c r="F127" t="inlineStr">
        <is>
          <t>SÖDERMANLANDS LÄN</t>
        </is>
      </c>
      <c r="G127" t="inlineStr">
        <is>
          <t>FLEN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HYPERLINK("https://klasma.github.io/Logging_0482/artfynd/A 39036-2023 artfynd.xlsx", "A 39036-2023")</f>
        <v/>
      </c>
      <c r="X127">
        <f>HYPERLINK("https://klasma.github.io/Logging_0482/kartor/A 39036-2023 karta.png", "A 39036-2023")</f>
        <v/>
      </c>
      <c r="Y127">
        <f>HYPERLINK("https://klasma.github.io/Logging_0482/kartor_geotiff/A 39036-2023 georefererad karta.tif", "A 39036-2023")</f>
        <v/>
      </c>
      <c r="AA127">
        <f>HYPERLINK("https://klasma.github.io/Logging_0482/klagomål/A 39036-2023 FSC-klagomål.docx", "A 39036-2023")</f>
        <v/>
      </c>
      <c r="AB127">
        <f>HYPERLINK("https://klasma.github.io/Logging_0482/klagomålsmail/A 39036-2023 FSC-klagomål mail.docx", "A 39036-2023")</f>
        <v/>
      </c>
      <c r="AC127">
        <f>HYPERLINK("https://klasma.github.io/Logging_0482/tillsyn/A 39036-2023 tillsynsbegäran.docx", "A 39036-2023")</f>
        <v/>
      </c>
      <c r="AD127">
        <f>HYPERLINK("https://klasma.github.io/Logging_0482/tillsynsmail/A 39036-2023 tillsynsbegäran mail.docx", "A 39036-2023")</f>
        <v/>
      </c>
    </row>
    <row r="128" ht="15" customHeight="1">
      <c r="A128" t="inlineStr">
        <is>
          <t>A 26052-2026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46253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HYPERLINK("https://klasma.github.io/Logging_0482/artfynd/A 26052-2026 artfynd.xlsx", "A 26052-2026")</f>
        <v/>
      </c>
      <c r="X128">
        <f>HYPERLINK("https://klasma.github.io/Logging_0482/kartor/A 26052-2026 karta.png", "A 26052-2026")</f>
        <v/>
      </c>
      <c r="Y128">
        <f>HYPERLINK("https://klasma.github.io/Logging_0482/kartor_geotiff/A 26052-2026 georefererad karta.tif", "A 26052-2026")</f>
        <v/>
      </c>
      <c r="AA128">
        <f>HYPERLINK("https://klasma.github.io/Logging_0482/klagomål/A 26052-2026 FSC-klagomål.docx", "A 26052-2026")</f>
        <v/>
      </c>
      <c r="AB128">
        <f>HYPERLINK("https://klasma.github.io/Logging_0482/klagomålsmail/A 26052-2026 FSC-klagomål mail.docx", "A 26052-2026")</f>
        <v/>
      </c>
      <c r="AC128">
        <f>HYPERLINK("https://klasma.github.io/Logging_0482/tillsyn/A 26052-2026 tillsynsbegäran.docx", "A 26052-2026")</f>
        <v/>
      </c>
      <c r="AD128">
        <f>HYPERLINK("https://klasma.github.io/Logging_0482/tillsynsmail/A 26052-2026 tillsynsbegäran mail.docx", "A 26052-2026")</f>
        <v/>
      </c>
    </row>
    <row r="129" ht="15" customHeight="1">
      <c r="A129" t="inlineStr">
        <is>
          <t>A 31427-2022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46253</v>
      </c>
      <c r="F129" t="inlineStr">
        <is>
          <t>SÖDERMANLANDS LÄN</t>
        </is>
      </c>
      <c r="G129" t="inlineStr">
        <is>
          <t>FLEN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Älg</t>
        </is>
      </c>
      <c r="W129">
        <f>HYPERLINK("https://klasma.github.io/Logging_0482/artfynd/A 31427-2022 artfynd.xlsx", "A 31427-2022")</f>
        <v/>
      </c>
      <c r="X129">
        <f>HYPERLINK("https://klasma.github.io/Logging_0482/kartor/A 31427-2022 karta.png", "A 31427-2022")</f>
        <v/>
      </c>
      <c r="Y129">
        <f>HYPERLINK("https://klasma.github.io/Logging_0482/kartor_geotiff/A 31427-2022 georefererad karta.tif", "A 31427-2022")</f>
        <v/>
      </c>
      <c r="AA129">
        <f>HYPERLINK("https://klasma.github.io/Logging_0482/klagomål/A 31427-2022 FSC-klagomål.docx", "A 31427-2022")</f>
        <v/>
      </c>
      <c r="AB129">
        <f>HYPERLINK("https://klasma.github.io/Logging_0482/klagomålsmail/A 31427-2022 FSC-klagomål mail.docx", "A 31427-2022")</f>
        <v/>
      </c>
      <c r="AC129">
        <f>HYPERLINK("https://klasma.github.io/Logging_0482/tillsyn/A 31427-2022 tillsynsbegäran.docx", "A 31427-2022")</f>
        <v/>
      </c>
      <c r="AD129">
        <f>HYPERLINK("https://klasma.github.io/Logging_0482/tillsynsmail/A 31427-2022 tillsynsbegäran mail.docx", "A 31427-2022")</f>
        <v/>
      </c>
    </row>
    <row r="130" ht="15" customHeight="1">
      <c r="A130" t="inlineStr">
        <is>
          <t>A 47756-2022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46253</v>
      </c>
      <c r="F130" t="inlineStr">
        <is>
          <t>SÖDERMANLANDS LÄN</t>
        </is>
      </c>
      <c r="G130" t="inlineStr">
        <is>
          <t>FLEN</t>
        </is>
      </c>
      <c r="I130" t="n">
        <v>2.4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47756-2022 artfynd.xlsx", "A 47756-2022")</f>
        <v/>
      </c>
      <c r="X130">
        <f>HYPERLINK("https://klasma.github.io/Logging_0482/kartor/A 47756-2022 karta.png", "A 47756-2022")</f>
        <v/>
      </c>
      <c r="Y130">
        <f>HYPERLINK("https://klasma.github.io/Logging_0482/kartor_geotiff/A 47756-2022 georefererad karta.tif", "A 47756-2022")</f>
        <v/>
      </c>
      <c r="AA130">
        <f>HYPERLINK("https://klasma.github.io/Logging_0482/klagomål/A 47756-2022 FSC-klagomål.docx", "A 47756-2022")</f>
        <v/>
      </c>
      <c r="AB130">
        <f>HYPERLINK("https://klasma.github.io/Logging_0482/klagomålsmail/A 47756-2022 FSC-klagomål mail.docx", "A 47756-2022")</f>
        <v/>
      </c>
      <c r="AC130">
        <f>HYPERLINK("https://klasma.github.io/Logging_0482/tillsyn/A 47756-2022 tillsynsbegäran.docx", "A 47756-2022")</f>
        <v/>
      </c>
      <c r="AD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46253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HYPERLINK("https://klasma.github.io/Logging_0482/artfynd/A 6982-2024 artfynd.xlsx", "A 6982-2024")</f>
        <v/>
      </c>
      <c r="X131">
        <f>HYPERLINK("https://klasma.github.io/Logging_0482/kartor/A 6982-2024 karta.png", "A 6982-2024")</f>
        <v/>
      </c>
      <c r="Y131">
        <f>HYPERLINK("https://klasma.github.io/Logging_0482/kartor_geotiff/A 6982-2024 georefererad karta.tif", "A 6982-2024")</f>
        <v/>
      </c>
      <c r="AA131">
        <f>HYPERLINK("https://klasma.github.io/Logging_0482/klagomål/A 6982-2024 FSC-klagomål.docx", "A 6982-2024")</f>
        <v/>
      </c>
      <c r="AB131">
        <f>HYPERLINK("https://klasma.github.io/Logging_0482/klagomålsmail/A 6982-2024 FSC-klagomål mail.docx", "A 6982-2024")</f>
        <v/>
      </c>
      <c r="AC131">
        <f>HYPERLINK("https://klasma.github.io/Logging_0482/tillsyn/A 6982-2024 tillsynsbegäran.docx", "A 6982-2024")</f>
        <v/>
      </c>
      <c r="AD131">
        <f>HYPERLINK("https://klasma.github.io/Logging_0482/tillsynsmail/A 6982-2024 tillsynsbegäran mail.docx", "A 6982-2024")</f>
        <v/>
      </c>
    </row>
    <row r="132" ht="15" customHeight="1">
      <c r="A132" t="inlineStr">
        <is>
          <t>A 53339-2023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46253</v>
      </c>
      <c r="F132" t="inlineStr">
        <is>
          <t>SÖDERMANLANDS LÄN</t>
        </is>
      </c>
      <c r="G132" t="inlineStr">
        <is>
          <t>FLEN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53339-2023 artfynd.xlsx", "A 53339-2023")</f>
        <v/>
      </c>
      <c r="X132">
        <f>HYPERLINK("https://klasma.github.io/Logging_0482/kartor/A 53339-2023 karta.png", "A 53339-2023")</f>
        <v/>
      </c>
      <c r="Y132">
        <f>HYPERLINK("https://klasma.github.io/Logging_0482/kartor_geotiff/A 53339-2023 georefererad karta.tif", "A 53339-2023")</f>
        <v/>
      </c>
      <c r="AA132">
        <f>HYPERLINK("https://klasma.github.io/Logging_0482/klagomål/A 53339-2023 FSC-klagomål.docx", "A 53339-2023")</f>
        <v/>
      </c>
      <c r="AB132">
        <f>HYPERLINK("https://klasma.github.io/Logging_0482/klagomålsmail/A 53339-2023 FSC-klagomål mail.docx", "A 53339-2023")</f>
        <v/>
      </c>
      <c r="AC132">
        <f>HYPERLINK("https://klasma.github.io/Logging_0482/tillsyn/A 53339-2023 tillsynsbegäran.docx", "A 53339-2023")</f>
        <v/>
      </c>
      <c r="AD132">
        <f>HYPERLINK("https://klasma.github.io/Logging_0482/tillsynsmail/A 53339-2023 tillsynsbegäran mail.docx", "A 53339-2023")</f>
        <v/>
      </c>
    </row>
    <row r="133" ht="15" customHeight="1">
      <c r="A133" t="inlineStr">
        <is>
          <t>A 4259-2023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46253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4259-2023 artfynd.xlsx", "A 4259-2023")</f>
        <v/>
      </c>
      <c r="X133">
        <f>HYPERLINK("https://klasma.github.io/Logging_0482/kartor/A 4259-2023 karta.png", "A 4259-2023")</f>
        <v/>
      </c>
      <c r="Y133">
        <f>HYPERLINK("https://klasma.github.io/Logging_0482/kartor_geotiff/A 4259-2023 georefererad karta.tif", "A 4259-2023")</f>
        <v/>
      </c>
      <c r="AA133">
        <f>HYPERLINK("https://klasma.github.io/Logging_0482/klagomål/A 4259-2023 FSC-klagomål.docx", "A 4259-2023")</f>
        <v/>
      </c>
      <c r="AB133">
        <f>HYPERLINK("https://klasma.github.io/Logging_0482/klagomålsmail/A 4259-2023 FSC-klagomål mail.docx", "A 4259-2023")</f>
        <v/>
      </c>
      <c r="AC133">
        <f>HYPERLINK("https://klasma.github.io/Logging_0482/tillsyn/A 4259-2023 tillsynsbegäran.docx", "A 4259-2023")</f>
        <v/>
      </c>
      <c r="AD133">
        <f>HYPERLINK("https://klasma.github.io/Logging_0482/tillsynsmail/A 4259-2023 tillsynsbegäran mail.docx", "A 4259-2023")</f>
        <v/>
      </c>
    </row>
    <row r="134" ht="15" customHeight="1">
      <c r="A134" t="inlineStr">
        <is>
          <t>A 12306-2022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46253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Järnsparv</t>
        </is>
      </c>
      <c r="W134">
        <f>HYPERLINK("https://klasma.github.io/Logging_0482/artfynd/A 12306-2022 artfynd.xlsx", "A 12306-2022")</f>
        <v/>
      </c>
      <c r="X134">
        <f>HYPERLINK("https://klasma.github.io/Logging_0482/kartor/A 12306-2022 karta.png", "A 12306-2022")</f>
        <v/>
      </c>
      <c r="Y134">
        <f>HYPERLINK("https://klasma.github.io/Logging_0482/kartor_geotiff/A 12306-2022 georefererad karta.tif", "A 12306-2022")</f>
        <v/>
      </c>
      <c r="AA134">
        <f>HYPERLINK("https://klasma.github.io/Logging_0482/klagomål/A 12306-2022 FSC-klagomål.docx", "A 12306-2022")</f>
        <v/>
      </c>
      <c r="AB134">
        <f>HYPERLINK("https://klasma.github.io/Logging_0482/klagomålsmail/A 12306-2022 FSC-klagomål mail.docx", "A 12306-2022")</f>
        <v/>
      </c>
      <c r="AC134">
        <f>HYPERLINK("https://klasma.github.io/Logging_0482/tillsyn/A 12306-2022 tillsynsbegäran.docx", "A 12306-2022")</f>
        <v/>
      </c>
      <c r="AD134">
        <f>HYPERLINK("https://klasma.github.io/Logging_0482/tillsynsmail/A 12306-2022 tillsynsbegäran mail.docx", "A 12306-2022")</f>
        <v/>
      </c>
      <c r="AE134">
        <f>HYPERLINK("https://klasma.github.io/Logging_0482/fåglar/A 12306-2022 prioriterade fågelarter.docx", "A 12306-2022")</f>
        <v/>
      </c>
    </row>
    <row r="135" ht="15" customHeight="1">
      <c r="A135" t="inlineStr">
        <is>
          <t>A 46987-2024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46253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HYPERLINK("https://klasma.github.io/Logging_0482/artfynd/A 46987-2024 artfynd.xlsx", "A 46987-2024")</f>
        <v/>
      </c>
      <c r="X135">
        <f>HYPERLINK("https://klasma.github.io/Logging_0482/kartor/A 46987-2024 karta.png", "A 46987-2024")</f>
        <v/>
      </c>
      <c r="Y135">
        <f>HYPERLINK("https://klasma.github.io/Logging_0482/kartor_geotiff/A 46987-2024 georefererad karta.tif", "A 46987-2024")</f>
        <v/>
      </c>
      <c r="AA135">
        <f>HYPERLINK("https://klasma.github.io/Logging_0482/klagomål/A 46987-2024 FSC-klagomål.docx", "A 46987-2024")</f>
        <v/>
      </c>
      <c r="AB135">
        <f>HYPERLINK("https://klasma.github.io/Logging_0482/klagomålsmail/A 46987-2024 FSC-klagomål mail.docx", "A 46987-2024")</f>
        <v/>
      </c>
      <c r="AC135">
        <f>HYPERLINK("https://klasma.github.io/Logging_0482/tillsyn/A 46987-2024 tillsynsbegäran.docx", "A 46987-2024")</f>
        <v/>
      </c>
      <c r="AD135">
        <f>HYPERLINK("https://klasma.github.io/Logging_0482/tillsynsmail/A 46987-2024 tillsynsbegäran mail.docx", "A 46987-2024")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46253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66230-2021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46253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66230-2021 artfynd.xlsx", "A 66230-2021")</f>
        <v/>
      </c>
      <c r="X137">
        <f>HYPERLINK("https://klasma.github.io/Logging_0482/kartor/A 66230-2021 karta.png", "A 66230-2021")</f>
        <v/>
      </c>
      <c r="Y137">
        <f>HYPERLINK("https://klasma.github.io/Logging_0482/kartor_geotiff/A 66230-2021 georefererad karta.tif", "A 66230-2021")</f>
        <v/>
      </c>
      <c r="AA137">
        <f>HYPERLINK("https://klasma.github.io/Logging_0482/klagomål/A 66230-2021 FSC-klagomål.docx", "A 66230-2021")</f>
        <v/>
      </c>
      <c r="AB137">
        <f>HYPERLINK("https://klasma.github.io/Logging_0482/klagomålsmail/A 66230-2021 FSC-klagomål mail.docx", "A 66230-2021")</f>
        <v/>
      </c>
      <c r="AC137">
        <f>HYPERLINK("https://klasma.github.io/Logging_0482/tillsyn/A 66230-2021 tillsynsbegäran.docx", "A 66230-2021")</f>
        <v/>
      </c>
      <c r="AD137">
        <f>HYPERLINK("https://klasma.github.io/Logging_0482/tillsynsmail/A 66230-2021 tillsynsbegäran mail.docx", "A 66230-2021")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46253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34721-2023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46253</v>
      </c>
      <c r="F139" t="inlineStr">
        <is>
          <t>SÖDERMANLANDS LÄN</t>
        </is>
      </c>
      <c r="G139" t="inlineStr">
        <is>
          <t>FLEN</t>
        </is>
      </c>
      <c r="I139" t="n">
        <v>4.1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34721-2023 artfynd.xlsx", "A 34721-2023")</f>
        <v/>
      </c>
      <c r="X139">
        <f>HYPERLINK("https://klasma.github.io/Logging_0482/kartor/A 34721-2023 karta.png", "A 34721-2023")</f>
        <v/>
      </c>
      <c r="Y139">
        <f>HYPERLINK("https://klasma.github.io/Logging_0482/kartor_geotiff/A 34721-2023 georefererad karta.tif", "A 34721-2023")</f>
        <v/>
      </c>
      <c r="AA139">
        <f>HYPERLINK("https://klasma.github.io/Logging_0482/klagomål/A 34721-2023 FSC-klagomål.docx", "A 34721-2023")</f>
        <v/>
      </c>
      <c r="AB139">
        <f>HYPERLINK("https://klasma.github.io/Logging_0482/klagomålsmail/A 34721-2023 FSC-klagomål mail.docx", "A 34721-2023")</f>
        <v/>
      </c>
      <c r="AC139">
        <f>HYPERLINK("https://klasma.github.io/Logging_0482/tillsyn/A 34721-2023 tillsynsbegäran.docx", "A 34721-2023")</f>
        <v/>
      </c>
      <c r="AD139">
        <f>HYPERLINK("https://klasma.github.io/Logging_0482/tillsynsmail/A 34721-2023 tillsynsbegäran mail.docx", "A 34721-2023")</f>
        <v/>
      </c>
    </row>
    <row r="140" ht="15" customHeight="1">
      <c r="A140" t="inlineStr">
        <is>
          <t>A 60591-2022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46253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HYPERLINK("https://klasma.github.io/Logging_0482/artfynd/A 60591-2022 artfynd.xlsx", "A 60591-2022")</f>
        <v/>
      </c>
      <c r="X140">
        <f>HYPERLINK("https://klasma.github.io/Logging_0482/kartor/A 60591-2022 karta.png", "A 60591-2022")</f>
        <v/>
      </c>
      <c r="Y140">
        <f>HYPERLINK("https://klasma.github.io/Logging_0482/kartor_geotiff/A 60591-2022 georefererad karta.tif", "A 60591-2022")</f>
        <v/>
      </c>
      <c r="AA140">
        <f>HYPERLINK("https://klasma.github.io/Logging_0482/klagomål/A 60591-2022 FSC-klagomål.docx", "A 60591-2022")</f>
        <v/>
      </c>
      <c r="AB140">
        <f>HYPERLINK("https://klasma.github.io/Logging_0482/klagomålsmail/A 60591-2022 FSC-klagomål mail.docx", "A 60591-2022")</f>
        <v/>
      </c>
      <c r="AC140">
        <f>HYPERLINK("https://klasma.github.io/Logging_0482/tillsyn/A 60591-2022 tillsynsbegäran.docx", "A 60591-2022")</f>
        <v/>
      </c>
      <c r="AD140">
        <f>HYPERLINK("https://klasma.github.io/Logging_0482/tillsynsmail/A 60591-2022 tillsynsbegäran mail.docx", "A 60591-2022")</f>
        <v/>
      </c>
    </row>
    <row r="141" ht="15" customHeight="1">
      <c r="A141" t="inlineStr">
        <is>
          <t>A 34823-2023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46253</v>
      </c>
      <c r="F141" t="inlineStr">
        <is>
          <t>SÖDERMANLANDS LÄN</t>
        </is>
      </c>
      <c r="G141" t="inlineStr">
        <is>
          <t>FLEN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Mörk dunört</t>
        </is>
      </c>
      <c r="W141">
        <f>HYPERLINK("https://klasma.github.io/Logging_0482/artfynd/A 34823-2023 artfynd.xlsx", "A 34823-2023")</f>
        <v/>
      </c>
      <c r="X141">
        <f>HYPERLINK("https://klasma.github.io/Logging_0482/kartor/A 34823-2023 karta.png", "A 34823-2023")</f>
        <v/>
      </c>
      <c r="Y141">
        <f>HYPERLINK("https://klasma.github.io/Logging_0482/kartor_geotiff/A 34823-2023 georefererad karta.tif", "A 34823-2023")</f>
        <v/>
      </c>
      <c r="AA141">
        <f>HYPERLINK("https://klasma.github.io/Logging_0482/klagomål/A 34823-2023 FSC-klagomål.docx", "A 34823-2023")</f>
        <v/>
      </c>
      <c r="AB141">
        <f>HYPERLINK("https://klasma.github.io/Logging_0482/klagomålsmail/A 34823-2023 FSC-klagomål mail.docx", "A 34823-2023")</f>
        <v/>
      </c>
      <c r="AC141">
        <f>HYPERLINK("https://klasma.github.io/Logging_0482/tillsyn/A 34823-2023 tillsynsbegäran.docx", "A 34823-2023")</f>
        <v/>
      </c>
      <c r="AD141">
        <f>HYPERLINK("https://klasma.github.io/Logging_0482/tillsynsmail/A 34823-2023 tillsynsbegäran mail.docx", "A 34823-2023")</f>
        <v/>
      </c>
    </row>
    <row r="142" ht="15" customHeight="1">
      <c r="A142" t="inlineStr">
        <is>
          <t>A 60529-2024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46253</v>
      </c>
      <c r="F142" t="inlineStr">
        <is>
          <t>SÖDERMANLANDS LÄN</t>
        </is>
      </c>
      <c r="G142" t="inlineStr">
        <is>
          <t>FLEN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Skarp dropptaggsvamp</t>
        </is>
      </c>
      <c r="W142">
        <f>HYPERLINK("https://klasma.github.io/Logging_0482/artfynd/A 60529-2024 artfynd.xlsx", "A 60529-2024")</f>
        <v/>
      </c>
      <c r="X142">
        <f>HYPERLINK("https://klasma.github.io/Logging_0482/kartor/A 60529-2024 karta.png", "A 60529-2024")</f>
        <v/>
      </c>
      <c r="Y142">
        <f>HYPERLINK("https://klasma.github.io/Logging_0482/kartor_geotiff/A 60529-2024 georefererad karta.tif", "A 60529-2024")</f>
        <v/>
      </c>
      <c r="AA142">
        <f>HYPERLINK("https://klasma.github.io/Logging_0482/klagomål/A 60529-2024 FSC-klagomål.docx", "A 60529-2024")</f>
        <v/>
      </c>
      <c r="AB142">
        <f>HYPERLINK("https://klasma.github.io/Logging_0482/klagomålsmail/A 60529-2024 FSC-klagomål mail.docx", "A 60529-2024")</f>
        <v/>
      </c>
      <c r="AC142">
        <f>HYPERLINK("https://klasma.github.io/Logging_0482/tillsyn/A 60529-2024 tillsynsbegäran.docx", "A 60529-2024")</f>
        <v/>
      </c>
      <c r="AD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46253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37283-2024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46253</v>
      </c>
      <c r="F144" t="inlineStr">
        <is>
          <t>SÖDERMANLANDS LÄN</t>
        </is>
      </c>
      <c r="G144" t="inlineStr">
        <is>
          <t>FLEN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37283-2024 artfynd.xlsx", "A 37283-2024")</f>
        <v/>
      </c>
      <c r="X144">
        <f>HYPERLINK("https://klasma.github.io/Logging_0482/kartor/A 37283-2024 karta.png", "A 37283-2024")</f>
        <v/>
      </c>
      <c r="Y144">
        <f>HYPERLINK("https://klasma.github.io/Logging_0482/kartor_geotiff/A 37283-2024 georefererad karta.tif", "A 37283-2024")</f>
        <v/>
      </c>
      <c r="AA144">
        <f>HYPERLINK("https://klasma.github.io/Logging_0482/klagomål/A 37283-2024 FSC-klagomål.docx", "A 37283-2024")</f>
        <v/>
      </c>
      <c r="AB144">
        <f>HYPERLINK("https://klasma.github.io/Logging_0482/klagomålsmail/A 37283-2024 FSC-klagomål mail.docx", "A 37283-2024")</f>
        <v/>
      </c>
      <c r="AC144">
        <f>HYPERLINK("https://klasma.github.io/Logging_0482/tillsyn/A 37283-2024 tillsynsbegäran.docx", "A 37283-2024")</f>
        <v/>
      </c>
      <c r="AD144">
        <f>HYPERLINK("https://klasma.github.io/Logging_0482/tillsynsmail/A 37283-2024 tillsynsbegäran mail.docx", "A 37283-2024")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46253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43008-2023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46253</v>
      </c>
      <c r="F146" t="inlineStr">
        <is>
          <t>SÖDERMANLANDS LÄN</t>
        </is>
      </c>
      <c r="G146" t="inlineStr">
        <is>
          <t>FLEN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Gullklöver</t>
        </is>
      </c>
      <c r="W146">
        <f>HYPERLINK("https://klasma.github.io/Logging_0482/artfynd/A 43008-2023 artfynd.xlsx", "A 43008-2023")</f>
        <v/>
      </c>
      <c r="X146">
        <f>HYPERLINK("https://klasma.github.io/Logging_0482/kartor/A 43008-2023 karta.png", "A 43008-2023")</f>
        <v/>
      </c>
      <c r="Y146">
        <f>HYPERLINK("https://klasma.github.io/Logging_0482/kartor_geotiff/A 43008-2023 georefererad karta.tif", "A 43008-2023")</f>
        <v/>
      </c>
      <c r="AA146">
        <f>HYPERLINK("https://klasma.github.io/Logging_0482/klagomål/A 43008-2023 FSC-klagomål.docx", "A 43008-2023")</f>
        <v/>
      </c>
      <c r="AB146">
        <f>HYPERLINK("https://klasma.github.io/Logging_0482/klagomålsmail/A 43008-2023 FSC-klagomål mail.docx", "A 43008-2023")</f>
        <v/>
      </c>
      <c r="AC146">
        <f>HYPERLINK("https://klasma.github.io/Logging_0482/tillsyn/A 43008-2023 tillsynsbegäran.docx", "A 43008-2023")</f>
        <v/>
      </c>
      <c r="AD146">
        <f>HYPERLINK("https://klasma.github.io/Logging_0482/tillsynsmail/A 43008-2023 tillsynsbegäran mail.docx", "A 43008-2023")</f>
        <v/>
      </c>
    </row>
    <row r="147" ht="15" customHeight="1">
      <c r="A147" t="inlineStr">
        <is>
          <t>A 37317-2023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45156</v>
      </c>
      <c r="E147" s="1" t="n">
        <v>46253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5.1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Svavelriska</t>
        </is>
      </c>
      <c r="W147">
        <f>HYPERLINK("https://klasma.github.io/Logging_0482/artfynd/A 37317-2023 artfynd.xlsx", "A 37317-2023")</f>
        <v/>
      </c>
      <c r="X147">
        <f>HYPERLINK("https://klasma.github.io/Logging_0482/kartor/A 37317-2023 karta.png", "A 37317-2023")</f>
        <v/>
      </c>
      <c r="Y147">
        <f>HYPERLINK("https://klasma.github.io/Logging_0482/kartor_geotiff/A 37317-2023 georefererad karta.tif", "A 37317-2023")</f>
        <v/>
      </c>
      <c r="AA147">
        <f>HYPERLINK("https://klasma.github.io/Logging_0482/klagomål/A 37317-2023 FSC-klagomål.docx", "A 37317-2023")</f>
        <v/>
      </c>
      <c r="AB147">
        <f>HYPERLINK("https://klasma.github.io/Logging_0482/klagomålsmail/A 37317-2023 FSC-klagomål mail.docx", "A 37317-2023")</f>
        <v/>
      </c>
      <c r="AC147">
        <f>HYPERLINK("https://klasma.github.io/Logging_0482/tillsyn/A 37317-2023 tillsynsbegäran.docx", "A 37317-2023")</f>
        <v/>
      </c>
      <c r="AD147">
        <f>HYPERLINK("https://klasma.github.io/Logging_0482/tillsynsmail/A 37317-2023 tillsynsbegäran mail.docx", "A 37317-2023")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46253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46253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46253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46253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46253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46253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46253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46253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46253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46253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46253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46253</v>
      </c>
      <c r="F159" t="inlineStr">
        <is>
          <t>SÖDERMANLANDS LÄN</t>
        </is>
      </c>
      <c r="G159" t="inlineStr">
        <is>
          <t>FLEN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46253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46253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46253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46253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46253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46253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46253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46253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46253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46253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46253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46253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46253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46253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46253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46253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46253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46253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46253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46253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46253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46253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46253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46253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46253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46253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46253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46253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46253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46253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46253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46253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46253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46253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46253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46253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46253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46253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46253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46253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46253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46253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46253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46253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46253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46253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46253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46253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46253</v>
      </c>
      <c r="F208" t="inlineStr">
        <is>
          <t>SÖDERMANLANDS LÄN</t>
        </is>
      </c>
      <c r="G208" t="inlineStr">
        <is>
          <t>FLEN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46253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46253</v>
      </c>
      <c r="F210" t="inlineStr">
        <is>
          <t>SÖDERMANLANDS LÄN</t>
        </is>
      </c>
      <c r="G210" t="inlineStr">
        <is>
          <t>FLEN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45311</v>
      </c>
      <c r="E211" s="1" t="n">
        <v>46253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46253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46253</v>
      </c>
      <c r="F213" t="inlineStr">
        <is>
          <t>SÖDERMANLANDS LÄN</t>
        </is>
      </c>
      <c r="G213" t="inlineStr">
        <is>
          <t>FLEN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45228</v>
      </c>
      <c r="E214" s="1" t="n">
        <v>46253</v>
      </c>
      <c r="F214" t="inlineStr">
        <is>
          <t>SÖDERMANLANDS LÄN</t>
        </is>
      </c>
      <c r="G214" t="inlineStr">
        <is>
          <t>FLEN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46253</v>
      </c>
      <c r="F215" t="inlineStr">
        <is>
          <t>SÖDERMANLANDS LÄN</t>
        </is>
      </c>
      <c r="G215" t="inlineStr">
        <is>
          <t>FLEN</t>
        </is>
      </c>
      <c r="H215" t="inlineStr">
        <is>
          <t>Kyrkan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46253</v>
      </c>
      <c r="F216" t="inlineStr">
        <is>
          <t>SÖDERMANLANDS LÄN</t>
        </is>
      </c>
      <c r="G216" t="inlineStr">
        <is>
          <t>FLEN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46253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46253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46253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45398</v>
      </c>
      <c r="E220" s="1" t="n">
        <v>46253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46253</v>
      </c>
      <c r="F221" t="inlineStr">
        <is>
          <t>SÖDERMANLANDS LÄN</t>
        </is>
      </c>
      <c r="G221" t="inlineStr">
        <is>
          <t>FLEN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46253</v>
      </c>
      <c r="F222" t="inlineStr">
        <is>
          <t>SÖDERMANLANDS LÄN</t>
        </is>
      </c>
      <c r="G222" t="inlineStr">
        <is>
          <t>FLEN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46253</v>
      </c>
      <c r="F223" t="inlineStr">
        <is>
          <t>SÖDERMANLANDS LÄN</t>
        </is>
      </c>
      <c r="G223" t="inlineStr">
        <is>
          <t>FLEN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46253</v>
      </c>
      <c r="F224" t="inlineStr">
        <is>
          <t>SÖDERMANLANDS LÄN</t>
        </is>
      </c>
      <c r="G224" t="inlineStr">
        <is>
          <t>FLEN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42936-2021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44431</v>
      </c>
      <c r="E225" s="1" t="n">
        <v>46253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44887</v>
      </c>
      <c r="E226" s="1" t="n">
        <v>46253</v>
      </c>
      <c r="F226" t="inlineStr">
        <is>
          <t>SÖDERMANLANDS LÄN</t>
        </is>
      </c>
      <c r="G226" t="inlineStr">
        <is>
          <t>FLEN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46253</v>
      </c>
      <c r="F227" t="inlineStr">
        <is>
          <t>SÖDERMANLANDS LÄN</t>
        </is>
      </c>
      <c r="G227" t="inlineStr">
        <is>
          <t>FLEN</t>
        </is>
      </c>
      <c r="I227" t="n">
        <v>14.4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45119</v>
      </c>
      <c r="E228" s="1" t="n">
        <v>46253</v>
      </c>
      <c r="F228" t="inlineStr">
        <is>
          <t>SÖDERMANLANDS LÄN</t>
        </is>
      </c>
      <c r="G228" t="inlineStr">
        <is>
          <t>FLEN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46253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46253</v>
      </c>
      <c r="F230" t="inlineStr">
        <is>
          <t>SÖDERMANLANDS LÄN</t>
        </is>
      </c>
      <c r="G230" t="inlineStr">
        <is>
          <t>FLEN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45256</v>
      </c>
      <c r="E231" s="1" t="n">
        <v>46253</v>
      </c>
      <c r="F231" t="inlineStr">
        <is>
          <t>SÖDERMANLANDS LÄN</t>
        </is>
      </c>
      <c r="G231" t="inlineStr">
        <is>
          <t>FLEN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46253</v>
      </c>
      <c r="F232" t="inlineStr">
        <is>
          <t>SÖDERMANLANDS LÄN</t>
        </is>
      </c>
      <c r="G232" t="inlineStr">
        <is>
          <t>FLEN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45478</v>
      </c>
      <c r="E233" s="1" t="n">
        <v>46253</v>
      </c>
      <c r="F233" t="inlineStr">
        <is>
          <t>SÖDERMANLANDS LÄN</t>
        </is>
      </c>
      <c r="G233" t="inlineStr">
        <is>
          <t>FLEN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56497-2022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46253</v>
      </c>
      <c r="F234" t="inlineStr">
        <is>
          <t>SÖDERMANLANDS LÄN</t>
        </is>
      </c>
      <c r="G234" t="inlineStr">
        <is>
          <t>FLEN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46253</v>
      </c>
      <c r="F235" t="inlineStr">
        <is>
          <t>SÖDERMANLANDS LÄN</t>
        </is>
      </c>
      <c r="G235" t="inlineStr">
        <is>
          <t>FLEN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46253</v>
      </c>
      <c r="F236" t="inlineStr">
        <is>
          <t>SÖDERMANLANDS LÄN</t>
        </is>
      </c>
      <c r="G236" t="inlineStr">
        <is>
          <t>FLEN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46253</v>
      </c>
      <c r="F237" t="inlineStr">
        <is>
          <t>SÖDERMANLANDS LÄN</t>
        </is>
      </c>
      <c r="G237" t="inlineStr">
        <is>
          <t>FLEN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46253</v>
      </c>
      <c r="F238" t="inlineStr">
        <is>
          <t>SÖDERMANLANDS LÄN</t>
        </is>
      </c>
      <c r="G238" t="inlineStr">
        <is>
          <t>FLEN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12172-2022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44636</v>
      </c>
      <c r="E239" s="1" t="n">
        <v>46253</v>
      </c>
      <c r="F239" t="inlineStr">
        <is>
          <t>SÖDERMANLANDS LÄN</t>
        </is>
      </c>
      <c r="G239" t="inlineStr">
        <is>
          <t>FLEN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46253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45280</v>
      </c>
      <c r="E241" s="1" t="n">
        <v>46253</v>
      </c>
      <c r="F241" t="inlineStr">
        <is>
          <t>SÖDERMANLANDS LÄN</t>
        </is>
      </c>
      <c r="G241" t="inlineStr">
        <is>
          <t>FLEN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66979-2021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44522</v>
      </c>
      <c r="E242" s="1" t="n">
        <v>46253</v>
      </c>
      <c r="F242" t="inlineStr">
        <is>
          <t>SÖDERMANLANDS LÄN</t>
        </is>
      </c>
      <c r="G242" t="inlineStr">
        <is>
          <t>FLEN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46253</v>
      </c>
      <c r="F243" t="inlineStr">
        <is>
          <t>SÖDERMANLANDS LÄN</t>
        </is>
      </c>
      <c r="G243" t="inlineStr">
        <is>
          <t>FLEN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46253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46253</v>
      </c>
      <c r="F245" t="inlineStr">
        <is>
          <t>SÖDERMANLANDS LÄN</t>
        </is>
      </c>
      <c r="G245" t="inlineStr">
        <is>
          <t>FLEN</t>
        </is>
      </c>
      <c r="H245" t="inlineStr">
        <is>
          <t>Övriga statliga verk och myndigheter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46253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46253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44616</v>
      </c>
      <c r="E248" s="1" t="n">
        <v>46253</v>
      </c>
      <c r="F248" t="inlineStr">
        <is>
          <t>SÖDERMANLANDS LÄN</t>
        </is>
      </c>
      <c r="G248" t="inlineStr">
        <is>
          <t>FLEN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45014</v>
      </c>
      <c r="E249" s="1" t="n">
        <v>46253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44588</v>
      </c>
      <c r="E250" s="1" t="n">
        <v>46253</v>
      </c>
      <c r="F250" t="inlineStr">
        <is>
          <t>SÖDERMANLANDS LÄN</t>
        </is>
      </c>
      <c r="G250" t="inlineStr">
        <is>
          <t>FLEN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44838</v>
      </c>
      <c r="E251" s="1" t="n">
        <v>46253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4899-2023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44958</v>
      </c>
      <c r="E252" s="1" t="n">
        <v>46253</v>
      </c>
      <c r="F252" t="inlineStr">
        <is>
          <t>SÖDERMANLANDS LÄN</t>
        </is>
      </c>
      <c r="G252" t="inlineStr">
        <is>
          <t>FLEN</t>
        </is>
      </c>
      <c r="H252" t="inlineStr">
        <is>
          <t>Kyrkan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46253</v>
      </c>
      <c r="F253" t="inlineStr">
        <is>
          <t>SÖDERMANLANDS LÄN</t>
        </is>
      </c>
      <c r="G253" t="inlineStr">
        <is>
          <t>FLEN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46253</v>
      </c>
      <c r="F254" t="inlineStr">
        <is>
          <t>SÖDERMANLANDS LÄN</t>
        </is>
      </c>
      <c r="G254" t="inlineStr">
        <is>
          <t>FLEN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46253</v>
      </c>
      <c r="F255" t="inlineStr">
        <is>
          <t>SÖDERMANLANDS LÄN</t>
        </is>
      </c>
      <c r="G255" t="inlineStr">
        <is>
          <t>FLEN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46253</v>
      </c>
      <c r="F256" t="inlineStr">
        <is>
          <t>SÖDERMANLANDS LÄN</t>
        </is>
      </c>
      <c r="G256" t="inlineStr">
        <is>
          <t>FLEN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46253</v>
      </c>
      <c r="F257" t="inlineStr">
        <is>
          <t>SÖDERMANLANDS LÄN</t>
        </is>
      </c>
      <c r="G257" t="inlineStr">
        <is>
          <t>FLEN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67464-2021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44524</v>
      </c>
      <c r="E258" s="1" t="n">
        <v>46253</v>
      </c>
      <c r="F258" t="inlineStr">
        <is>
          <t>SÖDERMANLANDS LÄN</t>
        </is>
      </c>
      <c r="G258" t="inlineStr">
        <is>
          <t>FLEN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46253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47604-2021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44448</v>
      </c>
      <c r="E260" s="1" t="n">
        <v>46253</v>
      </c>
      <c r="F260" t="inlineStr">
        <is>
          <t>SÖDERMANLANDS LÄN</t>
        </is>
      </c>
      <c r="G260" t="inlineStr">
        <is>
          <t>FLEN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46253</v>
      </c>
      <c r="F261" t="inlineStr">
        <is>
          <t>SÖDERMANLANDS LÄN</t>
        </is>
      </c>
      <c r="G261" t="inlineStr">
        <is>
          <t>FLEN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45830</v>
      </c>
      <c r="E262" s="1" t="n">
        <v>46253</v>
      </c>
      <c r="F262" t="inlineStr">
        <is>
          <t>SÖDERMANLANDS LÄN</t>
        </is>
      </c>
      <c r="G262" t="inlineStr">
        <is>
          <t>FLEN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45830</v>
      </c>
      <c r="E263" s="1" t="n">
        <v>46253</v>
      </c>
      <c r="F263" t="inlineStr">
        <is>
          <t>SÖDERMANLANDS LÄN</t>
        </is>
      </c>
      <c r="G263" t="inlineStr">
        <is>
          <t>FLEN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46253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46253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44986</v>
      </c>
      <c r="E266" s="1" t="n">
        <v>46253</v>
      </c>
      <c r="F266" t="inlineStr">
        <is>
          <t>SÖDERMANLANDS LÄN</t>
        </is>
      </c>
      <c r="G266" t="inlineStr">
        <is>
          <t>FLEN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44988</v>
      </c>
      <c r="E267" s="1" t="n">
        <v>46253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44778</v>
      </c>
      <c r="E268" s="1" t="n">
        <v>46253</v>
      </c>
      <c r="F268" t="inlineStr">
        <is>
          <t>SÖDERMANLANDS LÄN</t>
        </is>
      </c>
      <c r="G268" t="inlineStr">
        <is>
          <t>FLEN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45089</v>
      </c>
      <c r="E269" s="1" t="n">
        <v>46253</v>
      </c>
      <c r="F269" t="inlineStr">
        <is>
          <t>SÖDERMANLANDS LÄN</t>
        </is>
      </c>
      <c r="G269" t="inlineStr">
        <is>
          <t>FLEN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45448</v>
      </c>
      <c r="E270" s="1" t="n">
        <v>46253</v>
      </c>
      <c r="F270" t="inlineStr">
        <is>
          <t>SÖDERMANLANDS LÄN</t>
        </is>
      </c>
      <c r="G270" t="inlineStr">
        <is>
          <t>FLEN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46253</v>
      </c>
      <c r="F271" t="inlineStr">
        <is>
          <t>SÖDERMANLANDS LÄN</t>
        </is>
      </c>
      <c r="G271" t="inlineStr">
        <is>
          <t>FLEN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46253</v>
      </c>
      <c r="F272" t="inlineStr">
        <is>
          <t>SÖDERMANLANDS LÄN</t>
        </is>
      </c>
      <c r="G272" t="inlineStr">
        <is>
          <t>FLEN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46253</v>
      </c>
      <c r="F273" t="inlineStr">
        <is>
          <t>SÖDERMANLANDS LÄN</t>
        </is>
      </c>
      <c r="G273" t="inlineStr">
        <is>
          <t>FLEN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46077</v>
      </c>
      <c r="E274" s="1" t="n">
        <v>46253</v>
      </c>
      <c r="F274" t="inlineStr">
        <is>
          <t>SÖDERMANLANDS LÄN</t>
        </is>
      </c>
      <c r="G274" t="inlineStr">
        <is>
          <t>FLEN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44911</v>
      </c>
      <c r="E275" s="1" t="n">
        <v>46253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45581</v>
      </c>
      <c r="E276" s="1" t="n">
        <v>46253</v>
      </c>
      <c r="F276" t="inlineStr">
        <is>
          <t>SÖDERMANLANDS LÄN</t>
        </is>
      </c>
      <c r="G276" t="inlineStr">
        <is>
          <t>FLEN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46253</v>
      </c>
      <c r="F277" t="inlineStr">
        <is>
          <t>SÖDERMANLANDS LÄN</t>
        </is>
      </c>
      <c r="G277" t="inlineStr">
        <is>
          <t>FLEN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46253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46253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46253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46082</v>
      </c>
      <c r="E281" s="1" t="n">
        <v>46253</v>
      </c>
      <c r="F281" t="inlineStr">
        <is>
          <t>SÖDERMANLANDS LÄN</t>
        </is>
      </c>
      <c r="G281" t="inlineStr">
        <is>
          <t>FLEN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46253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46253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46253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46253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46253</v>
      </c>
      <c r="F286" t="inlineStr">
        <is>
          <t>SÖDERMANLANDS LÄN</t>
        </is>
      </c>
      <c r="G286" t="inlineStr">
        <is>
          <t>FLEN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44970</v>
      </c>
      <c r="E287" s="1" t="n">
        <v>46253</v>
      </c>
      <c r="F287" t="inlineStr">
        <is>
          <t>SÖDERMANLANDS LÄN</t>
        </is>
      </c>
      <c r="G287" t="inlineStr">
        <is>
          <t>FLEN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12712-2026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46091</v>
      </c>
      <c r="E288" s="1" t="n">
        <v>46253</v>
      </c>
      <c r="F288" t="inlineStr">
        <is>
          <t>SÖDERMANLANDS LÄN</t>
        </is>
      </c>
      <c r="G288" t="inlineStr">
        <is>
          <t>FLEN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46253</v>
      </c>
      <c r="F289" t="inlineStr">
        <is>
          <t>SÖDERMANLANDS LÄN</t>
        </is>
      </c>
      <c r="G289" t="inlineStr">
        <is>
          <t>FLEN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46253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45012</v>
      </c>
      <c r="E291" s="1" t="n">
        <v>46253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46253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46253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45713</v>
      </c>
      <c r="E294" s="1" t="n">
        <v>46253</v>
      </c>
      <c r="F294" t="inlineStr">
        <is>
          <t>SÖDERMANLANDS LÄN</t>
        </is>
      </c>
      <c r="G294" t="inlineStr">
        <is>
          <t>FLEN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45597</v>
      </c>
      <c r="E295" s="1" t="n">
        <v>46253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46253</v>
      </c>
      <c r="F296" t="inlineStr">
        <is>
          <t>SÖDERMANLANDS LÄN</t>
        </is>
      </c>
      <c r="G296" t="inlineStr">
        <is>
          <t>FLEN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45932</v>
      </c>
      <c r="E297" s="1" t="n">
        <v>46253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46253</v>
      </c>
      <c r="F298" t="inlineStr">
        <is>
          <t>SÖDERMANLANDS LÄN</t>
        </is>
      </c>
      <c r="G298" t="inlineStr">
        <is>
          <t>FLEN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46253</v>
      </c>
      <c r="F299" t="inlineStr">
        <is>
          <t>SÖDERMANLANDS LÄN</t>
        </is>
      </c>
      <c r="G299" t="inlineStr">
        <is>
          <t>FLEN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46253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46253</v>
      </c>
      <c r="F301" t="inlineStr">
        <is>
          <t>SÖDERMANLANDS LÄN</t>
        </is>
      </c>
      <c r="G301" t="inlineStr">
        <is>
          <t>FLEN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46253</v>
      </c>
      <c r="F302" t="inlineStr">
        <is>
          <t>SÖDERMANLANDS LÄN</t>
        </is>
      </c>
      <c r="G302" t="inlineStr">
        <is>
          <t>FLEN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46253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45030</v>
      </c>
      <c r="E304" s="1" t="n">
        <v>46253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46253</v>
      </c>
      <c r="F305" t="inlineStr">
        <is>
          <t>SÖDERMANLANDS LÄN</t>
        </is>
      </c>
      <c r="G305" t="inlineStr">
        <is>
          <t>FLEN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46253</v>
      </c>
      <c r="F306" t="inlineStr">
        <is>
          <t>SÖDERMANLANDS LÄN</t>
        </is>
      </c>
      <c r="G306" t="inlineStr">
        <is>
          <t>FLEN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46253</v>
      </c>
      <c r="F307" t="inlineStr">
        <is>
          <t>SÖDERMANLANDS LÄN</t>
        </is>
      </c>
      <c r="G307" t="inlineStr">
        <is>
          <t>FLEN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45228</v>
      </c>
      <c r="E308" s="1" t="n">
        <v>46253</v>
      </c>
      <c r="F308" t="inlineStr">
        <is>
          <t>SÖDERMANLANDS LÄN</t>
        </is>
      </c>
      <c r="G308" t="inlineStr">
        <is>
          <t>FLEN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46253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46253</v>
      </c>
      <c r="F310" t="inlineStr">
        <is>
          <t>SÖDERMANLANDS LÄN</t>
        </is>
      </c>
      <c r="G310" t="inlineStr">
        <is>
          <t>FLEN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66867-2021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44522</v>
      </c>
      <c r="E311" s="1" t="n">
        <v>46253</v>
      </c>
      <c r="F311" t="inlineStr">
        <is>
          <t>SÖDERMANLANDS LÄN</t>
        </is>
      </c>
      <c r="G311" t="inlineStr">
        <is>
          <t>FLEN</t>
        </is>
      </c>
      <c r="H311" t="inlineStr">
        <is>
          <t>Kyrkan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46125</v>
      </c>
      <c r="E312" s="1" t="n">
        <v>46253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46253</v>
      </c>
      <c r="F313" t="inlineStr">
        <is>
          <t>SÖDERMANLANDS LÄN</t>
        </is>
      </c>
      <c r="G313" t="inlineStr">
        <is>
          <t>FLEN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45048</v>
      </c>
      <c r="E314" s="1" t="n">
        <v>46253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46253</v>
      </c>
      <c r="F315" t="inlineStr">
        <is>
          <t>SÖDERMANLANDS LÄN</t>
        </is>
      </c>
      <c r="G315" t="inlineStr">
        <is>
          <t>FLEN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45671</v>
      </c>
      <c r="E316" s="1" t="n">
        <v>46253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46253</v>
      </c>
      <c r="F317" t="inlineStr">
        <is>
          <t>SÖDERMANLANDS LÄN</t>
        </is>
      </c>
      <c r="G317" t="inlineStr">
        <is>
          <t>FLEN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45345</v>
      </c>
      <c r="E318" s="1" t="n">
        <v>46253</v>
      </c>
      <c r="F318" t="inlineStr">
        <is>
          <t>SÖDERMANLANDS LÄN</t>
        </is>
      </c>
      <c r="G318" t="inlineStr">
        <is>
          <t>FLEN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46253</v>
      </c>
      <c r="F319" t="inlineStr">
        <is>
          <t>SÖDERMANLANDS LÄN</t>
        </is>
      </c>
      <c r="G319" t="inlineStr">
        <is>
          <t>FLEN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44909</v>
      </c>
      <c r="E320" s="1" t="n">
        <v>46253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44899</v>
      </c>
      <c r="E321" s="1" t="n">
        <v>46253</v>
      </c>
      <c r="F321" t="inlineStr">
        <is>
          <t>SÖDERMANLANDS LÄN</t>
        </is>
      </c>
      <c r="G321" t="inlineStr">
        <is>
          <t>FLEN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46253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46253</v>
      </c>
      <c r="F323" t="inlineStr">
        <is>
          <t>SÖDERMANLANDS LÄN</t>
        </is>
      </c>
      <c r="G323" t="inlineStr">
        <is>
          <t>FLEN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45952</v>
      </c>
      <c r="E324" s="1" t="n">
        <v>46253</v>
      </c>
      <c r="F324" t="inlineStr">
        <is>
          <t>SÖDERMANLANDS LÄN</t>
        </is>
      </c>
      <c r="G324" t="inlineStr">
        <is>
          <t>FLEN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45041</v>
      </c>
      <c r="E325" s="1" t="n">
        <v>46253</v>
      </c>
      <c r="F325" t="inlineStr">
        <is>
          <t>SÖDERMANLANDS LÄN</t>
        </is>
      </c>
      <c r="G325" t="inlineStr">
        <is>
          <t>FLEN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46129</v>
      </c>
      <c r="E326" s="1" t="n">
        <v>46253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46253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46253</v>
      </c>
      <c r="F328" t="inlineStr">
        <is>
          <t>SÖDERMANLANDS LÄN</t>
        </is>
      </c>
      <c r="G328" t="inlineStr">
        <is>
          <t>FLEN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46253</v>
      </c>
      <c r="F329" t="inlineStr">
        <is>
          <t>SÖDERMANLANDS LÄN</t>
        </is>
      </c>
      <c r="G329" t="inlineStr">
        <is>
          <t>FLEN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46253</v>
      </c>
      <c r="F330" t="inlineStr">
        <is>
          <t>SÖDERMANLANDS LÄN</t>
        </is>
      </c>
      <c r="G330" t="inlineStr">
        <is>
          <t>FLEN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46253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46253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46253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46134</v>
      </c>
      <c r="E334" s="1" t="n">
        <v>46253</v>
      </c>
      <c r="F334" t="inlineStr">
        <is>
          <t>SÖDERMANLANDS LÄN</t>
        </is>
      </c>
      <c r="G334" t="inlineStr">
        <is>
          <t>FLEN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44848</v>
      </c>
      <c r="E335" s="1" t="n">
        <v>46253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46253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54282-2025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45964</v>
      </c>
      <c r="E337" s="1" t="n">
        <v>46253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54283-2025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45964</v>
      </c>
      <c r="E338" s="1" t="n">
        <v>46253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45789</v>
      </c>
      <c r="E339" s="1" t="n">
        <v>46253</v>
      </c>
      <c r="F339" t="inlineStr">
        <is>
          <t>SÖDERMANLANDS LÄN</t>
        </is>
      </c>
      <c r="G339" t="inlineStr">
        <is>
          <t>FLEN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46253</v>
      </c>
      <c r="F340" t="inlineStr">
        <is>
          <t>SÖDERMANLANDS LÄN</t>
        </is>
      </c>
      <c r="G340" t="inlineStr">
        <is>
          <t>FLEN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44864</v>
      </c>
      <c r="E341" s="1" t="n">
        <v>46253</v>
      </c>
      <c r="F341" t="inlineStr">
        <is>
          <t>SÖDERMANLANDS LÄN</t>
        </is>
      </c>
      <c r="G341" t="inlineStr">
        <is>
          <t>FLEN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50796-2021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44459</v>
      </c>
      <c r="E342" s="1" t="n">
        <v>46253</v>
      </c>
      <c r="F342" t="inlineStr">
        <is>
          <t>SÖDERMANLANDS LÄN</t>
        </is>
      </c>
      <c r="G342" t="inlineStr">
        <is>
          <t>FLEN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45216</v>
      </c>
      <c r="E343" s="1" t="n">
        <v>46253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46253</v>
      </c>
      <c r="F344" t="inlineStr">
        <is>
          <t>SÖDERMANLANDS LÄN</t>
        </is>
      </c>
      <c r="G344" t="inlineStr">
        <is>
          <t>FLEN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46253</v>
      </c>
      <c r="F345" t="inlineStr">
        <is>
          <t>SÖDERMANLANDS LÄN</t>
        </is>
      </c>
      <c r="G345" t="inlineStr">
        <is>
          <t>FLEN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52692-2021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44466</v>
      </c>
      <c r="E346" s="1" t="n">
        <v>46253</v>
      </c>
      <c r="F346" t="inlineStr">
        <is>
          <t>SÖDERMANLANDS LÄN</t>
        </is>
      </c>
      <c r="G346" t="inlineStr">
        <is>
          <t>FLEN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46253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56573-2025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45974</v>
      </c>
      <c r="E348" s="1" t="n">
        <v>46253</v>
      </c>
      <c r="F348" t="inlineStr">
        <is>
          <t>SÖDERMANLANDS LÄN</t>
        </is>
      </c>
      <c r="G348" t="inlineStr">
        <is>
          <t>FLEN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44807</v>
      </c>
      <c r="E349" s="1" t="n">
        <v>46253</v>
      </c>
      <c r="F349" t="inlineStr">
        <is>
          <t>SÖDERMANLANDS LÄN</t>
        </is>
      </c>
      <c r="G349" t="inlineStr">
        <is>
          <t>FLEN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46253</v>
      </c>
      <c r="F350" t="inlineStr">
        <is>
          <t>SÖDERMANLANDS LÄN</t>
        </is>
      </c>
      <c r="G350" t="inlineStr">
        <is>
          <t>FLEN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62763-2023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45271</v>
      </c>
      <c r="E351" s="1" t="n">
        <v>46253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46253</v>
      </c>
      <c r="F352" t="inlineStr">
        <is>
          <t>SÖDERMANLANDS LÄN</t>
        </is>
      </c>
      <c r="G352" t="inlineStr">
        <is>
          <t>FLEN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45022</v>
      </c>
      <c r="E353" s="1" t="n">
        <v>46253</v>
      </c>
      <c r="F353" t="inlineStr">
        <is>
          <t>SÖDERMANLANDS LÄN</t>
        </is>
      </c>
      <c r="G353" t="inlineStr">
        <is>
          <t>FLEN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46253</v>
      </c>
      <c r="F354" t="inlineStr">
        <is>
          <t>SÖDERMANLANDS LÄN</t>
        </is>
      </c>
      <c r="G354" t="inlineStr">
        <is>
          <t>FLEN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46253</v>
      </c>
      <c r="F355" t="inlineStr">
        <is>
          <t>SÖDERMANLANDS LÄN</t>
        </is>
      </c>
      <c r="G355" t="inlineStr">
        <is>
          <t>FLEN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46253</v>
      </c>
      <c r="F356" t="inlineStr">
        <is>
          <t>SÖDERMANLANDS LÄN</t>
        </is>
      </c>
      <c r="G356" t="inlineStr">
        <is>
          <t>FLEN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45081</v>
      </c>
      <c r="E357" s="1" t="n">
        <v>46253</v>
      </c>
      <c r="F357" t="inlineStr">
        <is>
          <t>SÖDERMANLANDS LÄN</t>
        </is>
      </c>
      <c r="G357" t="inlineStr">
        <is>
          <t>FLEN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46253</v>
      </c>
      <c r="F358" t="inlineStr">
        <is>
          <t>SÖDERMANLANDS LÄN</t>
        </is>
      </c>
      <c r="G358" t="inlineStr">
        <is>
          <t>FLEN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46253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46253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46253</v>
      </c>
      <c r="F361" t="inlineStr">
        <is>
          <t>SÖDERMANLANDS LÄN</t>
        </is>
      </c>
      <c r="G361" t="inlineStr">
        <is>
          <t>FLEN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46253</v>
      </c>
      <c r="F362" t="inlineStr">
        <is>
          <t>SÖDERMANLANDS LÄN</t>
        </is>
      </c>
      <c r="G362" t="inlineStr">
        <is>
          <t>FLEN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45718</v>
      </c>
      <c r="E363" s="1" t="n">
        <v>46253</v>
      </c>
      <c r="F363" t="inlineStr">
        <is>
          <t>SÖDERMANLANDS LÄN</t>
        </is>
      </c>
      <c r="G363" t="inlineStr">
        <is>
          <t>FLEN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45147</v>
      </c>
      <c r="E364" s="1" t="n">
        <v>46253</v>
      </c>
      <c r="F364" t="inlineStr">
        <is>
          <t>SÖDERMANLANDS LÄN</t>
        </is>
      </c>
      <c r="G364" t="inlineStr">
        <is>
          <t>FLEN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73923-2021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44553</v>
      </c>
      <c r="E365" s="1" t="n">
        <v>46253</v>
      </c>
      <c r="F365" t="inlineStr">
        <is>
          <t>SÖDERMANLANDS LÄN</t>
        </is>
      </c>
      <c r="G365" t="inlineStr">
        <is>
          <t>FLEN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44909</v>
      </c>
      <c r="E366" s="1" t="n">
        <v>46253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46253</v>
      </c>
      <c r="F367" t="inlineStr">
        <is>
          <t>SÖDERMANLANDS LÄN</t>
        </is>
      </c>
      <c r="G367" t="inlineStr">
        <is>
          <t>FLEN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46253</v>
      </c>
      <c r="F368" t="inlineStr">
        <is>
          <t>SÖDERMANLANDS LÄN</t>
        </is>
      </c>
      <c r="G368" t="inlineStr">
        <is>
          <t>FLEN</t>
        </is>
      </c>
      <c r="H368" t="inlineStr">
        <is>
          <t>Kyrkan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46253</v>
      </c>
      <c r="F369" t="inlineStr">
        <is>
          <t>SÖDERMANLANDS LÄN</t>
        </is>
      </c>
      <c r="G369" t="inlineStr">
        <is>
          <t>FLEN</t>
        </is>
      </c>
      <c r="H369" t="inlineStr">
        <is>
          <t>Kyrkan</t>
        </is>
      </c>
      <c r="I369" t="n">
        <v>9.699999999999999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45993</v>
      </c>
      <c r="E370" s="1" t="n">
        <v>46253</v>
      </c>
      <c r="F370" t="inlineStr">
        <is>
          <t>SÖDERMANLANDS LÄN</t>
        </is>
      </c>
      <c r="G370" t="inlineStr">
        <is>
          <t>FLEN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45993</v>
      </c>
      <c r="E371" s="1" t="n">
        <v>46253</v>
      </c>
      <c r="F371" t="inlineStr">
        <is>
          <t>SÖDERMANLANDS LÄN</t>
        </is>
      </c>
      <c r="G371" t="inlineStr">
        <is>
          <t>FLEN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46253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46253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46253</v>
      </c>
      <c r="F374" t="inlineStr">
        <is>
          <t>SÖDERMANLANDS LÄN</t>
        </is>
      </c>
      <c r="G374" t="inlineStr">
        <is>
          <t>FLEN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46253</v>
      </c>
      <c r="F375" t="inlineStr">
        <is>
          <t>SÖDERMANLANDS LÄN</t>
        </is>
      </c>
      <c r="G375" t="inlineStr">
        <is>
          <t>FLEN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46253</v>
      </c>
      <c r="F376" t="inlineStr">
        <is>
          <t>SÖDERMANLANDS LÄN</t>
        </is>
      </c>
      <c r="G376" t="inlineStr">
        <is>
          <t>FLEN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46253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45791</v>
      </c>
      <c r="E378" s="1" t="n">
        <v>46253</v>
      </c>
      <c r="F378" t="inlineStr">
        <is>
          <t>SÖDERMANLANDS LÄN</t>
        </is>
      </c>
      <c r="G378" t="inlineStr">
        <is>
          <t>FLEN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44980</v>
      </c>
      <c r="E379" s="1" t="n">
        <v>46253</v>
      </c>
      <c r="F379" t="inlineStr">
        <is>
          <t>SÖDERMANLANDS LÄN</t>
        </is>
      </c>
      <c r="G379" t="inlineStr">
        <is>
          <t>FLEN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54666-2021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46253</v>
      </c>
      <c r="F380" t="inlineStr">
        <is>
          <t>SÖDERMANLANDS LÄN</t>
        </is>
      </c>
      <c r="G380" t="inlineStr">
        <is>
          <t>FLEN</t>
        </is>
      </c>
      <c r="I380" t="n">
        <v>10.1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46253</v>
      </c>
      <c r="F381" t="inlineStr">
        <is>
          <t>SÖDERMANLANDS LÄN</t>
        </is>
      </c>
      <c r="G381" t="inlineStr">
        <is>
          <t>FLEN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44991</v>
      </c>
      <c r="E382" s="1" t="n">
        <v>46253</v>
      </c>
      <c r="F382" t="inlineStr">
        <is>
          <t>SÖDERMANLANDS LÄN</t>
        </is>
      </c>
      <c r="G382" t="inlineStr">
        <is>
          <t>FLEN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46253</v>
      </c>
      <c r="F383" t="inlineStr">
        <is>
          <t>SÖDERMANLANDS LÄN</t>
        </is>
      </c>
      <c r="G383" t="inlineStr">
        <is>
          <t>FLEN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44614</v>
      </c>
      <c r="E384" s="1" t="n">
        <v>46253</v>
      </c>
      <c r="F384" t="inlineStr">
        <is>
          <t>SÖDERMANLANDS LÄN</t>
        </is>
      </c>
      <c r="G384" t="inlineStr">
        <is>
          <t>FLEN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46253</v>
      </c>
      <c r="F385" t="inlineStr">
        <is>
          <t>SÖDERMANLANDS LÄN</t>
        </is>
      </c>
      <c r="G385" t="inlineStr">
        <is>
          <t>FLEN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45528</v>
      </c>
      <c r="E386" s="1" t="n">
        <v>46253</v>
      </c>
      <c r="F386" t="inlineStr">
        <is>
          <t>SÖDERMANLANDS LÄN</t>
        </is>
      </c>
      <c r="G386" t="inlineStr">
        <is>
          <t>FLEN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72314-2021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46253</v>
      </c>
      <c r="F387" t="inlineStr">
        <is>
          <t>SÖDERMANLANDS LÄN</t>
        </is>
      </c>
      <c r="G387" t="inlineStr">
        <is>
          <t>FLEN</t>
        </is>
      </c>
      <c r="I387" t="n">
        <v>13.8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41630-2023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46253</v>
      </c>
      <c r="F388" t="inlineStr">
        <is>
          <t>SÖDERMANLANDS LÄN</t>
        </is>
      </c>
      <c r="G388" t="inlineStr">
        <is>
          <t>FLEN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45163</v>
      </c>
      <c r="E389" s="1" t="n">
        <v>46253</v>
      </c>
      <c r="F389" t="inlineStr">
        <is>
          <t>SÖDERMANLANDS LÄN</t>
        </is>
      </c>
      <c r="G389" t="inlineStr">
        <is>
          <t>FLEN</t>
        </is>
      </c>
      <c r="I389" t="n">
        <v>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60255-2021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44495</v>
      </c>
      <c r="E390" s="1" t="n">
        <v>46253</v>
      </c>
      <c r="F390" t="inlineStr">
        <is>
          <t>SÖDERMANLANDS LÄN</t>
        </is>
      </c>
      <c r="G390" t="inlineStr">
        <is>
          <t>FLEN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45327</v>
      </c>
      <c r="E391" s="1" t="n">
        <v>46253</v>
      </c>
      <c r="F391" t="inlineStr">
        <is>
          <t>SÖDERMANLANDS LÄN</t>
        </is>
      </c>
      <c r="G391" t="inlineStr">
        <is>
          <t>FLEN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46253</v>
      </c>
      <c r="F392" t="inlineStr">
        <is>
          <t>SÖDERMANLANDS LÄN</t>
        </is>
      </c>
      <c r="G392" t="inlineStr">
        <is>
          <t>FLEN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46253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52353-2023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45224</v>
      </c>
      <c r="E394" s="1" t="n">
        <v>46253</v>
      </c>
      <c r="F394" t="inlineStr">
        <is>
          <t>SÖDERMANLANDS LÄN</t>
        </is>
      </c>
      <c r="G394" t="inlineStr">
        <is>
          <t>FLEN</t>
        </is>
      </c>
      <c r="H394" t="inlineStr">
        <is>
          <t>Kyrkan</t>
        </is>
      </c>
      <c r="I394" t="n">
        <v>8.199999999999999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46253</v>
      </c>
      <c r="F395" t="inlineStr">
        <is>
          <t>SÖDERMANLANDS LÄN</t>
        </is>
      </c>
      <c r="G395" t="inlineStr">
        <is>
          <t>FLEN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8293-2022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44610</v>
      </c>
      <c r="E396" s="1" t="n">
        <v>46253</v>
      </c>
      <c r="F396" t="inlineStr">
        <is>
          <t>SÖDERMANLANDS LÄN</t>
        </is>
      </c>
      <c r="G396" t="inlineStr">
        <is>
          <t>FLEN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44602</v>
      </c>
      <c r="E397" s="1" t="n">
        <v>46253</v>
      </c>
      <c r="F397" t="inlineStr">
        <is>
          <t>SÖDERMANLANDS LÄN</t>
        </is>
      </c>
      <c r="G397" t="inlineStr">
        <is>
          <t>FLEN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46253</v>
      </c>
      <c r="F398" t="inlineStr">
        <is>
          <t>SÖDERMANLANDS LÄN</t>
        </is>
      </c>
      <c r="G398" t="inlineStr">
        <is>
          <t>FLEN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46253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46253</v>
      </c>
      <c r="F400" t="inlineStr">
        <is>
          <t>SÖDERMANLANDS LÄN</t>
        </is>
      </c>
      <c r="G400" t="inlineStr">
        <is>
          <t>FLEN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46253</v>
      </c>
      <c r="F401" t="inlineStr">
        <is>
          <t>SÖDERMANLANDS LÄN</t>
        </is>
      </c>
      <c r="G401" t="inlineStr">
        <is>
          <t>FLEN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46253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46253</v>
      </c>
      <c r="F403" t="inlineStr">
        <is>
          <t>SÖDERMANLANDS LÄN</t>
        </is>
      </c>
      <c r="G403" t="inlineStr">
        <is>
          <t>FLEN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46253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46253</v>
      </c>
      <c r="F405" t="inlineStr">
        <is>
          <t>SÖDERMANLANDS LÄN</t>
        </is>
      </c>
      <c r="G405" t="inlineStr">
        <is>
          <t>FLEN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46253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46253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46253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46253</v>
      </c>
      <c r="F409" t="inlineStr">
        <is>
          <t>SÖDERMANLANDS LÄN</t>
        </is>
      </c>
      <c r="G409" t="inlineStr">
        <is>
          <t>FLEN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69588-2021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44531</v>
      </c>
      <c r="E410" s="1" t="n">
        <v>46253</v>
      </c>
      <c r="F410" t="inlineStr">
        <is>
          <t>SÖDERMANLANDS LÄN</t>
        </is>
      </c>
      <c r="G410" t="inlineStr">
        <is>
          <t>FLEN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54781-2024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45618</v>
      </c>
      <c r="E411" s="1" t="n">
        <v>46253</v>
      </c>
      <c r="F411" t="inlineStr">
        <is>
          <t>SÖDERMANLANDS LÄN</t>
        </is>
      </c>
      <c r="G411" t="inlineStr">
        <is>
          <t>FLEN</t>
        </is>
      </c>
      <c r="I411" t="n">
        <v>10.3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46253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  <c r="Z412">
        <f>HYPERLINK("https://klasma.github.io/Logging_0482/knärot/A 24450-2026 karta knärot.png", "A 24450-2026")</f>
        <v/>
      </c>
      <c r="AA412">
        <f>HYPERLINK("https://klasma.github.io/Logging_0482/klagomål/A 24450-2026 FSC-klagomål.docx", "A 24450-2026")</f>
        <v/>
      </c>
      <c r="AB412">
        <f>HYPERLINK("https://klasma.github.io/Logging_0482/klagomålsmail/A 24450-2026 FSC-klagomål mail.docx", "A 24450-2026")</f>
        <v/>
      </c>
      <c r="AC412">
        <f>HYPERLINK("https://klasma.github.io/Logging_0482/tillsyn/A 24450-2026 tillsynsbegäran.docx", "A 24450-2026")</f>
        <v/>
      </c>
      <c r="AD412">
        <f>HYPERLINK("https://klasma.github.io/Logging_0482/tillsynsmail/A 24450-2026 tillsynsbegäran mail.docx", "A 24450-2026")</f>
        <v/>
      </c>
    </row>
    <row r="413" ht="15" customHeight="1">
      <c r="A413" t="inlineStr">
        <is>
          <t>A 47872-2025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45932</v>
      </c>
      <c r="E413" s="1" t="n">
        <v>46253</v>
      </c>
      <c r="F413" t="inlineStr">
        <is>
          <t>SÖDERMANLANDS LÄN</t>
        </is>
      </c>
      <c r="G413" t="inlineStr">
        <is>
          <t>FLEN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46253</v>
      </c>
      <c r="F414" t="inlineStr">
        <is>
          <t>SÖDERMANLANDS LÄN</t>
        </is>
      </c>
      <c r="G414" t="inlineStr">
        <is>
          <t>FLEN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46253</v>
      </c>
      <c r="F415" t="inlineStr">
        <is>
          <t>SÖDERMANLANDS LÄN</t>
        </is>
      </c>
      <c r="G415" t="inlineStr">
        <is>
          <t>FLEN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46253</v>
      </c>
      <c r="F416" t="inlineStr">
        <is>
          <t>SÖDERMANLANDS LÄN</t>
        </is>
      </c>
      <c r="G416" t="inlineStr">
        <is>
          <t>FLEN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46253</v>
      </c>
      <c r="F417" t="inlineStr">
        <is>
          <t>SÖDERMANLANDS LÄN</t>
        </is>
      </c>
      <c r="G417" t="inlineStr">
        <is>
          <t>FLEN</t>
        </is>
      </c>
      <c r="H417" t="inlineStr">
        <is>
          <t>Övriga statliga verk och myndigheter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46176</v>
      </c>
      <c r="E418" s="1" t="n">
        <v>46253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45209</v>
      </c>
      <c r="E419" s="1" t="n">
        <v>46253</v>
      </c>
      <c r="F419" t="inlineStr">
        <is>
          <t>SÖDERMANLANDS LÄN</t>
        </is>
      </c>
      <c r="G419" t="inlineStr">
        <is>
          <t>FLEN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8903-2022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44614</v>
      </c>
      <c r="E420" s="1" t="n">
        <v>46253</v>
      </c>
      <c r="F420" t="inlineStr">
        <is>
          <t>SÖDERMANLANDS LÄN</t>
        </is>
      </c>
      <c r="G420" t="inlineStr">
        <is>
          <t>FLEN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16937-2022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44676</v>
      </c>
      <c r="E421" s="1" t="n">
        <v>46253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23716-2024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46253</v>
      </c>
      <c r="F422" t="inlineStr">
        <is>
          <t>SÖDERMANLANDS LÄN</t>
        </is>
      </c>
      <c r="G422" t="inlineStr">
        <is>
          <t>FLEN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45740</v>
      </c>
      <c r="E423" s="1" t="n">
        <v>46253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46253</v>
      </c>
      <c r="F424" t="inlineStr">
        <is>
          <t>SÖDERMANLANDS LÄN</t>
        </is>
      </c>
      <c r="G424" t="inlineStr">
        <is>
          <t>FLEN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46253</v>
      </c>
      <c r="F425" t="inlineStr">
        <is>
          <t>SÖDERMANLANDS LÄN</t>
        </is>
      </c>
      <c r="G425" t="inlineStr">
        <is>
          <t>FLEN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46253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46253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44785</v>
      </c>
      <c r="E428" s="1" t="n">
        <v>46253</v>
      </c>
      <c r="F428" t="inlineStr">
        <is>
          <t>SÖDERMANLANDS LÄN</t>
        </is>
      </c>
      <c r="G428" t="inlineStr">
        <is>
          <t>FLEN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45230</v>
      </c>
      <c r="E429" s="1" t="n">
        <v>46253</v>
      </c>
      <c r="F429" t="inlineStr">
        <is>
          <t>SÖDERMANLANDS LÄN</t>
        </is>
      </c>
      <c r="G429" t="inlineStr">
        <is>
          <t>FLEN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46401-2022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44846</v>
      </c>
      <c r="E430" s="1" t="n">
        <v>46253</v>
      </c>
      <c r="F430" t="inlineStr">
        <is>
          <t>SÖDERMANLANDS LÄN</t>
        </is>
      </c>
      <c r="G430" t="inlineStr">
        <is>
          <t>FLEN</t>
        </is>
      </c>
      <c r="H430" t="inlineStr">
        <is>
          <t>Kyrkan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39891-2022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46253</v>
      </c>
      <c r="F431" t="inlineStr">
        <is>
          <t>SÖDERMANLANDS LÄN</t>
        </is>
      </c>
      <c r="G431" t="inlineStr">
        <is>
          <t>FLEN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45057</v>
      </c>
      <c r="E432" s="1" t="n">
        <v>46253</v>
      </c>
      <c r="F432" t="inlineStr">
        <is>
          <t>SÖDERMANLANDS LÄN</t>
        </is>
      </c>
      <c r="G432" t="inlineStr">
        <is>
          <t>FLEN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46253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46229</v>
      </c>
      <c r="E434" s="1" t="n">
        <v>46253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46253</v>
      </c>
      <c r="F435" t="inlineStr">
        <is>
          <t>SÖDERMANLANDS LÄN</t>
        </is>
      </c>
      <c r="G435" t="inlineStr">
        <is>
          <t>FLEN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46253</v>
      </c>
      <c r="F436" t="inlineStr">
        <is>
          <t>SÖDERMANLANDS LÄN</t>
        </is>
      </c>
      <c r="G436" t="inlineStr">
        <is>
          <t>FLEN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25823-2022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44733</v>
      </c>
      <c r="E437" s="1" t="n">
        <v>46253</v>
      </c>
      <c r="F437" t="inlineStr">
        <is>
          <t>SÖDERMANLANDS LÄN</t>
        </is>
      </c>
      <c r="G437" t="inlineStr">
        <is>
          <t>FLEN</t>
        </is>
      </c>
      <c r="I437" t="n">
        <v>8.699999999999999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26850-2026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46253</v>
      </c>
      <c r="F438" t="inlineStr">
        <is>
          <t>SÖDERMANLANDS LÄN</t>
        </is>
      </c>
      <c r="G438" t="inlineStr">
        <is>
          <t>FLEN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44907</v>
      </c>
      <c r="E439" s="1" t="n">
        <v>46253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46253</v>
      </c>
      <c r="F440" t="inlineStr">
        <is>
          <t>SÖDERMANLANDS LÄN</t>
        </is>
      </c>
      <c r="G440" t="inlineStr">
        <is>
          <t>FLEN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45315</v>
      </c>
      <c r="E441" s="1" t="n">
        <v>46253</v>
      </c>
      <c r="F441" t="inlineStr">
        <is>
          <t>SÖDERMANLANDS LÄN</t>
        </is>
      </c>
      <c r="G441" t="inlineStr">
        <is>
          <t>FLEN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46253</v>
      </c>
      <c r="F442" t="inlineStr">
        <is>
          <t>SÖDERMANLANDS LÄN</t>
        </is>
      </c>
      <c r="G442" t="inlineStr">
        <is>
          <t>FLEN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46253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46253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45378</v>
      </c>
      <c r="E445" s="1" t="n">
        <v>46253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46253</v>
      </c>
      <c r="F446" t="inlineStr">
        <is>
          <t>SÖDERMANLANDS LÄN</t>
        </is>
      </c>
      <c r="G446" t="inlineStr">
        <is>
          <t>FLEN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46253</v>
      </c>
      <c r="F447" t="inlineStr">
        <is>
          <t>SÖDERMANLANDS LÄN</t>
        </is>
      </c>
      <c r="G447" t="inlineStr">
        <is>
          <t>FLEN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45321</v>
      </c>
      <c r="E448" s="1" t="n">
        <v>46253</v>
      </c>
      <c r="F448" t="inlineStr">
        <is>
          <t>SÖDERMANLANDS LÄN</t>
        </is>
      </c>
      <c r="G448" t="inlineStr">
        <is>
          <t>FLEN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46253</v>
      </c>
      <c r="F449" t="inlineStr">
        <is>
          <t>SÖDERMANLANDS LÄN</t>
        </is>
      </c>
      <c r="G449" t="inlineStr">
        <is>
          <t>FLEN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45309</v>
      </c>
      <c r="E450" s="1" t="n">
        <v>46253</v>
      </c>
      <c r="F450" t="inlineStr">
        <is>
          <t>SÖDERMANLANDS LÄN</t>
        </is>
      </c>
      <c r="G450" t="inlineStr">
        <is>
          <t>FLEN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46253</v>
      </c>
      <c r="F451" t="inlineStr">
        <is>
          <t>SÖDERMANLANDS LÄN</t>
        </is>
      </c>
      <c r="G451" t="inlineStr">
        <is>
          <t>FLEN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44958</v>
      </c>
      <c r="E452" s="1" t="n">
        <v>46253</v>
      </c>
      <c r="F452" t="inlineStr">
        <is>
          <t>SÖDERMANLANDS LÄN</t>
        </is>
      </c>
      <c r="G452" t="inlineStr">
        <is>
          <t>FLEN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51925-2022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44868</v>
      </c>
      <c r="E453" s="1" t="n">
        <v>46253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46253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44624</v>
      </c>
      <c r="E455" s="1" t="n">
        <v>46253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10828-2022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46253</v>
      </c>
      <c r="F456" t="inlineStr">
        <is>
          <t>SÖDERMANLANDS LÄN</t>
        </is>
      </c>
      <c r="G456" t="inlineStr">
        <is>
          <t>FLEN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16908-2024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45411</v>
      </c>
      <c r="E457" s="1" t="n">
        <v>46253</v>
      </c>
      <c r="F457" t="inlineStr">
        <is>
          <t>SÖDERMANLANDS LÄN</t>
        </is>
      </c>
      <c r="G457" t="inlineStr">
        <is>
          <t>FLEN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46253</v>
      </c>
      <c r="F458" t="inlineStr">
        <is>
          <t>SÖDERMANLANDS LÄN</t>
        </is>
      </c>
      <c r="G458" t="inlineStr">
        <is>
          <t>FLEN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46253</v>
      </c>
      <c r="F459" t="inlineStr">
        <is>
          <t>SÖDERMANLANDS LÄN</t>
        </is>
      </c>
      <c r="G459" t="inlineStr">
        <is>
          <t>FLEN</t>
        </is>
      </c>
      <c r="H459" t="inlineStr">
        <is>
          <t>Kommuner</t>
        </is>
      </c>
      <c r="I459" t="n">
        <v>11.2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44896</v>
      </c>
      <c r="E460" s="1" t="n">
        <v>46253</v>
      </c>
      <c r="F460" t="inlineStr">
        <is>
          <t>SÖDERMANLANDS LÄN</t>
        </is>
      </c>
      <c r="G460" t="inlineStr">
        <is>
          <t>FLEN</t>
        </is>
      </c>
      <c r="H460" t="inlineStr">
        <is>
          <t>Övriga statliga verk och myndigheter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45244</v>
      </c>
      <c r="E461" s="1" t="n">
        <v>46253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46253</v>
      </c>
      <c r="F462" t="inlineStr">
        <is>
          <t>SÖDERMANLANDS LÄN</t>
        </is>
      </c>
      <c r="G462" t="inlineStr">
        <is>
          <t>FLEN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45531</v>
      </c>
      <c r="E463" s="1" t="n">
        <v>46253</v>
      </c>
      <c r="F463" t="inlineStr">
        <is>
          <t>SÖDERMANLANDS LÄN</t>
        </is>
      </c>
      <c r="G463" t="inlineStr">
        <is>
          <t>FLEN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48826-2022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44859</v>
      </c>
      <c r="E464" s="1" t="n">
        <v>46253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31028-2024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45501</v>
      </c>
      <c r="E465" s="1" t="n">
        <v>46253</v>
      </c>
      <c r="F465" t="inlineStr">
        <is>
          <t>SÖDERMANLANDS LÄN</t>
        </is>
      </c>
      <c r="G465" t="inlineStr">
        <is>
          <t>FLEN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46253</v>
      </c>
      <c r="F466" t="inlineStr">
        <is>
          <t>SÖDERMANLANDS LÄN</t>
        </is>
      </c>
      <c r="G466" t="inlineStr">
        <is>
          <t>FLEN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44566</v>
      </c>
      <c r="E467" s="1" t="n">
        <v>46253</v>
      </c>
      <c r="F467" t="inlineStr">
        <is>
          <t>SÖDERMANLANDS LÄN</t>
        </is>
      </c>
      <c r="G467" t="inlineStr">
        <is>
          <t>FLEN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44960</v>
      </c>
      <c r="E468" s="1" t="n">
        <v>46253</v>
      </c>
      <c r="F468" t="inlineStr">
        <is>
          <t>SÖDERMANLANDS LÄN</t>
        </is>
      </c>
      <c r="G468" t="inlineStr">
        <is>
          <t>FLEN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33717-2026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46251</v>
      </c>
      <c r="E469" s="1" t="n">
        <v>46253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33936-2026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46250</v>
      </c>
      <c r="E470" s="1" t="n">
        <v>46253</v>
      </c>
      <c r="F470" t="inlineStr">
        <is>
          <t>SÖDERMANLANDS LÄN</t>
        </is>
      </c>
      <c r="G470" t="inlineStr">
        <is>
          <t>FLEN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46249</v>
      </c>
      <c r="E471" s="1" t="n">
        <v>46253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48749-2022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44855</v>
      </c>
      <c r="E472" s="1" t="n">
        <v>46253</v>
      </c>
      <c r="F472" t="inlineStr">
        <is>
          <t>SÖDERMANLANDS LÄN</t>
        </is>
      </c>
      <c r="G472" t="inlineStr">
        <is>
          <t>FLEN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48774-2022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44855</v>
      </c>
      <c r="E473" s="1" t="n">
        <v>46253</v>
      </c>
      <c r="F473" t="inlineStr">
        <is>
          <t>SÖDERMANLANDS LÄN</t>
        </is>
      </c>
      <c r="G473" t="inlineStr">
        <is>
          <t>FLEN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46253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46251</v>
      </c>
      <c r="E475" s="1" t="n">
        <v>46253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46253</v>
      </c>
      <c r="F476" t="inlineStr">
        <is>
          <t>SÖDERMANLANDS LÄN</t>
        </is>
      </c>
      <c r="G476" t="inlineStr">
        <is>
          <t>FLEN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48497-2021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44449</v>
      </c>
      <c r="E477" s="1" t="n">
        <v>46253</v>
      </c>
      <c r="F477" t="inlineStr">
        <is>
          <t>SÖDERMANLANDS LÄN</t>
        </is>
      </c>
      <c r="G477" t="inlineStr">
        <is>
          <t>FLEN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45072</v>
      </c>
      <c r="E478" s="1" t="n">
        <v>46253</v>
      </c>
      <c r="F478" t="inlineStr">
        <is>
          <t>SÖDERMANLANDS LÄN</t>
        </is>
      </c>
      <c r="G478" t="inlineStr">
        <is>
          <t>FLEN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45482</v>
      </c>
      <c r="E479" s="1" t="n">
        <v>46253</v>
      </c>
      <c r="F479" t="inlineStr">
        <is>
          <t>SÖDERMANLANDS LÄN</t>
        </is>
      </c>
      <c r="G479" t="inlineStr">
        <is>
          <t>FLEN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45213</v>
      </c>
      <c r="E480" s="1" t="n">
        <v>46253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45510</v>
      </c>
      <c r="E481" s="1" t="n">
        <v>46253</v>
      </c>
      <c r="F481" t="inlineStr">
        <is>
          <t>SÖDERMANLANDS LÄN</t>
        </is>
      </c>
      <c r="G481" t="inlineStr">
        <is>
          <t>FLEN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44914</v>
      </c>
      <c r="E482" s="1" t="n">
        <v>46253</v>
      </c>
      <c r="F482" t="inlineStr">
        <is>
          <t>SÖDERMANLANDS LÄN</t>
        </is>
      </c>
      <c r="G482" t="inlineStr">
        <is>
          <t>FLEN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33103-2022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44785</v>
      </c>
      <c r="E483" s="1" t="n">
        <v>46253</v>
      </c>
      <c r="F483" t="inlineStr">
        <is>
          <t>SÖDERMANLANDS LÄN</t>
        </is>
      </c>
      <c r="G483" t="inlineStr">
        <is>
          <t>FLEN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46253</v>
      </c>
      <c r="F484" t="inlineStr">
        <is>
          <t>SÖDERMANLANDS LÄN</t>
        </is>
      </c>
      <c r="G484" t="inlineStr">
        <is>
          <t>FLEN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52541-2021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44463</v>
      </c>
      <c r="E485" s="1" t="n">
        <v>46253</v>
      </c>
      <c r="F485" t="inlineStr">
        <is>
          <t>SÖDERMANLANDS LÄN</t>
        </is>
      </c>
      <c r="G485" t="inlineStr">
        <is>
          <t>FLEN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44979</v>
      </c>
      <c r="E486" s="1" t="n">
        <v>46253</v>
      </c>
      <c r="F486" t="inlineStr">
        <is>
          <t>SÖDERMANLANDS LÄN</t>
        </is>
      </c>
      <c r="G486" t="inlineStr">
        <is>
          <t>FLEN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46253</v>
      </c>
      <c r="F487" t="inlineStr">
        <is>
          <t>SÖDERMANLANDS LÄN</t>
        </is>
      </c>
      <c r="G487" t="inlineStr">
        <is>
          <t>FLEN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26663-2022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44739</v>
      </c>
      <c r="E488" s="1" t="n">
        <v>46253</v>
      </c>
      <c r="F488" t="inlineStr">
        <is>
          <t>SÖDERMANLANDS LÄN</t>
        </is>
      </c>
      <c r="G488" t="inlineStr">
        <is>
          <t>FLEN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44769</v>
      </c>
      <c r="E489" s="1" t="n">
        <v>46253</v>
      </c>
      <c r="F489" t="inlineStr">
        <is>
          <t>SÖDERMANLANDS LÄN</t>
        </is>
      </c>
      <c r="G489" t="inlineStr">
        <is>
          <t>FLEN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17654-2023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45036</v>
      </c>
      <c r="E490" s="1" t="n">
        <v>46253</v>
      </c>
      <c r="F490" t="inlineStr">
        <is>
          <t>SÖDERMANLANDS LÄN</t>
        </is>
      </c>
      <c r="G490" t="inlineStr">
        <is>
          <t>FLEN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51872-2022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44872</v>
      </c>
      <c r="E491" s="1" t="n">
        <v>46253</v>
      </c>
      <c r="F491" t="inlineStr">
        <is>
          <t>SÖDERMANLANDS LÄN</t>
        </is>
      </c>
      <c r="G491" t="inlineStr">
        <is>
          <t>FLEN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56869-2023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45239</v>
      </c>
      <c r="E492" s="1" t="n">
        <v>46253</v>
      </c>
      <c r="F492" t="inlineStr">
        <is>
          <t>SÖDERMANLANDS LÄN</t>
        </is>
      </c>
      <c r="G492" t="inlineStr">
        <is>
          <t>FLEN</t>
        </is>
      </c>
      <c r="H492" t="inlineStr">
        <is>
          <t>Övriga statliga verk och myndigheter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46253</v>
      </c>
      <c r="F493" t="inlineStr">
        <is>
          <t>SÖDERMANLANDS LÄN</t>
        </is>
      </c>
      <c r="G493" t="inlineStr">
        <is>
          <t>FLEN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20791-2022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44701</v>
      </c>
      <c r="E494" s="1" t="n">
        <v>46253</v>
      </c>
      <c r="F494" t="inlineStr">
        <is>
          <t>SÖDERMANLANDS LÄN</t>
        </is>
      </c>
      <c r="G494" t="inlineStr">
        <is>
          <t>FLEN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62579-2023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45270</v>
      </c>
      <c r="E495" s="1" t="n">
        <v>46253</v>
      </c>
      <c r="F495" t="inlineStr">
        <is>
          <t>SÖDERMANLANDS LÄN</t>
        </is>
      </c>
      <c r="G495" t="inlineStr">
        <is>
          <t>FLEN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45161</v>
      </c>
      <c r="E496" s="1" t="n">
        <v>46253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45518</v>
      </c>
      <c r="E497" s="1" t="n">
        <v>46253</v>
      </c>
      <c r="F497" t="inlineStr">
        <is>
          <t>SÖDERMANLANDS LÄN</t>
        </is>
      </c>
      <c r="G497" t="inlineStr">
        <is>
          <t>FLEN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44561-2024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46253</v>
      </c>
      <c r="F498" t="inlineStr">
        <is>
          <t>SÖDERMANLANDS LÄN</t>
        </is>
      </c>
      <c r="G498" t="inlineStr">
        <is>
          <t>FLEN</t>
        </is>
      </c>
      <c r="H498" t="inlineStr">
        <is>
          <t>Övriga statliga verk och myndigheter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45365</v>
      </c>
      <c r="E499" s="1" t="n">
        <v>46253</v>
      </c>
      <c r="F499" t="inlineStr">
        <is>
          <t>SÖDERMANLANDS LÄN</t>
        </is>
      </c>
      <c r="G499" t="inlineStr">
        <is>
          <t>FLEN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45299</v>
      </c>
      <c r="E500" s="1" t="n">
        <v>46253</v>
      </c>
      <c r="F500" t="inlineStr">
        <is>
          <t>SÖDERMANLANDS LÄN</t>
        </is>
      </c>
      <c r="G500" t="inlineStr">
        <is>
          <t>FLEN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45299</v>
      </c>
      <c r="E501" s="1" t="n">
        <v>46253</v>
      </c>
      <c r="F501" t="inlineStr">
        <is>
          <t>SÖDERMANLANDS LÄN</t>
        </is>
      </c>
      <c r="G501" t="inlineStr">
        <is>
          <t>FLEN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45022</v>
      </c>
      <c r="E502" s="1" t="n">
        <v>46253</v>
      </c>
      <c r="F502" t="inlineStr">
        <is>
          <t>SÖDERMANLANDS LÄN</t>
        </is>
      </c>
      <c r="G502" t="inlineStr">
        <is>
          <t>FLEN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46253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46253</v>
      </c>
      <c r="F504" t="inlineStr">
        <is>
          <t>SÖDERMANLANDS LÄN</t>
        </is>
      </c>
      <c r="G504" t="inlineStr">
        <is>
          <t>FLEN</t>
        </is>
      </c>
      <c r="H504" t="inlineStr">
        <is>
          <t>Kyrkan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40408-2024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45555</v>
      </c>
      <c r="E505" s="1" t="n">
        <v>46253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45331</v>
      </c>
      <c r="E506" s="1" t="n">
        <v>46253</v>
      </c>
      <c r="F506" t="inlineStr">
        <is>
          <t>SÖDERMANLANDS LÄN</t>
        </is>
      </c>
      <c r="G506" t="inlineStr">
        <is>
          <t>FLEN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45140</v>
      </c>
      <c r="E507" s="1" t="n">
        <v>46253</v>
      </c>
      <c r="F507" t="inlineStr">
        <is>
          <t>SÖDERMANLANDS LÄN</t>
        </is>
      </c>
      <c r="G507" t="inlineStr">
        <is>
          <t>FLEN</t>
        </is>
      </c>
      <c r="H507" t="inlineStr">
        <is>
          <t>Kyrkan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44931</v>
      </c>
      <c r="E508" s="1" t="n">
        <v>46253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44580</v>
      </c>
      <c r="E509" s="1" t="n">
        <v>46253</v>
      </c>
      <c r="F509" t="inlineStr">
        <is>
          <t>SÖDERMANLANDS LÄN</t>
        </is>
      </c>
      <c r="G509" t="inlineStr">
        <is>
          <t>FLEN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46253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45066</v>
      </c>
      <c r="E511" s="1" t="n">
        <v>46253</v>
      </c>
      <c r="F511" t="inlineStr">
        <is>
          <t>SÖDERMANLANDS LÄN</t>
        </is>
      </c>
      <c r="G511" t="inlineStr">
        <is>
          <t>FLEN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46253</v>
      </c>
      <c r="F512" t="inlineStr">
        <is>
          <t>SÖDERMANLANDS LÄN</t>
        </is>
      </c>
      <c r="G512" t="inlineStr">
        <is>
          <t>FLEN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45667</v>
      </c>
      <c r="E513" s="1" t="n">
        <v>46253</v>
      </c>
      <c r="F513" t="inlineStr">
        <is>
          <t>SÖDERMANLANDS LÄN</t>
        </is>
      </c>
      <c r="G513" t="inlineStr">
        <is>
          <t>FLEN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45230</v>
      </c>
      <c r="E514" s="1" t="n">
        <v>46253</v>
      </c>
      <c r="F514" t="inlineStr">
        <is>
          <t>SÖDERMANLANDS LÄN</t>
        </is>
      </c>
      <c r="G514" t="inlineStr">
        <is>
          <t>FLEN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46253</v>
      </c>
      <c r="F515" t="inlineStr">
        <is>
          <t>SÖDERMANLANDS LÄN</t>
        </is>
      </c>
      <c r="G515" t="inlineStr">
        <is>
          <t>FLEN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14599-2023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45013</v>
      </c>
      <c r="E516" s="1" t="n">
        <v>46253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42731-2024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45566</v>
      </c>
      <c r="E517" s="1" t="n">
        <v>46253</v>
      </c>
      <c r="F517" t="inlineStr">
        <is>
          <t>SÖDERMANLANDS LÄN</t>
        </is>
      </c>
      <c r="G517" t="inlineStr">
        <is>
          <t>FLEN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57044-2023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46253</v>
      </c>
      <c r="F518" t="inlineStr">
        <is>
          <t>SÖDERMANLANDS LÄN</t>
        </is>
      </c>
      <c r="G518" t="inlineStr">
        <is>
          <t>FLEN</t>
        </is>
      </c>
      <c r="H518" t="inlineStr">
        <is>
          <t>Övriga statliga verk och myndigheter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13233-2024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45386</v>
      </c>
      <c r="E519" s="1" t="n">
        <v>46253</v>
      </c>
      <c r="F519" t="inlineStr">
        <is>
          <t>SÖDERMANLANDS LÄN</t>
        </is>
      </c>
      <c r="G519" t="inlineStr">
        <is>
          <t>FLEN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46253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45350</v>
      </c>
      <c r="E521" s="1" t="n">
        <v>46253</v>
      </c>
      <c r="F521" t="inlineStr">
        <is>
          <t>SÖDERMANLANDS LÄN</t>
        </is>
      </c>
      <c r="G521" t="inlineStr">
        <is>
          <t>FLEN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45252</v>
      </c>
      <c r="E522" s="1" t="n">
        <v>46253</v>
      </c>
      <c r="F522" t="inlineStr">
        <is>
          <t>SÖDERMANLANDS LÄN</t>
        </is>
      </c>
      <c r="G522" t="inlineStr">
        <is>
          <t>FLEN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13909-2023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45008</v>
      </c>
      <c r="E523" s="1" t="n">
        <v>46253</v>
      </c>
      <c r="F523" t="inlineStr">
        <is>
          <t>SÖDERMANLANDS LÄN</t>
        </is>
      </c>
      <c r="G523" t="inlineStr">
        <is>
          <t>FLEN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44852</v>
      </c>
      <c r="E524" s="1" t="n">
        <v>46253</v>
      </c>
      <c r="F524" t="inlineStr">
        <is>
          <t>SÖDERMANLANDS LÄN</t>
        </is>
      </c>
      <c r="G524" t="inlineStr">
        <is>
          <t>FLEN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54736-2022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44883</v>
      </c>
      <c r="E525" s="1" t="n">
        <v>46253</v>
      </c>
      <c r="F525" t="inlineStr">
        <is>
          <t>SÖDERMANLANDS LÄN</t>
        </is>
      </c>
      <c r="G525" t="inlineStr">
        <is>
          <t>FLEN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45414</v>
      </c>
      <c r="E526" s="1" t="n">
        <v>46253</v>
      </c>
      <c r="F526" t="inlineStr">
        <is>
          <t>SÖDERMANLANDS LÄN</t>
        </is>
      </c>
      <c r="G526" t="inlineStr">
        <is>
          <t>FLEN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46253</v>
      </c>
      <c r="F527" t="inlineStr">
        <is>
          <t>SÖDERMANLANDS LÄN</t>
        </is>
      </c>
      <c r="G527" t="inlineStr">
        <is>
          <t>FLEN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46253</v>
      </c>
      <c r="F528" t="inlineStr">
        <is>
          <t>SÖDERMANLANDS LÄN</t>
        </is>
      </c>
      <c r="G528" t="inlineStr">
        <is>
          <t>FLEN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22998-2025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46253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40412-2024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45555</v>
      </c>
      <c r="E530" s="1" t="n">
        <v>46253</v>
      </c>
      <c r="F530" t="inlineStr">
        <is>
          <t>SÖDERMANLANDS LÄN</t>
        </is>
      </c>
      <c r="G530" t="inlineStr">
        <is>
          <t>FLEN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45610</v>
      </c>
      <c r="E531" s="1" t="n">
        <v>46253</v>
      </c>
      <c r="F531" t="inlineStr">
        <is>
          <t>SÖDERMANLANDS LÄN</t>
        </is>
      </c>
      <c r="G531" t="inlineStr">
        <is>
          <t>FLEN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45798</v>
      </c>
      <c r="E532" s="1" t="n">
        <v>46253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45797</v>
      </c>
      <c r="E533" s="1" t="n">
        <v>46253</v>
      </c>
      <c r="F533" t="inlineStr">
        <is>
          <t>SÖDERMANLANDS LÄN</t>
        </is>
      </c>
      <c r="G533" t="inlineStr">
        <is>
          <t>FLEN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46253</v>
      </c>
      <c r="F534" t="inlineStr">
        <is>
          <t>SÖDERMANLANDS LÄN</t>
        </is>
      </c>
      <c r="G534" t="inlineStr">
        <is>
          <t>FLEN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46253</v>
      </c>
      <c r="F535" t="inlineStr">
        <is>
          <t>SÖDERMANLANDS LÄN</t>
        </is>
      </c>
      <c r="G535" t="inlineStr">
        <is>
          <t>FLEN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46253</v>
      </c>
      <c r="F536" t="inlineStr">
        <is>
          <t>SÖDERMANLANDS LÄN</t>
        </is>
      </c>
      <c r="G536" t="inlineStr">
        <is>
          <t>FLEN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45702</v>
      </c>
      <c r="E537" s="1" t="n">
        <v>46253</v>
      </c>
      <c r="F537" t="inlineStr">
        <is>
          <t>SÖDERMANLANDS LÄN</t>
        </is>
      </c>
      <c r="G537" t="inlineStr">
        <is>
          <t>FLEN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482-2022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44588</v>
      </c>
      <c r="E538" s="1" t="n">
        <v>46253</v>
      </c>
      <c r="F538" t="inlineStr">
        <is>
          <t>SÖDERMANLANDS LÄN</t>
        </is>
      </c>
      <c r="G538" t="inlineStr">
        <is>
          <t>FLEN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2321-2022</t>
        </is>
      </c>
      <c r="B539" t="inlineStr">
        <is>
          <t>samrådsanmälan</t>
        </is>
      </c>
      <c r="C539" t="inlineStr">
        <is>
          <t>Åtgärd i nyckelbiotop</t>
        </is>
      </c>
      <c r="D539" s="1" t="n">
        <v>44685</v>
      </c>
      <c r="E539" s="1" t="n">
        <v>46253</v>
      </c>
      <c r="F539" t="inlineStr">
        <is>
          <t>SÖDERMANLANDS LÄN</t>
        </is>
      </c>
      <c r="G539" t="inlineStr">
        <is>
          <t>FLEN</t>
        </is>
      </c>
      <c r="H539" t="inlineStr">
        <is>
          <t>Kyrkan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458-2023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44964</v>
      </c>
      <c r="E540" s="1" t="n">
        <v>46253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292-2025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45686</v>
      </c>
      <c r="E541" s="1" t="n">
        <v>46253</v>
      </c>
      <c r="F541" t="inlineStr">
        <is>
          <t>SÖDERMANLANDS LÄN</t>
        </is>
      </c>
      <c r="G541" t="inlineStr">
        <is>
          <t>FLEN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3723-2022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44742</v>
      </c>
      <c r="E542" s="1" t="n">
        <v>46253</v>
      </c>
      <c r="F542" t="inlineStr">
        <is>
          <t>SÖDERMANLANDS LÄN</t>
        </is>
      </c>
      <c r="G542" t="inlineStr">
        <is>
          <t>FLEN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1976-2024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45446</v>
      </c>
      <c r="E543" s="1" t="n">
        <v>46253</v>
      </c>
      <c r="F543" t="inlineStr">
        <is>
          <t>SÖDERMANLANDS LÄN</t>
        </is>
      </c>
      <c r="G543" t="inlineStr">
        <is>
          <t>FLEN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1287-2024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45403</v>
      </c>
      <c r="E544" s="1" t="n">
        <v>46253</v>
      </c>
      <c r="F544" t="inlineStr">
        <is>
          <t>SÖDERMANLANDS LÄN</t>
        </is>
      </c>
      <c r="G544" t="inlineStr">
        <is>
          <t>FLEN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1528-2026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46164</v>
      </c>
      <c r="E545" s="1" t="n">
        <v>46253</v>
      </c>
      <c r="F545" t="inlineStr">
        <is>
          <t>SÖDERMANLANDS LÄN</t>
        </is>
      </c>
      <c r="G545" t="inlineStr">
        <is>
          <t>FLEN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2026-08-19T01:44:44Z</dcterms:created>
  <dcterms:modified xmlns:dcterms="http://purl.org/dc/terms/" xmlns:xsi="http://www.w3.org/2001/XMLSchema-instance" xsi:type="dcterms:W3CDTF">2026-08-19T01:44:44Z</dcterms:modified>
</cp:coreProperties>
</file>