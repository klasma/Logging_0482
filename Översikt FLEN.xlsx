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46281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46281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46281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46281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46281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46281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46281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46281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A 13230-2023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45002</v>
      </c>
      <c r="E23" s="1" t="n">
        <v>46281</v>
      </c>
      <c r="F23" t="inlineStr">
        <is>
          <t>SÖDERMANLANDS LÄN</t>
        </is>
      </c>
      <c r="G23" t="inlineStr">
        <is>
          <t>FLEN</t>
        </is>
      </c>
      <c r="H23" t="inlineStr">
        <is>
          <t>Kommuner</t>
        </is>
      </c>
      <c r="I23" t="n">
        <v>7.8</v>
      </c>
      <c r="J23" t="n">
        <v>1</v>
      </c>
      <c r="K23" t="n">
        <v>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7</v>
      </c>
      <c r="U23" t="n">
        <v>4</v>
      </c>
      <c r="V23" s="2" t="inlineStr">
        <is>
          <t>Källpraktmossa
Stor aspticka
Thomsons trägnagare
Vågbandad barkbock
Blåsippa
Glansfläck</t>
        </is>
      </c>
      <c r="W23">
        <f>HYPERLINK("https://klasma.github.io/Logging_0482/artfynd/A 13230-2023 artfynd.xlsx", "A 13230-2023")</f>
        <v/>
      </c>
      <c r="X23">
        <f>HYPERLINK("https://klasma.github.io/Logging_0482/kartor/A 13230-2023 karta.png", "A 13230-2023")</f>
        <v/>
      </c>
      <c r="Y23">
        <f>HYPERLINK("https://klasma.github.io/Logging_0482/kartor_geotiff/A 13230-2023 georefererad karta.tif", "A 13230-2023")</f>
        <v/>
      </c>
      <c r="AA23">
        <f>HYPERLINK("https://klasma.github.io/Logging_0482/klagomål/A 13230-2023 FSC-klagomål.docx", "A 13230-2023")</f>
        <v/>
      </c>
      <c r="AB23">
        <f>HYPERLINK("https://klasma.github.io/Logging_0482/klagomålsmail/A 13230-2023 FSC-klagomål mail.docx", "A 13230-2023")</f>
        <v/>
      </c>
      <c r="AC23">
        <f>HYPERLINK("https://klasma.github.io/Logging_0482/tillsyn/A 13230-2023 tillsynsbegäran.docx", "A 13230-2023")</f>
        <v/>
      </c>
      <c r="AD23">
        <f>HYPERLINK("https://klasma.github.io/Logging_0482/tillsynsmail/A 13230-2023 tillsynsbegäran mail.docx", "A 13230-2023")</f>
        <v/>
      </c>
    </row>
    <row r="24" ht="15" customHeight="1">
      <c r="A24" t="inlineStr">
        <is>
          <t>A 2661-2026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46281</v>
      </c>
      <c r="F24" t="inlineStr">
        <is>
          <t>SÖDERMANLANDS LÄN</t>
        </is>
      </c>
      <c r="G24" t="inlineStr">
        <is>
          <t>FLEN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Ekbräken
Hultbräken
Liljekonvalj
Majbräken
Grönvit nattviol</t>
        </is>
      </c>
      <c r="W24">
        <f>HYPERLINK("https://klasma.github.io/Logging_0482/artfynd/A 2661-2026 artfynd.xlsx", "A 2661-2026")</f>
        <v/>
      </c>
      <c r="X24">
        <f>HYPERLINK("https://klasma.github.io/Logging_0482/kartor/A 2661-2026 karta.png", "A 2661-2026")</f>
        <v/>
      </c>
      <c r="Y24">
        <f>HYPERLINK("https://klasma.github.io/Logging_0482/kartor_geotiff/A 2661-2026 georefererad karta.tif", "A 2661-2026")</f>
        <v/>
      </c>
      <c r="AA24">
        <f>HYPERLINK("https://klasma.github.io/Logging_0482/klagomål/A 2661-2026 FSC-klagomål.docx", "A 2661-2026")</f>
        <v/>
      </c>
      <c r="AB24">
        <f>HYPERLINK("https://klasma.github.io/Logging_0482/klagomålsmail/A 2661-2026 FSC-klagomål mail.docx", "A 2661-2026")</f>
        <v/>
      </c>
      <c r="AC24">
        <f>HYPERLINK("https://klasma.github.io/Logging_0482/tillsyn/A 2661-2026 tillsynsbegäran.docx", "A 2661-2026")</f>
        <v/>
      </c>
      <c r="AD24">
        <f>HYPERLINK("https://klasma.github.io/Logging_0482/tillsynsmail/A 2661-2026 tillsynsbegäran mail.docx", "A 2661-2026")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46281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46281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46281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13755-2026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46281</v>
      </c>
      <c r="F29" t="inlineStr">
        <is>
          <t>SÖDERMANLANDS LÄN</t>
        </is>
      </c>
      <c r="G29" t="inlineStr">
        <is>
          <t>FLEN</t>
        </is>
      </c>
      <c r="I29" t="n">
        <v>2.9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Åkerrättika
Jungfrulin
Svart trolldruva
Blåsippa
Grönvit nattviol</t>
        </is>
      </c>
      <c r="W29">
        <f>HYPERLINK("https://klasma.github.io/Logging_0482/artfynd/A 13755-2026 artfynd.xlsx", "A 13755-2026")</f>
        <v/>
      </c>
      <c r="X29">
        <f>HYPERLINK("https://klasma.github.io/Logging_0482/kartor/A 13755-2026 karta.png", "A 13755-2026")</f>
        <v/>
      </c>
      <c r="Y29">
        <f>HYPERLINK("https://klasma.github.io/Logging_0482/kartor_geotiff/A 13755-2026 georefererad karta.tif", "A 13755-2026")</f>
        <v/>
      </c>
      <c r="AA29">
        <f>HYPERLINK("https://klasma.github.io/Logging_0482/klagomål/A 13755-2026 FSC-klagomål.docx", "A 13755-2026")</f>
        <v/>
      </c>
      <c r="AB29">
        <f>HYPERLINK("https://klasma.github.io/Logging_0482/klagomålsmail/A 13755-2026 FSC-klagomål mail.docx", "A 13755-2026")</f>
        <v/>
      </c>
      <c r="AC29">
        <f>HYPERLINK("https://klasma.github.io/Logging_0482/tillsyn/A 13755-2026 tillsynsbegäran.docx", "A 13755-2026")</f>
        <v/>
      </c>
      <c r="AD29">
        <f>HYPERLINK("https://klasma.github.io/Logging_0482/tillsynsmail/A 13755-2026 tillsynsbegäran mail.docx", "A 13755-2026")</f>
        <v/>
      </c>
    </row>
    <row r="30" ht="15" customHeight="1">
      <c r="A30" t="inlineStr">
        <is>
          <t>A 17508-2026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46119</v>
      </c>
      <c r="E30" s="1" t="n">
        <v>46281</v>
      </c>
      <c r="F30" t="inlineStr">
        <is>
          <t>SÖDERMANLANDS LÄN</t>
        </is>
      </c>
      <c r="G30" t="inlineStr">
        <is>
          <t>FLEN</t>
        </is>
      </c>
      <c r="I30" t="n">
        <v>2.2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Gulvaxing
Ekbräken
Spillkråka
Sälg
Gröngöling</t>
        </is>
      </c>
      <c r="W30">
        <f>HYPERLINK("https://klasma.github.io/Logging_0482/artfynd/A 17508-2026 artfynd.xlsx", "A 17508-2026")</f>
        <v/>
      </c>
      <c r="X30">
        <f>HYPERLINK("https://klasma.github.io/Logging_0482/kartor/A 17508-2026 karta.png", "A 17508-2026")</f>
        <v/>
      </c>
      <c r="Y30">
        <f>HYPERLINK("https://klasma.github.io/Logging_0482/kartor_geotiff/A 17508-2026 georefererad karta.tif", "A 17508-2026")</f>
        <v/>
      </c>
      <c r="AA30">
        <f>HYPERLINK("https://klasma.github.io/Logging_0482/klagomål/A 17508-2026 FSC-klagomål.docx", "A 17508-2026")</f>
        <v/>
      </c>
      <c r="AB30">
        <f>HYPERLINK("https://klasma.github.io/Logging_0482/klagomålsmail/A 17508-2026 FSC-klagomål mail.docx", "A 17508-2026")</f>
        <v/>
      </c>
      <c r="AC30">
        <f>HYPERLINK("https://klasma.github.io/Logging_0482/tillsyn/A 17508-2026 tillsynsbegäran.docx", "A 17508-2026")</f>
        <v/>
      </c>
      <c r="AD30">
        <f>HYPERLINK("https://klasma.github.io/Logging_0482/tillsynsmail/A 17508-2026 tillsynsbegäran mail.docx", "A 17508-2026")</f>
        <v/>
      </c>
      <c r="AE30">
        <f>HYPERLINK("https://klasma.github.io/Logging_0482/fåglar/A 17508-2026 prioriterade fågelarter.docx", "A 17508-2026")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46281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46281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46281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A 50343-2024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46281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Svartöra
Tallticka
Blåsippa
Liljekonvalj
Vildkaprifol</t>
        </is>
      </c>
      <c r="W34">
        <f>HYPERLINK("https://klasma.github.io/Logging_0482/artfynd/A 50343-2024 artfynd.xlsx", "A 50343-2024")</f>
        <v/>
      </c>
      <c r="X34">
        <f>HYPERLINK("https://klasma.github.io/Logging_0482/kartor/A 50343-2024 karta.png", "A 50343-2024")</f>
        <v/>
      </c>
      <c r="Y34">
        <f>HYPERLINK("https://klasma.github.io/Logging_0482/kartor_geotiff/A 50343-2024 georefererad karta.tif", "A 50343-2024")</f>
        <v/>
      </c>
      <c r="AA34">
        <f>HYPERLINK("https://klasma.github.io/Logging_0482/klagomål/A 50343-2024 FSC-klagomål.docx", "A 50343-2024")</f>
        <v/>
      </c>
      <c r="AB34">
        <f>HYPERLINK("https://klasma.github.io/Logging_0482/klagomålsmail/A 50343-2024 FSC-klagomål mail.docx", "A 50343-2024")</f>
        <v/>
      </c>
      <c r="AC34">
        <f>HYPERLINK("https://klasma.github.io/Logging_0482/tillsyn/A 50343-2024 tillsynsbegäran.docx", "A 50343-2024")</f>
        <v/>
      </c>
      <c r="AD34">
        <f>HYPERLINK("https://klasma.github.io/Logging_0482/tillsynsmail/A 50343-2024 tillsynsbegäran mail.docx", "A 50343-2024")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46281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46281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46281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46281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46281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46281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46281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46281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46281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46281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46281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38465-2025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46281</v>
      </c>
      <c r="F46" t="inlineStr">
        <is>
          <t>SÖDERMANLANDS LÄN</t>
        </is>
      </c>
      <c r="G46" t="inlineStr">
        <is>
          <t>FLEN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Skogsalm
Gullklöver
Nattviol</t>
        </is>
      </c>
      <c r="W46">
        <f>HYPERLINK("https://klasma.github.io/Logging_0482/artfynd/A 38465-2025 artfynd.xlsx", "A 38465-2025")</f>
        <v/>
      </c>
      <c r="X46">
        <f>HYPERLINK("https://klasma.github.io/Logging_0482/kartor/A 38465-2025 karta.png", "A 38465-2025")</f>
        <v/>
      </c>
      <c r="Y46">
        <f>HYPERLINK("https://klasma.github.io/Logging_0482/kartor_geotiff/A 38465-2025 georefererad karta.tif", "A 38465-2025")</f>
        <v/>
      </c>
      <c r="AA46">
        <f>HYPERLINK("https://klasma.github.io/Logging_0482/klagomål/A 38465-2025 FSC-klagomål.docx", "A 38465-2025")</f>
        <v/>
      </c>
      <c r="AB46">
        <f>HYPERLINK("https://klasma.github.io/Logging_0482/klagomålsmail/A 38465-2025 FSC-klagomål mail.docx", "A 38465-2025")</f>
        <v/>
      </c>
      <c r="AC46">
        <f>HYPERLINK("https://klasma.github.io/Logging_0482/tillsyn/A 38465-2025 tillsynsbegäran.docx", "A 38465-2025")</f>
        <v/>
      </c>
      <c r="AD46">
        <f>HYPERLINK("https://klasma.github.io/Logging_0482/tillsynsmail/A 38465-2025 tillsynsbegäran mail.docx", "A 38465-2025")</f>
        <v/>
      </c>
    </row>
    <row r="47" ht="15" customHeight="1">
      <c r="A47" t="inlineStr">
        <is>
          <t>A 38466-2025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46281</v>
      </c>
      <c r="F47" t="inlineStr">
        <is>
          <t>SÖDERMANLANDS LÄN</t>
        </is>
      </c>
      <c r="G47" t="inlineStr">
        <is>
          <t>FLEN</t>
        </is>
      </c>
      <c r="I47" t="n">
        <v>5.4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Svinrot
Blåsippa
Gullviva</t>
        </is>
      </c>
      <c r="W47">
        <f>HYPERLINK("https://klasma.github.io/Logging_0482/artfynd/A 38466-2025 artfynd.xlsx", "A 38466-2025")</f>
        <v/>
      </c>
      <c r="X47">
        <f>HYPERLINK("https://klasma.github.io/Logging_0482/kartor/A 38466-2025 karta.png", "A 38466-2025")</f>
        <v/>
      </c>
      <c r="Y47">
        <f>HYPERLINK("https://klasma.github.io/Logging_0482/kartor_geotiff/A 38466-2025 georefererad karta.tif", "A 38466-2025")</f>
        <v/>
      </c>
      <c r="AA47">
        <f>HYPERLINK("https://klasma.github.io/Logging_0482/klagomål/A 38466-2025 FSC-klagomål.docx", "A 38466-2025")</f>
        <v/>
      </c>
      <c r="AB47">
        <f>HYPERLINK("https://klasma.github.io/Logging_0482/klagomålsmail/A 38466-2025 FSC-klagomål mail.docx", "A 38466-2025")</f>
        <v/>
      </c>
      <c r="AC47">
        <f>HYPERLINK("https://klasma.github.io/Logging_0482/tillsyn/A 38466-2025 tillsynsbegäran.docx", "A 38466-2025")</f>
        <v/>
      </c>
      <c r="AD47">
        <f>HYPERLINK("https://klasma.github.io/Logging_0482/tillsynsmail/A 38466-2025 tillsynsbegäran mail.docx", "A 38466-2025")</f>
        <v/>
      </c>
    </row>
    <row r="48" ht="15" customHeight="1">
      <c r="A48" t="inlineStr">
        <is>
          <t>A 17512-2026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46119</v>
      </c>
      <c r="E48" s="1" t="n">
        <v>46281</v>
      </c>
      <c r="F48" t="inlineStr">
        <is>
          <t>SÖDERMANLANDS LÄN</t>
        </is>
      </c>
      <c r="G48" t="inlineStr">
        <is>
          <t>FLEN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Tallticka
Majbräken
Sälg</t>
        </is>
      </c>
      <c r="W48">
        <f>HYPERLINK("https://klasma.github.io/Logging_0482/artfynd/A 17512-2026 artfynd.xlsx", "A 17512-2026")</f>
        <v/>
      </c>
      <c r="X48">
        <f>HYPERLINK("https://klasma.github.io/Logging_0482/kartor/A 17512-2026 karta.png", "A 17512-2026")</f>
        <v/>
      </c>
      <c r="Y48">
        <f>HYPERLINK("https://klasma.github.io/Logging_0482/kartor_geotiff/A 17512-2026 georefererad karta.tif", "A 17512-2026")</f>
        <v/>
      </c>
      <c r="AA48">
        <f>HYPERLINK("https://klasma.github.io/Logging_0482/klagomål/A 17512-2026 FSC-klagomål.docx", "A 17512-2026")</f>
        <v/>
      </c>
      <c r="AB48">
        <f>HYPERLINK("https://klasma.github.io/Logging_0482/klagomålsmail/A 17512-2026 FSC-klagomål mail.docx", "A 17512-2026")</f>
        <v/>
      </c>
      <c r="AC48">
        <f>HYPERLINK("https://klasma.github.io/Logging_0482/tillsyn/A 17512-2026 tillsynsbegäran.docx", "A 17512-2026")</f>
        <v/>
      </c>
      <c r="AD48">
        <f>HYPERLINK("https://klasma.github.io/Logging_0482/tillsynsmail/A 17512-2026 tillsynsbegäran mail.docx", "A 17512-2026")</f>
        <v/>
      </c>
    </row>
    <row r="49" ht="15" customHeight="1">
      <c r="A49" t="inlineStr">
        <is>
          <t>A 22839-2025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45789</v>
      </c>
      <c r="E49" s="1" t="n">
        <v>46281</v>
      </c>
      <c r="F49" t="inlineStr">
        <is>
          <t>SÖDERMANLANDS LÄN</t>
        </is>
      </c>
      <c r="G49" t="inlineStr">
        <is>
          <t>FLEN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Blåsippa
Ekbräken
Missne</t>
        </is>
      </c>
      <c r="W49">
        <f>HYPERLINK("https://klasma.github.io/Logging_0482/artfynd/A 22839-2025 artfynd.xlsx", "A 22839-2025")</f>
        <v/>
      </c>
      <c r="X49">
        <f>HYPERLINK("https://klasma.github.io/Logging_0482/kartor/A 22839-2025 karta.png", "A 22839-2025")</f>
        <v/>
      </c>
      <c r="Y49">
        <f>HYPERLINK("https://klasma.github.io/Logging_0482/kartor_geotiff/A 22839-2025 georefererad karta.tif", "A 22839-2025")</f>
        <v/>
      </c>
      <c r="AA49">
        <f>HYPERLINK("https://klasma.github.io/Logging_0482/klagomål/A 22839-2025 FSC-klagomål.docx", "A 22839-2025")</f>
        <v/>
      </c>
      <c r="AB49">
        <f>HYPERLINK("https://klasma.github.io/Logging_0482/klagomålsmail/A 22839-2025 FSC-klagomål mail.docx", "A 22839-2025")</f>
        <v/>
      </c>
      <c r="AC49">
        <f>HYPERLINK("https://klasma.github.io/Logging_0482/tillsyn/A 22839-2025 tillsynsbegäran.docx", "A 22839-2025")</f>
        <v/>
      </c>
      <c r="AD49">
        <f>HYPERLINK("https://klasma.github.io/Logging_0482/tillsynsmail/A 22839-2025 tillsynsbegäran mail.docx", "A 22839-2025")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46281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46281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33853-2022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46281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1.9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Gullklöver
Sädesärla
Svart trolldruva</t>
        </is>
      </c>
      <c r="W52">
        <f>HYPERLINK("https://klasma.github.io/Logging_0482/artfynd/A 33853-2022 artfynd.xlsx", "A 33853-2022")</f>
        <v/>
      </c>
      <c r="X52">
        <f>HYPERLINK("https://klasma.github.io/Logging_0482/kartor/A 33853-2022 karta.png", "A 33853-2022")</f>
        <v/>
      </c>
      <c r="Y52">
        <f>HYPERLINK("https://klasma.github.io/Logging_0482/kartor_geotiff/A 33853-2022 georefererad karta.tif", "A 33853-2022")</f>
        <v/>
      </c>
      <c r="AA52">
        <f>HYPERLINK("https://klasma.github.io/Logging_0482/klagomål/A 33853-2022 FSC-klagomål.docx", "A 33853-2022")</f>
        <v/>
      </c>
      <c r="AB52">
        <f>HYPERLINK("https://klasma.github.io/Logging_0482/klagomålsmail/A 33853-2022 FSC-klagomål mail.docx", "A 33853-2022")</f>
        <v/>
      </c>
      <c r="AC52">
        <f>HYPERLINK("https://klasma.github.io/Logging_0482/tillsyn/A 33853-2022 tillsynsbegäran.docx", "A 33853-2022")</f>
        <v/>
      </c>
      <c r="AD52">
        <f>HYPERLINK("https://klasma.github.io/Logging_0482/tillsynsmail/A 33853-2022 tillsynsbegäran mail.docx", "A 33853-2022")</f>
        <v/>
      </c>
      <c r="AE52">
        <f>HYPERLINK("https://klasma.github.io/Logging_0482/fåglar/A 33853-2022 prioriterade fågelarter.docx", "A 33853-2022")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46281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46281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9512-2026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46281</v>
      </c>
      <c r="F55" t="inlineStr">
        <is>
          <t>SÖDERMANLANDS LÄN</t>
        </is>
      </c>
      <c r="G55" t="inlineStr">
        <is>
          <t>FLEN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Gullpudra
Bäckbräsma
Hultbräken</t>
        </is>
      </c>
      <c r="W55">
        <f>HYPERLINK("https://klasma.github.io/Logging_0482/artfynd/A 9512-2026 artfynd.xlsx", "A 9512-2026")</f>
        <v/>
      </c>
      <c r="X55">
        <f>HYPERLINK("https://klasma.github.io/Logging_0482/kartor/A 9512-2026 karta.png", "A 9512-2026")</f>
        <v/>
      </c>
      <c r="Y55">
        <f>HYPERLINK("https://klasma.github.io/Logging_0482/kartor_geotiff/A 9512-2026 georefererad karta.tif", "A 9512-2026")</f>
        <v/>
      </c>
      <c r="AA55">
        <f>HYPERLINK("https://klasma.github.io/Logging_0482/klagomål/A 9512-2026 FSC-klagomål.docx", "A 9512-2026")</f>
        <v/>
      </c>
      <c r="AB55">
        <f>HYPERLINK("https://klasma.github.io/Logging_0482/klagomålsmail/A 9512-2026 FSC-klagomål mail.docx", "A 9512-2026")</f>
        <v/>
      </c>
      <c r="AC55">
        <f>HYPERLINK("https://klasma.github.io/Logging_0482/tillsyn/A 9512-2026 tillsynsbegäran.docx", "A 9512-2026")</f>
        <v/>
      </c>
      <c r="AD55">
        <f>HYPERLINK("https://klasma.github.io/Logging_0482/tillsynsmail/A 9512-2026 tillsynsbegäran mail.docx", "A 9512-2026")</f>
        <v/>
      </c>
    </row>
    <row r="56" ht="15" customHeight="1">
      <c r="A56" t="inlineStr">
        <is>
          <t>A 9530-2026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46281</v>
      </c>
      <c r="F56" t="inlineStr">
        <is>
          <t>SÖDERMANLANDS LÄN</t>
        </is>
      </c>
      <c r="G56" t="inlineStr">
        <is>
          <t>FLEN</t>
        </is>
      </c>
      <c r="I56" t="n">
        <v>7.4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Blåmossa
Flagellkvastmossa
Tjäder</t>
        </is>
      </c>
      <c r="W56">
        <f>HYPERLINK("https://klasma.github.io/Logging_0482/artfynd/A 9530-2026 artfynd.xlsx", "A 9530-2026")</f>
        <v/>
      </c>
      <c r="X56">
        <f>HYPERLINK("https://klasma.github.io/Logging_0482/kartor/A 9530-2026 karta.png", "A 9530-2026")</f>
        <v/>
      </c>
      <c r="Y56">
        <f>HYPERLINK("https://klasma.github.io/Logging_0482/kartor_geotiff/A 9530-2026 georefererad karta.tif", "A 9530-2026")</f>
        <v/>
      </c>
      <c r="AA56">
        <f>HYPERLINK("https://klasma.github.io/Logging_0482/klagomål/A 9530-2026 FSC-klagomål.docx", "A 9530-2026")</f>
        <v/>
      </c>
      <c r="AB56">
        <f>HYPERLINK("https://klasma.github.io/Logging_0482/klagomålsmail/A 9530-2026 FSC-klagomål mail.docx", "A 9530-2026")</f>
        <v/>
      </c>
      <c r="AC56">
        <f>HYPERLINK("https://klasma.github.io/Logging_0482/tillsyn/A 9530-2026 tillsynsbegäran.docx", "A 9530-2026")</f>
        <v/>
      </c>
      <c r="AD56">
        <f>HYPERLINK("https://klasma.github.io/Logging_0482/tillsynsmail/A 9530-2026 tillsynsbegäran mail.docx", "A 9530-2026")</f>
        <v/>
      </c>
      <c r="AE56">
        <f>HYPERLINK("https://klasma.github.io/Logging_0482/fåglar/A 9530-2026 prioriterade fågelarter.docx", "A 9530-2026")</f>
        <v/>
      </c>
    </row>
    <row r="57" ht="15" customHeight="1">
      <c r="A57" t="inlineStr">
        <is>
          <t>A 9539-2026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46281</v>
      </c>
      <c r="F57" t="inlineStr">
        <is>
          <t>SÖDERMANLANDS LÄN</t>
        </is>
      </c>
      <c r="G57" t="inlineStr">
        <is>
          <t>FLEN</t>
        </is>
      </c>
      <c r="I57" t="n">
        <v>7.6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Ask
Slåtterfibbla
Blåsippa</t>
        </is>
      </c>
      <c r="W57">
        <f>HYPERLINK("https://klasma.github.io/Logging_0482/artfynd/A 9539-2026 artfynd.xlsx", "A 9539-2026")</f>
        <v/>
      </c>
      <c r="X57">
        <f>HYPERLINK("https://klasma.github.io/Logging_0482/kartor/A 9539-2026 karta.png", "A 9539-2026")</f>
        <v/>
      </c>
      <c r="Y57">
        <f>HYPERLINK("https://klasma.github.io/Logging_0482/kartor_geotiff/A 9539-2026 georefererad karta.tif", "A 9539-2026")</f>
        <v/>
      </c>
      <c r="AA57">
        <f>HYPERLINK("https://klasma.github.io/Logging_0482/klagomål/A 9539-2026 FSC-klagomål.docx", "A 9539-2026")</f>
        <v/>
      </c>
      <c r="AB57">
        <f>HYPERLINK("https://klasma.github.io/Logging_0482/klagomålsmail/A 9539-2026 FSC-klagomål mail.docx", "A 9539-2026")</f>
        <v/>
      </c>
      <c r="AC57">
        <f>HYPERLINK("https://klasma.github.io/Logging_0482/tillsyn/A 9539-2026 tillsynsbegäran.docx", "A 9539-2026")</f>
        <v/>
      </c>
      <c r="AD57">
        <f>HYPERLINK("https://klasma.github.io/Logging_0482/tillsynsmail/A 9539-2026 tillsynsbegäran mail.docx", "A 9539-2026")</f>
        <v/>
      </c>
    </row>
    <row r="58" ht="15" customHeight="1">
      <c r="A58" t="inlineStr">
        <is>
          <t>A 34985-2023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46281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2.8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Knärot
Grönpyrola
Revlummer</t>
        </is>
      </c>
      <c r="W58">
        <f>HYPERLINK("https://klasma.github.io/Logging_0482/artfynd/A 34985-2023 artfynd.xlsx", "A 34985-2023")</f>
        <v/>
      </c>
      <c r="X58">
        <f>HYPERLINK("https://klasma.github.io/Logging_0482/kartor/A 34985-2023 karta.png", "A 34985-2023")</f>
        <v/>
      </c>
      <c r="Y58">
        <f>HYPERLINK("https://klasma.github.io/Logging_0482/kartor_geotiff/A 34985-2023 georefererad karta.tif", "A 34985-2023")</f>
        <v/>
      </c>
      <c r="Z58">
        <f>HYPERLINK("https://klasma.github.io/Logging_0482/knärot/A 34985-2023 karta knärot.png", "A 34985-2023")</f>
        <v/>
      </c>
      <c r="AA58">
        <f>HYPERLINK("https://klasma.github.io/Logging_0482/klagomål/A 34985-2023 FSC-klagomål.docx", "A 34985-2023")</f>
        <v/>
      </c>
      <c r="AB58">
        <f>HYPERLINK("https://klasma.github.io/Logging_0482/klagomålsmail/A 34985-2023 FSC-klagomål mail.docx", "A 34985-2023")</f>
        <v/>
      </c>
      <c r="AC58">
        <f>HYPERLINK("https://klasma.github.io/Logging_0482/tillsyn/A 34985-2023 tillsynsbegäran.docx", "A 34985-2023")</f>
        <v/>
      </c>
      <c r="AD58">
        <f>HYPERLINK("https://klasma.github.io/Logging_0482/tillsynsmail/A 34985-2023 tillsynsbegäran mail.docx", "A 34985-2023")</f>
        <v/>
      </c>
    </row>
    <row r="59" ht="15" customHeight="1">
      <c r="A59" t="inlineStr">
        <is>
          <t>A 2203-2022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44578</v>
      </c>
      <c r="E59" s="1" t="n">
        <v>46281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2.9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Knärot
Grönpyrola
Revlummer</t>
        </is>
      </c>
      <c r="W59">
        <f>HYPERLINK("https://klasma.github.io/Logging_0482/artfynd/A 2203-2022 artfynd.xlsx", "A 2203-2022")</f>
        <v/>
      </c>
      <c r="X59">
        <f>HYPERLINK("https://klasma.github.io/Logging_0482/kartor/A 2203-2022 karta.png", "A 2203-2022")</f>
        <v/>
      </c>
      <c r="Y59">
        <f>HYPERLINK("https://klasma.github.io/Logging_0482/kartor_geotiff/A 2203-2022 georefererad karta.tif", "A 2203-2022")</f>
        <v/>
      </c>
      <c r="Z59">
        <f>HYPERLINK("https://klasma.github.io/Logging_0482/knärot/A 2203-2022 karta knärot.png", "A 2203-2022")</f>
        <v/>
      </c>
      <c r="AA59">
        <f>HYPERLINK("https://klasma.github.io/Logging_0482/klagomål/A 2203-2022 FSC-klagomål.docx", "A 2203-2022")</f>
        <v/>
      </c>
      <c r="AB59">
        <f>HYPERLINK("https://klasma.github.io/Logging_0482/klagomålsmail/A 2203-2022 FSC-klagomål mail.docx", "A 2203-2022")</f>
        <v/>
      </c>
      <c r="AC59">
        <f>HYPERLINK("https://klasma.github.io/Logging_0482/tillsyn/A 2203-2022 tillsynsbegäran.docx", "A 2203-2022")</f>
        <v/>
      </c>
      <c r="AD59">
        <f>HYPERLINK("https://klasma.github.io/Logging_0482/tillsynsmail/A 2203-2022 tillsynsbegäran mail.docx", "A 2203-2022")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46281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46281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46281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46281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46281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46281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50215-2022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46281</v>
      </c>
      <c r="F66" t="inlineStr">
        <is>
          <t>SÖDERMANLANDS LÄN</t>
        </is>
      </c>
      <c r="G66" t="inlineStr">
        <is>
          <t>FLEN</t>
        </is>
      </c>
      <c r="H66" t="inlineStr">
        <is>
          <t>Kyrkan</t>
        </is>
      </c>
      <c r="I66" t="n">
        <v>2.2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Knärot
Äkta lopplummer</t>
        </is>
      </c>
      <c r="W66">
        <f>HYPERLINK("https://klasma.github.io/Logging_0482/artfynd/A 50215-2022 artfynd.xlsx", "A 50215-2022")</f>
        <v/>
      </c>
      <c r="X66">
        <f>HYPERLINK("https://klasma.github.io/Logging_0482/kartor/A 50215-2022 karta.png", "A 50215-2022")</f>
        <v/>
      </c>
      <c r="Y66">
        <f>HYPERLINK("https://klasma.github.io/Logging_0482/kartor_geotiff/A 50215-2022 georefererad karta.tif", "A 50215-2022")</f>
        <v/>
      </c>
      <c r="Z66">
        <f>HYPERLINK("https://klasma.github.io/Logging_0482/knärot/A 50215-2022 karta knärot.png", "A 50215-2022")</f>
        <v/>
      </c>
      <c r="AA66">
        <f>HYPERLINK("https://klasma.github.io/Logging_0482/klagomål/A 50215-2022 FSC-klagomål.docx", "A 50215-2022")</f>
        <v/>
      </c>
      <c r="AB66">
        <f>HYPERLINK("https://klasma.github.io/Logging_0482/klagomålsmail/A 50215-2022 FSC-klagomål mail.docx", "A 50215-2022")</f>
        <v/>
      </c>
      <c r="AC66">
        <f>HYPERLINK("https://klasma.github.io/Logging_0482/tillsyn/A 50215-2022 tillsynsbegäran.docx", "A 50215-2022")</f>
        <v/>
      </c>
      <c r="AD66">
        <f>HYPERLINK("https://klasma.github.io/Logging_0482/tillsynsmail/A 50215-2022 tillsynsbegäran mail.docx", "A 50215-2022")</f>
        <v/>
      </c>
    </row>
    <row r="67" ht="15" customHeight="1">
      <c r="A67" t="inlineStr">
        <is>
          <t>A 15452-2024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46281</v>
      </c>
      <c r="F67" t="inlineStr">
        <is>
          <t>SÖDERMANLANDS LÄN</t>
        </is>
      </c>
      <c r="G67" t="inlineStr">
        <is>
          <t>FLEN</t>
        </is>
      </c>
      <c r="I67" t="n">
        <v>3.5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Svinrot
Älg</t>
        </is>
      </c>
      <c r="W67">
        <f>HYPERLINK("https://klasma.github.io/Logging_0482/artfynd/A 15452-2024 artfynd.xlsx", "A 15452-2024")</f>
        <v/>
      </c>
      <c r="X67">
        <f>HYPERLINK("https://klasma.github.io/Logging_0482/kartor/A 15452-2024 karta.png", "A 15452-2024")</f>
        <v/>
      </c>
      <c r="Y67">
        <f>HYPERLINK("https://klasma.github.io/Logging_0482/kartor_geotiff/A 15452-2024 georefererad karta.tif", "A 15452-2024")</f>
        <v/>
      </c>
      <c r="AA67">
        <f>HYPERLINK("https://klasma.github.io/Logging_0482/klagomål/A 15452-2024 FSC-klagomål.docx", "A 15452-2024")</f>
        <v/>
      </c>
      <c r="AB67">
        <f>HYPERLINK("https://klasma.github.io/Logging_0482/klagomålsmail/A 15452-2024 FSC-klagomål mail.docx", "A 15452-2024")</f>
        <v/>
      </c>
      <c r="AC67">
        <f>HYPERLINK("https://klasma.github.io/Logging_0482/tillsyn/A 15452-2024 tillsynsbegäran.docx", "A 15452-2024")</f>
        <v/>
      </c>
      <c r="AD67">
        <f>HYPERLINK("https://klasma.github.io/Logging_0482/tillsynsmail/A 15452-2024 tillsynsbegäran mail.docx", "A 15452-2024")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46281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59607-2022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44907</v>
      </c>
      <c r="E69" s="1" t="n">
        <v>46281</v>
      </c>
      <c r="F69" t="inlineStr">
        <is>
          <t>SÖDERMANLANDS LÄN</t>
        </is>
      </c>
      <c r="G69" t="inlineStr">
        <is>
          <t>FLEN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Jungfrulin
Svinrot</t>
        </is>
      </c>
      <c r="W69">
        <f>HYPERLINK("https://klasma.github.io/Logging_0482/artfynd/A 59607-2022 artfynd.xlsx", "A 59607-2022")</f>
        <v/>
      </c>
      <c r="X69">
        <f>HYPERLINK("https://klasma.github.io/Logging_0482/kartor/A 59607-2022 karta.png", "A 59607-2022")</f>
        <v/>
      </c>
      <c r="Y69">
        <f>HYPERLINK("https://klasma.github.io/Logging_0482/kartor_geotiff/A 59607-2022 georefererad karta.tif", "A 59607-2022")</f>
        <v/>
      </c>
      <c r="AA69">
        <f>HYPERLINK("https://klasma.github.io/Logging_0482/klagomål/A 59607-2022 FSC-klagomål.docx", "A 59607-2022")</f>
        <v/>
      </c>
      <c r="AB69">
        <f>HYPERLINK("https://klasma.github.io/Logging_0482/klagomålsmail/A 59607-2022 FSC-klagomål mail.docx", "A 59607-2022")</f>
        <v/>
      </c>
      <c r="AC69">
        <f>HYPERLINK("https://klasma.github.io/Logging_0482/tillsyn/A 59607-2022 tillsynsbegäran.docx", "A 59607-2022")</f>
        <v/>
      </c>
      <c r="AD69">
        <f>HYPERLINK("https://klasma.github.io/Logging_0482/tillsynsmail/A 59607-2022 tillsynsbegäran mail.docx", "A 59607-2022")</f>
        <v/>
      </c>
    </row>
    <row r="70" ht="15" customHeight="1">
      <c r="A70" t="inlineStr">
        <is>
          <t>A 49816-2023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46281</v>
      </c>
      <c r="F70" t="inlineStr">
        <is>
          <t>SÖDERMANLANDS LÄN</t>
        </is>
      </c>
      <c r="G70" t="inlineStr">
        <is>
          <t>FLEN</t>
        </is>
      </c>
      <c r="I70" t="n">
        <v>4.6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Reliktbock
Tallticka</t>
        </is>
      </c>
      <c r="W70">
        <f>HYPERLINK("https://klasma.github.io/Logging_0482/artfynd/A 49816-2023 artfynd.xlsx", "A 49816-2023")</f>
        <v/>
      </c>
      <c r="X70">
        <f>HYPERLINK("https://klasma.github.io/Logging_0482/kartor/A 49816-2023 karta.png", "A 49816-2023")</f>
        <v/>
      </c>
      <c r="Y70">
        <f>HYPERLINK("https://klasma.github.io/Logging_0482/kartor_geotiff/A 49816-2023 georefererad karta.tif", "A 49816-2023")</f>
        <v/>
      </c>
      <c r="AA70">
        <f>HYPERLINK("https://klasma.github.io/Logging_0482/klagomål/A 49816-2023 FSC-klagomål.docx", "A 49816-2023")</f>
        <v/>
      </c>
      <c r="AB70">
        <f>HYPERLINK("https://klasma.github.io/Logging_0482/klagomålsmail/A 49816-2023 FSC-klagomål mail.docx", "A 49816-2023")</f>
        <v/>
      </c>
      <c r="AC70">
        <f>HYPERLINK("https://klasma.github.io/Logging_0482/tillsyn/A 49816-2023 tillsynsbegäran.docx", "A 49816-2023")</f>
        <v/>
      </c>
      <c r="AD70">
        <f>HYPERLINK("https://klasma.github.io/Logging_0482/tillsynsmail/A 49816-2023 tillsynsbegäran mail.docx", "A 49816-2023")</f>
        <v/>
      </c>
    </row>
    <row r="71" ht="15" customHeight="1">
      <c r="A71" t="inlineStr">
        <is>
          <t>A 10825-2022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46281</v>
      </c>
      <c r="F71" t="inlineStr">
        <is>
          <t>SÖDERMANLANDS LÄN</t>
        </is>
      </c>
      <c r="G71" t="inlineStr">
        <is>
          <t>FLEN</t>
        </is>
      </c>
      <c r="I71" t="n">
        <v>4.7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Svinrot
Vanlig backsmörblomma</t>
        </is>
      </c>
      <c r="W71">
        <f>HYPERLINK("https://klasma.github.io/Logging_0482/artfynd/A 10825-2022 artfynd.xlsx", "A 10825-2022")</f>
        <v/>
      </c>
      <c r="X71">
        <f>HYPERLINK("https://klasma.github.io/Logging_0482/kartor/A 10825-2022 karta.png", "A 10825-2022")</f>
        <v/>
      </c>
      <c r="Y71">
        <f>HYPERLINK("https://klasma.github.io/Logging_0482/kartor_geotiff/A 10825-2022 georefererad karta.tif", "A 10825-2022")</f>
        <v/>
      </c>
      <c r="AA71">
        <f>HYPERLINK("https://klasma.github.io/Logging_0482/klagomål/A 10825-2022 FSC-klagomål.docx", "A 10825-2022")</f>
        <v/>
      </c>
      <c r="AB71">
        <f>HYPERLINK("https://klasma.github.io/Logging_0482/klagomålsmail/A 10825-2022 FSC-klagomål mail.docx", "A 10825-2022")</f>
        <v/>
      </c>
      <c r="AC71">
        <f>HYPERLINK("https://klasma.github.io/Logging_0482/tillsyn/A 10825-2022 tillsynsbegäran.docx", "A 10825-2022")</f>
        <v/>
      </c>
      <c r="AD71">
        <f>HYPERLINK("https://klasma.github.io/Logging_0482/tillsynsmail/A 10825-2022 tillsynsbegäran mail.docx", "A 10825-2022")</f>
        <v/>
      </c>
    </row>
    <row r="72" ht="15" customHeight="1">
      <c r="A72" t="inlineStr">
        <is>
          <t>A 52858-2023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46281</v>
      </c>
      <c r="F72" t="inlineStr">
        <is>
          <t>SÖDERMANLANDS LÄN</t>
        </is>
      </c>
      <c r="G72" t="inlineStr">
        <is>
          <t>FLEN</t>
        </is>
      </c>
      <c r="I72" t="n">
        <v>3.6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1</v>
      </c>
      <c r="V72" s="2" t="inlineStr">
        <is>
          <t>Mindre hackspett
Tallticka</t>
        </is>
      </c>
      <c r="W72">
        <f>HYPERLINK("https://klasma.github.io/Logging_0482/artfynd/A 52858-2023 artfynd.xlsx", "A 52858-2023")</f>
        <v/>
      </c>
      <c r="X72">
        <f>HYPERLINK("https://klasma.github.io/Logging_0482/kartor/A 52858-2023 karta.png", "A 52858-2023")</f>
        <v/>
      </c>
      <c r="Y72">
        <f>HYPERLINK("https://klasma.github.io/Logging_0482/kartor_geotiff/A 52858-2023 georefererad karta.tif", "A 52858-2023")</f>
        <v/>
      </c>
      <c r="AA72">
        <f>HYPERLINK("https://klasma.github.io/Logging_0482/klagomål/A 52858-2023 FSC-klagomål.docx", "A 52858-2023")</f>
        <v/>
      </c>
      <c r="AB72">
        <f>HYPERLINK("https://klasma.github.io/Logging_0482/klagomålsmail/A 52858-2023 FSC-klagomål mail.docx", "A 52858-2023")</f>
        <v/>
      </c>
      <c r="AC72">
        <f>HYPERLINK("https://klasma.github.io/Logging_0482/tillsyn/A 52858-2023 tillsynsbegäran.docx", "A 52858-2023")</f>
        <v/>
      </c>
      <c r="AD72">
        <f>HYPERLINK("https://klasma.github.io/Logging_0482/tillsynsmail/A 52858-2023 tillsynsbegäran mail.docx", "A 52858-2023")</f>
        <v/>
      </c>
      <c r="AE72">
        <f>HYPERLINK("https://klasma.github.io/Logging_0482/fåglar/A 52858-2023 prioriterade fågelarter.docx", "A 52858-2023")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46281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41435-2022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46281</v>
      </c>
      <c r="F74" t="inlineStr">
        <is>
          <t>SÖDERMANLANDS LÄN</t>
        </is>
      </c>
      <c r="G74" t="inlineStr">
        <is>
          <t>FLEN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Vitsippa
Gullviva</t>
        </is>
      </c>
      <c r="W74">
        <f>HYPERLINK("https://klasma.github.io/Logging_0482/artfynd/A 41435-2022 artfynd.xlsx", "A 41435-2022")</f>
        <v/>
      </c>
      <c r="X74">
        <f>HYPERLINK("https://klasma.github.io/Logging_0482/kartor/A 41435-2022 karta.png", "A 41435-2022")</f>
        <v/>
      </c>
      <c r="Y74">
        <f>HYPERLINK("https://klasma.github.io/Logging_0482/kartor_geotiff/A 41435-2022 georefererad karta.tif", "A 41435-2022")</f>
        <v/>
      </c>
      <c r="AA74">
        <f>HYPERLINK("https://klasma.github.io/Logging_0482/klagomål/A 41435-2022 FSC-klagomål.docx", "A 41435-2022")</f>
        <v/>
      </c>
      <c r="AB74">
        <f>HYPERLINK("https://klasma.github.io/Logging_0482/klagomålsmail/A 41435-2022 FSC-klagomål mail.docx", "A 41435-2022")</f>
        <v/>
      </c>
      <c r="AC74">
        <f>HYPERLINK("https://klasma.github.io/Logging_0482/tillsyn/A 41435-2022 tillsynsbegäran.docx", "A 41435-2022")</f>
        <v/>
      </c>
      <c r="AD74">
        <f>HYPERLINK("https://klasma.github.io/Logging_0482/tillsynsmail/A 41435-2022 tillsynsbegäran mail.docx", "A 41435-2022")</f>
        <v/>
      </c>
    </row>
    <row r="75" ht="15" customHeight="1">
      <c r="A75" t="inlineStr">
        <is>
          <t>A 5852-2022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46281</v>
      </c>
      <c r="F75" t="inlineStr">
        <is>
          <t>SÖDERMANLANDS LÄN</t>
        </is>
      </c>
      <c r="G75" t="inlineStr">
        <is>
          <t>FLEN</t>
        </is>
      </c>
      <c r="I75" t="n">
        <v>2.6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Kamjordstjärna
Gullviva</t>
        </is>
      </c>
      <c r="W75">
        <f>HYPERLINK("https://klasma.github.io/Logging_0482/artfynd/A 5852-2022 artfynd.xlsx", "A 5852-2022")</f>
        <v/>
      </c>
      <c r="X75">
        <f>HYPERLINK("https://klasma.github.io/Logging_0482/kartor/A 5852-2022 karta.png", "A 5852-2022")</f>
        <v/>
      </c>
      <c r="Y75">
        <f>HYPERLINK("https://klasma.github.io/Logging_0482/kartor_geotiff/A 5852-2022 georefererad karta.tif", "A 5852-2022")</f>
        <v/>
      </c>
      <c r="AA75">
        <f>HYPERLINK("https://klasma.github.io/Logging_0482/klagomål/A 5852-2022 FSC-klagomål.docx", "A 5852-2022")</f>
        <v/>
      </c>
      <c r="AB75">
        <f>HYPERLINK("https://klasma.github.io/Logging_0482/klagomålsmail/A 5852-2022 FSC-klagomål mail.docx", "A 5852-2022")</f>
        <v/>
      </c>
      <c r="AC75">
        <f>HYPERLINK("https://klasma.github.io/Logging_0482/tillsyn/A 5852-2022 tillsynsbegäran.docx", "A 5852-2022")</f>
        <v/>
      </c>
      <c r="AD75">
        <f>HYPERLINK("https://klasma.github.io/Logging_0482/tillsynsmail/A 5852-2022 tillsynsbegäran mail.docx", "A 5852-2022")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46281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46281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55092-2021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44474</v>
      </c>
      <c r="E78" s="1" t="n">
        <v>46281</v>
      </c>
      <c r="F78" t="inlineStr">
        <is>
          <t>SÖDERMANLANDS LÄN</t>
        </is>
      </c>
      <c r="G78" t="inlineStr">
        <is>
          <t>FLEN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Sälg
Huggorm</t>
        </is>
      </c>
      <c r="W78">
        <f>HYPERLINK("https://klasma.github.io/Logging_0482/artfynd/A 55092-2021 artfynd.xlsx", "A 55092-2021")</f>
        <v/>
      </c>
      <c r="X78">
        <f>HYPERLINK("https://klasma.github.io/Logging_0482/kartor/A 55092-2021 karta.png", "A 55092-2021")</f>
        <v/>
      </c>
      <c r="Y78">
        <f>HYPERLINK("https://klasma.github.io/Logging_0482/kartor_geotiff/A 55092-2021 georefererad karta.tif", "A 55092-2021")</f>
        <v/>
      </c>
      <c r="AA78">
        <f>HYPERLINK("https://klasma.github.io/Logging_0482/klagomål/A 55092-2021 FSC-klagomål.docx", "A 55092-2021")</f>
        <v/>
      </c>
      <c r="AB78">
        <f>HYPERLINK("https://klasma.github.io/Logging_0482/klagomålsmail/A 55092-2021 FSC-klagomål mail.docx", "A 55092-2021")</f>
        <v/>
      </c>
      <c r="AC78">
        <f>HYPERLINK("https://klasma.github.io/Logging_0482/tillsyn/A 55092-2021 tillsynsbegäran.docx", "A 55092-2021")</f>
        <v/>
      </c>
      <c r="AD78">
        <f>HYPERLINK("https://klasma.github.io/Logging_0482/tillsynsmail/A 55092-2021 tillsynsbegäran mail.docx", "A 55092-2021")</f>
        <v/>
      </c>
    </row>
    <row r="79" ht="15" customHeight="1">
      <c r="A79" t="inlineStr">
        <is>
          <t>A 47194-2022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46281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Gullklöver
Svinrot</t>
        </is>
      </c>
      <c r="W79">
        <f>HYPERLINK("https://klasma.github.io/Logging_0482/artfynd/A 47194-2022 artfynd.xlsx", "A 47194-2022")</f>
        <v/>
      </c>
      <c r="X79">
        <f>HYPERLINK("https://klasma.github.io/Logging_0482/kartor/A 47194-2022 karta.png", "A 47194-2022")</f>
        <v/>
      </c>
      <c r="Y79">
        <f>HYPERLINK("https://klasma.github.io/Logging_0482/kartor_geotiff/A 47194-2022 georefererad karta.tif", "A 47194-2022")</f>
        <v/>
      </c>
      <c r="AA79">
        <f>HYPERLINK("https://klasma.github.io/Logging_0482/klagomål/A 47194-2022 FSC-klagomål.docx", "A 47194-2022")</f>
        <v/>
      </c>
      <c r="AB79">
        <f>HYPERLINK("https://klasma.github.io/Logging_0482/klagomålsmail/A 47194-2022 FSC-klagomål mail.docx", "A 47194-2022")</f>
        <v/>
      </c>
      <c r="AC79">
        <f>HYPERLINK("https://klasma.github.io/Logging_0482/tillsyn/A 47194-2022 tillsynsbegäran.docx", "A 47194-2022")</f>
        <v/>
      </c>
      <c r="AD79">
        <f>HYPERLINK("https://klasma.github.io/Logging_0482/tillsynsmail/A 47194-2022 tillsynsbegäran mail.docx", "A 47194-2022")</f>
        <v/>
      </c>
    </row>
    <row r="80" ht="15" customHeight="1">
      <c r="A80" t="inlineStr">
        <is>
          <t>A 7506-2023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44971</v>
      </c>
      <c r="E80" s="1" t="n">
        <v>46281</v>
      </c>
      <c r="F80" t="inlineStr">
        <is>
          <t>SÖDERMANLANDS LÄN</t>
        </is>
      </c>
      <c r="G80" t="inlineStr">
        <is>
          <t>FLEN</t>
        </is>
      </c>
      <c r="I80" t="n">
        <v>3.3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Slåtterfibbla
Svinrot</t>
        </is>
      </c>
      <c r="W80">
        <f>HYPERLINK("https://klasma.github.io/Logging_0482/artfynd/A 7506-2023 artfynd.xlsx", "A 7506-2023")</f>
        <v/>
      </c>
      <c r="X80">
        <f>HYPERLINK("https://klasma.github.io/Logging_0482/kartor/A 7506-2023 karta.png", "A 7506-2023")</f>
        <v/>
      </c>
      <c r="Y80">
        <f>HYPERLINK("https://klasma.github.io/Logging_0482/kartor_geotiff/A 7506-2023 georefererad karta.tif", "A 7506-2023")</f>
        <v/>
      </c>
      <c r="AA80">
        <f>HYPERLINK("https://klasma.github.io/Logging_0482/klagomål/A 7506-2023 FSC-klagomål.docx", "A 7506-2023")</f>
        <v/>
      </c>
      <c r="AB80">
        <f>HYPERLINK("https://klasma.github.io/Logging_0482/klagomålsmail/A 7506-2023 FSC-klagomål mail.docx", "A 7506-2023")</f>
        <v/>
      </c>
      <c r="AC80">
        <f>HYPERLINK("https://klasma.github.io/Logging_0482/tillsyn/A 7506-2023 tillsynsbegäran.docx", "A 7506-2023")</f>
        <v/>
      </c>
      <c r="AD80">
        <f>HYPERLINK("https://klasma.github.io/Logging_0482/tillsynsmail/A 7506-2023 tillsynsbegäran mail.docx", "A 7506-2023")</f>
        <v/>
      </c>
    </row>
    <row r="81" ht="15" customHeight="1">
      <c r="A81" t="inlineStr">
        <is>
          <t>A 4330-2026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46281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4.9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Backstarr
Blåsippa</t>
        </is>
      </c>
      <c r="W81">
        <f>HYPERLINK("https://klasma.github.io/Logging_0482/artfynd/A 4330-2026 artfynd.xlsx", "A 4330-2026")</f>
        <v/>
      </c>
      <c r="X81">
        <f>HYPERLINK("https://klasma.github.io/Logging_0482/kartor/A 4330-2026 karta.png", "A 4330-2026")</f>
        <v/>
      </c>
      <c r="Y81">
        <f>HYPERLINK("https://klasma.github.io/Logging_0482/kartor_geotiff/A 4330-2026 georefererad karta.tif", "A 4330-2026")</f>
        <v/>
      </c>
      <c r="AA81">
        <f>HYPERLINK("https://klasma.github.io/Logging_0482/klagomål/A 4330-2026 FSC-klagomål.docx", "A 4330-2026")</f>
        <v/>
      </c>
      <c r="AB81">
        <f>HYPERLINK("https://klasma.github.io/Logging_0482/klagomålsmail/A 4330-2026 FSC-klagomål mail.docx", "A 4330-2026")</f>
        <v/>
      </c>
      <c r="AC81">
        <f>HYPERLINK("https://klasma.github.io/Logging_0482/tillsyn/A 4330-2026 tillsynsbegäran.docx", "A 4330-2026")</f>
        <v/>
      </c>
      <c r="AD81">
        <f>HYPERLINK("https://klasma.github.io/Logging_0482/tillsynsmail/A 4330-2026 tillsynsbegäran mail.docx", "A 4330-2026")</f>
        <v/>
      </c>
    </row>
    <row r="82" ht="15" customHeight="1">
      <c r="A82" t="inlineStr">
        <is>
          <t>A 15557-2026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46281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0</v>
      </c>
      <c r="V82" s="2" t="inlineStr">
        <is>
          <t>Gullklöver
Svinrot</t>
        </is>
      </c>
      <c r="W82">
        <f>HYPERLINK("https://klasma.github.io/Logging_0482/artfynd/A 15557-2026 artfynd.xlsx", "A 15557-2026")</f>
        <v/>
      </c>
      <c r="X82">
        <f>HYPERLINK("https://klasma.github.io/Logging_0482/kartor/A 15557-2026 karta.png", "A 15557-2026")</f>
        <v/>
      </c>
      <c r="Y82">
        <f>HYPERLINK("https://klasma.github.io/Logging_0482/kartor_geotiff/A 15557-2026 georefererad karta.tif", "A 15557-2026")</f>
        <v/>
      </c>
      <c r="AA82">
        <f>HYPERLINK("https://klasma.github.io/Logging_0482/klagomål/A 15557-2026 FSC-klagomål.docx", "A 15557-2026")</f>
        <v/>
      </c>
      <c r="AB82">
        <f>HYPERLINK("https://klasma.github.io/Logging_0482/klagomålsmail/A 15557-2026 FSC-klagomål mail.docx", "A 15557-2026")</f>
        <v/>
      </c>
      <c r="AC82">
        <f>HYPERLINK("https://klasma.github.io/Logging_0482/tillsyn/A 15557-2026 tillsynsbegäran.docx", "A 15557-2026")</f>
        <v/>
      </c>
      <c r="AD82">
        <f>HYPERLINK("https://klasma.github.io/Logging_0482/tillsynsmail/A 15557-2026 tillsynsbegäran mail.docx", "A 15557-2026")</f>
        <v/>
      </c>
    </row>
    <row r="83" ht="15" customHeight="1">
      <c r="A83" t="inlineStr">
        <is>
          <t>A 33107-2022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44785</v>
      </c>
      <c r="E83" s="1" t="n">
        <v>46281</v>
      </c>
      <c r="F83" t="inlineStr">
        <is>
          <t>SÖDERMANLANDS LÄN</t>
        </is>
      </c>
      <c r="G83" t="inlineStr">
        <is>
          <t>FLEN</t>
        </is>
      </c>
      <c r="I83" t="n">
        <v>5.9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Fjällig taggsvamp s.str.
Gullklöver</t>
        </is>
      </c>
      <c r="W83">
        <f>HYPERLINK("https://klasma.github.io/Logging_0482/artfynd/A 33107-2022 artfynd.xlsx", "A 33107-2022")</f>
        <v/>
      </c>
      <c r="X83">
        <f>HYPERLINK("https://klasma.github.io/Logging_0482/kartor/A 33107-2022 karta.png", "A 33107-2022")</f>
        <v/>
      </c>
      <c r="Y83">
        <f>HYPERLINK("https://klasma.github.io/Logging_0482/kartor_geotiff/A 33107-2022 georefererad karta.tif", "A 33107-2022")</f>
        <v/>
      </c>
      <c r="AA83">
        <f>HYPERLINK("https://klasma.github.io/Logging_0482/klagomål/A 33107-2022 FSC-klagomål.docx", "A 33107-2022")</f>
        <v/>
      </c>
      <c r="AB83">
        <f>HYPERLINK("https://klasma.github.io/Logging_0482/klagomålsmail/A 33107-2022 FSC-klagomål mail.docx", "A 33107-2022")</f>
        <v/>
      </c>
      <c r="AC83">
        <f>HYPERLINK("https://klasma.github.io/Logging_0482/tillsyn/A 33107-2022 tillsynsbegäran.docx", "A 33107-2022")</f>
        <v/>
      </c>
      <c r="AD83">
        <f>HYPERLINK("https://klasma.github.io/Logging_0482/tillsynsmail/A 33107-2022 tillsynsbegäran mail.docx", "A 33107-2022")</f>
        <v/>
      </c>
    </row>
    <row r="84" ht="15" customHeight="1">
      <c r="A84" t="inlineStr">
        <is>
          <t>A 22101-2023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45068</v>
      </c>
      <c r="E84" s="1" t="n">
        <v>46281</v>
      </c>
      <c r="F84" t="inlineStr">
        <is>
          <t>SÖDERMANLANDS LÄN</t>
        </is>
      </c>
      <c r="G84" t="inlineStr">
        <is>
          <t>FLEN</t>
        </is>
      </c>
      <c r="I84" t="n">
        <v>2.7</v>
      </c>
      <c r="J84" t="n">
        <v>2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Bombmurkla
Blåsippa</t>
        </is>
      </c>
      <c r="W84">
        <f>HYPERLINK("https://klasma.github.io/Logging_0482/artfynd/A 22101-2023 artfynd.xlsx", "A 22101-2023")</f>
        <v/>
      </c>
      <c r="X84">
        <f>HYPERLINK("https://klasma.github.io/Logging_0482/kartor/A 22101-2023 karta.png", "A 22101-2023")</f>
        <v/>
      </c>
      <c r="Y84">
        <f>HYPERLINK("https://klasma.github.io/Logging_0482/kartor_geotiff/A 22101-2023 georefererad karta.tif", "A 22101-2023")</f>
        <v/>
      </c>
      <c r="AA84">
        <f>HYPERLINK("https://klasma.github.io/Logging_0482/klagomål/A 22101-2023 FSC-klagomål.docx", "A 22101-2023")</f>
        <v/>
      </c>
      <c r="AB84">
        <f>HYPERLINK("https://klasma.github.io/Logging_0482/klagomålsmail/A 22101-2023 FSC-klagomål mail.docx", "A 22101-2023")</f>
        <v/>
      </c>
      <c r="AC84">
        <f>HYPERLINK("https://klasma.github.io/Logging_0482/tillsyn/A 22101-2023 tillsynsbegäran.docx", "A 22101-2023")</f>
        <v/>
      </c>
      <c r="AD84">
        <f>HYPERLINK("https://klasma.github.io/Logging_0482/tillsynsmail/A 22101-2023 tillsynsbegäran mail.docx", "A 22101-2023")</f>
        <v/>
      </c>
    </row>
    <row r="85" ht="15" customHeight="1">
      <c r="A85" t="inlineStr">
        <is>
          <t>A 8887-2026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46068</v>
      </c>
      <c r="E85" s="1" t="n">
        <v>46281</v>
      </c>
      <c r="F85" t="inlineStr">
        <is>
          <t>SÖDERMANLANDS LÄN</t>
        </is>
      </c>
      <c r="G85" t="inlineStr">
        <is>
          <t>FLEN</t>
        </is>
      </c>
      <c r="I85" t="n">
        <v>2.1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Större vattensalamander
Mindre vattensalamander</t>
        </is>
      </c>
      <c r="W85">
        <f>HYPERLINK("https://klasma.github.io/Logging_0482/artfynd/A 8887-2026 artfynd.xlsx", "A 8887-2026")</f>
        <v/>
      </c>
      <c r="X85">
        <f>HYPERLINK("https://klasma.github.io/Logging_0482/kartor/A 8887-2026 karta.png", "A 8887-2026")</f>
        <v/>
      </c>
      <c r="Y85">
        <f>HYPERLINK("https://klasma.github.io/Logging_0482/kartor_geotiff/A 8887-2026 georefererad karta.tif", "A 8887-2026")</f>
        <v/>
      </c>
      <c r="AA85">
        <f>HYPERLINK("https://klasma.github.io/Logging_0482/klagomål/A 8887-2026 FSC-klagomål.docx", "A 8887-2026")</f>
        <v/>
      </c>
      <c r="AB85">
        <f>HYPERLINK("https://klasma.github.io/Logging_0482/klagomålsmail/A 8887-2026 FSC-klagomål mail.docx", "A 8887-2026")</f>
        <v/>
      </c>
      <c r="AC85">
        <f>HYPERLINK("https://klasma.github.io/Logging_0482/tillsyn/A 8887-2026 tillsynsbegäran.docx", "A 8887-2026")</f>
        <v/>
      </c>
      <c r="AD85">
        <f>HYPERLINK("https://klasma.github.io/Logging_0482/tillsynsmail/A 8887-2026 tillsynsbegäran mail.docx", "A 8887-2026")</f>
        <v/>
      </c>
    </row>
    <row r="86" ht="15" customHeight="1">
      <c r="A86" t="inlineStr">
        <is>
          <t>A 11103-2023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44986</v>
      </c>
      <c r="E86" s="1" t="n">
        <v>46281</v>
      </c>
      <c r="F86" t="inlineStr">
        <is>
          <t>SÖDERMANLANDS LÄN</t>
        </is>
      </c>
      <c r="G86" t="inlineStr">
        <is>
          <t>FLEN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Ask
Blåmossa</t>
        </is>
      </c>
      <c r="W86">
        <f>HYPERLINK("https://klasma.github.io/Logging_0482/artfynd/A 11103-2023 artfynd.xlsx", "A 11103-2023")</f>
        <v/>
      </c>
      <c r="X86">
        <f>HYPERLINK("https://klasma.github.io/Logging_0482/kartor/A 11103-2023 karta.png", "A 11103-2023")</f>
        <v/>
      </c>
      <c r="Y86">
        <f>HYPERLINK("https://klasma.github.io/Logging_0482/kartor_geotiff/A 11103-2023 georefererad karta.tif", "A 11103-2023")</f>
        <v/>
      </c>
      <c r="AA86">
        <f>HYPERLINK("https://klasma.github.io/Logging_0482/klagomål/A 11103-2023 FSC-klagomål.docx", "A 11103-2023")</f>
        <v/>
      </c>
      <c r="AB86">
        <f>HYPERLINK("https://klasma.github.io/Logging_0482/klagomålsmail/A 11103-2023 FSC-klagomål mail.docx", "A 11103-2023")</f>
        <v/>
      </c>
      <c r="AC86">
        <f>HYPERLINK("https://klasma.github.io/Logging_0482/tillsyn/A 11103-2023 tillsynsbegäran.docx", "A 11103-2023")</f>
        <v/>
      </c>
      <c r="AD86">
        <f>HYPERLINK("https://klasma.github.io/Logging_0482/tillsynsmail/A 11103-2023 tillsynsbegäran mail.docx", "A 11103-2023")</f>
        <v/>
      </c>
    </row>
    <row r="87" ht="15" customHeight="1">
      <c r="A87" t="inlineStr">
        <is>
          <t>A 39240-2023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46281</v>
      </c>
      <c r="F87" t="inlineStr">
        <is>
          <t>SÖDERMANLANDS LÄN</t>
        </is>
      </c>
      <c r="G87" t="inlineStr">
        <is>
          <t>FLEN</t>
        </is>
      </c>
      <c r="H87" t="inlineStr">
        <is>
          <t>Holmen skog AB</t>
        </is>
      </c>
      <c r="I87" t="n">
        <v>4.6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Motaggsvamp
Blodticka</t>
        </is>
      </c>
      <c r="W87">
        <f>HYPERLINK("https://klasma.github.io/Logging_0482/artfynd/A 39240-2023 artfynd.xlsx", "A 39240-2023")</f>
        <v/>
      </c>
      <c r="X87">
        <f>HYPERLINK("https://klasma.github.io/Logging_0482/kartor/A 39240-2023 karta.png", "A 39240-2023")</f>
        <v/>
      </c>
      <c r="Y87">
        <f>HYPERLINK("https://klasma.github.io/Logging_0482/kartor_geotiff/A 39240-2023 georefererad karta.tif", "A 39240-2023")</f>
        <v/>
      </c>
      <c r="AA87">
        <f>HYPERLINK("https://klasma.github.io/Logging_0482/klagomål/A 39240-2023 FSC-klagomål.docx", "A 39240-2023")</f>
        <v/>
      </c>
      <c r="AB87">
        <f>HYPERLINK("https://klasma.github.io/Logging_0482/klagomålsmail/A 39240-2023 FSC-klagomål mail.docx", "A 39240-2023")</f>
        <v/>
      </c>
      <c r="AC87">
        <f>HYPERLINK("https://klasma.github.io/Logging_0482/tillsyn/A 39240-2023 tillsynsbegäran.docx", "A 39240-2023")</f>
        <v/>
      </c>
      <c r="AD87">
        <f>HYPERLINK("https://klasma.github.io/Logging_0482/tillsynsmail/A 39240-2023 tillsynsbegäran mail.docx", "A 39240-2023")</f>
        <v/>
      </c>
    </row>
    <row r="88" ht="15" customHeight="1">
      <c r="A88" t="inlineStr">
        <is>
          <t>A 34849-2026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46281</v>
      </c>
      <c r="F88" t="inlineStr">
        <is>
          <t>SÖDERMANLANDS LÄN</t>
        </is>
      </c>
      <c r="G88" t="inlineStr">
        <is>
          <t>FLEN</t>
        </is>
      </c>
      <c r="H88" t="inlineStr">
        <is>
          <t>Holmen skog AB</t>
        </is>
      </c>
      <c r="I88" t="n">
        <v>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5</v>
      </c>
      <c r="U88" t="n">
        <v>0</v>
      </c>
      <c r="V88" s="2" t="inlineStr">
        <is>
          <t>Motaggsvamp
Vedskivlav</t>
        </is>
      </c>
      <c r="W88">
        <f>HYPERLINK("https://klasma.github.io/Logging_0482/artfynd/A 34849-2026 artfynd.xlsx", "A 34849-2026")</f>
        <v/>
      </c>
      <c r="X88">
        <f>HYPERLINK("https://klasma.github.io/Logging_0482/kartor/A 34849-2026 karta.png", "A 34849-2026")</f>
        <v/>
      </c>
      <c r="Y88">
        <f>HYPERLINK("https://klasma.github.io/Logging_0482/kartor_geotiff/A 34849-2026 georefererad karta.tif", "A 34849-2026")</f>
        <v/>
      </c>
      <c r="AA88">
        <f>HYPERLINK("https://klasma.github.io/Logging_0482/klagomål/A 34849-2026 FSC-klagomål.docx", "A 34849-2026")</f>
        <v/>
      </c>
      <c r="AB88">
        <f>HYPERLINK("https://klasma.github.io/Logging_0482/klagomålsmail/A 34849-2026 FSC-klagomål mail.docx", "A 34849-2026")</f>
        <v/>
      </c>
      <c r="AC88">
        <f>HYPERLINK("https://klasma.github.io/Logging_0482/tillsyn/A 34849-2026 tillsynsbegäran.docx", "A 34849-2026")</f>
        <v/>
      </c>
      <c r="AD88">
        <f>HYPERLINK("https://klasma.github.io/Logging_0482/tillsynsmail/A 34849-2026 tillsynsbegäran mail.docx", "A 34849-2026")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46281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46281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46281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46281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46281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46281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46281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31427-2022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44774</v>
      </c>
      <c r="E96" s="1" t="n">
        <v>46281</v>
      </c>
      <c r="F96" t="inlineStr">
        <is>
          <t>SÖDERMANLANDS LÄN</t>
        </is>
      </c>
      <c r="G96" t="inlineStr">
        <is>
          <t>FLEN</t>
        </is>
      </c>
      <c r="I96" t="n">
        <v>3.7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Älg</t>
        </is>
      </c>
      <c r="W96">
        <f>HYPERLINK("https://klasma.github.io/Logging_0482/artfynd/A 31427-2022 artfynd.xlsx", "A 31427-2022")</f>
        <v/>
      </c>
      <c r="X96">
        <f>HYPERLINK("https://klasma.github.io/Logging_0482/kartor/A 31427-2022 karta.png", "A 31427-2022")</f>
        <v/>
      </c>
      <c r="Y96">
        <f>HYPERLINK("https://klasma.github.io/Logging_0482/kartor_geotiff/A 31427-2022 georefererad karta.tif", "A 31427-2022")</f>
        <v/>
      </c>
      <c r="AA96">
        <f>HYPERLINK("https://klasma.github.io/Logging_0482/klagomål/A 31427-2022 FSC-klagomål.docx", "A 31427-2022")</f>
        <v/>
      </c>
      <c r="AB96">
        <f>HYPERLINK("https://klasma.github.io/Logging_0482/klagomålsmail/A 31427-2022 FSC-klagomål mail.docx", "A 31427-2022")</f>
        <v/>
      </c>
      <c r="AC96">
        <f>HYPERLINK("https://klasma.github.io/Logging_0482/tillsyn/A 31427-2022 tillsynsbegäran.docx", "A 31427-2022")</f>
        <v/>
      </c>
      <c r="AD96">
        <f>HYPERLINK("https://klasma.github.io/Logging_0482/tillsynsmail/A 31427-2022 tillsynsbegäran mail.docx", "A 31427-2022")</f>
        <v/>
      </c>
    </row>
    <row r="97" ht="15" customHeight="1">
      <c r="A97" t="inlineStr">
        <is>
          <t>A 47756-2022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44854</v>
      </c>
      <c r="E97" s="1" t="n">
        <v>46281</v>
      </c>
      <c r="F97" t="inlineStr">
        <is>
          <t>SÖDERMANLANDS LÄN</t>
        </is>
      </c>
      <c r="G97" t="inlineStr">
        <is>
          <t>FLEN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Svinrot</t>
        </is>
      </c>
      <c r="W97">
        <f>HYPERLINK("https://klasma.github.io/Logging_0482/artfynd/A 47756-2022 artfynd.xlsx", "A 47756-2022")</f>
        <v/>
      </c>
      <c r="X97">
        <f>HYPERLINK("https://klasma.github.io/Logging_0482/kartor/A 47756-2022 karta.png", "A 47756-2022")</f>
        <v/>
      </c>
      <c r="Y97">
        <f>HYPERLINK("https://klasma.github.io/Logging_0482/kartor_geotiff/A 47756-2022 georefererad karta.tif", "A 47756-2022")</f>
        <v/>
      </c>
      <c r="AA97">
        <f>HYPERLINK("https://klasma.github.io/Logging_0482/klagomål/A 47756-2022 FSC-klagomål.docx", "A 47756-2022")</f>
        <v/>
      </c>
      <c r="AB97">
        <f>HYPERLINK("https://klasma.github.io/Logging_0482/klagomålsmail/A 47756-2022 FSC-klagomål mail.docx", "A 47756-2022")</f>
        <v/>
      </c>
      <c r="AC97">
        <f>HYPERLINK("https://klasma.github.io/Logging_0482/tillsyn/A 47756-2022 tillsynsbegäran.docx", "A 47756-2022")</f>
        <v/>
      </c>
      <c r="AD97">
        <f>HYPERLINK("https://klasma.github.io/Logging_0482/tillsynsmail/A 47756-2022 tillsynsbegäran mail.docx", "A 47756-2022")</f>
        <v/>
      </c>
    </row>
    <row r="98" ht="15" customHeight="1">
      <c r="A98" t="inlineStr">
        <is>
          <t>A 10999-2026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46079</v>
      </c>
      <c r="E98" s="1" t="n">
        <v>46281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3.6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HYPERLINK("https://klasma.github.io/Logging_0482/artfynd/A 10999-2026 artfynd.xlsx", "A 10999-2026")</f>
        <v/>
      </c>
      <c r="X98">
        <f>HYPERLINK("https://klasma.github.io/Logging_0482/kartor/A 10999-2026 karta.png", "A 10999-2026")</f>
        <v/>
      </c>
      <c r="Y98">
        <f>HYPERLINK("https://klasma.github.io/Logging_0482/kartor_geotiff/A 10999-2026 georefererad karta.tif", "A 10999-2026")</f>
        <v/>
      </c>
      <c r="AA98">
        <f>HYPERLINK("https://klasma.github.io/Logging_0482/klagomål/A 10999-2026 FSC-klagomål.docx", "A 10999-2026")</f>
        <v/>
      </c>
      <c r="AB98">
        <f>HYPERLINK("https://klasma.github.io/Logging_0482/klagomålsmail/A 10999-2026 FSC-klagomål mail.docx", "A 10999-2026")</f>
        <v/>
      </c>
      <c r="AC98">
        <f>HYPERLINK("https://klasma.github.io/Logging_0482/tillsyn/A 10999-2026 tillsynsbegäran.docx", "A 10999-2026")</f>
        <v/>
      </c>
      <c r="AD98">
        <f>HYPERLINK("https://klasma.github.io/Logging_0482/tillsynsmail/A 10999-2026 tillsynsbegäran mail.docx", "A 10999-2026")</f>
        <v/>
      </c>
    </row>
    <row r="99" ht="15" customHeight="1">
      <c r="A99" t="inlineStr">
        <is>
          <t>A 38829-2025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46281</v>
      </c>
      <c r="F99" t="inlineStr">
        <is>
          <t>SÖDERMANLANDS LÄN</t>
        </is>
      </c>
      <c r="G99" t="inlineStr">
        <is>
          <t>FLEN</t>
        </is>
      </c>
      <c r="I99" t="n">
        <v>4.2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38829-2025 artfynd.xlsx", "A 38829-2025")</f>
        <v/>
      </c>
      <c r="X99">
        <f>HYPERLINK("https://klasma.github.io/Logging_0482/kartor/A 38829-2025 karta.png", "A 38829-2025")</f>
        <v/>
      </c>
      <c r="Y99">
        <f>HYPERLINK("https://klasma.github.io/Logging_0482/kartor_geotiff/A 38829-2025 georefererad karta.tif", "A 38829-2025")</f>
        <v/>
      </c>
      <c r="AA99">
        <f>HYPERLINK("https://klasma.github.io/Logging_0482/klagomål/A 38829-2025 FSC-klagomål.docx", "A 38829-2025")</f>
        <v/>
      </c>
      <c r="AB99">
        <f>HYPERLINK("https://klasma.github.io/Logging_0482/klagomålsmail/A 38829-2025 FSC-klagomål mail.docx", "A 38829-2025")</f>
        <v/>
      </c>
      <c r="AC99">
        <f>HYPERLINK("https://klasma.github.io/Logging_0482/tillsyn/A 38829-2025 tillsynsbegäran.docx", "A 38829-2025")</f>
        <v/>
      </c>
      <c r="AD99">
        <f>HYPERLINK("https://klasma.github.io/Logging_0482/tillsynsmail/A 38829-2025 tillsynsbegäran mail.docx", "A 38829-2025")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46281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12056-2024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46281</v>
      </c>
      <c r="F101" t="inlineStr">
        <is>
          <t>SÖDERMANLANDS LÄN</t>
        </is>
      </c>
      <c r="G101" t="inlineStr">
        <is>
          <t>FLEN</t>
        </is>
      </c>
      <c r="I101" t="n">
        <v>8.4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Fjällig taggsvamp s.str.</t>
        </is>
      </c>
      <c r="W101">
        <f>HYPERLINK("https://klasma.github.io/Logging_0482/artfynd/A 12056-2024 artfynd.xlsx", "A 12056-2024")</f>
        <v/>
      </c>
      <c r="X101">
        <f>HYPERLINK("https://klasma.github.io/Logging_0482/kartor/A 12056-2024 karta.png", "A 12056-2024")</f>
        <v/>
      </c>
      <c r="Y101">
        <f>HYPERLINK("https://klasma.github.io/Logging_0482/kartor_geotiff/A 12056-2024 georefererad karta.tif", "A 12056-2024")</f>
        <v/>
      </c>
      <c r="AA101">
        <f>HYPERLINK("https://klasma.github.io/Logging_0482/klagomål/A 12056-2024 FSC-klagomål.docx", "A 12056-2024")</f>
        <v/>
      </c>
      <c r="AB101">
        <f>HYPERLINK("https://klasma.github.io/Logging_0482/klagomålsmail/A 12056-2024 FSC-klagomål mail.docx", "A 12056-2024")</f>
        <v/>
      </c>
      <c r="AC101">
        <f>HYPERLINK("https://klasma.github.io/Logging_0482/tillsyn/A 12056-2024 tillsynsbegäran.docx", "A 12056-2024")</f>
        <v/>
      </c>
      <c r="AD101">
        <f>HYPERLINK("https://klasma.github.io/Logging_0482/tillsynsmail/A 12056-2024 tillsynsbegäran mail.docx", "A 12056-2024")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46281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HYPERLINK("https://klasma.github.io/Logging_0482/artfynd/A 52546-2021 artfynd.xlsx", "A 52546-2021")</f>
        <v/>
      </c>
      <c r="X102">
        <f>HYPERLINK("https://klasma.github.io/Logging_0482/kartor/A 52546-2021 karta.png", "A 52546-2021")</f>
        <v/>
      </c>
      <c r="Y102">
        <f>HYPERLINK("https://klasma.github.io/Logging_0482/kartor_geotiff/A 52546-2021 georefererad karta.tif", "A 52546-2021")</f>
        <v/>
      </c>
      <c r="AA102">
        <f>HYPERLINK("https://klasma.github.io/Logging_0482/klagomål/A 52546-2021 FSC-klagomål.docx", "A 52546-2021")</f>
        <v/>
      </c>
      <c r="AB102">
        <f>HYPERLINK("https://klasma.github.io/Logging_0482/klagomålsmail/A 52546-2021 FSC-klagomål mail.docx", "A 52546-2021")</f>
        <v/>
      </c>
      <c r="AC102">
        <f>HYPERLINK("https://klasma.github.io/Logging_0482/tillsyn/A 52546-2021 tillsynsbegäran.docx", "A 52546-2021")</f>
        <v/>
      </c>
      <c r="AD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10770-2022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46281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HYPERLINK("https://klasma.github.io/Logging_0482/artfynd/A 10770-2022 artfynd.xlsx", "A 10770-2022")</f>
        <v/>
      </c>
      <c r="X103">
        <f>HYPERLINK("https://klasma.github.io/Logging_0482/kartor/A 10770-2022 karta.png", "A 10770-2022")</f>
        <v/>
      </c>
      <c r="Y103">
        <f>HYPERLINK("https://klasma.github.io/Logging_0482/kartor_geotiff/A 10770-2022 georefererad karta.tif", "A 10770-2022")</f>
        <v/>
      </c>
      <c r="AA103">
        <f>HYPERLINK("https://klasma.github.io/Logging_0482/klagomål/A 10770-2022 FSC-klagomål.docx", "A 10770-2022")</f>
        <v/>
      </c>
      <c r="AB103">
        <f>HYPERLINK("https://klasma.github.io/Logging_0482/klagomålsmail/A 10770-2022 FSC-klagomål mail.docx", "A 10770-2022")</f>
        <v/>
      </c>
      <c r="AC103">
        <f>HYPERLINK("https://klasma.github.io/Logging_0482/tillsyn/A 10770-2022 tillsynsbegäran.docx", "A 10770-2022")</f>
        <v/>
      </c>
      <c r="AD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6982-2024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46281</v>
      </c>
      <c r="F104" t="inlineStr">
        <is>
          <t>SÖDERMANLANDS LÄN</t>
        </is>
      </c>
      <c r="G104" t="inlineStr">
        <is>
          <t>FLEN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HYPERLINK("https://klasma.github.io/Logging_0482/artfynd/A 6982-2024 artfynd.xlsx", "A 6982-2024")</f>
        <v/>
      </c>
      <c r="X104">
        <f>HYPERLINK("https://klasma.github.io/Logging_0482/kartor/A 6982-2024 karta.png", "A 6982-2024")</f>
        <v/>
      </c>
      <c r="Y104">
        <f>HYPERLINK("https://klasma.github.io/Logging_0482/kartor_geotiff/A 6982-2024 georefererad karta.tif", "A 6982-2024")</f>
        <v/>
      </c>
      <c r="AA104">
        <f>HYPERLINK("https://klasma.github.io/Logging_0482/klagomål/A 6982-2024 FSC-klagomål.docx", "A 6982-2024")</f>
        <v/>
      </c>
      <c r="AB104">
        <f>HYPERLINK("https://klasma.github.io/Logging_0482/klagomålsmail/A 6982-2024 FSC-klagomål mail.docx", "A 6982-2024")</f>
        <v/>
      </c>
      <c r="AC104">
        <f>HYPERLINK("https://klasma.github.io/Logging_0482/tillsyn/A 6982-2024 tillsynsbegäran.docx", "A 6982-2024")</f>
        <v/>
      </c>
      <c r="AD104">
        <f>HYPERLINK("https://klasma.github.io/Logging_0482/tillsynsmail/A 6982-2024 tillsynsbegäran mail.docx", "A 6982-2024")</f>
        <v/>
      </c>
    </row>
    <row r="105" ht="15" customHeight="1">
      <c r="A105" t="inlineStr">
        <is>
          <t>A 14273-2025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46281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Vedskivlav</t>
        </is>
      </c>
      <c r="W105">
        <f>HYPERLINK("https://klasma.github.io/Logging_0482/artfynd/A 14273-2025 artfynd.xlsx", "A 14273-2025")</f>
        <v/>
      </c>
      <c r="X105">
        <f>HYPERLINK("https://klasma.github.io/Logging_0482/kartor/A 14273-2025 karta.png", "A 14273-2025")</f>
        <v/>
      </c>
      <c r="Y105">
        <f>HYPERLINK("https://klasma.github.io/Logging_0482/kartor_geotiff/A 14273-2025 georefererad karta.tif", "A 14273-2025")</f>
        <v/>
      </c>
      <c r="AA105">
        <f>HYPERLINK("https://klasma.github.io/Logging_0482/klagomål/A 14273-2025 FSC-klagomål.docx", "A 14273-2025")</f>
        <v/>
      </c>
      <c r="AB105">
        <f>HYPERLINK("https://klasma.github.io/Logging_0482/klagomålsmail/A 14273-2025 FSC-klagomål mail.docx", "A 14273-2025")</f>
        <v/>
      </c>
      <c r="AC105">
        <f>HYPERLINK("https://klasma.github.io/Logging_0482/tillsyn/A 14273-2025 tillsynsbegäran.docx", "A 14273-2025")</f>
        <v/>
      </c>
      <c r="AD105">
        <f>HYPERLINK("https://klasma.github.io/Logging_0482/tillsynsmail/A 14273-2025 tillsynsbegäran mail.docx", "A 14273-2025")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46281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53339-2023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46281</v>
      </c>
      <c r="F107" t="inlineStr">
        <is>
          <t>SÖDERMANLANDS LÄN</t>
        </is>
      </c>
      <c r="G107" t="inlineStr">
        <is>
          <t>FLEN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Blåsippa</t>
        </is>
      </c>
      <c r="W107">
        <f>HYPERLINK("https://klasma.github.io/Logging_0482/artfynd/A 53339-2023 artfynd.xlsx", "A 53339-2023")</f>
        <v/>
      </c>
      <c r="X107">
        <f>HYPERLINK("https://klasma.github.io/Logging_0482/kartor/A 53339-2023 karta.png", "A 53339-2023")</f>
        <v/>
      </c>
      <c r="Y107">
        <f>HYPERLINK("https://klasma.github.io/Logging_0482/kartor_geotiff/A 53339-2023 georefererad karta.tif", "A 53339-2023")</f>
        <v/>
      </c>
      <c r="AA107">
        <f>HYPERLINK("https://klasma.github.io/Logging_0482/klagomål/A 53339-2023 FSC-klagomål.docx", "A 53339-2023")</f>
        <v/>
      </c>
      <c r="AB107">
        <f>HYPERLINK("https://klasma.github.io/Logging_0482/klagomålsmail/A 53339-2023 FSC-klagomål mail.docx", "A 53339-2023")</f>
        <v/>
      </c>
      <c r="AC107">
        <f>HYPERLINK("https://klasma.github.io/Logging_0482/tillsyn/A 53339-2023 tillsynsbegäran.docx", "A 53339-2023")</f>
        <v/>
      </c>
      <c r="AD107">
        <f>HYPERLINK("https://klasma.github.io/Logging_0482/tillsynsmail/A 53339-2023 tillsynsbegäran mail.docx", "A 53339-2023")</f>
        <v/>
      </c>
    </row>
    <row r="108" ht="15" customHeight="1">
      <c r="A108" t="inlineStr">
        <is>
          <t>A 4259-2023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44953</v>
      </c>
      <c r="E108" s="1" t="n">
        <v>46281</v>
      </c>
      <c r="F108" t="inlineStr">
        <is>
          <t>SÖDERMANLANDS LÄN</t>
        </is>
      </c>
      <c r="G108" t="inlineStr">
        <is>
          <t>FLEN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Blåsippa</t>
        </is>
      </c>
      <c r="W108">
        <f>HYPERLINK("https://klasma.github.io/Logging_0482/artfynd/A 4259-2023 artfynd.xlsx", "A 4259-2023")</f>
        <v/>
      </c>
      <c r="X108">
        <f>HYPERLINK("https://klasma.github.io/Logging_0482/kartor/A 4259-2023 karta.png", "A 4259-2023")</f>
        <v/>
      </c>
      <c r="Y108">
        <f>HYPERLINK("https://klasma.github.io/Logging_0482/kartor_geotiff/A 4259-2023 georefererad karta.tif", "A 4259-2023")</f>
        <v/>
      </c>
      <c r="AA108">
        <f>HYPERLINK("https://klasma.github.io/Logging_0482/klagomål/A 4259-2023 FSC-klagomål.docx", "A 4259-2023")</f>
        <v/>
      </c>
      <c r="AB108">
        <f>HYPERLINK("https://klasma.github.io/Logging_0482/klagomålsmail/A 4259-2023 FSC-klagomål mail.docx", "A 4259-2023")</f>
        <v/>
      </c>
      <c r="AC108">
        <f>HYPERLINK("https://klasma.github.io/Logging_0482/tillsyn/A 4259-2023 tillsynsbegäran.docx", "A 4259-2023")</f>
        <v/>
      </c>
      <c r="AD108">
        <f>HYPERLINK("https://klasma.github.io/Logging_0482/tillsynsmail/A 4259-2023 tillsynsbegäran mail.docx", "A 4259-2023")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46281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12306-2022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46281</v>
      </c>
      <c r="F110" t="inlineStr">
        <is>
          <t>SÖDERMANLANDS LÄN</t>
        </is>
      </c>
      <c r="G110" t="inlineStr">
        <is>
          <t>FLEN</t>
        </is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Järnsparv</t>
        </is>
      </c>
      <c r="W110">
        <f>HYPERLINK("https://klasma.github.io/Logging_0482/artfynd/A 12306-2022 artfynd.xlsx", "A 12306-2022")</f>
        <v/>
      </c>
      <c r="X110">
        <f>HYPERLINK("https://klasma.github.io/Logging_0482/kartor/A 12306-2022 karta.png", "A 12306-2022")</f>
        <v/>
      </c>
      <c r="Y110">
        <f>HYPERLINK("https://klasma.github.io/Logging_0482/kartor_geotiff/A 12306-2022 georefererad karta.tif", "A 12306-2022")</f>
        <v/>
      </c>
      <c r="AA110">
        <f>HYPERLINK("https://klasma.github.io/Logging_0482/klagomål/A 12306-2022 FSC-klagomål.docx", "A 12306-2022")</f>
        <v/>
      </c>
      <c r="AB110">
        <f>HYPERLINK("https://klasma.github.io/Logging_0482/klagomålsmail/A 12306-2022 FSC-klagomål mail.docx", "A 12306-2022")</f>
        <v/>
      </c>
      <c r="AC110">
        <f>HYPERLINK("https://klasma.github.io/Logging_0482/tillsyn/A 12306-2022 tillsynsbegäran.docx", "A 12306-2022")</f>
        <v/>
      </c>
      <c r="AD110">
        <f>HYPERLINK("https://klasma.github.io/Logging_0482/tillsynsmail/A 12306-2022 tillsynsbegäran mail.docx", "A 12306-2022")</f>
        <v/>
      </c>
      <c r="AE110">
        <f>HYPERLINK("https://klasma.github.io/Logging_0482/fåglar/A 12306-2022 prioriterade fågelarter.docx", "A 12306-2022")</f>
        <v/>
      </c>
    </row>
    <row r="111" ht="15" customHeight="1">
      <c r="A111" t="inlineStr">
        <is>
          <t>A 46987-2024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46281</v>
      </c>
      <c r="F111" t="inlineStr">
        <is>
          <t>SÖDERMANLANDS LÄN</t>
        </is>
      </c>
      <c r="G111" t="inlineStr">
        <is>
          <t>FLEN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Svinrot</t>
        </is>
      </c>
      <c r="W111">
        <f>HYPERLINK("https://klasma.github.io/Logging_0482/artfynd/A 46987-2024 artfynd.xlsx", "A 46987-2024")</f>
        <v/>
      </c>
      <c r="X111">
        <f>HYPERLINK("https://klasma.github.io/Logging_0482/kartor/A 46987-2024 karta.png", "A 46987-2024")</f>
        <v/>
      </c>
      <c r="Y111">
        <f>HYPERLINK("https://klasma.github.io/Logging_0482/kartor_geotiff/A 46987-2024 georefererad karta.tif", "A 46987-2024")</f>
        <v/>
      </c>
      <c r="AA111">
        <f>HYPERLINK("https://klasma.github.io/Logging_0482/klagomål/A 46987-2024 FSC-klagomål.docx", "A 46987-2024")</f>
        <v/>
      </c>
      <c r="AB111">
        <f>HYPERLINK("https://klasma.github.io/Logging_0482/klagomålsmail/A 46987-2024 FSC-klagomål mail.docx", "A 46987-2024")</f>
        <v/>
      </c>
      <c r="AC111">
        <f>HYPERLINK("https://klasma.github.io/Logging_0482/tillsyn/A 46987-2024 tillsynsbegäran.docx", "A 46987-2024")</f>
        <v/>
      </c>
      <c r="AD111">
        <f>HYPERLINK("https://klasma.github.io/Logging_0482/tillsynsmail/A 46987-2024 tillsynsbegäran mail.docx", "A 46987-2024")</f>
        <v/>
      </c>
    </row>
    <row r="112" ht="15" customHeight="1">
      <c r="A112" t="inlineStr">
        <is>
          <t>A 21704-2026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46149</v>
      </c>
      <c r="E112" s="1" t="n">
        <v>46281</v>
      </c>
      <c r="F112" t="inlineStr">
        <is>
          <t>SÖDERMANLANDS LÄN</t>
        </is>
      </c>
      <c r="G112" t="inlineStr">
        <is>
          <t>FLEN</t>
        </is>
      </c>
      <c r="I112" t="n">
        <v>10.2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Kandelabersvamp</t>
        </is>
      </c>
      <c r="W112">
        <f>HYPERLINK("https://klasma.github.io/Logging_0482/artfynd/A 21704-2026 artfynd.xlsx", "A 21704-2026")</f>
        <v/>
      </c>
      <c r="X112">
        <f>HYPERLINK("https://klasma.github.io/Logging_0482/kartor/A 21704-2026 karta.png", "A 21704-2026")</f>
        <v/>
      </c>
      <c r="Y112">
        <f>HYPERLINK("https://klasma.github.io/Logging_0482/kartor_geotiff/A 21704-2026 georefererad karta.tif", "A 21704-2026")</f>
        <v/>
      </c>
      <c r="AA112">
        <f>HYPERLINK("https://klasma.github.io/Logging_0482/klagomål/A 21704-2026 FSC-klagomål.docx", "A 21704-2026")</f>
        <v/>
      </c>
      <c r="AB112">
        <f>HYPERLINK("https://klasma.github.io/Logging_0482/klagomålsmail/A 21704-2026 FSC-klagomål mail.docx", "A 21704-2026")</f>
        <v/>
      </c>
      <c r="AC112">
        <f>HYPERLINK("https://klasma.github.io/Logging_0482/tillsyn/A 21704-2026 tillsynsbegäran.docx", "A 21704-2026")</f>
        <v/>
      </c>
      <c r="AD112">
        <f>HYPERLINK("https://klasma.github.io/Logging_0482/tillsynsmail/A 21704-2026 tillsynsbegäran mail.docx", "A 21704-2026")</f>
        <v/>
      </c>
    </row>
    <row r="113" ht="15" customHeight="1">
      <c r="A113" t="inlineStr">
        <is>
          <t>A 31972-2024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46281</v>
      </c>
      <c r="F113" t="inlineStr">
        <is>
          <t>SÖDERMANLANDS LÄN</t>
        </is>
      </c>
      <c r="G113" t="inlineStr">
        <is>
          <t>FLEN</t>
        </is>
      </c>
      <c r="I113" t="n">
        <v>3.4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Åkerrödtoppa</t>
        </is>
      </c>
      <c r="W113">
        <f>HYPERLINK("https://klasma.github.io/Logging_0482/artfynd/A 31972-2024 artfynd.xlsx", "A 31972-2024")</f>
        <v/>
      </c>
      <c r="X113">
        <f>HYPERLINK("https://klasma.github.io/Logging_0482/kartor/A 31972-2024 karta.png", "A 31972-2024")</f>
        <v/>
      </c>
      <c r="Y113">
        <f>HYPERLINK("https://klasma.github.io/Logging_0482/kartor_geotiff/A 31972-2024 georefererad karta.tif", "A 31972-2024")</f>
        <v/>
      </c>
      <c r="AA113">
        <f>HYPERLINK("https://klasma.github.io/Logging_0482/klagomål/A 31972-2024 FSC-klagomål.docx", "A 31972-2024")</f>
        <v/>
      </c>
      <c r="AB113">
        <f>HYPERLINK("https://klasma.github.io/Logging_0482/klagomålsmail/A 31972-2024 FSC-klagomål mail.docx", "A 31972-2024")</f>
        <v/>
      </c>
      <c r="AC113">
        <f>HYPERLINK("https://klasma.github.io/Logging_0482/tillsyn/A 31972-2024 tillsynsbegäran.docx", "A 31972-2024")</f>
        <v/>
      </c>
      <c r="AD113">
        <f>HYPERLINK("https://klasma.github.io/Logging_0482/tillsynsmail/A 31972-2024 tillsynsbegäran mail.docx", "A 31972-2024")</f>
        <v/>
      </c>
    </row>
    <row r="114" ht="15" customHeight="1">
      <c r="A114" t="inlineStr">
        <is>
          <t>A 62535-2021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46281</v>
      </c>
      <c r="F114" t="inlineStr">
        <is>
          <t>SÖDERMANLANDS LÄN</t>
        </is>
      </c>
      <c r="G114" t="inlineStr">
        <is>
          <t>FLEN</t>
        </is>
      </c>
      <c r="I114" t="n">
        <v>0.6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HYPERLINK("https://klasma.github.io/Logging_0482/artfynd/A 62535-2021 artfynd.xlsx", "A 62535-2021")</f>
        <v/>
      </c>
      <c r="X114">
        <f>HYPERLINK("https://klasma.github.io/Logging_0482/kartor/A 62535-2021 karta.png", "A 62535-2021")</f>
        <v/>
      </c>
      <c r="Y114">
        <f>HYPERLINK("https://klasma.github.io/Logging_0482/kartor_geotiff/A 62535-2021 georefererad karta.tif", "A 62535-2021")</f>
        <v/>
      </c>
      <c r="AA114">
        <f>HYPERLINK("https://klasma.github.io/Logging_0482/klagomål/A 62535-2021 FSC-klagomål.docx", "A 62535-2021")</f>
        <v/>
      </c>
      <c r="AB114">
        <f>HYPERLINK("https://klasma.github.io/Logging_0482/klagomålsmail/A 62535-2021 FSC-klagomål mail.docx", "A 62535-2021")</f>
        <v/>
      </c>
      <c r="AC114">
        <f>HYPERLINK("https://klasma.github.io/Logging_0482/tillsyn/A 62535-2021 tillsynsbegäran.docx", "A 62535-2021")</f>
        <v/>
      </c>
      <c r="AD114">
        <f>HYPERLINK("https://klasma.github.io/Logging_0482/tillsynsmail/A 62535-2021 tillsynsbegäran mail.docx", "A 62535-2021")</f>
        <v/>
      </c>
    </row>
    <row r="115" ht="15" customHeight="1">
      <c r="A115" t="inlineStr">
        <is>
          <t>A 50202-2022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46281</v>
      </c>
      <c r="F115" t="inlineStr">
        <is>
          <t>SÖDERMANLANDS LÄN</t>
        </is>
      </c>
      <c r="G115" t="inlineStr">
        <is>
          <t>FLEN</t>
        </is>
      </c>
      <c r="H115" t="inlineStr">
        <is>
          <t>Kyrkan</t>
        </is>
      </c>
      <c r="I115" t="n">
        <v>5.8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50202-2022 artfynd.xlsx", "A 50202-2022")</f>
        <v/>
      </c>
      <c r="X115">
        <f>HYPERLINK("https://klasma.github.io/Logging_0482/kartor/A 50202-2022 karta.png", "A 50202-2022")</f>
        <v/>
      </c>
      <c r="Y115">
        <f>HYPERLINK("https://klasma.github.io/Logging_0482/kartor_geotiff/A 50202-2022 georefererad karta.tif", "A 50202-2022")</f>
        <v/>
      </c>
      <c r="AA115">
        <f>HYPERLINK("https://klasma.github.io/Logging_0482/klagomål/A 50202-2022 FSC-klagomål.docx", "A 50202-2022")</f>
        <v/>
      </c>
      <c r="AB115">
        <f>HYPERLINK("https://klasma.github.io/Logging_0482/klagomålsmail/A 50202-2022 FSC-klagomål mail.docx", "A 50202-2022")</f>
        <v/>
      </c>
      <c r="AC115">
        <f>HYPERLINK("https://klasma.github.io/Logging_0482/tillsyn/A 50202-2022 tillsynsbegäran.docx", "A 50202-2022")</f>
        <v/>
      </c>
      <c r="AD115">
        <f>HYPERLINK("https://klasma.github.io/Logging_0482/tillsynsmail/A 50202-2022 tillsynsbegäran mail.docx", "A 50202-2022")</f>
        <v/>
      </c>
    </row>
    <row r="116" ht="15" customHeight="1">
      <c r="A116" t="inlineStr">
        <is>
          <t>A 24179-2026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46281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1.8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Gullklöver</t>
        </is>
      </c>
      <c r="W116">
        <f>HYPERLINK("https://klasma.github.io/Logging_0482/artfynd/A 24179-2026 artfynd.xlsx", "A 24179-2026")</f>
        <v/>
      </c>
      <c r="X116">
        <f>HYPERLINK("https://klasma.github.io/Logging_0482/kartor/A 24179-2026 karta.png", "A 24179-2026")</f>
        <v/>
      </c>
      <c r="Y116">
        <f>HYPERLINK("https://klasma.github.io/Logging_0482/kartor_geotiff/A 24179-2026 georefererad karta.tif", "A 24179-2026")</f>
        <v/>
      </c>
      <c r="AA116">
        <f>HYPERLINK("https://klasma.github.io/Logging_0482/klagomål/A 24179-2026 FSC-klagomål.docx", "A 24179-2026")</f>
        <v/>
      </c>
      <c r="AB116">
        <f>HYPERLINK("https://klasma.github.io/Logging_0482/klagomålsmail/A 24179-2026 FSC-klagomål mail.docx", "A 24179-2026")</f>
        <v/>
      </c>
      <c r="AC116">
        <f>HYPERLINK("https://klasma.github.io/Logging_0482/tillsyn/A 24179-2026 tillsynsbegäran.docx", "A 24179-2026")</f>
        <v/>
      </c>
      <c r="AD116">
        <f>HYPERLINK("https://klasma.github.io/Logging_0482/tillsynsmail/A 24179-2026 tillsynsbegäran mail.docx", "A 24179-2026")</f>
        <v/>
      </c>
    </row>
    <row r="117" ht="15" customHeight="1">
      <c r="A117" t="inlineStr">
        <is>
          <t>A 2043-2026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46281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2.1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Scharlakansvaxing</t>
        </is>
      </c>
      <c r="W117">
        <f>HYPERLINK("https://klasma.github.io/Logging_0482/artfynd/A 2043-2026 artfynd.xlsx", "A 2043-2026")</f>
        <v/>
      </c>
      <c r="X117">
        <f>HYPERLINK("https://klasma.github.io/Logging_0482/kartor/A 2043-2026 karta.png", "A 2043-2026")</f>
        <v/>
      </c>
      <c r="Y117">
        <f>HYPERLINK("https://klasma.github.io/Logging_0482/kartor_geotiff/A 2043-2026 georefererad karta.tif", "A 2043-2026")</f>
        <v/>
      </c>
      <c r="AA117">
        <f>HYPERLINK("https://klasma.github.io/Logging_0482/klagomål/A 2043-2026 FSC-klagomål.docx", "A 2043-2026")</f>
        <v/>
      </c>
      <c r="AB117">
        <f>HYPERLINK("https://klasma.github.io/Logging_0482/klagomålsmail/A 2043-2026 FSC-klagomål mail.docx", "A 2043-2026")</f>
        <v/>
      </c>
      <c r="AC117">
        <f>HYPERLINK("https://klasma.github.io/Logging_0482/tillsyn/A 2043-2026 tillsynsbegäran.docx", "A 2043-2026")</f>
        <v/>
      </c>
      <c r="AD117">
        <f>HYPERLINK("https://klasma.github.io/Logging_0482/tillsynsmail/A 2043-2026 tillsynsbegäran mail.docx", "A 2043-2026")</f>
        <v/>
      </c>
    </row>
    <row r="118" ht="15" customHeight="1">
      <c r="A118" t="inlineStr">
        <is>
          <t>A 2036-2026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46281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HYPERLINK("https://klasma.github.io/Logging_0482/artfynd/A 2036-2026 artfynd.xlsx", "A 2036-2026")</f>
        <v/>
      </c>
      <c r="X118">
        <f>HYPERLINK("https://klasma.github.io/Logging_0482/kartor/A 2036-2026 karta.png", "A 2036-2026")</f>
        <v/>
      </c>
      <c r="Y118">
        <f>HYPERLINK("https://klasma.github.io/Logging_0482/kartor_geotiff/A 2036-2026 georefererad karta.tif", "A 2036-2026")</f>
        <v/>
      </c>
      <c r="Z118">
        <f>HYPERLINK("https://klasma.github.io/Logging_0482/knärot/A 2036-2026 karta knärot.png", "A 2036-2026")</f>
        <v/>
      </c>
      <c r="AA118">
        <f>HYPERLINK("https://klasma.github.io/Logging_0482/klagomål/A 2036-2026 FSC-klagomål.docx", "A 2036-2026")</f>
        <v/>
      </c>
      <c r="AB118">
        <f>HYPERLINK("https://klasma.github.io/Logging_0482/klagomålsmail/A 2036-2026 FSC-klagomål mail.docx", "A 2036-2026")</f>
        <v/>
      </c>
      <c r="AC118">
        <f>HYPERLINK("https://klasma.github.io/Logging_0482/tillsyn/A 2036-2026 tillsynsbegäran.docx", "A 2036-2026")</f>
        <v/>
      </c>
      <c r="AD118">
        <f>HYPERLINK("https://klasma.github.io/Logging_0482/tillsynsmail/A 2036-2026 tillsynsbegäran mail.docx", "A 2036-2026")</f>
        <v/>
      </c>
    </row>
    <row r="119" ht="15" customHeight="1">
      <c r="A119" t="inlineStr">
        <is>
          <t>A 52563-2021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46281</v>
      </c>
      <c r="F119" t="inlineStr">
        <is>
          <t>SÖDERMANLANDS LÄN</t>
        </is>
      </c>
      <c r="G119" t="inlineStr">
        <is>
          <t>FLEN</t>
        </is>
      </c>
      <c r="I119" t="n">
        <v>9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Gulsparv</t>
        </is>
      </c>
      <c r="W119">
        <f>HYPERLINK("https://klasma.github.io/Logging_0482/artfynd/A 52563-2021 artfynd.xlsx", "A 52563-2021")</f>
        <v/>
      </c>
      <c r="X119">
        <f>HYPERLINK("https://klasma.github.io/Logging_0482/kartor/A 52563-2021 karta.png", "A 52563-2021")</f>
        <v/>
      </c>
      <c r="Y119">
        <f>HYPERLINK("https://klasma.github.io/Logging_0482/kartor_geotiff/A 52563-2021 georefererad karta.tif", "A 52563-2021")</f>
        <v/>
      </c>
      <c r="AA119">
        <f>HYPERLINK("https://klasma.github.io/Logging_0482/klagomål/A 52563-2021 FSC-klagomål.docx", "A 52563-2021")</f>
        <v/>
      </c>
      <c r="AB119">
        <f>HYPERLINK("https://klasma.github.io/Logging_0482/klagomålsmail/A 52563-2021 FSC-klagomål mail.docx", "A 52563-2021")</f>
        <v/>
      </c>
      <c r="AC119">
        <f>HYPERLINK("https://klasma.github.io/Logging_0482/tillsyn/A 52563-2021 tillsynsbegäran.docx", "A 52563-2021")</f>
        <v/>
      </c>
      <c r="AD119">
        <f>HYPERLINK("https://klasma.github.io/Logging_0482/tillsynsmail/A 52563-2021 tillsynsbegäran mail.docx", "A 52563-2021")</f>
        <v/>
      </c>
      <c r="AE119">
        <f>HYPERLINK("https://klasma.github.io/Logging_0482/fåglar/A 52563-2021 prioriterade fågelarter.docx", "A 52563-2021")</f>
        <v/>
      </c>
    </row>
    <row r="120" ht="15" customHeight="1">
      <c r="A120" t="inlineStr">
        <is>
          <t>A 66230-2021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46281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66230-2021 artfynd.xlsx", "A 66230-2021")</f>
        <v/>
      </c>
      <c r="X120">
        <f>HYPERLINK("https://klasma.github.io/Logging_0482/kartor/A 66230-2021 karta.png", "A 66230-2021")</f>
        <v/>
      </c>
      <c r="Y120">
        <f>HYPERLINK("https://klasma.github.io/Logging_0482/kartor_geotiff/A 66230-2021 georefererad karta.tif", "A 66230-2021")</f>
        <v/>
      </c>
      <c r="AA120">
        <f>HYPERLINK("https://klasma.github.io/Logging_0482/klagomål/A 66230-2021 FSC-klagomål.docx", "A 66230-2021")</f>
        <v/>
      </c>
      <c r="AB120">
        <f>HYPERLINK("https://klasma.github.io/Logging_0482/klagomålsmail/A 66230-2021 FSC-klagomål mail.docx", "A 66230-2021")</f>
        <v/>
      </c>
      <c r="AC120">
        <f>HYPERLINK("https://klasma.github.io/Logging_0482/tillsyn/A 66230-2021 tillsynsbegäran.docx", "A 66230-2021")</f>
        <v/>
      </c>
      <c r="AD120">
        <f>HYPERLINK("https://klasma.github.io/Logging_0482/tillsynsmail/A 66230-2021 tillsynsbegäran mail.docx", "A 66230-2021")</f>
        <v/>
      </c>
    </row>
    <row r="121" ht="15" customHeight="1">
      <c r="A121" t="inlineStr">
        <is>
          <t>A 29195-2023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46281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3.9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Plattlummer</t>
        </is>
      </c>
      <c r="W121">
        <f>HYPERLINK("https://klasma.github.io/Logging_0482/artfynd/A 29195-2023 artfynd.xlsx", "A 29195-2023")</f>
        <v/>
      </c>
      <c r="X121">
        <f>HYPERLINK("https://klasma.github.io/Logging_0482/kartor/A 29195-2023 karta.png", "A 29195-2023")</f>
        <v/>
      </c>
      <c r="Y121">
        <f>HYPERLINK("https://klasma.github.io/Logging_0482/kartor_geotiff/A 29195-2023 georefererad karta.tif", "A 29195-2023")</f>
        <v/>
      </c>
      <c r="AA121">
        <f>HYPERLINK("https://klasma.github.io/Logging_0482/klagomål/A 29195-2023 FSC-klagomål.docx", "A 29195-2023")</f>
        <v/>
      </c>
      <c r="AB121">
        <f>HYPERLINK("https://klasma.github.io/Logging_0482/klagomålsmail/A 29195-2023 FSC-klagomål mail.docx", "A 29195-2023")</f>
        <v/>
      </c>
      <c r="AC121">
        <f>HYPERLINK("https://klasma.github.io/Logging_0482/tillsyn/A 29195-2023 tillsynsbegäran.docx", "A 29195-2023")</f>
        <v/>
      </c>
      <c r="AD121">
        <f>HYPERLINK("https://klasma.github.io/Logging_0482/tillsynsmail/A 29195-2023 tillsynsbegäran mail.docx", "A 29195-2023")</f>
        <v/>
      </c>
    </row>
    <row r="122" ht="15" customHeight="1">
      <c r="A122" t="inlineStr">
        <is>
          <t>A 14101-2025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46281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HYPERLINK("https://klasma.github.io/Logging_0482/artfynd/A 14101-2025 artfynd.xlsx", "A 14101-2025")</f>
        <v/>
      </c>
      <c r="X122">
        <f>HYPERLINK("https://klasma.github.io/Logging_0482/kartor/A 14101-2025 karta.png", "A 14101-2025")</f>
        <v/>
      </c>
      <c r="Y122">
        <f>HYPERLINK("https://klasma.github.io/Logging_0482/kartor_geotiff/A 14101-2025 georefererad karta.tif", "A 14101-2025")</f>
        <v/>
      </c>
      <c r="AA122">
        <f>HYPERLINK("https://klasma.github.io/Logging_0482/klagomål/A 14101-2025 FSC-klagomål.docx", "A 14101-2025")</f>
        <v/>
      </c>
      <c r="AB122">
        <f>HYPERLINK("https://klasma.github.io/Logging_0482/klagomålsmail/A 14101-2025 FSC-klagomål mail.docx", "A 14101-2025")</f>
        <v/>
      </c>
      <c r="AC122">
        <f>HYPERLINK("https://klasma.github.io/Logging_0482/tillsyn/A 14101-2025 tillsynsbegäran.docx", "A 14101-2025")</f>
        <v/>
      </c>
      <c r="AD122">
        <f>HYPERLINK("https://klasma.github.io/Logging_0482/tillsynsmail/A 14101-2025 tillsynsbegäran mail.docx", "A 14101-2025")</f>
        <v/>
      </c>
    </row>
    <row r="123" ht="15" customHeight="1">
      <c r="A123" t="inlineStr">
        <is>
          <t>A 6714-2026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46281</v>
      </c>
      <c r="F123" t="inlineStr">
        <is>
          <t>SÖDERMANLANDS LÄN</t>
        </is>
      </c>
      <c r="G123" t="inlineStr">
        <is>
          <t>FLEN</t>
        </is>
      </c>
      <c r="I123" t="n">
        <v>4.6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HYPERLINK("https://klasma.github.io/Logging_0482/artfynd/A 6714-2026 artfynd.xlsx", "A 6714-2026")</f>
        <v/>
      </c>
      <c r="X123">
        <f>HYPERLINK("https://klasma.github.io/Logging_0482/kartor/A 6714-2026 karta.png", "A 6714-2026")</f>
        <v/>
      </c>
      <c r="Y123">
        <f>HYPERLINK("https://klasma.github.io/Logging_0482/kartor_geotiff/A 6714-2026 georefererad karta.tif", "A 6714-2026")</f>
        <v/>
      </c>
      <c r="AA123">
        <f>HYPERLINK("https://klasma.github.io/Logging_0482/klagomål/A 6714-2026 FSC-klagomål.docx", "A 6714-2026")</f>
        <v/>
      </c>
      <c r="AB123">
        <f>HYPERLINK("https://klasma.github.io/Logging_0482/klagomålsmail/A 6714-2026 FSC-klagomål mail.docx", "A 6714-2026")</f>
        <v/>
      </c>
      <c r="AC123">
        <f>HYPERLINK("https://klasma.github.io/Logging_0482/tillsyn/A 6714-2026 tillsynsbegäran.docx", "A 6714-2026")</f>
        <v/>
      </c>
      <c r="AD123">
        <f>HYPERLINK("https://klasma.github.io/Logging_0482/tillsynsmail/A 6714-2026 tillsynsbegäran mail.docx", "A 6714-2026")</f>
        <v/>
      </c>
    </row>
    <row r="124" ht="15" customHeight="1">
      <c r="A124" t="inlineStr">
        <is>
          <t>A 26310-2026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46281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HYPERLINK("https://klasma.github.io/Logging_0482/artfynd/A 26310-2026 artfynd.xlsx", "A 26310-2026")</f>
        <v/>
      </c>
      <c r="X124">
        <f>HYPERLINK("https://klasma.github.io/Logging_0482/kartor/A 26310-2026 karta.png", "A 26310-2026")</f>
        <v/>
      </c>
      <c r="Y124">
        <f>HYPERLINK("https://klasma.github.io/Logging_0482/kartor_geotiff/A 26310-2026 georefererad karta.tif", "A 26310-2026")</f>
        <v/>
      </c>
      <c r="AA124">
        <f>HYPERLINK("https://klasma.github.io/Logging_0482/klagomål/A 26310-2026 FSC-klagomål.docx", "A 26310-2026")</f>
        <v/>
      </c>
      <c r="AB124">
        <f>HYPERLINK("https://klasma.github.io/Logging_0482/klagomålsmail/A 26310-2026 FSC-klagomål mail.docx", "A 26310-2026")</f>
        <v/>
      </c>
      <c r="AC124">
        <f>HYPERLINK("https://klasma.github.io/Logging_0482/tillsyn/A 26310-2026 tillsynsbegäran.docx", "A 26310-2026")</f>
        <v/>
      </c>
      <c r="AD124">
        <f>HYPERLINK("https://klasma.github.io/Logging_0482/tillsynsmail/A 26310-2026 tillsynsbegäran mail.docx", "A 26310-2026")</f>
        <v/>
      </c>
      <c r="AE124">
        <f>HYPERLINK("https://klasma.github.io/Logging_0482/fåglar/A 26310-2026 prioriterade fågelarter.docx", "A 26310-2026")</f>
        <v/>
      </c>
    </row>
    <row r="125" ht="15" customHeight="1">
      <c r="A125" t="inlineStr">
        <is>
          <t>A 26052-2026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46281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HYPERLINK("https://klasma.github.io/Logging_0482/artfynd/A 26052-2026 artfynd.xlsx", "A 26052-2026")</f>
        <v/>
      </c>
      <c r="X125">
        <f>HYPERLINK("https://klasma.github.io/Logging_0482/kartor/A 26052-2026 karta.png", "A 26052-2026")</f>
        <v/>
      </c>
      <c r="Y125">
        <f>HYPERLINK("https://klasma.github.io/Logging_0482/kartor_geotiff/A 26052-2026 georefererad karta.tif", "A 26052-2026")</f>
        <v/>
      </c>
      <c r="AA125">
        <f>HYPERLINK("https://klasma.github.io/Logging_0482/klagomål/A 26052-2026 FSC-klagomål.docx", "A 26052-2026")</f>
        <v/>
      </c>
      <c r="AB125">
        <f>HYPERLINK("https://klasma.github.io/Logging_0482/klagomålsmail/A 26052-2026 FSC-klagomål mail.docx", "A 26052-2026")</f>
        <v/>
      </c>
      <c r="AC125">
        <f>HYPERLINK("https://klasma.github.io/Logging_0482/tillsyn/A 26052-2026 tillsynsbegäran.docx", "A 26052-2026")</f>
        <v/>
      </c>
      <c r="AD125">
        <f>HYPERLINK("https://klasma.github.io/Logging_0482/tillsynsmail/A 26052-2026 tillsynsbegäran mail.docx", "A 26052-2026")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46281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60562-2021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46281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Gullklöver</t>
        </is>
      </c>
      <c r="W127">
        <f>HYPERLINK("https://klasma.github.io/Logging_0482/artfynd/A 60562-2021 artfynd.xlsx", "A 60562-2021")</f>
        <v/>
      </c>
      <c r="X127">
        <f>HYPERLINK("https://klasma.github.io/Logging_0482/kartor/A 60562-2021 karta.png", "A 60562-2021")</f>
        <v/>
      </c>
      <c r="Y127">
        <f>HYPERLINK("https://klasma.github.io/Logging_0482/kartor_geotiff/A 60562-2021 georefererad karta.tif", "A 60562-2021")</f>
        <v/>
      </c>
      <c r="AA127">
        <f>HYPERLINK("https://klasma.github.io/Logging_0482/klagomål/A 60562-2021 FSC-klagomål.docx", "A 60562-2021")</f>
        <v/>
      </c>
      <c r="AB127">
        <f>HYPERLINK("https://klasma.github.io/Logging_0482/klagomålsmail/A 60562-2021 FSC-klagomål mail.docx", "A 60562-2021")</f>
        <v/>
      </c>
      <c r="AC127">
        <f>HYPERLINK("https://klasma.github.io/Logging_0482/tillsyn/A 60562-2021 tillsynsbegäran.docx", "A 60562-2021")</f>
        <v/>
      </c>
      <c r="AD127">
        <f>HYPERLINK("https://klasma.github.io/Logging_0482/tillsynsmail/A 60562-2021 tillsynsbegäran mail.docx", "A 60562-2021")</f>
        <v/>
      </c>
    </row>
    <row r="128" ht="15" customHeight="1">
      <c r="A128" t="inlineStr">
        <is>
          <t>A 7525-2024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45348</v>
      </c>
      <c r="E128" s="1" t="n">
        <v>46281</v>
      </c>
      <c r="F128" t="inlineStr">
        <is>
          <t>SÖDERMANLANDS LÄN</t>
        </is>
      </c>
      <c r="G128" t="inlineStr">
        <is>
          <t>FLEN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backsmörblomma</t>
        </is>
      </c>
      <c r="W128">
        <f>HYPERLINK("https://klasma.github.io/Logging_0482/artfynd/A 7525-2024 artfynd.xlsx", "A 7525-2024")</f>
        <v/>
      </c>
      <c r="X128">
        <f>HYPERLINK("https://klasma.github.io/Logging_0482/kartor/A 7525-2024 karta.png", "A 7525-2024")</f>
        <v/>
      </c>
      <c r="Y128">
        <f>HYPERLINK("https://klasma.github.io/Logging_0482/kartor_geotiff/A 7525-2024 georefererad karta.tif", "A 7525-2024")</f>
        <v/>
      </c>
      <c r="AA128">
        <f>HYPERLINK("https://klasma.github.io/Logging_0482/klagomål/A 7525-2024 FSC-klagomål.docx", "A 7525-2024")</f>
        <v/>
      </c>
      <c r="AB128">
        <f>HYPERLINK("https://klasma.github.io/Logging_0482/klagomålsmail/A 7525-2024 FSC-klagomål mail.docx", "A 7525-2024")</f>
        <v/>
      </c>
      <c r="AC128">
        <f>HYPERLINK("https://klasma.github.io/Logging_0482/tillsyn/A 7525-2024 tillsynsbegäran.docx", "A 7525-2024")</f>
        <v/>
      </c>
      <c r="AD128">
        <f>HYPERLINK("https://klasma.github.io/Logging_0482/tillsynsmail/A 7525-2024 tillsynsbegäran mail.docx", "A 7525-2024")</f>
        <v/>
      </c>
    </row>
    <row r="129" ht="15" customHeight="1">
      <c r="A129" t="inlineStr">
        <is>
          <t>A 34721-2023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46281</v>
      </c>
      <c r="F129" t="inlineStr">
        <is>
          <t>SÖDERMANLANDS LÄN</t>
        </is>
      </c>
      <c r="G129" t="inlineStr">
        <is>
          <t>FLEN</t>
        </is>
      </c>
      <c r="I129" t="n">
        <v>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34721-2023 artfynd.xlsx", "A 34721-2023")</f>
        <v/>
      </c>
      <c r="X129">
        <f>HYPERLINK("https://klasma.github.io/Logging_0482/kartor/A 34721-2023 karta.png", "A 34721-2023")</f>
        <v/>
      </c>
      <c r="Y129">
        <f>HYPERLINK("https://klasma.github.io/Logging_0482/kartor_geotiff/A 34721-2023 georefererad karta.tif", "A 34721-2023")</f>
        <v/>
      </c>
      <c r="AA129">
        <f>HYPERLINK("https://klasma.github.io/Logging_0482/klagomål/A 34721-2023 FSC-klagomål.docx", "A 34721-2023")</f>
        <v/>
      </c>
      <c r="AB129">
        <f>HYPERLINK("https://klasma.github.io/Logging_0482/klagomålsmail/A 34721-2023 FSC-klagomål mail.docx", "A 34721-2023")</f>
        <v/>
      </c>
      <c r="AC129">
        <f>HYPERLINK("https://klasma.github.io/Logging_0482/tillsyn/A 34721-2023 tillsynsbegäran.docx", "A 34721-2023")</f>
        <v/>
      </c>
      <c r="AD129">
        <f>HYPERLINK("https://klasma.github.io/Logging_0482/tillsynsmail/A 34721-2023 tillsynsbegäran mail.docx", "A 34721-2023")</f>
        <v/>
      </c>
    </row>
    <row r="130" ht="15" customHeight="1">
      <c r="A130" t="inlineStr">
        <is>
          <t>A 13858-2023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45007</v>
      </c>
      <c r="E130" s="1" t="n">
        <v>46281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0.8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Svedjenäva</t>
        </is>
      </c>
      <c r="W130">
        <f>HYPERLINK("https://klasma.github.io/Logging_0482/artfynd/A 13858-2023 artfynd.xlsx", "A 13858-2023")</f>
        <v/>
      </c>
      <c r="X130">
        <f>HYPERLINK("https://klasma.github.io/Logging_0482/kartor/A 13858-2023 karta.png", "A 13858-2023")</f>
        <v/>
      </c>
      <c r="Y130">
        <f>HYPERLINK("https://klasma.github.io/Logging_0482/kartor_geotiff/A 13858-2023 georefererad karta.tif", "A 13858-2023")</f>
        <v/>
      </c>
      <c r="AA130">
        <f>HYPERLINK("https://klasma.github.io/Logging_0482/klagomål/A 13858-2023 FSC-klagomål.docx", "A 13858-2023")</f>
        <v/>
      </c>
      <c r="AB130">
        <f>HYPERLINK("https://klasma.github.io/Logging_0482/klagomålsmail/A 13858-2023 FSC-klagomål mail.docx", "A 13858-2023")</f>
        <v/>
      </c>
      <c r="AC130">
        <f>HYPERLINK("https://klasma.github.io/Logging_0482/tillsyn/A 13858-2023 tillsynsbegäran.docx", "A 13858-2023")</f>
        <v/>
      </c>
      <c r="AD130">
        <f>HYPERLINK("https://klasma.github.io/Logging_0482/tillsynsmail/A 13858-2023 tillsynsbegäran mail.docx", "A 13858-2023")</f>
        <v/>
      </c>
    </row>
    <row r="131" ht="15" customHeight="1">
      <c r="A131" t="inlineStr">
        <is>
          <t>A 60591-2022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46281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HYPERLINK("https://klasma.github.io/Logging_0482/artfynd/A 60591-2022 artfynd.xlsx", "A 60591-2022")</f>
        <v/>
      </c>
      <c r="X131">
        <f>HYPERLINK("https://klasma.github.io/Logging_0482/kartor/A 60591-2022 karta.png", "A 60591-2022")</f>
        <v/>
      </c>
      <c r="Y131">
        <f>HYPERLINK("https://klasma.github.io/Logging_0482/kartor_geotiff/A 60591-2022 georefererad karta.tif", "A 60591-2022")</f>
        <v/>
      </c>
      <c r="AA131">
        <f>HYPERLINK("https://klasma.github.io/Logging_0482/klagomål/A 60591-2022 FSC-klagomål.docx", "A 60591-2022")</f>
        <v/>
      </c>
      <c r="AB131">
        <f>HYPERLINK("https://klasma.github.io/Logging_0482/klagomålsmail/A 60591-2022 FSC-klagomål mail.docx", "A 60591-2022")</f>
        <v/>
      </c>
      <c r="AC131">
        <f>HYPERLINK("https://klasma.github.io/Logging_0482/tillsyn/A 60591-2022 tillsynsbegäran.docx", "A 60591-2022")</f>
        <v/>
      </c>
      <c r="AD131">
        <f>HYPERLINK("https://klasma.github.io/Logging_0482/tillsynsmail/A 60591-2022 tillsynsbegäran mail.docx", "A 60591-2022")</f>
        <v/>
      </c>
    </row>
    <row r="132" ht="15" customHeight="1">
      <c r="A132" t="inlineStr">
        <is>
          <t>A 34823-2023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45140</v>
      </c>
      <c r="E132" s="1" t="n">
        <v>46281</v>
      </c>
      <c r="F132" t="inlineStr">
        <is>
          <t>SÖDERMANLANDS LÄN</t>
        </is>
      </c>
      <c r="G132" t="inlineStr">
        <is>
          <t>FLEN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Mörk dunört</t>
        </is>
      </c>
      <c r="W132">
        <f>HYPERLINK("https://klasma.github.io/Logging_0482/artfynd/A 34823-2023 artfynd.xlsx", "A 34823-2023")</f>
        <v/>
      </c>
      <c r="X132">
        <f>HYPERLINK("https://klasma.github.io/Logging_0482/kartor/A 34823-2023 karta.png", "A 34823-2023")</f>
        <v/>
      </c>
      <c r="Y132">
        <f>HYPERLINK("https://klasma.github.io/Logging_0482/kartor_geotiff/A 34823-2023 georefererad karta.tif", "A 34823-2023")</f>
        <v/>
      </c>
      <c r="AA132">
        <f>HYPERLINK("https://klasma.github.io/Logging_0482/klagomål/A 34823-2023 FSC-klagomål.docx", "A 34823-2023")</f>
        <v/>
      </c>
      <c r="AB132">
        <f>HYPERLINK("https://klasma.github.io/Logging_0482/klagomålsmail/A 34823-2023 FSC-klagomål mail.docx", "A 34823-2023")</f>
        <v/>
      </c>
      <c r="AC132">
        <f>HYPERLINK("https://klasma.github.io/Logging_0482/tillsyn/A 34823-2023 tillsynsbegäran.docx", "A 34823-2023")</f>
        <v/>
      </c>
      <c r="AD132">
        <f>HYPERLINK("https://klasma.github.io/Logging_0482/tillsynsmail/A 34823-2023 tillsynsbegäran mail.docx", "A 34823-2023")</f>
        <v/>
      </c>
    </row>
    <row r="133" ht="15" customHeight="1">
      <c r="A133" t="inlineStr">
        <is>
          <t>A 45107-2023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46281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Brudborste</t>
        </is>
      </c>
      <c r="W133">
        <f>HYPERLINK("https://klasma.github.io/Logging_0482/artfynd/A 45107-2023 artfynd.xlsx", "A 45107-2023")</f>
        <v/>
      </c>
      <c r="X133">
        <f>HYPERLINK("https://klasma.github.io/Logging_0482/kartor/A 45107-2023 karta.png", "A 45107-2023")</f>
        <v/>
      </c>
      <c r="Y133">
        <f>HYPERLINK("https://klasma.github.io/Logging_0482/kartor_geotiff/A 45107-2023 georefererad karta.tif", "A 45107-2023")</f>
        <v/>
      </c>
      <c r="AA133">
        <f>HYPERLINK("https://klasma.github.io/Logging_0482/klagomål/A 45107-2023 FSC-klagomål.docx", "A 45107-2023")</f>
        <v/>
      </c>
      <c r="AB133">
        <f>HYPERLINK("https://klasma.github.io/Logging_0482/klagomålsmail/A 45107-2023 FSC-klagomål mail.docx", "A 45107-2023")</f>
        <v/>
      </c>
      <c r="AC133">
        <f>HYPERLINK("https://klasma.github.io/Logging_0482/tillsyn/A 45107-2023 tillsynsbegäran.docx", "A 45107-2023")</f>
        <v/>
      </c>
      <c r="AD133">
        <f>HYPERLINK("https://klasma.github.io/Logging_0482/tillsynsmail/A 45107-2023 tillsynsbegäran mail.docx", "A 45107-2023")</f>
        <v/>
      </c>
    </row>
    <row r="134" ht="15" customHeight="1">
      <c r="A134" t="inlineStr">
        <is>
          <t>A 60529-2024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46281</v>
      </c>
      <c r="F134" t="inlineStr">
        <is>
          <t>SÖDERMANLANDS LÄN</t>
        </is>
      </c>
      <c r="G134" t="inlineStr">
        <is>
          <t>FLEN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Skarp dropptaggsvamp</t>
        </is>
      </c>
      <c r="W134">
        <f>HYPERLINK("https://klasma.github.io/Logging_0482/artfynd/A 60529-2024 artfynd.xlsx", "A 60529-2024")</f>
        <v/>
      </c>
      <c r="X134">
        <f>HYPERLINK("https://klasma.github.io/Logging_0482/kartor/A 60529-2024 karta.png", "A 60529-2024")</f>
        <v/>
      </c>
      <c r="Y134">
        <f>HYPERLINK("https://klasma.github.io/Logging_0482/kartor_geotiff/A 60529-2024 georefererad karta.tif", "A 60529-2024")</f>
        <v/>
      </c>
      <c r="AA134">
        <f>HYPERLINK("https://klasma.github.io/Logging_0482/klagomål/A 60529-2024 FSC-klagomål.docx", "A 60529-2024")</f>
        <v/>
      </c>
      <c r="AB134">
        <f>HYPERLINK("https://klasma.github.io/Logging_0482/klagomålsmail/A 60529-2024 FSC-klagomål mail.docx", "A 60529-2024")</f>
        <v/>
      </c>
      <c r="AC134">
        <f>HYPERLINK("https://klasma.github.io/Logging_0482/tillsyn/A 60529-2024 tillsynsbegäran.docx", "A 60529-2024")</f>
        <v/>
      </c>
      <c r="AD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30406-2026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46209</v>
      </c>
      <c r="E135" s="1" t="n">
        <v>46281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HYPERLINK("https://klasma.github.io/Logging_0482/artfynd/A 30406-2026 artfynd.xlsx", "A 30406-2026")</f>
        <v/>
      </c>
      <c r="X135">
        <f>HYPERLINK("https://klasma.github.io/Logging_0482/kartor/A 30406-2026 karta.png", "A 30406-2026")</f>
        <v/>
      </c>
      <c r="Y135">
        <f>HYPERLINK("https://klasma.github.io/Logging_0482/kartor_geotiff/A 30406-2026 georefererad karta.tif", "A 30406-2026")</f>
        <v/>
      </c>
      <c r="AA135">
        <f>HYPERLINK("https://klasma.github.io/Logging_0482/klagomål/A 30406-2026 FSC-klagomål.docx", "A 30406-2026")</f>
        <v/>
      </c>
      <c r="AB135">
        <f>HYPERLINK("https://klasma.github.io/Logging_0482/klagomålsmail/A 30406-2026 FSC-klagomål mail.docx", "A 30406-2026")</f>
        <v/>
      </c>
      <c r="AC135">
        <f>HYPERLINK("https://klasma.github.io/Logging_0482/tillsyn/A 30406-2026 tillsynsbegäran.docx", "A 30406-2026")</f>
        <v/>
      </c>
      <c r="AD135">
        <f>HYPERLINK("https://klasma.github.io/Logging_0482/tillsynsmail/A 30406-2026 tillsynsbegäran mail.docx", "A 30406-2026")</f>
        <v/>
      </c>
    </row>
    <row r="136" ht="15" customHeight="1">
      <c r="A136" t="inlineStr">
        <is>
          <t>A 1242-2022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44572</v>
      </c>
      <c r="E136" s="1" t="n">
        <v>46281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9.300000000000001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Slåtterfibbla</t>
        </is>
      </c>
      <c r="W136">
        <f>HYPERLINK("https://klasma.github.io/Logging_0482/artfynd/A 1242-2022 artfynd.xlsx", "A 1242-2022")</f>
        <v/>
      </c>
      <c r="X136">
        <f>HYPERLINK("https://klasma.github.io/Logging_0482/kartor/A 1242-2022 karta.png", "A 1242-2022")</f>
        <v/>
      </c>
      <c r="Y136">
        <f>HYPERLINK("https://klasma.github.io/Logging_0482/kartor_geotiff/A 1242-2022 georefererad karta.tif", "A 1242-2022")</f>
        <v/>
      </c>
      <c r="AA136">
        <f>HYPERLINK("https://klasma.github.io/Logging_0482/klagomål/A 1242-2022 FSC-klagomål.docx", "A 1242-2022")</f>
        <v/>
      </c>
      <c r="AB136">
        <f>HYPERLINK("https://klasma.github.io/Logging_0482/klagomålsmail/A 1242-2022 FSC-klagomål mail.docx", "A 1242-2022")</f>
        <v/>
      </c>
      <c r="AC136">
        <f>HYPERLINK("https://klasma.github.io/Logging_0482/tillsyn/A 1242-2022 tillsynsbegäran.docx", "A 1242-2022")</f>
        <v/>
      </c>
      <c r="AD136">
        <f>HYPERLINK("https://klasma.github.io/Logging_0482/tillsynsmail/A 1242-2022 tillsynsbegäran mail.docx", "A 1242-2022")</f>
        <v/>
      </c>
    </row>
    <row r="137" ht="15" customHeight="1">
      <c r="A137" t="inlineStr">
        <is>
          <t>A 12371-2022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46281</v>
      </c>
      <c r="F137" t="inlineStr">
        <is>
          <t>SÖDERMANLANDS LÄN</t>
        </is>
      </c>
      <c r="G137" t="inlineStr">
        <is>
          <t>FLEN</t>
        </is>
      </c>
      <c r="H137" t="inlineStr">
        <is>
          <t>Kommuner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12371-2022 artfynd.xlsx", "A 12371-2022")</f>
        <v/>
      </c>
      <c r="X137">
        <f>HYPERLINK("https://klasma.github.io/Logging_0482/kartor/A 12371-2022 karta.png", "A 12371-2022")</f>
        <v/>
      </c>
      <c r="Y137">
        <f>HYPERLINK("https://klasma.github.io/Logging_0482/kartor_geotiff/A 12371-2022 georefererad karta.tif", "A 12371-2022")</f>
        <v/>
      </c>
      <c r="AA137">
        <f>HYPERLINK("https://klasma.github.io/Logging_0482/klagomål/A 12371-2022 FSC-klagomål.docx", "A 12371-2022")</f>
        <v/>
      </c>
      <c r="AB137">
        <f>HYPERLINK("https://klasma.github.io/Logging_0482/klagomålsmail/A 12371-2022 FSC-klagomål mail.docx", "A 12371-2022")</f>
        <v/>
      </c>
      <c r="AC137">
        <f>HYPERLINK("https://klasma.github.io/Logging_0482/tillsyn/A 12371-2022 tillsynsbegäran.docx", "A 12371-2022")</f>
        <v/>
      </c>
      <c r="AD137">
        <f>HYPERLINK("https://klasma.github.io/Logging_0482/tillsynsmail/A 12371-2022 tillsynsbegäran mail.docx", "A 12371-2022")</f>
        <v/>
      </c>
    </row>
    <row r="138" ht="15" customHeight="1">
      <c r="A138" t="inlineStr">
        <is>
          <t>A 14113-2025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46281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HYPERLINK("https://klasma.github.io/Logging_0482/artfynd/A 14113-2025 artfynd.xlsx", "A 14113-2025")</f>
        <v/>
      </c>
      <c r="X138">
        <f>HYPERLINK("https://klasma.github.io/Logging_0482/kartor/A 14113-2025 karta.png", "A 14113-2025")</f>
        <v/>
      </c>
      <c r="Y138">
        <f>HYPERLINK("https://klasma.github.io/Logging_0482/kartor_geotiff/A 14113-2025 georefererad karta.tif", "A 14113-2025")</f>
        <v/>
      </c>
      <c r="AA138">
        <f>HYPERLINK("https://klasma.github.io/Logging_0482/klagomål/A 14113-2025 FSC-klagomål.docx", "A 14113-2025")</f>
        <v/>
      </c>
      <c r="AB138">
        <f>HYPERLINK("https://klasma.github.io/Logging_0482/klagomålsmail/A 14113-2025 FSC-klagomål mail.docx", "A 14113-2025")</f>
        <v/>
      </c>
      <c r="AC138">
        <f>HYPERLINK("https://klasma.github.io/Logging_0482/tillsyn/A 14113-2025 tillsynsbegäran.docx", "A 14113-2025")</f>
        <v/>
      </c>
      <c r="AD138">
        <f>HYPERLINK("https://klasma.github.io/Logging_0482/tillsynsmail/A 14113-2025 tillsynsbegäran mail.docx", "A 14113-2025")</f>
        <v/>
      </c>
    </row>
    <row r="139" ht="15" customHeight="1">
      <c r="A139" t="inlineStr">
        <is>
          <t>A 49820-2023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46281</v>
      </c>
      <c r="F139" t="inlineStr">
        <is>
          <t>SÖDERMANLANDS LÄN</t>
        </is>
      </c>
      <c r="G139" t="inlineStr">
        <is>
          <t>FLEN</t>
        </is>
      </c>
      <c r="I139" t="n">
        <v>3.2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Gullviva</t>
        </is>
      </c>
      <c r="W139">
        <f>HYPERLINK("https://klasma.github.io/Logging_0482/artfynd/A 49820-2023 artfynd.xlsx", "A 49820-2023")</f>
        <v/>
      </c>
      <c r="X139">
        <f>HYPERLINK("https://klasma.github.io/Logging_0482/kartor/A 49820-2023 karta.png", "A 49820-2023")</f>
        <v/>
      </c>
      <c r="Y139">
        <f>HYPERLINK("https://klasma.github.io/Logging_0482/kartor_geotiff/A 49820-2023 georefererad karta.tif", "A 49820-2023")</f>
        <v/>
      </c>
      <c r="AA139">
        <f>HYPERLINK("https://klasma.github.io/Logging_0482/klagomål/A 49820-2023 FSC-klagomål.docx", "A 49820-2023")</f>
        <v/>
      </c>
      <c r="AB139">
        <f>HYPERLINK("https://klasma.github.io/Logging_0482/klagomålsmail/A 49820-2023 FSC-klagomål mail.docx", "A 49820-2023")</f>
        <v/>
      </c>
      <c r="AC139">
        <f>HYPERLINK("https://klasma.github.io/Logging_0482/tillsyn/A 49820-2023 tillsynsbegäran.docx", "A 49820-2023")</f>
        <v/>
      </c>
      <c r="AD139">
        <f>HYPERLINK("https://klasma.github.io/Logging_0482/tillsynsmail/A 49820-2023 tillsynsbegäran mail.docx", "A 49820-2023")</f>
        <v/>
      </c>
    </row>
    <row r="140" ht="15" customHeight="1">
      <c r="A140" t="inlineStr">
        <is>
          <t>A 39036-2023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46281</v>
      </c>
      <c r="F140" t="inlineStr">
        <is>
          <t>SÖDERMANLANDS LÄN</t>
        </is>
      </c>
      <c r="G140" t="inlineStr">
        <is>
          <t>FLEN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Igelkott</t>
        </is>
      </c>
      <c r="W140">
        <f>HYPERLINK("https://klasma.github.io/Logging_0482/artfynd/A 39036-2023 artfynd.xlsx", "A 39036-2023")</f>
        <v/>
      </c>
      <c r="X140">
        <f>HYPERLINK("https://klasma.github.io/Logging_0482/kartor/A 39036-2023 karta.png", "A 39036-2023")</f>
        <v/>
      </c>
      <c r="Y140">
        <f>HYPERLINK("https://klasma.github.io/Logging_0482/kartor_geotiff/A 39036-2023 georefererad karta.tif", "A 39036-2023")</f>
        <v/>
      </c>
      <c r="AA140">
        <f>HYPERLINK("https://klasma.github.io/Logging_0482/klagomål/A 39036-2023 FSC-klagomål.docx", "A 39036-2023")</f>
        <v/>
      </c>
      <c r="AB140">
        <f>HYPERLINK("https://klasma.github.io/Logging_0482/klagomålsmail/A 39036-2023 FSC-klagomål mail.docx", "A 39036-2023")</f>
        <v/>
      </c>
      <c r="AC140">
        <f>HYPERLINK("https://klasma.github.io/Logging_0482/tillsyn/A 39036-2023 tillsynsbegäran.docx", "A 39036-2023")</f>
        <v/>
      </c>
      <c r="AD140">
        <f>HYPERLINK("https://klasma.github.io/Logging_0482/tillsynsmail/A 39036-2023 tillsynsbegäran mail.docx", "A 39036-2023")</f>
        <v/>
      </c>
    </row>
    <row r="141" ht="15" customHeight="1">
      <c r="A141" t="inlineStr">
        <is>
          <t>A 37283-2024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45540</v>
      </c>
      <c r="E141" s="1" t="n">
        <v>46281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37283-2024 artfynd.xlsx", "A 37283-2024")</f>
        <v/>
      </c>
      <c r="X141">
        <f>HYPERLINK("https://klasma.github.io/Logging_0482/kartor/A 37283-2024 karta.png", "A 37283-2024")</f>
        <v/>
      </c>
      <c r="Y141">
        <f>HYPERLINK("https://klasma.github.io/Logging_0482/kartor_geotiff/A 37283-2024 georefererad karta.tif", "A 37283-2024")</f>
        <v/>
      </c>
      <c r="AA141">
        <f>HYPERLINK("https://klasma.github.io/Logging_0482/klagomål/A 37283-2024 FSC-klagomål.docx", "A 37283-2024")</f>
        <v/>
      </c>
      <c r="AB141">
        <f>HYPERLINK("https://klasma.github.io/Logging_0482/klagomålsmail/A 37283-2024 FSC-klagomål mail.docx", "A 37283-2024")</f>
        <v/>
      </c>
      <c r="AC141">
        <f>HYPERLINK("https://klasma.github.io/Logging_0482/tillsyn/A 37283-2024 tillsynsbegäran.docx", "A 37283-2024")</f>
        <v/>
      </c>
      <c r="AD141">
        <f>HYPERLINK("https://klasma.github.io/Logging_0482/tillsynsmail/A 37283-2024 tillsynsbegäran mail.docx", "A 37283-2024")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46281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43008-2023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46281</v>
      </c>
      <c r="F143" t="inlineStr">
        <is>
          <t>SÖDERMANLANDS LÄN</t>
        </is>
      </c>
      <c r="G143" t="inlineStr">
        <is>
          <t>FLEN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Gullklöver</t>
        </is>
      </c>
      <c r="W143">
        <f>HYPERLINK("https://klasma.github.io/Logging_0482/artfynd/A 43008-2023 artfynd.xlsx", "A 43008-2023")</f>
        <v/>
      </c>
      <c r="X143">
        <f>HYPERLINK("https://klasma.github.io/Logging_0482/kartor/A 43008-2023 karta.png", "A 43008-2023")</f>
        <v/>
      </c>
      <c r="Y143">
        <f>HYPERLINK("https://klasma.github.io/Logging_0482/kartor_geotiff/A 43008-2023 georefererad karta.tif", "A 43008-2023")</f>
        <v/>
      </c>
      <c r="AA143">
        <f>HYPERLINK("https://klasma.github.io/Logging_0482/klagomål/A 43008-2023 FSC-klagomål.docx", "A 43008-2023")</f>
        <v/>
      </c>
      <c r="AB143">
        <f>HYPERLINK("https://klasma.github.io/Logging_0482/klagomålsmail/A 43008-2023 FSC-klagomål mail.docx", "A 43008-2023")</f>
        <v/>
      </c>
      <c r="AC143">
        <f>HYPERLINK("https://klasma.github.io/Logging_0482/tillsyn/A 43008-2023 tillsynsbegäran.docx", "A 43008-2023")</f>
        <v/>
      </c>
      <c r="AD143">
        <f>HYPERLINK("https://klasma.github.io/Logging_0482/tillsynsmail/A 43008-2023 tillsynsbegäran mail.docx", "A 43008-2023")</f>
        <v/>
      </c>
    </row>
    <row r="144" ht="15" customHeight="1">
      <c r="A144" t="inlineStr">
        <is>
          <t>A 37317-2023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45156</v>
      </c>
      <c r="E144" s="1" t="n">
        <v>46281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5.1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Svavelriska</t>
        </is>
      </c>
      <c r="W144">
        <f>HYPERLINK("https://klasma.github.io/Logging_0482/artfynd/A 37317-2023 artfynd.xlsx", "A 37317-2023")</f>
        <v/>
      </c>
      <c r="X144">
        <f>HYPERLINK("https://klasma.github.io/Logging_0482/kartor/A 37317-2023 karta.png", "A 37317-2023")</f>
        <v/>
      </c>
      <c r="Y144">
        <f>HYPERLINK("https://klasma.github.io/Logging_0482/kartor_geotiff/A 37317-2023 georefererad karta.tif", "A 37317-2023")</f>
        <v/>
      </c>
      <c r="AA144">
        <f>HYPERLINK("https://klasma.github.io/Logging_0482/klagomål/A 37317-2023 FSC-klagomål.docx", "A 37317-2023")</f>
        <v/>
      </c>
      <c r="AB144">
        <f>HYPERLINK("https://klasma.github.io/Logging_0482/klagomålsmail/A 37317-2023 FSC-klagomål mail.docx", "A 37317-2023")</f>
        <v/>
      </c>
      <c r="AC144">
        <f>HYPERLINK("https://klasma.github.io/Logging_0482/tillsyn/A 37317-2023 tillsynsbegäran.docx", "A 37317-2023")</f>
        <v/>
      </c>
      <c r="AD144">
        <f>HYPERLINK("https://klasma.github.io/Logging_0482/tillsynsmail/A 37317-2023 tillsynsbegäran mail.docx", "A 37317-2023")</f>
        <v/>
      </c>
    </row>
    <row r="145" ht="15" customHeight="1">
      <c r="A145" t="inlineStr">
        <is>
          <t>A 46115-2023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46281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HYPERLINK("https://klasma.github.io/Logging_0482/artfynd/A 46115-2023 artfynd.xlsx", "A 46115-2023")</f>
        <v/>
      </c>
      <c r="X145">
        <f>HYPERLINK("https://klasma.github.io/Logging_0482/kartor/A 46115-2023 karta.png", "A 46115-2023")</f>
        <v/>
      </c>
      <c r="Y145">
        <f>HYPERLINK("https://klasma.github.io/Logging_0482/kartor_geotiff/A 46115-2023 georefererad karta.tif", "A 46115-2023")</f>
        <v/>
      </c>
      <c r="AA145">
        <f>HYPERLINK("https://klasma.github.io/Logging_0482/klagomål/A 46115-2023 FSC-klagomål.docx", "A 46115-2023")</f>
        <v/>
      </c>
      <c r="AB145">
        <f>HYPERLINK("https://klasma.github.io/Logging_0482/klagomålsmail/A 46115-2023 FSC-klagomål mail.docx", "A 46115-2023")</f>
        <v/>
      </c>
      <c r="AC145">
        <f>HYPERLINK("https://klasma.github.io/Logging_0482/tillsyn/A 46115-2023 tillsynsbegäran.docx", "A 46115-2023")</f>
        <v/>
      </c>
      <c r="AD145">
        <f>HYPERLINK("https://klasma.github.io/Logging_0482/tillsynsmail/A 46115-2023 tillsynsbegäran mail.docx", "A 46115-2023")</f>
        <v/>
      </c>
    </row>
    <row r="146" ht="15" customHeight="1">
      <c r="A146" t="inlineStr">
        <is>
          <t>A 56308-2024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46281</v>
      </c>
      <c r="F146" t="inlineStr">
        <is>
          <t>SÖDERMANLANDS LÄN</t>
        </is>
      </c>
      <c r="G146" t="inlineStr">
        <is>
          <t>FLEN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56308-2024 artfynd.xlsx", "A 56308-2024")</f>
        <v/>
      </c>
      <c r="X146">
        <f>HYPERLINK("https://klasma.github.io/Logging_0482/kartor/A 56308-2024 karta.png", "A 56308-2024")</f>
        <v/>
      </c>
      <c r="Y146">
        <f>HYPERLINK("https://klasma.github.io/Logging_0482/kartor_geotiff/A 56308-2024 georefererad karta.tif", "A 56308-2024")</f>
        <v/>
      </c>
      <c r="AA146">
        <f>HYPERLINK("https://klasma.github.io/Logging_0482/klagomål/A 56308-2024 FSC-klagomål.docx", "A 56308-2024")</f>
        <v/>
      </c>
      <c r="AB146">
        <f>HYPERLINK("https://klasma.github.io/Logging_0482/klagomålsmail/A 56308-2024 FSC-klagomål mail.docx", "A 56308-2024")</f>
        <v/>
      </c>
      <c r="AC146">
        <f>HYPERLINK("https://klasma.github.io/Logging_0482/tillsyn/A 56308-2024 tillsynsbegäran.docx", "A 56308-2024")</f>
        <v/>
      </c>
      <c r="AD146">
        <f>HYPERLINK("https://klasma.github.io/Logging_0482/tillsynsmail/A 56308-2024 tillsynsbegäran mail.docx", "A 56308-2024")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46281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46281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46281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44458</v>
      </c>
      <c r="E150" s="1" t="n">
        <v>46281</v>
      </c>
      <c r="F150" t="inlineStr">
        <is>
          <t>SÖDERMANLANDS LÄN</t>
        </is>
      </c>
      <c r="G150" t="inlineStr">
        <is>
          <t>FLEN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46281</v>
      </c>
      <c r="F151" t="inlineStr">
        <is>
          <t>SÖDERMANLANDS LÄN</t>
        </is>
      </c>
      <c r="G151" t="inlineStr">
        <is>
          <t>FLEN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70215-2021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44535</v>
      </c>
      <c r="E152" s="1" t="n">
        <v>46281</v>
      </c>
      <c r="F152" t="inlineStr">
        <is>
          <t>SÖDERMANLANDS LÄN</t>
        </is>
      </c>
      <c r="G152" t="inlineStr">
        <is>
          <t>FLEN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46281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44869</v>
      </c>
      <c r="E154" s="1" t="n">
        <v>46281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49569-2021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44455</v>
      </c>
      <c r="E155" s="1" t="n">
        <v>46281</v>
      </c>
      <c r="F155" t="inlineStr">
        <is>
          <t>SÖDERMANLANDS LÄN</t>
        </is>
      </c>
      <c r="G155" t="inlineStr">
        <is>
          <t>FLEN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46281</v>
      </c>
      <c r="F156" t="inlineStr">
        <is>
          <t>SÖDERMANLANDS LÄN</t>
        </is>
      </c>
      <c r="G156" t="inlineStr">
        <is>
          <t>FLEN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46281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44752</v>
      </c>
      <c r="E158" s="1" t="n">
        <v>46281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44720</v>
      </c>
      <c r="E159" s="1" t="n">
        <v>46281</v>
      </c>
      <c r="F159" t="inlineStr">
        <is>
          <t>SÖDERMANLANDS LÄN</t>
        </is>
      </c>
      <c r="G159" t="inlineStr">
        <is>
          <t>FLEN</t>
        </is>
      </c>
      <c r="H159" t="inlineStr">
        <is>
          <t>Kyrkan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44873</v>
      </c>
      <c r="E160" s="1" t="n">
        <v>46281</v>
      </c>
      <c r="F160" t="inlineStr">
        <is>
          <t>SÖDERMANLANDS LÄN</t>
        </is>
      </c>
      <c r="G160" t="inlineStr">
        <is>
          <t>FLEN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46281</v>
      </c>
      <c r="F161" t="inlineStr">
        <is>
          <t>SÖDERMANLANDS LÄN</t>
        </is>
      </c>
      <c r="G161" t="inlineStr">
        <is>
          <t>FLEN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44769</v>
      </c>
      <c r="E162" s="1" t="n">
        <v>46281</v>
      </c>
      <c r="F162" t="inlineStr">
        <is>
          <t>SÖDERMANLANDS LÄN</t>
        </is>
      </c>
      <c r="G162" t="inlineStr">
        <is>
          <t>FLEN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44461</v>
      </c>
      <c r="E163" s="1" t="n">
        <v>46281</v>
      </c>
      <c r="F163" t="inlineStr">
        <is>
          <t>SÖDERMANLANDS LÄN</t>
        </is>
      </c>
      <c r="G163" t="inlineStr">
        <is>
          <t>FLEN</t>
        </is>
      </c>
      <c r="H163" t="inlineStr">
        <is>
          <t>Holmen skog AB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46281</v>
      </c>
      <c r="F164" t="inlineStr">
        <is>
          <t>SÖDERMANLANDS LÄN</t>
        </is>
      </c>
      <c r="G164" t="inlineStr">
        <is>
          <t>FLEN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46281</v>
      </c>
      <c r="F165" t="inlineStr">
        <is>
          <t>SÖDERMANLANDS LÄN</t>
        </is>
      </c>
      <c r="G165" t="inlineStr">
        <is>
          <t>FLEN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44807</v>
      </c>
      <c r="E166" s="1" t="n">
        <v>46281</v>
      </c>
      <c r="F166" t="inlineStr">
        <is>
          <t>SÖDERMANLANDS LÄN</t>
        </is>
      </c>
      <c r="G166" t="inlineStr">
        <is>
          <t>FLEN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44855</v>
      </c>
      <c r="E167" s="1" t="n">
        <v>46281</v>
      </c>
      <c r="F167" t="inlineStr">
        <is>
          <t>SÖDERMANLANDS LÄN</t>
        </is>
      </c>
      <c r="G167" t="inlineStr">
        <is>
          <t>FLEN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44879</v>
      </c>
      <c r="E168" s="1" t="n">
        <v>46281</v>
      </c>
      <c r="F168" t="inlineStr">
        <is>
          <t>SÖDERMANLANDS LÄN</t>
        </is>
      </c>
      <c r="G168" t="inlineStr">
        <is>
          <t>FLEN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52519-2021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46281</v>
      </c>
      <c r="F169" t="inlineStr">
        <is>
          <t>SÖDERMANLANDS LÄN</t>
        </is>
      </c>
      <c r="G169" t="inlineStr">
        <is>
          <t>FLEN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44739</v>
      </c>
      <c r="E170" s="1" t="n">
        <v>46281</v>
      </c>
      <c r="F170" t="inlineStr">
        <is>
          <t>SÖDERMANLANDS LÄN</t>
        </is>
      </c>
      <c r="G170" t="inlineStr">
        <is>
          <t>FLEN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44770</v>
      </c>
      <c r="E171" s="1" t="n">
        <v>46281</v>
      </c>
      <c r="F171" t="inlineStr">
        <is>
          <t>SÖDERMANLANDS LÄN</t>
        </is>
      </c>
      <c r="G171" t="inlineStr">
        <is>
          <t>FLEN</t>
        </is>
      </c>
      <c r="H171" t="inlineStr">
        <is>
          <t>Övriga statliga verk och myndigheter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46281</v>
      </c>
      <c r="F172" t="inlineStr">
        <is>
          <t>SÖDERMANLANDS LÄN</t>
        </is>
      </c>
      <c r="G172" t="inlineStr">
        <is>
          <t>FLEN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44725</v>
      </c>
      <c r="E173" s="1" t="n">
        <v>46281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46281</v>
      </c>
      <c r="F174" t="inlineStr">
        <is>
          <t>SÖDERMANLANDS LÄN</t>
        </is>
      </c>
      <c r="G174" t="inlineStr">
        <is>
          <t>FLEN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44640</v>
      </c>
      <c r="E175" s="1" t="n">
        <v>46281</v>
      </c>
      <c r="F175" t="inlineStr">
        <is>
          <t>SÖDERMANLANDS LÄN</t>
        </is>
      </c>
      <c r="G175" t="inlineStr">
        <is>
          <t>FLEN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44643</v>
      </c>
      <c r="E176" s="1" t="n">
        <v>46281</v>
      </c>
      <c r="F176" t="inlineStr">
        <is>
          <t>SÖDERMANLANDS LÄN</t>
        </is>
      </c>
      <c r="G176" t="inlineStr">
        <is>
          <t>FLEN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46281</v>
      </c>
      <c r="F177" t="inlineStr">
        <is>
          <t>SÖDERMANLANDS LÄN</t>
        </is>
      </c>
      <c r="G177" t="inlineStr">
        <is>
          <t>FLEN</t>
        </is>
      </c>
      <c r="H177" t="inlineStr">
        <is>
          <t>Holmen skog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44778</v>
      </c>
      <c r="E178" s="1" t="n">
        <v>46281</v>
      </c>
      <c r="F178" t="inlineStr">
        <is>
          <t>SÖDERMANLANDS LÄN</t>
        </is>
      </c>
      <c r="G178" t="inlineStr">
        <is>
          <t>FLEN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46281</v>
      </c>
      <c r="F179" t="inlineStr">
        <is>
          <t>SÖDERMANLANDS LÄN</t>
        </is>
      </c>
      <c r="G179" t="inlineStr">
        <is>
          <t>FLEN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46281</v>
      </c>
      <c r="F180" t="inlineStr">
        <is>
          <t>SÖDERMANLANDS LÄN</t>
        </is>
      </c>
      <c r="G180" t="inlineStr">
        <is>
          <t>FLEN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44161-2022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44839</v>
      </c>
      <c r="E181" s="1" t="n">
        <v>46281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46281</v>
      </c>
      <c r="F182" t="inlineStr">
        <is>
          <t>SÖDERMANLANDS LÄN</t>
        </is>
      </c>
      <c r="G182" t="inlineStr">
        <is>
          <t>FLEN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46281</v>
      </c>
      <c r="F183" t="inlineStr">
        <is>
          <t>SÖDERMANLANDS LÄN</t>
        </is>
      </c>
      <c r="G183" t="inlineStr">
        <is>
          <t>FLEN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46281</v>
      </c>
      <c r="F184" t="inlineStr">
        <is>
          <t>SÖDERMANLANDS LÄN</t>
        </is>
      </c>
      <c r="G184" t="inlineStr">
        <is>
          <t>FLEN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44697</v>
      </c>
      <c r="E185" s="1" t="n">
        <v>46281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46281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45228</v>
      </c>
      <c r="E187" s="1" t="n">
        <v>46281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46281</v>
      </c>
      <c r="F188" t="inlineStr">
        <is>
          <t>SÖDERMANLANDS LÄN</t>
        </is>
      </c>
      <c r="G188" t="inlineStr">
        <is>
          <t>FLEN</t>
        </is>
      </c>
      <c r="H188" t="inlineStr">
        <is>
          <t>Kyrkan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44752</v>
      </c>
      <c r="E189" s="1" t="n">
        <v>46281</v>
      </c>
      <c r="F189" t="inlineStr">
        <is>
          <t>SÖDERMANLANDS LÄN</t>
        </is>
      </c>
      <c r="G189" t="inlineStr">
        <is>
          <t>FLEN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44752</v>
      </c>
      <c r="E190" s="1" t="n">
        <v>46281</v>
      </c>
      <c r="F190" t="inlineStr">
        <is>
          <t>SÖDERMANLANDS LÄN</t>
        </is>
      </c>
      <c r="G190" t="inlineStr">
        <is>
          <t>FLEN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46281</v>
      </c>
      <c r="F191" t="inlineStr">
        <is>
          <t>SÖDERMANLANDS LÄN</t>
        </is>
      </c>
      <c r="G191" t="inlineStr">
        <is>
          <t>FLEN</t>
        </is>
      </c>
      <c r="H191" t="inlineStr">
        <is>
          <t>Övriga statliga verk och myndigheter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46281</v>
      </c>
      <c r="F192" t="inlineStr">
        <is>
          <t>SÖDERMANLANDS LÄN</t>
        </is>
      </c>
      <c r="G192" t="inlineStr">
        <is>
          <t>FLEN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44566</v>
      </c>
      <c r="E193" s="1" t="n">
        <v>46281</v>
      </c>
      <c r="F193" t="inlineStr">
        <is>
          <t>SÖDERMANLANDS LÄN</t>
        </is>
      </c>
      <c r="G193" t="inlineStr">
        <is>
          <t>FLEN</t>
        </is>
      </c>
      <c r="H193" t="inlineStr">
        <is>
          <t>Kyrkan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44846</v>
      </c>
      <c r="E194" s="1" t="n">
        <v>46281</v>
      </c>
      <c r="F194" t="inlineStr">
        <is>
          <t>SÖDERMANLANDS LÄN</t>
        </is>
      </c>
      <c r="G194" t="inlineStr">
        <is>
          <t>FLEN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33024-2022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44785</v>
      </c>
      <c r="E195" s="1" t="n">
        <v>46281</v>
      </c>
      <c r="F195" t="inlineStr">
        <is>
          <t>SÖDERMANLANDS LÄN</t>
        </is>
      </c>
      <c r="G195" t="inlineStr">
        <is>
          <t>FLEN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45230</v>
      </c>
      <c r="E196" s="1" t="n">
        <v>46281</v>
      </c>
      <c r="F196" t="inlineStr">
        <is>
          <t>SÖDERMANLANDS LÄN</t>
        </is>
      </c>
      <c r="G196" t="inlineStr">
        <is>
          <t>FLEN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46281</v>
      </c>
      <c r="F197" t="inlineStr">
        <is>
          <t>SÖDERMANLANDS LÄN</t>
        </is>
      </c>
      <c r="G197" t="inlineStr">
        <is>
          <t>FLEN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46281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46401-2022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44846</v>
      </c>
      <c r="E199" s="1" t="n">
        <v>46281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46281</v>
      </c>
      <c r="F200" t="inlineStr">
        <is>
          <t>SÖDERMANLANDS LÄN</t>
        </is>
      </c>
      <c r="G200" t="inlineStr">
        <is>
          <t>FLEN</t>
        </is>
      </c>
      <c r="H200" t="inlineStr">
        <is>
          <t>Övriga statliga verk och myndigheter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44819</v>
      </c>
      <c r="E201" s="1" t="n">
        <v>46281</v>
      </c>
      <c r="F201" t="inlineStr">
        <is>
          <t>SÖDERMANLANDS LÄN</t>
        </is>
      </c>
      <c r="G201" t="inlineStr">
        <is>
          <t>FLEN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46281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44643</v>
      </c>
      <c r="E203" s="1" t="n">
        <v>46281</v>
      </c>
      <c r="F203" t="inlineStr">
        <is>
          <t>SÖDERMANLANDS LÄN</t>
        </is>
      </c>
      <c r="G203" t="inlineStr">
        <is>
          <t>FLEN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45057</v>
      </c>
      <c r="E204" s="1" t="n">
        <v>46281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46281</v>
      </c>
      <c r="F205" t="inlineStr">
        <is>
          <t>SÖDERMANLANDS LÄN</t>
        </is>
      </c>
      <c r="G205" t="inlineStr">
        <is>
          <t>FLEN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46281</v>
      </c>
      <c r="F206" t="inlineStr">
        <is>
          <t>SÖDERMANLANDS LÄN</t>
        </is>
      </c>
      <c r="G206" t="inlineStr">
        <is>
          <t>FLEN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44705</v>
      </c>
      <c r="E207" s="1" t="n">
        <v>46281</v>
      </c>
      <c r="F207" t="inlineStr">
        <is>
          <t>SÖDERMANLANDS LÄN</t>
        </is>
      </c>
      <c r="G207" t="inlineStr">
        <is>
          <t>FLEN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44733</v>
      </c>
      <c r="E208" s="1" t="n">
        <v>46281</v>
      </c>
      <c r="F208" t="inlineStr">
        <is>
          <t>SÖDERMANLANDS LÄN</t>
        </is>
      </c>
      <c r="G208" t="inlineStr">
        <is>
          <t>FLEN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46281</v>
      </c>
      <c r="F209" t="inlineStr">
        <is>
          <t>SÖDERMANLANDS LÄN</t>
        </is>
      </c>
      <c r="G209" t="inlineStr">
        <is>
          <t>FLEN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45250</v>
      </c>
      <c r="E210" s="1" t="n">
        <v>46281</v>
      </c>
      <c r="F210" t="inlineStr">
        <is>
          <t>SÖDERMANLANDS LÄN</t>
        </is>
      </c>
      <c r="G210" t="inlineStr">
        <is>
          <t>FLEN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46281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46281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44907</v>
      </c>
      <c r="E213" s="1" t="n">
        <v>46281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46281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45441</v>
      </c>
      <c r="E215" s="1" t="n">
        <v>46281</v>
      </c>
      <c r="F215" t="inlineStr">
        <is>
          <t>SÖDERMANLANDS LÄN</t>
        </is>
      </c>
      <c r="G215" t="inlineStr">
        <is>
          <t>FLEN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46281</v>
      </c>
      <c r="F216" t="inlineStr">
        <is>
          <t>SÖDERMANLANDS LÄN</t>
        </is>
      </c>
      <c r="G216" t="inlineStr">
        <is>
          <t>FLEN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45311</v>
      </c>
      <c r="E217" s="1" t="n">
        <v>46281</v>
      </c>
      <c r="F217" t="inlineStr">
        <is>
          <t>SÖDERMANLANDS LÄN</t>
        </is>
      </c>
      <c r="G217" t="inlineStr">
        <is>
          <t>FLEN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46281</v>
      </c>
      <c r="F218" t="inlineStr">
        <is>
          <t>SÖDERMANLANDS LÄN</t>
        </is>
      </c>
      <c r="G218" t="inlineStr">
        <is>
          <t>FLEN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45358</v>
      </c>
      <c r="E219" s="1" t="n">
        <v>46281</v>
      </c>
      <c r="F219" t="inlineStr">
        <is>
          <t>SÖDERMANLANDS LÄN</t>
        </is>
      </c>
      <c r="G219" t="inlineStr">
        <is>
          <t>FLEN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46281</v>
      </c>
      <c r="F220" t="inlineStr">
        <is>
          <t>SÖDERMANLANDS LÄN</t>
        </is>
      </c>
      <c r="G220" t="inlineStr">
        <is>
          <t>FLEN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46281</v>
      </c>
      <c r="F221" t="inlineStr">
        <is>
          <t>SÖDERMANLANDS LÄN</t>
        </is>
      </c>
      <c r="G221" t="inlineStr">
        <is>
          <t>FLEN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46281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46281</v>
      </c>
      <c r="F223" t="inlineStr">
        <is>
          <t>SÖDERMANLANDS LÄN</t>
        </is>
      </c>
      <c r="G223" t="inlineStr">
        <is>
          <t>FLEN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55445-2022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46281</v>
      </c>
      <c r="F224" t="inlineStr">
        <is>
          <t>SÖDERMANLANDS LÄN</t>
        </is>
      </c>
      <c r="G224" t="inlineStr">
        <is>
          <t>FLEN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45378</v>
      </c>
      <c r="E225" s="1" t="n">
        <v>46281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46281</v>
      </c>
      <c r="F226" t="inlineStr">
        <is>
          <t>SÖDERMANLANDS LÄN</t>
        </is>
      </c>
      <c r="G226" t="inlineStr">
        <is>
          <t>FLEN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44887</v>
      </c>
      <c r="E227" s="1" t="n">
        <v>46281</v>
      </c>
      <c r="F227" t="inlineStr">
        <is>
          <t>SÖDERMANLANDS LÄN</t>
        </is>
      </c>
      <c r="G227" t="inlineStr">
        <is>
          <t>FLEN</t>
        </is>
      </c>
      <c r="I227" t="n">
        <v>11.3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45163</v>
      </c>
      <c r="E228" s="1" t="n">
        <v>46281</v>
      </c>
      <c r="F228" t="inlineStr">
        <is>
          <t>SÖDERMANLANDS LÄN</t>
        </is>
      </c>
      <c r="G228" t="inlineStr">
        <is>
          <t>FLEN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46281</v>
      </c>
      <c r="F229" t="inlineStr">
        <is>
          <t>SÖDERMANLANDS LÄN</t>
        </is>
      </c>
      <c r="G229" t="inlineStr">
        <is>
          <t>FLEN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65869-2021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46281</v>
      </c>
      <c r="F230" t="inlineStr">
        <is>
          <t>SÖDERMANLANDS LÄN</t>
        </is>
      </c>
      <c r="G230" t="inlineStr">
        <is>
          <t>FLEN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46281</v>
      </c>
      <c r="F231" t="inlineStr">
        <is>
          <t>SÖDERMANLANDS LÄN</t>
        </is>
      </c>
      <c r="G231" t="inlineStr">
        <is>
          <t>FLEN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45322</v>
      </c>
      <c r="E232" s="1" t="n">
        <v>46281</v>
      </c>
      <c r="F232" t="inlineStr">
        <is>
          <t>SÖDERMANLANDS LÄN</t>
        </is>
      </c>
      <c r="G232" t="inlineStr">
        <is>
          <t>FLEN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45321</v>
      </c>
      <c r="E233" s="1" t="n">
        <v>46281</v>
      </c>
      <c r="F233" t="inlineStr">
        <is>
          <t>SÖDERMANLANDS LÄN</t>
        </is>
      </c>
      <c r="G233" t="inlineStr">
        <is>
          <t>FLEN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46281</v>
      </c>
      <c r="F234" t="inlineStr">
        <is>
          <t>SÖDERMANLANDS LÄN</t>
        </is>
      </c>
      <c r="G234" t="inlineStr">
        <is>
          <t>FLEN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45256</v>
      </c>
      <c r="E235" s="1" t="n">
        <v>46281</v>
      </c>
      <c r="F235" t="inlineStr">
        <is>
          <t>SÖDERMANLANDS LÄN</t>
        </is>
      </c>
      <c r="G235" t="inlineStr">
        <is>
          <t>FLEN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45309</v>
      </c>
      <c r="E236" s="1" t="n">
        <v>46281</v>
      </c>
      <c r="F236" t="inlineStr">
        <is>
          <t>SÖDERMANLANDS LÄN</t>
        </is>
      </c>
      <c r="G236" t="inlineStr">
        <is>
          <t>FLEN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46281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46281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46079</v>
      </c>
      <c r="E239" s="1" t="n">
        <v>46281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46082</v>
      </c>
      <c r="E240" s="1" t="n">
        <v>46281</v>
      </c>
      <c r="F240" t="inlineStr">
        <is>
          <t>SÖDERMANLANDS LÄN</t>
        </is>
      </c>
      <c r="G240" t="inlineStr">
        <is>
          <t>FLEN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46281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46281</v>
      </c>
      <c r="F242" t="inlineStr">
        <is>
          <t>SÖDERMANLANDS LÄN</t>
        </is>
      </c>
      <c r="G242" t="inlineStr">
        <is>
          <t>FLEN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46281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46080</v>
      </c>
      <c r="E244" s="1" t="n">
        <v>46281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46281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46281</v>
      </c>
      <c r="F246" t="inlineStr">
        <is>
          <t>SÖDERMANLANDS LÄN</t>
        </is>
      </c>
      <c r="G246" t="inlineStr">
        <is>
          <t>FLEN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51925-2022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44868</v>
      </c>
      <c r="E247" s="1" t="n">
        <v>46281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12712-2026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46281</v>
      </c>
      <c r="F248" t="inlineStr">
        <is>
          <t>SÖDERMANLANDS LÄN</t>
        </is>
      </c>
      <c r="G248" t="inlineStr">
        <is>
          <t>FLEN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56497-2022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44887</v>
      </c>
      <c r="E249" s="1" t="n">
        <v>46281</v>
      </c>
      <c r="F249" t="inlineStr">
        <is>
          <t>SÖDERMANLANDS LÄN</t>
        </is>
      </c>
      <c r="G249" t="inlineStr">
        <is>
          <t>FLEN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28768-2024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45478</v>
      </c>
      <c r="E250" s="1" t="n">
        <v>46281</v>
      </c>
      <c r="F250" t="inlineStr">
        <is>
          <t>SÖDERMANLANDS LÄN</t>
        </is>
      </c>
      <c r="G250" t="inlineStr">
        <is>
          <t>FLEN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46281</v>
      </c>
      <c r="F251" t="inlineStr">
        <is>
          <t>SÖDERMANLANDS LÄN</t>
        </is>
      </c>
      <c r="G251" t="inlineStr">
        <is>
          <t>FLEN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46281</v>
      </c>
      <c r="F252" t="inlineStr">
        <is>
          <t>SÖDERMANLANDS LÄN</t>
        </is>
      </c>
      <c r="G252" t="inlineStr">
        <is>
          <t>FLEN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66979-2021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44522</v>
      </c>
      <c r="E253" s="1" t="n">
        <v>46281</v>
      </c>
      <c r="F253" t="inlineStr">
        <is>
          <t>SÖDERMANLANDS LÄN</t>
        </is>
      </c>
      <c r="G253" t="inlineStr">
        <is>
          <t>FLEN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45540</v>
      </c>
      <c r="E254" s="1" t="n">
        <v>46281</v>
      </c>
      <c r="F254" t="inlineStr">
        <is>
          <t>SÖDERMANLANDS LÄN</t>
        </is>
      </c>
      <c r="G254" t="inlineStr">
        <is>
          <t>FLEN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46281</v>
      </c>
      <c r="F255" t="inlineStr">
        <is>
          <t>SÖDERMANLANDS LÄN</t>
        </is>
      </c>
      <c r="G255" t="inlineStr">
        <is>
          <t>FLEN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12172-2022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44636</v>
      </c>
      <c r="E256" s="1" t="n">
        <v>46281</v>
      </c>
      <c r="F256" t="inlineStr">
        <is>
          <t>SÖDERMANLANDS LÄN</t>
        </is>
      </c>
      <c r="G256" t="inlineStr">
        <is>
          <t>FLEN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44859</v>
      </c>
      <c r="E257" s="1" t="n">
        <v>46281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46281</v>
      </c>
      <c r="F258" t="inlineStr">
        <is>
          <t>SÖDERMANLANDS LÄN</t>
        </is>
      </c>
      <c r="G258" t="inlineStr">
        <is>
          <t>FLEN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10771-2022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44624</v>
      </c>
      <c r="E259" s="1" t="n">
        <v>46281</v>
      </c>
      <c r="F259" t="inlineStr">
        <is>
          <t>SÖDERMANLANDS LÄN</t>
        </is>
      </c>
      <c r="G259" t="inlineStr">
        <is>
          <t>FLEN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44624</v>
      </c>
      <c r="E260" s="1" t="n">
        <v>46281</v>
      </c>
      <c r="F260" t="inlineStr">
        <is>
          <t>SÖDERMANLANDS LÄN</t>
        </is>
      </c>
      <c r="G260" t="inlineStr">
        <is>
          <t>FLEN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16908-2024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45411</v>
      </c>
      <c r="E261" s="1" t="n">
        <v>46281</v>
      </c>
      <c r="F261" t="inlineStr">
        <is>
          <t>SÖDERMANLANDS LÄN</t>
        </is>
      </c>
      <c r="G261" t="inlineStr">
        <is>
          <t>FLEN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46281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44970</v>
      </c>
      <c r="E263" s="1" t="n">
        <v>46281</v>
      </c>
      <c r="F263" t="inlineStr">
        <is>
          <t>SÖDERMANLANDS LÄN</t>
        </is>
      </c>
      <c r="G263" t="inlineStr">
        <is>
          <t>FLEN</t>
        </is>
      </c>
      <c r="H263" t="inlineStr">
        <is>
          <t>Kommuner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46281</v>
      </c>
      <c r="F264" t="inlineStr">
        <is>
          <t>SÖDERMANLANDS LÄN</t>
        </is>
      </c>
      <c r="G264" t="inlineStr">
        <is>
          <t>FLEN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46113</v>
      </c>
      <c r="E265" s="1" t="n">
        <v>46281</v>
      </c>
      <c r="F265" t="inlineStr">
        <is>
          <t>SÖDERMANLANDS LÄN</t>
        </is>
      </c>
      <c r="G265" t="inlineStr">
        <is>
          <t>FLEN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46281</v>
      </c>
      <c r="F266" t="inlineStr">
        <is>
          <t>SÖDERMANLANDS LÄN</t>
        </is>
      </c>
      <c r="G266" t="inlineStr">
        <is>
          <t>FLEN</t>
        </is>
      </c>
      <c r="H266" t="inlineStr">
        <is>
          <t>Övriga statliga verk och myndigheter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46281</v>
      </c>
      <c r="F267" t="inlineStr">
        <is>
          <t>SÖDERMANLANDS LÄN</t>
        </is>
      </c>
      <c r="G267" t="inlineStr">
        <is>
          <t>FLEN</t>
        </is>
      </c>
      <c r="H267" t="inlineStr">
        <is>
          <t>Övriga statliga verk och myndigheter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46281</v>
      </c>
      <c r="F268" t="inlineStr">
        <is>
          <t>SÖDERMANLANDS LÄN</t>
        </is>
      </c>
      <c r="G268" t="inlineStr">
        <is>
          <t>FLEN</t>
        </is>
      </c>
      <c r="H268" t="inlineStr">
        <is>
          <t>Övriga statliga verk och myndigheter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9431-2022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46281</v>
      </c>
      <c r="F269" t="inlineStr">
        <is>
          <t>SÖDERMANLANDS LÄN</t>
        </is>
      </c>
      <c r="G269" t="inlineStr">
        <is>
          <t>FLEN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45014</v>
      </c>
      <c r="E270" s="1" t="n">
        <v>46281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44588</v>
      </c>
      <c r="E271" s="1" t="n">
        <v>46281</v>
      </c>
      <c r="F271" t="inlineStr">
        <is>
          <t>SÖDERMANLANDS LÄN</t>
        </is>
      </c>
      <c r="G271" t="inlineStr">
        <is>
          <t>FLEN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44838</v>
      </c>
      <c r="E272" s="1" t="n">
        <v>46281</v>
      </c>
      <c r="F272" t="inlineStr">
        <is>
          <t>SÖDERMANLANDS LÄN</t>
        </is>
      </c>
      <c r="G272" t="inlineStr">
        <is>
          <t>FLEN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4899-2023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44958</v>
      </c>
      <c r="E273" s="1" t="n">
        <v>46281</v>
      </c>
      <c r="F273" t="inlineStr">
        <is>
          <t>SÖDERMANLANDS LÄN</t>
        </is>
      </c>
      <c r="G273" t="inlineStr">
        <is>
          <t>FLEN</t>
        </is>
      </c>
      <c r="H273" t="inlineStr">
        <is>
          <t>Kyrkan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46281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35507-2024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45531</v>
      </c>
      <c r="E275" s="1" t="n">
        <v>46281</v>
      </c>
      <c r="F275" t="inlineStr">
        <is>
          <t>SÖDERMANLANDS LÄN</t>
        </is>
      </c>
      <c r="G275" t="inlineStr">
        <is>
          <t>FLEN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52980-2023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46281</v>
      </c>
      <c r="F276" t="inlineStr">
        <is>
          <t>SÖDERMANLANDS LÄN</t>
        </is>
      </c>
      <c r="G276" t="inlineStr">
        <is>
          <t>FLEN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46281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48826-2022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44859</v>
      </c>
      <c r="E278" s="1" t="n">
        <v>46281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45501</v>
      </c>
      <c r="E279" s="1" t="n">
        <v>46281</v>
      </c>
      <c r="F279" t="inlineStr">
        <is>
          <t>SÖDERMANLANDS LÄN</t>
        </is>
      </c>
      <c r="G279" t="inlineStr">
        <is>
          <t>FLEN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46281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46281</v>
      </c>
      <c r="F281" t="inlineStr">
        <is>
          <t>SÖDERMANLANDS LÄN</t>
        </is>
      </c>
      <c r="G281" t="inlineStr">
        <is>
          <t>FLEN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46281</v>
      </c>
      <c r="F282" t="inlineStr">
        <is>
          <t>SÖDERMANLANDS LÄN</t>
        </is>
      </c>
      <c r="G282" t="inlineStr">
        <is>
          <t>FLEN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46281</v>
      </c>
      <c r="F283" t="inlineStr">
        <is>
          <t>SÖDERMANLANDS LÄN</t>
        </is>
      </c>
      <c r="G283" t="inlineStr">
        <is>
          <t>FLEN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46281</v>
      </c>
      <c r="F284" t="inlineStr">
        <is>
          <t>SÖDERMANLANDS LÄN</t>
        </is>
      </c>
      <c r="G284" t="inlineStr">
        <is>
          <t>FLEN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46281</v>
      </c>
      <c r="F285" t="inlineStr">
        <is>
          <t>SÖDERMANLANDS LÄN</t>
        </is>
      </c>
      <c r="G285" t="inlineStr">
        <is>
          <t>FLEN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46126</v>
      </c>
      <c r="E286" s="1" t="n">
        <v>46281</v>
      </c>
      <c r="F286" t="inlineStr">
        <is>
          <t>SÖDERMANLANDS LÄN</t>
        </is>
      </c>
      <c r="G286" t="inlineStr">
        <is>
          <t>FLEN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46281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46129</v>
      </c>
      <c r="E288" s="1" t="n">
        <v>46281</v>
      </c>
      <c r="F288" t="inlineStr">
        <is>
          <t>SÖDERMANLANDS LÄN</t>
        </is>
      </c>
      <c r="G288" t="inlineStr">
        <is>
          <t>FLEN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46281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46281</v>
      </c>
      <c r="F290" t="inlineStr">
        <is>
          <t>SÖDERMANLANDS LÄN</t>
        </is>
      </c>
      <c r="G290" t="inlineStr">
        <is>
          <t>FLEN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46281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46281</v>
      </c>
      <c r="F292" t="inlineStr">
        <is>
          <t>SÖDERMANLANDS LÄN</t>
        </is>
      </c>
      <c r="G292" t="inlineStr">
        <is>
          <t>FLEN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46281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46281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46281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67464-2021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44524</v>
      </c>
      <c r="E296" s="1" t="n">
        <v>46281</v>
      </c>
      <c r="F296" t="inlineStr">
        <is>
          <t>SÖDERMANLANDS LÄN</t>
        </is>
      </c>
      <c r="G296" t="inlineStr">
        <is>
          <t>FLEN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46281</v>
      </c>
      <c r="F297" t="inlineStr">
        <is>
          <t>SÖDERMANLANDS LÄN</t>
        </is>
      </c>
      <c r="G297" t="inlineStr">
        <is>
          <t>FLEN</t>
        </is>
      </c>
      <c r="H297" t="inlineStr">
        <is>
          <t>Övriga statliga verk och myndigheter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26253-2025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45805</v>
      </c>
      <c r="E298" s="1" t="n">
        <v>46281</v>
      </c>
      <c r="F298" t="inlineStr">
        <is>
          <t>SÖDERMANLANDS LÄN</t>
        </is>
      </c>
      <c r="G298" t="inlineStr">
        <is>
          <t>FLEN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45209</v>
      </c>
      <c r="E299" s="1" t="n">
        <v>46281</v>
      </c>
      <c r="F299" t="inlineStr">
        <is>
          <t>SÖDERMANLANDS LÄN</t>
        </is>
      </c>
      <c r="G299" t="inlineStr">
        <is>
          <t>FLEN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46281</v>
      </c>
      <c r="F300" t="inlineStr">
        <is>
          <t>SÖDERMANLANDS LÄN</t>
        </is>
      </c>
      <c r="G300" t="inlineStr">
        <is>
          <t>FLEN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46281</v>
      </c>
      <c r="F301" t="inlineStr">
        <is>
          <t>SÖDERMANLANDS LÄN</t>
        </is>
      </c>
      <c r="G301" t="inlineStr">
        <is>
          <t>FLEN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44986</v>
      </c>
      <c r="E302" s="1" t="n">
        <v>46281</v>
      </c>
      <c r="F302" t="inlineStr">
        <is>
          <t>SÖDERMANLANDS LÄN</t>
        </is>
      </c>
      <c r="G302" t="inlineStr">
        <is>
          <t>FLEN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44988</v>
      </c>
      <c r="E303" s="1" t="n">
        <v>46281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44778</v>
      </c>
      <c r="E304" s="1" t="n">
        <v>46281</v>
      </c>
      <c r="F304" t="inlineStr">
        <is>
          <t>SÖDERMANLANDS LÄN</t>
        </is>
      </c>
      <c r="G304" t="inlineStr">
        <is>
          <t>FLEN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46281</v>
      </c>
      <c r="F305" t="inlineStr">
        <is>
          <t>SÖDERMANLANDS LÄN</t>
        </is>
      </c>
      <c r="G305" t="inlineStr">
        <is>
          <t>FLEN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22827-2024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46281</v>
      </c>
      <c r="F306" t="inlineStr">
        <is>
          <t>SÖDERMANLANDS LÄN</t>
        </is>
      </c>
      <c r="G306" t="inlineStr">
        <is>
          <t>FLEN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44566</v>
      </c>
      <c r="E307" s="1" t="n">
        <v>46281</v>
      </c>
      <c r="F307" t="inlineStr">
        <is>
          <t>SÖDERMANLANDS LÄN</t>
        </is>
      </c>
      <c r="G307" t="inlineStr">
        <is>
          <t>FLEN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46281</v>
      </c>
      <c r="F308" t="inlineStr">
        <is>
          <t>SÖDERMANLANDS LÄN</t>
        </is>
      </c>
      <c r="G308" t="inlineStr">
        <is>
          <t>FLEN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46281</v>
      </c>
      <c r="F309" t="inlineStr">
        <is>
          <t>SÖDERMANLANDS LÄN</t>
        </is>
      </c>
      <c r="G309" t="inlineStr">
        <is>
          <t>FLEN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37256-2022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44807</v>
      </c>
      <c r="E310" s="1" t="n">
        <v>46281</v>
      </c>
      <c r="F310" t="inlineStr">
        <is>
          <t>SÖDERMANLANDS LÄN</t>
        </is>
      </c>
      <c r="G310" t="inlineStr">
        <is>
          <t>FLEN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46281</v>
      </c>
      <c r="F311" t="inlineStr">
        <is>
          <t>SÖDERMANLANDS LÄN</t>
        </is>
      </c>
      <c r="G311" t="inlineStr">
        <is>
          <t>FLEN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60609-2022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44911</v>
      </c>
      <c r="E312" s="1" t="n">
        <v>46281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45581</v>
      </c>
      <c r="E313" s="1" t="n">
        <v>46281</v>
      </c>
      <c r="F313" t="inlineStr">
        <is>
          <t>SÖDERMANLANDS LÄN</t>
        </is>
      </c>
      <c r="G313" t="inlineStr">
        <is>
          <t>FLEN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46281</v>
      </c>
      <c r="F314" t="inlineStr">
        <is>
          <t>SÖDERMANLANDS LÄN</t>
        </is>
      </c>
      <c r="G314" t="inlineStr">
        <is>
          <t>FLEN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54282-2025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45964</v>
      </c>
      <c r="E315" s="1" t="n">
        <v>46281</v>
      </c>
      <c r="F315" t="inlineStr">
        <is>
          <t>SÖDERMANLANDS LÄN</t>
        </is>
      </c>
      <c r="G315" t="inlineStr">
        <is>
          <t>FLEN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54283-2025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45964</v>
      </c>
      <c r="E316" s="1" t="n">
        <v>46281</v>
      </c>
      <c r="F316" t="inlineStr">
        <is>
          <t>SÖDERMANLANDS LÄN</t>
        </is>
      </c>
      <c r="G316" t="inlineStr">
        <is>
          <t>FLEN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46281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46281</v>
      </c>
      <c r="F318" t="inlineStr">
        <is>
          <t>SÖDERMANLANDS LÄN</t>
        </is>
      </c>
      <c r="G318" t="inlineStr">
        <is>
          <t>FLEN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56229-2025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46281</v>
      </c>
      <c r="F319" t="inlineStr">
        <is>
          <t>SÖDERMANLANDS LÄN</t>
        </is>
      </c>
      <c r="G319" t="inlineStr">
        <is>
          <t>FLEN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46281</v>
      </c>
      <c r="F320" t="inlineStr">
        <is>
          <t>SÖDERMANLANDS LÄN</t>
        </is>
      </c>
      <c r="G320" t="inlineStr">
        <is>
          <t>FLEN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45718</v>
      </c>
      <c r="E321" s="1" t="n">
        <v>46281</v>
      </c>
      <c r="F321" t="inlineStr">
        <is>
          <t>SÖDERMANLANDS LÄN</t>
        </is>
      </c>
      <c r="G321" t="inlineStr">
        <is>
          <t>FLEN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44970</v>
      </c>
      <c r="E322" s="1" t="n">
        <v>46281</v>
      </c>
      <c r="F322" t="inlineStr">
        <is>
          <t>SÖDERMANLANDS LÄN</t>
        </is>
      </c>
      <c r="G322" t="inlineStr">
        <is>
          <t>FLEN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56573-2025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45974</v>
      </c>
      <c r="E323" s="1" t="n">
        <v>46281</v>
      </c>
      <c r="F323" t="inlineStr">
        <is>
          <t>SÖDERMANLANDS LÄN</t>
        </is>
      </c>
      <c r="G323" t="inlineStr">
        <is>
          <t>FLEN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23835-2022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44722</v>
      </c>
      <c r="E324" s="1" t="n">
        <v>46281</v>
      </c>
      <c r="F324" t="inlineStr">
        <is>
          <t>SÖDERMANLANDS LÄN</t>
        </is>
      </c>
      <c r="G324" t="inlineStr">
        <is>
          <t>FLEN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23859-2022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44722</v>
      </c>
      <c r="E325" s="1" t="n">
        <v>46281</v>
      </c>
      <c r="F325" t="inlineStr">
        <is>
          <t>SÖDERMANLANDS LÄN</t>
        </is>
      </c>
      <c r="G325" t="inlineStr">
        <is>
          <t>FLEN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44960</v>
      </c>
      <c r="E326" s="1" t="n">
        <v>46281</v>
      </c>
      <c r="F326" t="inlineStr">
        <is>
          <t>SÖDERMANLANDS LÄN</t>
        </is>
      </c>
      <c r="G326" t="inlineStr">
        <is>
          <t>FLEN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48749-2022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44855</v>
      </c>
      <c r="E327" s="1" t="n">
        <v>46281</v>
      </c>
      <c r="F327" t="inlineStr">
        <is>
          <t>SÖDERMANLANDS LÄN</t>
        </is>
      </c>
      <c r="G327" t="inlineStr">
        <is>
          <t>FLEN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44855</v>
      </c>
      <c r="E328" s="1" t="n">
        <v>46281</v>
      </c>
      <c r="F328" t="inlineStr">
        <is>
          <t>SÖDERMANLANDS LÄN</t>
        </is>
      </c>
      <c r="G328" t="inlineStr">
        <is>
          <t>FLEN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46281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45791</v>
      </c>
      <c r="E330" s="1" t="n">
        <v>46281</v>
      </c>
      <c r="F330" t="inlineStr">
        <is>
          <t>SÖDERMANLANDS LÄN</t>
        </is>
      </c>
      <c r="G330" t="inlineStr">
        <is>
          <t>FLEN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45713</v>
      </c>
      <c r="E331" s="1" t="n">
        <v>46281</v>
      </c>
      <c r="F331" t="inlineStr">
        <is>
          <t>SÖDERMANLANDS LÄN</t>
        </is>
      </c>
      <c r="G331" t="inlineStr">
        <is>
          <t>FLEN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46281</v>
      </c>
      <c r="F332" t="inlineStr">
        <is>
          <t>SÖDERMANLANDS LÄN</t>
        </is>
      </c>
      <c r="G332" t="inlineStr">
        <is>
          <t>FLEN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46281</v>
      </c>
      <c r="F333" t="inlineStr">
        <is>
          <t>SÖDERMANLANDS LÄN</t>
        </is>
      </c>
      <c r="G333" t="inlineStr">
        <is>
          <t>FLEN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45597</v>
      </c>
      <c r="E334" s="1" t="n">
        <v>46281</v>
      </c>
      <c r="F334" t="inlineStr">
        <is>
          <t>SÖDERMANLANDS LÄN</t>
        </is>
      </c>
      <c r="G334" t="inlineStr">
        <is>
          <t>FLEN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45632</v>
      </c>
      <c r="E335" s="1" t="n">
        <v>46281</v>
      </c>
      <c r="F335" t="inlineStr">
        <is>
          <t>SÖDERMANLANDS LÄN</t>
        </is>
      </c>
      <c r="G335" t="inlineStr">
        <is>
          <t>FLEN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45993</v>
      </c>
      <c r="E336" s="1" t="n">
        <v>46281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46281</v>
      </c>
      <c r="F337" t="inlineStr">
        <is>
          <t>SÖDERMANLANDS LÄN</t>
        </is>
      </c>
      <c r="G337" t="inlineStr">
        <is>
          <t>FLEN</t>
        </is>
      </c>
      <c r="H337" t="inlineStr">
        <is>
          <t>Kyrkan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46281</v>
      </c>
      <c r="F338" t="inlineStr">
        <is>
          <t>SÖDERMANLANDS LÄN</t>
        </is>
      </c>
      <c r="G338" t="inlineStr">
        <is>
          <t>FLEN</t>
        </is>
      </c>
      <c r="H338" t="inlineStr">
        <is>
          <t>Kyrkan</t>
        </is>
      </c>
      <c r="I338" t="n">
        <v>9.699999999999999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45993</v>
      </c>
      <c r="E339" s="1" t="n">
        <v>46281</v>
      </c>
      <c r="F339" t="inlineStr">
        <is>
          <t>SÖDERMANLANDS LÄN</t>
        </is>
      </c>
      <c r="G339" t="inlineStr">
        <is>
          <t>FLEN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45993</v>
      </c>
      <c r="E340" s="1" t="n">
        <v>46281</v>
      </c>
      <c r="F340" t="inlineStr">
        <is>
          <t>SÖDERMANLANDS LÄN</t>
        </is>
      </c>
      <c r="G340" t="inlineStr">
        <is>
          <t>FLEN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46281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46281</v>
      </c>
      <c r="F342" t="inlineStr">
        <is>
          <t>SÖDERMANLANDS LÄN</t>
        </is>
      </c>
      <c r="G342" t="inlineStr">
        <is>
          <t>FLEN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46281</v>
      </c>
      <c r="F343" t="inlineStr">
        <is>
          <t>SÖDERMANLANDS LÄN</t>
        </is>
      </c>
      <c r="G343" t="inlineStr">
        <is>
          <t>FLEN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46281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46281</v>
      </c>
      <c r="F345" t="inlineStr">
        <is>
          <t>SÖDERMANLANDS LÄN</t>
        </is>
      </c>
      <c r="G345" t="inlineStr">
        <is>
          <t>FLEN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16580-2023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45030</v>
      </c>
      <c r="E346" s="1" t="n">
        <v>46281</v>
      </c>
      <c r="F346" t="inlineStr">
        <is>
          <t>SÖDERMANLANDS LÄN</t>
        </is>
      </c>
      <c r="G346" t="inlineStr">
        <is>
          <t>FLEN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46281</v>
      </c>
      <c r="F347" t="inlineStr">
        <is>
          <t>SÖDERMANLANDS LÄN</t>
        </is>
      </c>
      <c r="G347" t="inlineStr">
        <is>
          <t>FLEN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45228</v>
      </c>
      <c r="E348" s="1" t="n">
        <v>46281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46281</v>
      </c>
      <c r="F349" t="inlineStr">
        <is>
          <t>SÖDERMANLANDS LÄN</t>
        </is>
      </c>
      <c r="G349" t="inlineStr">
        <is>
          <t>FLEN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66867-2021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44522</v>
      </c>
      <c r="E350" s="1" t="n">
        <v>46281</v>
      </c>
      <c r="F350" t="inlineStr">
        <is>
          <t>SÖDERMANLANDS LÄN</t>
        </is>
      </c>
      <c r="G350" t="inlineStr">
        <is>
          <t>FLEN</t>
        </is>
      </c>
      <c r="H350" t="inlineStr">
        <is>
          <t>Kyrkan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52353-2023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45224</v>
      </c>
      <c r="E351" s="1" t="n">
        <v>46281</v>
      </c>
      <c r="F351" t="inlineStr">
        <is>
          <t>SÖDERMANLANDS LÄN</t>
        </is>
      </c>
      <c r="G351" t="inlineStr">
        <is>
          <t>FLEN</t>
        </is>
      </c>
      <c r="H351" t="inlineStr">
        <is>
          <t>Kyrkan</t>
        </is>
      </c>
      <c r="I351" t="n">
        <v>8.199999999999999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46281</v>
      </c>
      <c r="F352" t="inlineStr">
        <is>
          <t>SÖDERMANLANDS LÄN</t>
        </is>
      </c>
      <c r="G352" t="inlineStr">
        <is>
          <t>FLEN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45048</v>
      </c>
      <c r="E353" s="1" t="n">
        <v>46281</v>
      </c>
      <c r="F353" t="inlineStr">
        <is>
          <t>SÖDERMANLANDS LÄN</t>
        </is>
      </c>
      <c r="G353" t="inlineStr">
        <is>
          <t>FLEN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46281</v>
      </c>
      <c r="F354" t="inlineStr">
        <is>
          <t>SÖDERMANLANDS LÄN</t>
        </is>
      </c>
      <c r="G354" t="inlineStr">
        <is>
          <t>FLEN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45007</v>
      </c>
      <c r="E355" s="1" t="n">
        <v>46281</v>
      </c>
      <c r="F355" t="inlineStr">
        <is>
          <t>SÖDERMANLANDS LÄN</t>
        </is>
      </c>
      <c r="G355" t="inlineStr">
        <is>
          <t>FLEN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45345</v>
      </c>
      <c r="E356" s="1" t="n">
        <v>46281</v>
      </c>
      <c r="F356" t="inlineStr">
        <is>
          <t>SÖDERMANLANDS LÄN</t>
        </is>
      </c>
      <c r="G356" t="inlineStr">
        <is>
          <t>FLEN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45082</v>
      </c>
      <c r="E357" s="1" t="n">
        <v>46281</v>
      </c>
      <c r="F357" t="inlineStr">
        <is>
          <t>SÖDERMANLANDS LÄN</t>
        </is>
      </c>
      <c r="G357" t="inlineStr">
        <is>
          <t>FLEN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44909</v>
      </c>
      <c r="E358" s="1" t="n">
        <v>46281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9088-2026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46281</v>
      </c>
      <c r="F359" t="inlineStr">
        <is>
          <t>SÖDERMANLANDS LÄN</t>
        </is>
      </c>
      <c r="G359" t="inlineStr">
        <is>
          <t>FLEN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45041</v>
      </c>
      <c r="E360" s="1" t="n">
        <v>46281</v>
      </c>
      <c r="F360" t="inlineStr">
        <is>
          <t>SÖDERMANLANDS LÄN</t>
        </is>
      </c>
      <c r="G360" t="inlineStr">
        <is>
          <t>FLEN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45482</v>
      </c>
      <c r="E361" s="1" t="n">
        <v>46281</v>
      </c>
      <c r="F361" t="inlineStr">
        <is>
          <t>SÖDERMANLANDS LÄN</t>
        </is>
      </c>
      <c r="G361" t="inlineStr">
        <is>
          <t>FLEN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8883-2023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44979</v>
      </c>
      <c r="E362" s="1" t="n">
        <v>46281</v>
      </c>
      <c r="F362" t="inlineStr">
        <is>
          <t>SÖDERMANLANDS LÄN</t>
        </is>
      </c>
      <c r="G362" t="inlineStr">
        <is>
          <t>FLEN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45068</v>
      </c>
      <c r="E363" s="1" t="n">
        <v>46281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45213</v>
      </c>
      <c r="E364" s="1" t="n">
        <v>46281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46281</v>
      </c>
      <c r="F365" t="inlineStr">
        <is>
          <t>SÖDERMANLANDS LÄN</t>
        </is>
      </c>
      <c r="G365" t="inlineStr">
        <is>
          <t>FLEN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46168</v>
      </c>
      <c r="E366" s="1" t="n">
        <v>46281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46281</v>
      </c>
      <c r="F367" t="inlineStr">
        <is>
          <t>SÖDERMANLANDS LÄN</t>
        </is>
      </c>
      <c r="G367" t="inlineStr">
        <is>
          <t>FLEN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46281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46281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47187-2022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44848</v>
      </c>
      <c r="E370" s="1" t="n">
        <v>46281</v>
      </c>
      <c r="F370" t="inlineStr">
        <is>
          <t>SÖDERMANLANDS LÄN</t>
        </is>
      </c>
      <c r="G370" t="inlineStr">
        <is>
          <t>FLEN</t>
        </is>
      </c>
      <c r="H370" t="inlineStr">
        <is>
          <t>Övriga statliga verk och myndigheter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46281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46281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46281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46281</v>
      </c>
      <c r="F374" t="inlineStr">
        <is>
          <t>SÖDERMANLANDS LÄN</t>
        </is>
      </c>
      <c r="G374" t="inlineStr">
        <is>
          <t>FLEN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46281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54781-2024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45618</v>
      </c>
      <c r="E376" s="1" t="n">
        <v>46281</v>
      </c>
      <c r="F376" t="inlineStr">
        <is>
          <t>SÖDERMANLANDS LÄN</t>
        </is>
      </c>
      <c r="G376" t="inlineStr">
        <is>
          <t>FLEN</t>
        </is>
      </c>
      <c r="I376" t="n">
        <v>10.3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46281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  <c r="Z377">
        <f>HYPERLINK("https://klasma.github.io/Logging_0482/knärot/A 24450-2026 karta knärot.png", "A 24450-2026")</f>
        <v/>
      </c>
      <c r="AA377">
        <f>HYPERLINK("https://klasma.github.io/Logging_0482/klagomål/A 24450-2026 FSC-klagomål.docx", "A 24450-2026")</f>
        <v/>
      </c>
      <c r="AB377">
        <f>HYPERLINK("https://klasma.github.io/Logging_0482/klagomålsmail/A 24450-2026 FSC-klagomål mail.docx", "A 24450-2026")</f>
        <v/>
      </c>
      <c r="AC377">
        <f>HYPERLINK("https://klasma.github.io/Logging_0482/tillsyn/A 24450-2026 tillsynsbegäran.docx", "A 24450-2026")</f>
        <v/>
      </c>
      <c r="AD377">
        <f>HYPERLINK("https://klasma.github.io/Logging_0482/tillsynsmail/A 24450-2026 tillsynsbegäran mail.docx", "A 24450-2026")</f>
        <v/>
      </c>
    </row>
    <row r="378" ht="15" customHeight="1">
      <c r="A378" t="inlineStr">
        <is>
          <t>A 31965-2024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45510</v>
      </c>
      <c r="E378" s="1" t="n">
        <v>46281</v>
      </c>
      <c r="F378" t="inlineStr">
        <is>
          <t>SÖDERMANLANDS LÄN</t>
        </is>
      </c>
      <c r="G378" t="inlineStr">
        <is>
          <t>FLEN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47872-2025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45932</v>
      </c>
      <c r="E379" s="1" t="n">
        <v>46281</v>
      </c>
      <c r="F379" t="inlineStr">
        <is>
          <t>SÖDERMANLANDS LÄN</t>
        </is>
      </c>
      <c r="G379" t="inlineStr">
        <is>
          <t>FLEN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46281</v>
      </c>
      <c r="F380" t="inlineStr">
        <is>
          <t>SÖDERMANLANDS LÄN</t>
        </is>
      </c>
      <c r="G380" t="inlineStr">
        <is>
          <t>FLEN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46281</v>
      </c>
      <c r="F381" t="inlineStr">
        <is>
          <t>SÖDERMANLANDS LÄN</t>
        </is>
      </c>
      <c r="G381" t="inlineStr">
        <is>
          <t>FLEN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46281</v>
      </c>
      <c r="F382" t="inlineStr">
        <is>
          <t>SÖDERMANLANDS LÄN</t>
        </is>
      </c>
      <c r="G382" t="inlineStr">
        <is>
          <t>FLEN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44864</v>
      </c>
      <c r="E383" s="1" t="n">
        <v>46281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50796-2021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44459</v>
      </c>
      <c r="E384" s="1" t="n">
        <v>46281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44914</v>
      </c>
      <c r="E385" s="1" t="n">
        <v>46281</v>
      </c>
      <c r="F385" t="inlineStr">
        <is>
          <t>SÖDERMANLANDS LÄN</t>
        </is>
      </c>
      <c r="G385" t="inlineStr">
        <is>
          <t>FLEN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45216</v>
      </c>
      <c r="E386" s="1" t="n">
        <v>46281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45555</v>
      </c>
      <c r="E387" s="1" t="n">
        <v>46281</v>
      </c>
      <c r="F387" t="inlineStr">
        <is>
          <t>SÖDERMANLANDS LÄN</t>
        </is>
      </c>
      <c r="G387" t="inlineStr">
        <is>
          <t>FLEN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46281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52692-2021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44466</v>
      </c>
      <c r="E389" s="1" t="n">
        <v>46281</v>
      </c>
      <c r="F389" t="inlineStr">
        <is>
          <t>SÖDERMANLANDS LÄN</t>
        </is>
      </c>
      <c r="G389" t="inlineStr">
        <is>
          <t>FLEN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46281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46281</v>
      </c>
      <c r="F391" t="inlineStr">
        <is>
          <t>SÖDERMANLANDS LÄN</t>
        </is>
      </c>
      <c r="G391" t="inlineStr">
        <is>
          <t>FLEN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62763-2023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45271</v>
      </c>
      <c r="E392" s="1" t="n">
        <v>46281</v>
      </c>
      <c r="F392" t="inlineStr">
        <is>
          <t>SÖDERMANLANDS LÄN</t>
        </is>
      </c>
      <c r="G392" t="inlineStr">
        <is>
          <t>FLEN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46281</v>
      </c>
      <c r="F393" t="inlineStr">
        <is>
          <t>SÖDERMANLANDS LÄN</t>
        </is>
      </c>
      <c r="G393" t="inlineStr">
        <is>
          <t>FLEN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46281</v>
      </c>
      <c r="F394" t="inlineStr">
        <is>
          <t>SÖDERMANLANDS LÄN</t>
        </is>
      </c>
      <c r="G394" t="inlineStr">
        <is>
          <t>FLEN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46281</v>
      </c>
      <c r="F395" t="inlineStr">
        <is>
          <t>SÖDERMANLANDS LÄN</t>
        </is>
      </c>
      <c r="G395" t="inlineStr">
        <is>
          <t>FLEN</t>
        </is>
      </c>
      <c r="H395" t="inlineStr">
        <is>
          <t>Övriga statliga verk och myndigheter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15897-2023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45022</v>
      </c>
      <c r="E396" s="1" t="n">
        <v>46281</v>
      </c>
      <c r="F396" t="inlineStr">
        <is>
          <t>SÖDERMANLANDS LÄN</t>
        </is>
      </c>
      <c r="G396" t="inlineStr">
        <is>
          <t>FLEN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45034</v>
      </c>
      <c r="E397" s="1" t="n">
        <v>46281</v>
      </c>
      <c r="F397" t="inlineStr">
        <is>
          <t>SÖDERMANLANDS LÄN</t>
        </is>
      </c>
      <c r="G397" t="inlineStr">
        <is>
          <t>FLEN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46281</v>
      </c>
      <c r="F398" t="inlineStr">
        <is>
          <t>SÖDERMANLANDS LÄN</t>
        </is>
      </c>
      <c r="G398" t="inlineStr">
        <is>
          <t>FLEN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46281</v>
      </c>
      <c r="F399" t="inlineStr">
        <is>
          <t>SÖDERMANLANDS LÄN</t>
        </is>
      </c>
      <c r="G399" t="inlineStr">
        <is>
          <t>FLEN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46281</v>
      </c>
      <c r="F400" t="inlineStr">
        <is>
          <t>SÖDERMANLANDS LÄN</t>
        </is>
      </c>
      <c r="G400" t="inlineStr">
        <is>
          <t>FLEN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46281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46281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45081</v>
      </c>
      <c r="E403" s="1" t="n">
        <v>46281</v>
      </c>
      <c r="F403" t="inlineStr">
        <is>
          <t>SÖDERMANLANDS LÄN</t>
        </is>
      </c>
      <c r="G403" t="inlineStr">
        <is>
          <t>FLEN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25474-2023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45081</v>
      </c>
      <c r="E404" s="1" t="n">
        <v>46281</v>
      </c>
      <c r="F404" t="inlineStr">
        <is>
          <t>SÖDERMANLANDS LÄN</t>
        </is>
      </c>
      <c r="G404" t="inlineStr">
        <is>
          <t>FLEN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46281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46281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46281</v>
      </c>
      <c r="F407" t="inlineStr">
        <is>
          <t>SÖDERMANLANDS LÄN</t>
        </is>
      </c>
      <c r="G407" t="inlineStr">
        <is>
          <t>FLEN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46281</v>
      </c>
      <c r="F408" t="inlineStr">
        <is>
          <t>SÖDERMANLANDS LÄN</t>
        </is>
      </c>
      <c r="G408" t="inlineStr">
        <is>
          <t>FLEN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45147</v>
      </c>
      <c r="E409" s="1" t="n">
        <v>46281</v>
      </c>
      <c r="F409" t="inlineStr">
        <is>
          <t>SÖDERMANLANDS LÄN</t>
        </is>
      </c>
      <c r="G409" t="inlineStr">
        <is>
          <t>FLEN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46281</v>
      </c>
      <c r="F410" t="inlineStr">
        <is>
          <t>SÖDERMANLANDS LÄN</t>
        </is>
      </c>
      <c r="G410" t="inlineStr">
        <is>
          <t>FLEN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33103-2022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44785</v>
      </c>
      <c r="E411" s="1" t="n">
        <v>46281</v>
      </c>
      <c r="F411" t="inlineStr">
        <is>
          <t>SÖDERMANLANDS LÄN</t>
        </is>
      </c>
      <c r="G411" t="inlineStr">
        <is>
          <t>FLEN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46281</v>
      </c>
      <c r="F412" t="inlineStr">
        <is>
          <t>SÖDERMANLANDS LÄN</t>
        </is>
      </c>
      <c r="G412" t="inlineStr">
        <is>
          <t>FLEN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73923-2021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44553</v>
      </c>
      <c r="E413" s="1" t="n">
        <v>46281</v>
      </c>
      <c r="F413" t="inlineStr">
        <is>
          <t>SÖDERMANLANDS LÄN</t>
        </is>
      </c>
      <c r="G413" t="inlineStr">
        <is>
          <t>FLEN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60034-2022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44909</v>
      </c>
      <c r="E414" s="1" t="n">
        <v>46281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46077</v>
      </c>
      <c r="E415" s="1" t="n">
        <v>46281</v>
      </c>
      <c r="F415" t="inlineStr">
        <is>
          <t>SÖDERMANLANDS LÄN</t>
        </is>
      </c>
      <c r="G415" t="inlineStr">
        <is>
          <t>FLEN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44648</v>
      </c>
      <c r="E416" s="1" t="n">
        <v>46281</v>
      </c>
      <c r="F416" t="inlineStr">
        <is>
          <t>SÖDERMANLANDS LÄN</t>
        </is>
      </c>
      <c r="G416" t="inlineStr">
        <is>
          <t>FLEN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52541-2021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44463</v>
      </c>
      <c r="E417" s="1" t="n">
        <v>46281</v>
      </c>
      <c r="F417" t="inlineStr">
        <is>
          <t>SÖDERMANLANDS LÄN</t>
        </is>
      </c>
      <c r="G417" t="inlineStr">
        <is>
          <t>FLEN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58364-2023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46281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46281</v>
      </c>
      <c r="F419" t="inlineStr">
        <is>
          <t>SÖDERMANLANDS LÄN</t>
        </is>
      </c>
      <c r="G419" t="inlineStr">
        <is>
          <t>FLEN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46281</v>
      </c>
      <c r="F420" t="inlineStr">
        <is>
          <t>SÖDERMANLANDS LÄN</t>
        </is>
      </c>
      <c r="G420" t="inlineStr">
        <is>
          <t>FLEN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45161</v>
      </c>
      <c r="E421" s="1" t="n">
        <v>46281</v>
      </c>
      <c r="F421" t="inlineStr">
        <is>
          <t>SÖDERMANLANDS LÄN</t>
        </is>
      </c>
      <c r="G421" t="inlineStr">
        <is>
          <t>FLEN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44979</v>
      </c>
      <c r="E422" s="1" t="n">
        <v>46281</v>
      </c>
      <c r="F422" t="inlineStr">
        <is>
          <t>SÖDERMANLANDS LÄN</t>
        </is>
      </c>
      <c r="G422" t="inlineStr">
        <is>
          <t>FLEN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45056</v>
      </c>
      <c r="E423" s="1" t="n">
        <v>46281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46281</v>
      </c>
      <c r="F424" t="inlineStr">
        <is>
          <t>SÖDERMANLANDS LÄN</t>
        </is>
      </c>
      <c r="G424" t="inlineStr">
        <is>
          <t>FLEN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46281</v>
      </c>
      <c r="F425" t="inlineStr">
        <is>
          <t>SÖDERMANLANDS LÄN</t>
        </is>
      </c>
      <c r="G425" t="inlineStr">
        <is>
          <t>FLEN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26663-2022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44739</v>
      </c>
      <c r="E426" s="1" t="n">
        <v>46281</v>
      </c>
      <c r="F426" t="inlineStr">
        <is>
          <t>SÖDERMANLANDS LÄN</t>
        </is>
      </c>
      <c r="G426" t="inlineStr">
        <is>
          <t>FLEN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46281</v>
      </c>
      <c r="F427" t="inlineStr">
        <is>
          <t>SÖDERMANLANDS LÄN</t>
        </is>
      </c>
      <c r="G427" t="inlineStr">
        <is>
          <t>FLEN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31083-2022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44769</v>
      </c>
      <c r="E428" s="1" t="n">
        <v>46281</v>
      </c>
      <c r="F428" t="inlineStr">
        <is>
          <t>SÖDERMANLANDS LÄN</t>
        </is>
      </c>
      <c r="G428" t="inlineStr">
        <is>
          <t>FLEN</t>
        </is>
      </c>
      <c r="I428" t="n">
        <v>7.1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54666-2021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44473</v>
      </c>
      <c r="E429" s="1" t="n">
        <v>46281</v>
      </c>
      <c r="F429" t="inlineStr">
        <is>
          <t>SÖDERMANLANDS LÄN</t>
        </is>
      </c>
      <c r="G429" t="inlineStr">
        <is>
          <t>FLEN</t>
        </is>
      </c>
      <c r="I429" t="n">
        <v>10.1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44991</v>
      </c>
      <c r="E430" s="1" t="n">
        <v>46281</v>
      </c>
      <c r="F430" t="inlineStr">
        <is>
          <t>SÖDERMANLANDS LÄN</t>
        </is>
      </c>
      <c r="G430" t="inlineStr">
        <is>
          <t>FLEN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45036</v>
      </c>
      <c r="E431" s="1" t="n">
        <v>46281</v>
      </c>
      <c r="F431" t="inlineStr">
        <is>
          <t>SÖDERMANLANDS LÄN</t>
        </is>
      </c>
      <c r="G431" t="inlineStr">
        <is>
          <t>FLEN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28316-2026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46281</v>
      </c>
      <c r="F432" t="inlineStr">
        <is>
          <t>SÖDERMANLANDS LÄN</t>
        </is>
      </c>
      <c r="G432" t="inlineStr">
        <is>
          <t>FLEN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44957</v>
      </c>
      <c r="E433" s="1" t="n">
        <v>46281</v>
      </c>
      <c r="F433" t="inlineStr">
        <is>
          <t>SÖDERMANLANDS LÄN</t>
        </is>
      </c>
      <c r="G433" t="inlineStr">
        <is>
          <t>FLEN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51872-2022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44872</v>
      </c>
      <c r="E434" s="1" t="n">
        <v>46281</v>
      </c>
      <c r="F434" t="inlineStr">
        <is>
          <t>SÖDERMANLANDS LÄN</t>
        </is>
      </c>
      <c r="G434" t="inlineStr">
        <is>
          <t>FLEN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44614</v>
      </c>
      <c r="E435" s="1" t="n">
        <v>46281</v>
      </c>
      <c r="F435" t="inlineStr">
        <is>
          <t>SÖDERMANLANDS LÄN</t>
        </is>
      </c>
      <c r="G435" t="inlineStr">
        <is>
          <t>FLEN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46281</v>
      </c>
      <c r="F436" t="inlineStr">
        <is>
          <t>SÖDERMANLANDS LÄN</t>
        </is>
      </c>
      <c r="G436" t="inlineStr">
        <is>
          <t>FLEN</t>
        </is>
      </c>
      <c r="I436" t="n">
        <v>9.5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45180</v>
      </c>
      <c r="E437" s="1" t="n">
        <v>46281</v>
      </c>
      <c r="F437" t="inlineStr">
        <is>
          <t>SÖDERMANLANDS LÄN</t>
        </is>
      </c>
      <c r="G437" t="inlineStr">
        <is>
          <t>FLEN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35118-2024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45528</v>
      </c>
      <c r="E438" s="1" t="n">
        <v>46281</v>
      </c>
      <c r="F438" t="inlineStr">
        <is>
          <t>SÖDERMANLANDS LÄN</t>
        </is>
      </c>
      <c r="G438" t="inlineStr">
        <is>
          <t>FLEN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72314-2021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44544</v>
      </c>
      <c r="E439" s="1" t="n">
        <v>46281</v>
      </c>
      <c r="F439" t="inlineStr">
        <is>
          <t>SÖDERMANLANDS LÄN</t>
        </is>
      </c>
      <c r="G439" t="inlineStr">
        <is>
          <t>FLEN</t>
        </is>
      </c>
      <c r="I439" t="n">
        <v>13.8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46244</v>
      </c>
      <c r="E440" s="1" t="n">
        <v>46281</v>
      </c>
      <c r="F440" t="inlineStr">
        <is>
          <t>SÖDERMANLANDS LÄN</t>
        </is>
      </c>
      <c r="G440" t="inlineStr">
        <is>
          <t>FLEN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41630-2023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46281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38753-2023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46281</v>
      </c>
      <c r="F442" t="inlineStr">
        <is>
          <t>SÖDERMANLANDS LÄN</t>
        </is>
      </c>
      <c r="G442" t="inlineStr">
        <is>
          <t>FLEN</t>
        </is>
      </c>
      <c r="I442" t="n">
        <v>7.9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60255-2021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44495</v>
      </c>
      <c r="E443" s="1" t="n">
        <v>46281</v>
      </c>
      <c r="F443" t="inlineStr">
        <is>
          <t>SÖDERMANLANDS LÄN</t>
        </is>
      </c>
      <c r="G443" t="inlineStr">
        <is>
          <t>FLEN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45327</v>
      </c>
      <c r="E444" s="1" t="n">
        <v>46281</v>
      </c>
      <c r="F444" t="inlineStr">
        <is>
          <t>SÖDERMANLANDS LÄN</t>
        </is>
      </c>
      <c r="G444" t="inlineStr">
        <is>
          <t>FLEN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38331-2023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45161</v>
      </c>
      <c r="E445" s="1" t="n">
        <v>46281</v>
      </c>
      <c r="F445" t="inlineStr">
        <is>
          <t>SÖDERMANLANDS LÄN</t>
        </is>
      </c>
      <c r="G445" t="inlineStr">
        <is>
          <t>FLEN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46281</v>
      </c>
      <c r="F446" t="inlineStr">
        <is>
          <t>SÖDERMANLANDS LÄN</t>
        </is>
      </c>
      <c r="G446" t="inlineStr">
        <is>
          <t>FLEN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46251</v>
      </c>
      <c r="E447" s="1" t="n">
        <v>46281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33936-2026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46250</v>
      </c>
      <c r="E448" s="1" t="n">
        <v>46281</v>
      </c>
      <c r="F448" t="inlineStr">
        <is>
          <t>SÖDERMANLANDS LÄN</t>
        </is>
      </c>
      <c r="G448" t="inlineStr">
        <is>
          <t>FLEN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45239</v>
      </c>
      <c r="E449" s="1" t="n">
        <v>46281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44610</v>
      </c>
      <c r="E450" s="1" t="n">
        <v>46281</v>
      </c>
      <c r="F450" t="inlineStr">
        <is>
          <t>SÖDERMANLANDS LÄN</t>
        </is>
      </c>
      <c r="G450" t="inlineStr">
        <is>
          <t>FLEN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46251</v>
      </c>
      <c r="E451" s="1" t="n">
        <v>46281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33730-2026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46281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45244</v>
      </c>
      <c r="E453" s="1" t="n">
        <v>46281</v>
      </c>
      <c r="F453" t="inlineStr">
        <is>
          <t>SÖDERMANLANDS LÄN</t>
        </is>
      </c>
      <c r="G453" t="inlineStr">
        <is>
          <t>FLEN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20791-2022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44701</v>
      </c>
      <c r="E454" s="1" t="n">
        <v>46281</v>
      </c>
      <c r="F454" t="inlineStr">
        <is>
          <t>SÖDERMANLANDS LÄN</t>
        </is>
      </c>
      <c r="G454" t="inlineStr">
        <is>
          <t>FLEN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44602</v>
      </c>
      <c r="E455" s="1" t="n">
        <v>46281</v>
      </c>
      <c r="F455" t="inlineStr">
        <is>
          <t>SÖDERMANLANDS LÄN</t>
        </is>
      </c>
      <c r="G455" t="inlineStr">
        <is>
          <t>FLEN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31352-2023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45114</v>
      </c>
      <c r="E456" s="1" t="n">
        <v>46281</v>
      </c>
      <c r="F456" t="inlineStr">
        <is>
          <t>SÖDERMANLANDS LÄN</t>
        </is>
      </c>
      <c r="G456" t="inlineStr">
        <is>
          <t>FLEN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46281</v>
      </c>
      <c r="F457" t="inlineStr">
        <is>
          <t>SÖDERMANLANDS LÄN</t>
        </is>
      </c>
      <c r="G457" t="inlineStr">
        <is>
          <t>FLEN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40420-2024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45555</v>
      </c>
      <c r="E458" s="1" t="n">
        <v>46281</v>
      </c>
      <c r="F458" t="inlineStr">
        <is>
          <t>SÖDERMANLANDS LÄN</t>
        </is>
      </c>
      <c r="G458" t="inlineStr">
        <is>
          <t>FLEN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62579-2023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45270</v>
      </c>
      <c r="E459" s="1" t="n">
        <v>46281</v>
      </c>
      <c r="F459" t="inlineStr">
        <is>
          <t>SÖDERMANLANDS LÄN</t>
        </is>
      </c>
      <c r="G459" t="inlineStr">
        <is>
          <t>FLEN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39335-2023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46281</v>
      </c>
      <c r="F460" t="inlineStr">
        <is>
          <t>SÖDERMANLANDS LÄN</t>
        </is>
      </c>
      <c r="G460" t="inlineStr">
        <is>
          <t>FLEN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46281</v>
      </c>
      <c r="F461" t="inlineStr">
        <is>
          <t>SÖDERMANLANDS LÄN</t>
        </is>
      </c>
      <c r="G461" t="inlineStr">
        <is>
          <t>FLEN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38135-2023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45161</v>
      </c>
      <c r="E462" s="1" t="n">
        <v>46281</v>
      </c>
      <c r="F462" t="inlineStr">
        <is>
          <t>SÖDERMANLANDS LÄN</t>
        </is>
      </c>
      <c r="G462" t="inlineStr">
        <is>
          <t>FLEN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69588-2021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44531</v>
      </c>
      <c r="E463" s="1" t="n">
        <v>46281</v>
      </c>
      <c r="F463" t="inlineStr">
        <is>
          <t>SÖDERMANLANDS LÄN</t>
        </is>
      </c>
      <c r="G463" t="inlineStr">
        <is>
          <t>FLEN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45518</v>
      </c>
      <c r="E464" s="1" t="n">
        <v>46281</v>
      </c>
      <c r="F464" t="inlineStr">
        <is>
          <t>SÖDERMANLANDS LÄN</t>
        </is>
      </c>
      <c r="G464" t="inlineStr">
        <is>
          <t>FLEN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46258</v>
      </c>
      <c r="E465" s="1" t="n">
        <v>46281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8.5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44561-2024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45574</v>
      </c>
      <c r="E466" s="1" t="n">
        <v>46281</v>
      </c>
      <c r="F466" t="inlineStr">
        <is>
          <t>SÖDERMANLANDS LÄN</t>
        </is>
      </c>
      <c r="G466" t="inlineStr">
        <is>
          <t>FLEN</t>
        </is>
      </c>
      <c r="H466" t="inlineStr">
        <is>
          <t>Övriga statliga verk och myndigheter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46281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46281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46281</v>
      </c>
      <c r="F469" t="inlineStr">
        <is>
          <t>SÖDERMANLANDS LÄN</t>
        </is>
      </c>
      <c r="G469" t="inlineStr">
        <is>
          <t>FLEN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11747-2022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44634</v>
      </c>
      <c r="E470" s="1" t="n">
        <v>46281</v>
      </c>
      <c r="F470" t="inlineStr">
        <is>
          <t>SÖDERMANLANDS LÄN</t>
        </is>
      </c>
      <c r="G470" t="inlineStr">
        <is>
          <t>FLEN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45189</v>
      </c>
      <c r="E471" s="1" t="n">
        <v>46281</v>
      </c>
      <c r="F471" t="inlineStr">
        <is>
          <t>SÖDERMANLANDS LÄN</t>
        </is>
      </c>
      <c r="G471" t="inlineStr">
        <is>
          <t>FLEN</t>
        </is>
      </c>
      <c r="H471" t="inlineStr">
        <is>
          <t>Övriga statliga verk och myndigheter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48858-2023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45209</v>
      </c>
      <c r="E472" s="1" t="n">
        <v>46281</v>
      </c>
      <c r="F472" t="inlineStr">
        <is>
          <t>SÖDERMANLANDS LÄN</t>
        </is>
      </c>
      <c r="G472" t="inlineStr">
        <is>
          <t>FLEN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34030-2026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46281</v>
      </c>
      <c r="F473" t="inlineStr">
        <is>
          <t>SÖDERMANLANDS LÄN</t>
        </is>
      </c>
      <c r="G473" t="inlineStr">
        <is>
          <t>FLEN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34055-2026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46252</v>
      </c>
      <c r="E474" s="1" t="n">
        <v>46281</v>
      </c>
      <c r="F474" t="inlineStr">
        <is>
          <t>SÖDERMANLANDS LÄN</t>
        </is>
      </c>
      <c r="G474" t="inlineStr">
        <is>
          <t>FLEN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8903-2022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44614</v>
      </c>
      <c r="E475" s="1" t="n">
        <v>46281</v>
      </c>
      <c r="F475" t="inlineStr">
        <is>
          <t>SÖDERMANLANDS LÄN</t>
        </is>
      </c>
      <c r="G475" t="inlineStr">
        <is>
          <t>FLEN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16937-2022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44676</v>
      </c>
      <c r="E476" s="1" t="n">
        <v>46281</v>
      </c>
      <c r="F476" t="inlineStr">
        <is>
          <t>SÖDERMANLANDS LÄN</t>
        </is>
      </c>
      <c r="G476" t="inlineStr">
        <is>
          <t>FLEN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45365</v>
      </c>
      <c r="E477" s="1" t="n">
        <v>46281</v>
      </c>
      <c r="F477" t="inlineStr">
        <is>
          <t>SÖDERMANLANDS LÄN</t>
        </is>
      </c>
      <c r="G477" t="inlineStr">
        <is>
          <t>FLEN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34097-2026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46252</v>
      </c>
      <c r="E478" s="1" t="n">
        <v>46281</v>
      </c>
      <c r="F478" t="inlineStr">
        <is>
          <t>SÖDERMANLANDS LÄN</t>
        </is>
      </c>
      <c r="G478" t="inlineStr">
        <is>
          <t>FLEN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45454</v>
      </c>
      <c r="E479" s="1" t="n">
        <v>46281</v>
      </c>
      <c r="F479" t="inlineStr">
        <is>
          <t>SÖDERMANLANDS LÄN</t>
        </is>
      </c>
      <c r="G479" t="inlineStr">
        <is>
          <t>FLEN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45299</v>
      </c>
      <c r="E480" s="1" t="n">
        <v>46281</v>
      </c>
      <c r="F480" t="inlineStr">
        <is>
          <t>SÖDERMANLANDS LÄN</t>
        </is>
      </c>
      <c r="G480" t="inlineStr">
        <is>
          <t>FLEN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46281</v>
      </c>
      <c r="F481" t="inlineStr">
        <is>
          <t>SÖDERMANLANDS LÄN</t>
        </is>
      </c>
      <c r="G481" t="inlineStr">
        <is>
          <t>FLEN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45022</v>
      </c>
      <c r="E482" s="1" t="n">
        <v>46281</v>
      </c>
      <c r="F482" t="inlineStr">
        <is>
          <t>SÖDERMANLANDS LÄN</t>
        </is>
      </c>
      <c r="G482" t="inlineStr">
        <is>
          <t>FLEN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46281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45740</v>
      </c>
      <c r="E484" s="1" t="n">
        <v>46281</v>
      </c>
      <c r="F484" t="inlineStr">
        <is>
          <t>SÖDERMANLANDS LÄN</t>
        </is>
      </c>
      <c r="G484" t="inlineStr">
        <is>
          <t>FLEN</t>
        </is>
      </c>
      <c r="H484" t="inlineStr">
        <is>
          <t>Övriga statliga verk och myndigheter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45149</v>
      </c>
      <c r="E485" s="1" t="n">
        <v>46281</v>
      </c>
      <c r="F485" t="inlineStr">
        <is>
          <t>SÖDERMANLANDS LÄN</t>
        </is>
      </c>
      <c r="G485" t="inlineStr">
        <is>
          <t>FLEN</t>
        </is>
      </c>
      <c r="H485" t="inlineStr">
        <is>
          <t>Kyrkan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45555</v>
      </c>
      <c r="E486" s="1" t="n">
        <v>46281</v>
      </c>
      <c r="F486" t="inlineStr">
        <is>
          <t>SÖDERMANLANDS LÄN</t>
        </is>
      </c>
      <c r="G486" t="inlineStr">
        <is>
          <t>FLEN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45331</v>
      </c>
      <c r="E487" s="1" t="n">
        <v>46281</v>
      </c>
      <c r="F487" t="inlineStr">
        <is>
          <t>SÖDERMANLANDS LÄN</t>
        </is>
      </c>
      <c r="G487" t="inlineStr">
        <is>
          <t>FLEN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46266</v>
      </c>
      <c r="E488" s="1" t="n">
        <v>46281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46265</v>
      </c>
      <c r="E489" s="1" t="n">
        <v>46281</v>
      </c>
      <c r="F489" t="inlineStr">
        <is>
          <t>SÖDERMANLANDS LÄN</t>
        </is>
      </c>
      <c r="G489" t="inlineStr">
        <is>
          <t>FLEN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36188-2026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46267</v>
      </c>
      <c r="E490" s="1" t="n">
        <v>46281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34612-2023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46281</v>
      </c>
      <c r="F491" t="inlineStr">
        <is>
          <t>SÖDERMANLANDS LÄN</t>
        </is>
      </c>
      <c r="G491" t="inlineStr">
        <is>
          <t>FLEN</t>
        </is>
      </c>
      <c r="H491" t="inlineStr">
        <is>
          <t>Kyrkan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44931</v>
      </c>
      <c r="E492" s="1" t="n">
        <v>46281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46281</v>
      </c>
      <c r="F493" t="inlineStr">
        <is>
          <t>SÖDERMANLANDS LÄN</t>
        </is>
      </c>
      <c r="G493" t="inlineStr">
        <is>
          <t>FLEN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46267</v>
      </c>
      <c r="E494" s="1" t="n">
        <v>46281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46267</v>
      </c>
      <c r="E495" s="1" t="n">
        <v>46281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45217</v>
      </c>
      <c r="E496" s="1" t="n">
        <v>46281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46229</v>
      </c>
      <c r="E497" s="1" t="n">
        <v>46281</v>
      </c>
      <c r="F497" t="inlineStr">
        <is>
          <t>SÖDERMANLANDS LÄN</t>
        </is>
      </c>
      <c r="G497" t="inlineStr">
        <is>
          <t>FLEN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22028-2023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45066</v>
      </c>
      <c r="E498" s="1" t="n">
        <v>46281</v>
      </c>
      <c r="F498" t="inlineStr">
        <is>
          <t>SÖDERMANLANDS LÄN</t>
        </is>
      </c>
      <c r="G498" t="inlineStr">
        <is>
          <t>FLEN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46249</v>
      </c>
      <c r="E499" s="1" t="n">
        <v>46281</v>
      </c>
      <c r="F499" t="inlineStr">
        <is>
          <t>SÖDERMANLANDS LÄN</t>
        </is>
      </c>
      <c r="G499" t="inlineStr">
        <is>
          <t>FLEN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59439-2022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44907</v>
      </c>
      <c r="E500" s="1" t="n">
        <v>46281</v>
      </c>
      <c r="F500" t="inlineStr">
        <is>
          <t>SÖDERMANLANDS LÄN</t>
        </is>
      </c>
      <c r="G500" t="inlineStr">
        <is>
          <t>FLEN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46273</v>
      </c>
      <c r="E501" s="1" t="n">
        <v>46281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36982-2026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46273</v>
      </c>
      <c r="E502" s="1" t="n">
        <v>46281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45667</v>
      </c>
      <c r="E503" s="1" t="n">
        <v>46281</v>
      </c>
      <c r="F503" t="inlineStr">
        <is>
          <t>SÖDERMANLANDS LÄN</t>
        </is>
      </c>
      <c r="G503" t="inlineStr">
        <is>
          <t>FLEN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46281</v>
      </c>
      <c r="F504" t="inlineStr">
        <is>
          <t>SÖDERMANLANDS LÄN</t>
        </is>
      </c>
      <c r="G504" t="inlineStr">
        <is>
          <t>FLEN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53518-2023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45230</v>
      </c>
      <c r="E505" s="1" t="n">
        <v>46281</v>
      </c>
      <c r="F505" t="inlineStr">
        <is>
          <t>SÖDERMANLANDS LÄN</t>
        </is>
      </c>
      <c r="G505" t="inlineStr">
        <is>
          <t>FLEN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46281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14599-2023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45013</v>
      </c>
      <c r="E507" s="1" t="n">
        <v>46281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42731-2024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45566</v>
      </c>
      <c r="E508" s="1" t="n">
        <v>46281</v>
      </c>
      <c r="F508" t="inlineStr">
        <is>
          <t>SÖDERMANLANDS LÄN</t>
        </is>
      </c>
      <c r="G508" t="inlineStr">
        <is>
          <t>FLEN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57044-2023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45244</v>
      </c>
      <c r="E509" s="1" t="n">
        <v>46281</v>
      </c>
      <c r="F509" t="inlineStr">
        <is>
          <t>SÖDERMANLANDS LÄN</t>
        </is>
      </c>
      <c r="G509" t="inlineStr">
        <is>
          <t>FLEN</t>
        </is>
      </c>
      <c r="H509" t="inlineStr">
        <is>
          <t>Övriga statliga verk och myndigheter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13233-2024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45386</v>
      </c>
      <c r="E510" s="1" t="n">
        <v>46281</v>
      </c>
      <c r="F510" t="inlineStr">
        <is>
          <t>SÖDERMANLANDS LÄN</t>
        </is>
      </c>
      <c r="G510" t="inlineStr">
        <is>
          <t>FLEN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20952-2025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45777</v>
      </c>
      <c r="E511" s="1" t="n">
        <v>46281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45350</v>
      </c>
      <c r="E512" s="1" t="n">
        <v>46281</v>
      </c>
      <c r="F512" t="inlineStr">
        <is>
          <t>SÖDERMANLANDS LÄN</t>
        </is>
      </c>
      <c r="G512" t="inlineStr">
        <is>
          <t>FLEN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46281</v>
      </c>
      <c r="F513" t="inlineStr">
        <is>
          <t>SÖDERMANLANDS LÄN</t>
        </is>
      </c>
      <c r="G513" t="inlineStr">
        <is>
          <t>FLEN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45008</v>
      </c>
      <c r="E514" s="1" t="n">
        <v>46281</v>
      </c>
      <c r="F514" t="inlineStr">
        <is>
          <t>SÖDERMANLANDS LÄN</t>
        </is>
      </c>
      <c r="G514" t="inlineStr">
        <is>
          <t>FLEN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47055-2022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44852</v>
      </c>
      <c r="E515" s="1" t="n">
        <v>46281</v>
      </c>
      <c r="F515" t="inlineStr">
        <is>
          <t>SÖDERMANLANDS LÄN</t>
        </is>
      </c>
      <c r="G515" t="inlineStr">
        <is>
          <t>FLEN</t>
        </is>
      </c>
      <c r="I515" t="n">
        <v>8.699999999999999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54736-2022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44883</v>
      </c>
      <c r="E516" s="1" t="n">
        <v>46281</v>
      </c>
      <c r="F516" t="inlineStr">
        <is>
          <t>SÖDERMANLANDS LÄN</t>
        </is>
      </c>
      <c r="G516" t="inlineStr">
        <is>
          <t>FLEN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46281</v>
      </c>
      <c r="F517" t="inlineStr">
        <is>
          <t>SÖDERMANLANDS LÄN</t>
        </is>
      </c>
      <c r="G517" t="inlineStr">
        <is>
          <t>FLEN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22989-2025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45790</v>
      </c>
      <c r="E518" s="1" t="n">
        <v>46281</v>
      </c>
      <c r="F518" t="inlineStr">
        <is>
          <t>SÖDERMANLANDS LÄN</t>
        </is>
      </c>
      <c r="G518" t="inlineStr">
        <is>
          <t>FLEN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46281</v>
      </c>
      <c r="F519" t="inlineStr">
        <is>
          <t>SÖDERMANLANDS LÄN</t>
        </is>
      </c>
      <c r="G519" t="inlineStr">
        <is>
          <t>FLEN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22998-2025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45790</v>
      </c>
      <c r="E520" s="1" t="n">
        <v>46281</v>
      </c>
      <c r="F520" t="inlineStr">
        <is>
          <t>SÖDERMANLANDS LÄN</t>
        </is>
      </c>
      <c r="G520" t="inlineStr">
        <is>
          <t>FLEN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46281</v>
      </c>
      <c r="F521" t="inlineStr">
        <is>
          <t>SÖDERMANLANDS LÄN</t>
        </is>
      </c>
      <c r="G521" t="inlineStr">
        <is>
          <t>FLEN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52775-2024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46281</v>
      </c>
      <c r="F522" t="inlineStr">
        <is>
          <t>SÖDERMANLANDS LÄN</t>
        </is>
      </c>
      <c r="G522" t="inlineStr">
        <is>
          <t>FLEN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45798</v>
      </c>
      <c r="E523" s="1" t="n">
        <v>46281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45797</v>
      </c>
      <c r="E524" s="1" t="n">
        <v>46281</v>
      </c>
      <c r="F524" t="inlineStr">
        <is>
          <t>SÖDERMANLANDS LÄN</t>
        </is>
      </c>
      <c r="G524" t="inlineStr">
        <is>
          <t>FLEN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24526-2025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45798</v>
      </c>
      <c r="E525" s="1" t="n">
        <v>46281</v>
      </c>
      <c r="F525" t="inlineStr">
        <is>
          <t>SÖDERMANLANDS LÄN</t>
        </is>
      </c>
      <c r="G525" t="inlineStr">
        <is>
          <t>FLEN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45798</v>
      </c>
      <c r="E526" s="1" t="n">
        <v>46281</v>
      </c>
      <c r="F526" t="inlineStr">
        <is>
          <t>SÖDERMANLANDS LÄN</t>
        </is>
      </c>
      <c r="G526" t="inlineStr">
        <is>
          <t>FLEN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24557-2025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46281</v>
      </c>
      <c r="F527" t="inlineStr">
        <is>
          <t>SÖDERMANLANDS LÄN</t>
        </is>
      </c>
      <c r="G527" t="inlineStr">
        <is>
          <t>FLEN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46281</v>
      </c>
      <c r="F528" t="inlineStr">
        <is>
          <t>SÖDERMANLANDS LÄN</t>
        </is>
      </c>
      <c r="G528" t="inlineStr">
        <is>
          <t>FLEN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3944-2025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45684</v>
      </c>
      <c r="E529" s="1" t="n">
        <v>46281</v>
      </c>
      <c r="F529" t="inlineStr">
        <is>
          <t>SÖDERMANLANDS LÄN</t>
        </is>
      </c>
      <c r="G529" t="inlineStr">
        <is>
          <t>FLEN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27827-2025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45817</v>
      </c>
      <c r="E530" s="1" t="n">
        <v>46281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45830</v>
      </c>
      <c r="E531" s="1" t="n">
        <v>46281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45830</v>
      </c>
      <c r="E532" s="1" t="n">
        <v>46281</v>
      </c>
      <c r="F532" t="inlineStr">
        <is>
          <t>SÖDERMANLANDS LÄN</t>
        </is>
      </c>
      <c r="G532" t="inlineStr">
        <is>
          <t>FLEN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46281</v>
      </c>
      <c r="F533" t="inlineStr">
        <is>
          <t>SÖDERMANLANDS LÄN</t>
        </is>
      </c>
      <c r="G533" t="inlineStr">
        <is>
          <t>FLEN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45729</v>
      </c>
      <c r="E534" s="1" t="n">
        <v>46281</v>
      </c>
      <c r="F534" t="inlineStr">
        <is>
          <t>SÖDERMANLANDS LÄN</t>
        </is>
      </c>
      <c r="G534" t="inlineStr">
        <is>
          <t>FLEN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57863-2022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44899</v>
      </c>
      <c r="E535" s="1" t="n">
        <v>46281</v>
      </c>
      <c r="F535" t="inlineStr">
        <is>
          <t>SÖDERMANLANDS LÄN</t>
        </is>
      </c>
      <c r="G535" t="inlineStr">
        <is>
          <t>FLEN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482-2022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44588</v>
      </c>
      <c r="E536" s="1" t="n">
        <v>46281</v>
      </c>
      <c r="F536" t="inlineStr">
        <is>
          <t>SÖDERMANLANDS LÄN</t>
        </is>
      </c>
      <c r="G536" t="inlineStr">
        <is>
          <t>FLEN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2321-2022</t>
        </is>
      </c>
      <c r="B537" t="inlineStr">
        <is>
          <t>samrådsanmälan</t>
        </is>
      </c>
      <c r="C537" t="inlineStr">
        <is>
          <t>Åtgärd i nyckelbiotop</t>
        </is>
      </c>
      <c r="D537" s="1" t="n">
        <v>44685</v>
      </c>
      <c r="E537" s="1" t="n">
        <v>46281</v>
      </c>
      <c r="F537" t="inlineStr">
        <is>
          <t>SÖDERMANLANDS LÄN</t>
        </is>
      </c>
      <c r="G537" t="inlineStr">
        <is>
          <t>FLEN</t>
        </is>
      </c>
      <c r="H537" t="inlineStr">
        <is>
          <t>Kyrkan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458-2023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44964</v>
      </c>
      <c r="E538" s="1" t="n">
        <v>46281</v>
      </c>
      <c r="F538" t="inlineStr">
        <is>
          <t>SÖDERMANLANDS LÄN</t>
        </is>
      </c>
      <c r="G538" t="inlineStr">
        <is>
          <t>FLEN</t>
        </is>
      </c>
      <c r="H538" t="inlineStr">
        <is>
          <t>Kyrkan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292-2025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45686</v>
      </c>
      <c r="E539" s="1" t="n">
        <v>46281</v>
      </c>
      <c r="F539" t="inlineStr">
        <is>
          <t>SÖDERMANLANDS LÄN</t>
        </is>
      </c>
      <c r="G539" t="inlineStr">
        <is>
          <t>FLEN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3723-2022</t>
        </is>
      </c>
      <c r="B540" t="inlineStr">
        <is>
          <t>samrådsanmälan</t>
        </is>
      </c>
      <c r="C540" t="inlineStr">
        <is>
          <t>Åtgärd i nyckelbiotop</t>
        </is>
      </c>
      <c r="D540" s="1" t="n">
        <v>44742</v>
      </c>
      <c r="E540" s="1" t="n">
        <v>46281</v>
      </c>
      <c r="F540" t="inlineStr">
        <is>
          <t>SÖDERMANLANDS LÄN</t>
        </is>
      </c>
      <c r="G540" t="inlineStr">
        <is>
          <t>FLEN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1976-2024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45446</v>
      </c>
      <c r="E541" s="1" t="n">
        <v>46281</v>
      </c>
      <c r="F541" t="inlineStr">
        <is>
          <t>SÖDERMANLANDS LÄN</t>
        </is>
      </c>
      <c r="G541" t="inlineStr">
        <is>
          <t>FLEN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1287-2024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45403</v>
      </c>
      <c r="E542" s="1" t="n">
        <v>46281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1528-2026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46164</v>
      </c>
      <c r="E543" s="1" t="n">
        <v>46281</v>
      </c>
      <c r="F543" t="inlineStr">
        <is>
          <t>SÖDERMANLANDS LÄN</t>
        </is>
      </c>
      <c r="G543" t="inlineStr">
        <is>
          <t>FLEN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2026-09-16T02:05:07Z</dcterms:created>
  <dcterms:modified xmlns:dcterms="http://purl.org/dc/terms/" xmlns:xsi="http://www.w3.org/2001/XMLSchema-instance" xsi:type="dcterms:W3CDTF">2026-09-16T02:05:08Z</dcterms:modified>
</cp:coreProperties>
</file>