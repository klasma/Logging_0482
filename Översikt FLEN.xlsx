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46269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46269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46269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46269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46269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46269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46269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46269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46269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46269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46269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46269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46269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46269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46269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46269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46269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46269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46269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46269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46269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46269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46269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46269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46269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46269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38832-2022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44814</v>
      </c>
      <c r="E28" s="1" t="n">
        <v>46269</v>
      </c>
      <c r="F28" t="inlineStr">
        <is>
          <t>SÖDERMANLANDS LÄN</t>
        </is>
      </c>
      <c r="G28" t="inlineStr">
        <is>
          <t>FLEN</t>
        </is>
      </c>
      <c r="I28" t="n">
        <v>1.8</v>
      </c>
      <c r="J28" t="n">
        <v>2</v>
      </c>
      <c r="K28" t="n">
        <v>0</v>
      </c>
      <c r="L28" t="n">
        <v>2</v>
      </c>
      <c r="M28" t="n">
        <v>1</v>
      </c>
      <c r="N28" t="n">
        <v>1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5</v>
      </c>
      <c r="U28" t="n">
        <v>1</v>
      </c>
      <c r="V28" s="2" t="inlineStr">
        <is>
          <t>Ask
Gulvit blekspik
Gulsparv
Tallticka
Skogsödla</t>
        </is>
      </c>
      <c r="W28">
        <f>HYPERLINK("https://klasma.github.io/Logging_0482/artfynd/A 38832-2022 artfynd.xlsx", "A 38832-2022")</f>
        <v/>
      </c>
      <c r="X28">
        <f>HYPERLINK("https://klasma.github.io/Logging_0482/kartor/A 38832-2022 karta.png", "A 38832-2022")</f>
        <v/>
      </c>
      <c r="Y28">
        <f>HYPERLINK("https://klasma.github.io/Logging_0482/kartor_geotiff/A 38832-2022 georefererad karta.tif", "A 38832-2022")</f>
        <v/>
      </c>
      <c r="AA28">
        <f>HYPERLINK("https://klasma.github.io/Logging_0482/klagomål/A 38832-2022 FSC-klagomål.docx", "A 38832-2022")</f>
        <v/>
      </c>
      <c r="AB28">
        <f>HYPERLINK("https://klasma.github.io/Logging_0482/klagomålsmail/A 38832-2022 FSC-klagomål mail.docx", "A 38832-2022")</f>
        <v/>
      </c>
      <c r="AC28">
        <f>HYPERLINK("https://klasma.github.io/Logging_0482/tillsyn/A 38832-2022 tillsynsbegäran.docx", "A 38832-2022")</f>
        <v/>
      </c>
      <c r="AD28">
        <f>HYPERLINK("https://klasma.github.io/Logging_0482/tillsynsmail/A 38832-2022 tillsynsbegäran mail.docx", "A 38832-2022")</f>
        <v/>
      </c>
      <c r="AE28">
        <f>HYPERLINK("https://klasma.github.io/Logging_0482/fåglar/A 38832-2022 prioriterade fågelarter.docx", "A 38832-2022")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46269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32901-2025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45839</v>
      </c>
      <c r="E30" s="1" t="n">
        <v>46269</v>
      </c>
      <c r="F30" t="inlineStr">
        <is>
          <t>SÖDERMANLANDS LÄN</t>
        </is>
      </c>
      <c r="G30" t="inlineStr">
        <is>
          <t>FLEN</t>
        </is>
      </c>
      <c r="I30" t="n">
        <v>2.6</v>
      </c>
      <c r="J30" t="n">
        <v>1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9</v>
      </c>
      <c r="U30" t="n">
        <v>5</v>
      </c>
      <c r="V30" s="2" t="inlineStr">
        <is>
          <t>Motaggsvamp
Ullticka
Blomkålssvamp
Flagellkvastmossa
Spillkråka</t>
        </is>
      </c>
      <c r="W30">
        <f>HYPERLINK("https://klasma.github.io/Logging_0482/artfynd/A 32901-2025 artfynd.xlsx", "A 32901-2025")</f>
        <v/>
      </c>
      <c r="X30">
        <f>HYPERLINK("https://klasma.github.io/Logging_0482/kartor/A 32901-2025 karta.png", "A 32901-2025")</f>
        <v/>
      </c>
      <c r="Y30">
        <f>HYPERLINK("https://klasma.github.io/Logging_0482/kartor_geotiff/A 32901-2025 georefererad karta.tif", "A 32901-2025")</f>
        <v/>
      </c>
      <c r="AA30">
        <f>HYPERLINK("https://klasma.github.io/Logging_0482/klagomål/A 32901-2025 FSC-klagomål.docx", "A 32901-2025")</f>
        <v/>
      </c>
      <c r="AB30">
        <f>HYPERLINK("https://klasma.github.io/Logging_0482/klagomålsmail/A 32901-2025 FSC-klagomål mail.docx", "A 32901-2025")</f>
        <v/>
      </c>
      <c r="AC30">
        <f>HYPERLINK("https://klasma.github.io/Logging_0482/tillsyn/A 32901-2025 tillsynsbegäran.docx", "A 32901-2025")</f>
        <v/>
      </c>
      <c r="AD30">
        <f>HYPERLINK("https://klasma.github.io/Logging_0482/tillsynsmail/A 32901-2025 tillsynsbegäran mail.docx", "A 32901-2025")</f>
        <v/>
      </c>
      <c r="AE30">
        <f>HYPERLINK("https://klasma.github.io/Logging_0482/fåglar/A 32901-2025 prioriterade fågelarter.docx", "A 32901-2025")</f>
        <v/>
      </c>
    </row>
    <row r="31" ht="15" customHeight="1">
      <c r="A31" t="inlineStr">
        <is>
          <t>A 33219-2024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46269</v>
      </c>
      <c r="F31" t="inlineStr">
        <is>
          <t>SÖDERMANLANDS LÄN</t>
        </is>
      </c>
      <c r="G31" t="inlineStr">
        <is>
          <t>FLEN</t>
        </is>
      </c>
      <c r="I31" t="n">
        <v>2.5</v>
      </c>
      <c r="J31" t="n">
        <v>3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Svinrot
Zontaggsvamp
Blåsippa
Mattlummer</t>
        </is>
      </c>
      <c r="W31">
        <f>HYPERLINK("https://klasma.github.io/Logging_0482/artfynd/A 33219-2024 artfynd.xlsx", "A 33219-2024")</f>
        <v/>
      </c>
      <c r="X31">
        <f>HYPERLINK("https://klasma.github.io/Logging_0482/kartor/A 33219-2024 karta.png", "A 33219-2024")</f>
        <v/>
      </c>
      <c r="Y31">
        <f>HYPERLINK("https://klasma.github.io/Logging_0482/kartor_geotiff/A 33219-2024 georefererad karta.tif", "A 33219-2024")</f>
        <v/>
      </c>
      <c r="Z31">
        <f>HYPERLINK("https://klasma.github.io/Logging_0482/knärot/A 33219-2024 karta knärot.png", "A 33219-2024")</f>
        <v/>
      </c>
      <c r="AA31">
        <f>HYPERLINK("https://klasma.github.io/Logging_0482/klagomål/A 33219-2024 FSC-klagomål.docx", "A 33219-2024")</f>
        <v/>
      </c>
      <c r="AB31">
        <f>HYPERLINK("https://klasma.github.io/Logging_0482/klagomålsmail/A 33219-2024 FSC-klagomål mail.docx", "A 33219-2024")</f>
        <v/>
      </c>
      <c r="AC31">
        <f>HYPERLINK("https://klasma.github.io/Logging_0482/tillsyn/A 33219-2024 tillsynsbegäran.docx", "A 33219-2024")</f>
        <v/>
      </c>
      <c r="AD31">
        <f>HYPERLINK("https://klasma.github.io/Logging_0482/tillsynsmail/A 33219-2024 tillsynsbegäran mail.docx", "A 33219-2024")</f>
        <v/>
      </c>
    </row>
    <row r="32" ht="15" customHeight="1">
      <c r="A32" t="inlineStr">
        <is>
          <t>A 50343-2024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46269</v>
      </c>
      <c r="F32" t="inlineStr">
        <is>
          <t>SÖDERMANLANDS LÄN</t>
        </is>
      </c>
      <c r="G32" t="inlineStr">
        <is>
          <t>FLEN</t>
        </is>
      </c>
      <c r="H32" t="inlineStr">
        <is>
          <t>Övriga statliga verk och myndigheter</t>
        </is>
      </c>
      <c r="I32" t="n">
        <v>3.6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5</v>
      </c>
      <c r="V32" s="2" t="inlineStr">
        <is>
          <t>Svartöra
Tallticka
Blåsippa
Liljekonvalj
Vildkaprifol</t>
        </is>
      </c>
      <c r="W32">
        <f>HYPERLINK("https://klasma.github.io/Logging_0482/artfynd/A 50343-2024 artfynd.xlsx", "A 50343-2024")</f>
        <v/>
      </c>
      <c r="X32">
        <f>HYPERLINK("https://klasma.github.io/Logging_0482/kartor/A 50343-2024 karta.png", "A 50343-2024")</f>
        <v/>
      </c>
      <c r="Y32">
        <f>HYPERLINK("https://klasma.github.io/Logging_0482/kartor_geotiff/A 50343-2024 georefererad karta.tif", "A 50343-2024")</f>
        <v/>
      </c>
      <c r="AA32">
        <f>HYPERLINK("https://klasma.github.io/Logging_0482/klagomål/A 50343-2024 FSC-klagomål.docx", "A 50343-2024")</f>
        <v/>
      </c>
      <c r="AB32">
        <f>HYPERLINK("https://klasma.github.io/Logging_0482/klagomålsmail/A 50343-2024 FSC-klagomål mail.docx", "A 50343-2024")</f>
        <v/>
      </c>
      <c r="AC32">
        <f>HYPERLINK("https://klasma.github.io/Logging_0482/tillsyn/A 50343-2024 tillsynsbegäran.docx", "A 50343-2024")</f>
        <v/>
      </c>
      <c r="AD32">
        <f>HYPERLINK("https://klasma.github.io/Logging_0482/tillsynsmail/A 50343-2024 tillsynsbegäran mail.docx", "A 50343-2024")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46269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46269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46269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A 48952-2023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46269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12.8</v>
      </c>
      <c r="J36" t="n">
        <v>0</v>
      </c>
      <c r="K36" t="n">
        <v>2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11</v>
      </c>
      <c r="U36" t="n">
        <v>0</v>
      </c>
      <c r="V36" s="2" t="inlineStr">
        <is>
          <t>Dropptaggsvamp
Tallticka
Vedskivlav
Blåmossa
Grovticka</t>
        </is>
      </c>
      <c r="W36">
        <f>HYPERLINK("https://klasma.github.io/Logging_0482/artfynd/A 48952-2023 artfynd.xlsx", "A 48952-2023")</f>
        <v/>
      </c>
      <c r="X36">
        <f>HYPERLINK("https://klasma.github.io/Logging_0482/kartor/A 48952-2023 karta.png", "A 48952-2023")</f>
        <v/>
      </c>
      <c r="Y36">
        <f>HYPERLINK("https://klasma.github.io/Logging_0482/kartor_geotiff/A 48952-2023 georefererad karta.tif", "A 48952-2023")</f>
        <v/>
      </c>
      <c r="AA36">
        <f>HYPERLINK("https://klasma.github.io/Logging_0482/klagomål/A 48952-2023 FSC-klagomål.docx", "A 48952-2023")</f>
        <v/>
      </c>
      <c r="AB36">
        <f>HYPERLINK("https://klasma.github.io/Logging_0482/klagomålsmail/A 48952-2023 FSC-klagomål mail.docx", "A 48952-2023")</f>
        <v/>
      </c>
      <c r="AC36">
        <f>HYPERLINK("https://klasma.github.io/Logging_0482/tillsyn/A 48952-2023 tillsynsbegäran.docx", "A 48952-2023")</f>
        <v/>
      </c>
      <c r="AD36">
        <f>HYPERLINK("https://klasma.github.io/Logging_0482/tillsynsmail/A 48952-2023 tillsynsbegäran mail.docx", "A 48952-2023")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46269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46269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46269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46269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46269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11115-2026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46079</v>
      </c>
      <c r="E42" s="1" t="n">
        <v>46269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7.8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6</v>
      </c>
      <c r="U42" t="n">
        <v>6</v>
      </c>
      <c r="V42" s="2" t="inlineStr">
        <is>
          <t>Dropptaggsvamp
Fönsterlav
Grå renlav
Gulvit renlav</t>
        </is>
      </c>
      <c r="W42">
        <f>HYPERLINK("https://klasma.github.io/Logging_0482/artfynd/A 11115-2026 artfynd.xlsx", "A 11115-2026")</f>
        <v/>
      </c>
      <c r="X42">
        <f>HYPERLINK("https://klasma.github.io/Logging_0482/kartor/A 11115-2026 karta.png", "A 11115-2026")</f>
        <v/>
      </c>
      <c r="Y42">
        <f>HYPERLINK("https://klasma.github.io/Logging_0482/kartor_geotiff/A 11115-2026 georefererad karta.tif", "A 11115-2026")</f>
        <v/>
      </c>
      <c r="AA42">
        <f>HYPERLINK("https://klasma.github.io/Logging_0482/klagomål/A 11115-2026 FSC-klagomål.docx", "A 11115-2026")</f>
        <v/>
      </c>
      <c r="AB42">
        <f>HYPERLINK("https://klasma.github.io/Logging_0482/klagomålsmail/A 11115-2026 FSC-klagomål mail.docx", "A 11115-2026")</f>
        <v/>
      </c>
      <c r="AC42">
        <f>HYPERLINK("https://klasma.github.io/Logging_0482/tillsyn/A 11115-2026 tillsynsbegäran.docx", "A 11115-2026")</f>
        <v/>
      </c>
      <c r="AD42">
        <f>HYPERLINK("https://klasma.github.io/Logging_0482/tillsynsmail/A 11115-2026 tillsynsbegäran mail.docx", "A 11115-2026")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46269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1</v>
      </c>
      <c r="V43" s="2" t="inlineStr">
        <is>
          <t>Svedjenäva
Svinrot
Mattlummer
Fläcknycklar</t>
        </is>
      </c>
      <c r="W43">
        <f>HYPERLINK("https://klasma.github.io/Logging_0482/artfynd/A 49808-2023 artfynd.xlsx", "A 49808-2023")</f>
        <v/>
      </c>
      <c r="X43">
        <f>HYPERLINK("https://klasma.github.io/Logging_0482/kartor/A 49808-2023 karta.png", "A 49808-2023")</f>
        <v/>
      </c>
      <c r="Y43">
        <f>HYPERLINK("https://klasma.github.io/Logging_0482/kartor_geotiff/A 49808-2023 georefererad karta.tif", "A 49808-2023")</f>
        <v/>
      </c>
      <c r="AA43">
        <f>HYPERLINK("https://klasma.github.io/Logging_0482/klagomål/A 49808-2023 FSC-klagomål.docx", "A 49808-2023")</f>
        <v/>
      </c>
      <c r="AB43">
        <f>HYPERLINK("https://klasma.github.io/Logging_0482/klagomålsmail/A 49808-2023 FSC-klagomål mail.docx", "A 49808-2023")</f>
        <v/>
      </c>
      <c r="AC43">
        <f>HYPERLINK("https://klasma.github.io/Logging_0482/tillsyn/A 49808-2023 tillsynsbegäran.docx", "A 49808-2023")</f>
        <v/>
      </c>
      <c r="AD43">
        <f>HYPERLINK("https://klasma.github.io/Logging_0482/tillsynsmail/A 49808-2023 tillsynsbegäran mail.docx", "A 49808-2023")</f>
        <v/>
      </c>
    </row>
    <row r="44" ht="15" customHeight="1">
      <c r="A44" t="inlineStr">
        <is>
          <t>A 16503-2026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46112</v>
      </c>
      <c r="E44" s="1" t="n">
        <v>46269</v>
      </c>
      <c r="F44" t="inlineStr">
        <is>
          <t>SÖDERMANLANDS LÄN</t>
        </is>
      </c>
      <c r="G44" t="inlineStr">
        <is>
          <t>FLEN</t>
        </is>
      </c>
      <c r="I44" t="n">
        <v>0.6</v>
      </c>
      <c r="J44" t="n">
        <v>0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5</v>
      </c>
      <c r="U44" t="n">
        <v>1</v>
      </c>
      <c r="V44" s="2" t="inlineStr">
        <is>
          <t>Sexfläckig bastardsvärmare
Gullklöver
Jungfrulin
Svinrot</t>
        </is>
      </c>
      <c r="W44">
        <f>HYPERLINK("https://klasma.github.io/Logging_0482/artfynd/A 16503-2026 artfynd.xlsx", "A 16503-2026")</f>
        <v/>
      </c>
      <c r="X44">
        <f>HYPERLINK("https://klasma.github.io/Logging_0482/kartor/A 16503-2026 karta.png", "A 16503-2026")</f>
        <v/>
      </c>
      <c r="Y44">
        <f>HYPERLINK("https://klasma.github.io/Logging_0482/kartor_geotiff/A 16503-2026 georefererad karta.tif", "A 16503-2026")</f>
        <v/>
      </c>
      <c r="AA44">
        <f>HYPERLINK("https://klasma.github.io/Logging_0482/klagomål/A 16503-2026 FSC-klagomål.docx", "A 16503-2026")</f>
        <v/>
      </c>
      <c r="AB44">
        <f>HYPERLINK("https://klasma.github.io/Logging_0482/klagomålsmail/A 16503-2026 FSC-klagomål mail.docx", "A 16503-2026")</f>
        <v/>
      </c>
      <c r="AC44">
        <f>HYPERLINK("https://klasma.github.io/Logging_0482/tillsyn/A 16503-2026 tillsynsbegäran.docx", "A 16503-2026")</f>
        <v/>
      </c>
      <c r="AD44">
        <f>HYPERLINK("https://klasma.github.io/Logging_0482/tillsynsmail/A 16503-2026 tillsynsbegäran mail.docx", "A 16503-2026")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46269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21004-2025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45777</v>
      </c>
      <c r="E46" s="1" t="n">
        <v>46269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1.8</v>
      </c>
      <c r="J46" t="n">
        <v>0</v>
      </c>
      <c r="K46" t="n">
        <v>1</v>
      </c>
      <c r="L46" t="n">
        <v>2</v>
      </c>
      <c r="M46" t="n">
        <v>0</v>
      </c>
      <c r="N46" t="n">
        <v>1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0</v>
      </c>
      <c r="V46" s="2" t="inlineStr">
        <is>
          <t>Ask
Parknål
Tallticka
Brun nållav</t>
        </is>
      </c>
      <c r="W46">
        <f>HYPERLINK("https://klasma.github.io/Logging_0482/artfynd/A 21004-2025 artfynd.xlsx", "A 21004-2025")</f>
        <v/>
      </c>
      <c r="X46">
        <f>HYPERLINK("https://klasma.github.io/Logging_0482/kartor/A 21004-2025 karta.png", "A 21004-2025")</f>
        <v/>
      </c>
      <c r="Y46">
        <f>HYPERLINK("https://klasma.github.io/Logging_0482/kartor_geotiff/A 21004-2025 georefererad karta.tif", "A 21004-2025")</f>
        <v/>
      </c>
      <c r="AA46">
        <f>HYPERLINK("https://klasma.github.io/Logging_0482/klagomål/A 21004-2025 FSC-klagomål.docx", "A 21004-2025")</f>
        <v/>
      </c>
      <c r="AB46">
        <f>HYPERLINK("https://klasma.github.io/Logging_0482/klagomålsmail/A 21004-2025 FSC-klagomål mail.docx", "A 21004-2025")</f>
        <v/>
      </c>
      <c r="AC46">
        <f>HYPERLINK("https://klasma.github.io/Logging_0482/tillsyn/A 21004-2025 tillsynsbegäran.docx", "A 21004-2025")</f>
        <v/>
      </c>
      <c r="AD46">
        <f>HYPERLINK("https://klasma.github.io/Logging_0482/tillsynsmail/A 21004-2025 tillsynsbegäran mail.docx", "A 21004-2025")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46269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63185-2023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45272</v>
      </c>
      <c r="E48" s="1" t="n">
        <v>46269</v>
      </c>
      <c r="F48" t="inlineStr">
        <is>
          <t>SÖDERMANLANDS LÄN</t>
        </is>
      </c>
      <c r="G48" t="inlineStr">
        <is>
          <t>FLEN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3</v>
      </c>
      <c r="V48" s="2" t="inlineStr">
        <is>
          <t>Gullklöver
Majbräken
Sälg</t>
        </is>
      </c>
      <c r="W48">
        <f>HYPERLINK("https://klasma.github.io/Logging_0482/artfynd/A 63185-2023 artfynd.xlsx", "A 63185-2023")</f>
        <v/>
      </c>
      <c r="X48">
        <f>HYPERLINK("https://klasma.github.io/Logging_0482/kartor/A 63185-2023 karta.png", "A 63185-2023")</f>
        <v/>
      </c>
      <c r="Y48">
        <f>HYPERLINK("https://klasma.github.io/Logging_0482/kartor_geotiff/A 63185-2023 georefererad karta.tif", "A 63185-2023")</f>
        <v/>
      </c>
      <c r="AA48">
        <f>HYPERLINK("https://klasma.github.io/Logging_0482/klagomål/A 63185-2023 FSC-klagomål.docx", "A 63185-2023")</f>
        <v/>
      </c>
      <c r="AB48">
        <f>HYPERLINK("https://klasma.github.io/Logging_0482/klagomålsmail/A 63185-2023 FSC-klagomål mail.docx", "A 63185-2023")</f>
        <v/>
      </c>
      <c r="AC48">
        <f>HYPERLINK("https://klasma.github.io/Logging_0482/tillsyn/A 63185-2023 tillsynsbegäran.docx", "A 63185-2023")</f>
        <v/>
      </c>
      <c r="AD48">
        <f>HYPERLINK("https://klasma.github.io/Logging_0482/tillsynsmail/A 63185-2023 tillsynsbegäran mail.docx", "A 63185-2023")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46269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Tallkötticka
Grönpyrola
Kamjordstjärna</t>
        </is>
      </c>
      <c r="W49">
        <f>HYPERLINK("https://klasma.github.io/Logging_0482/artfynd/A 1149-2025 artfynd.xlsx", "A 1149-2025")</f>
        <v/>
      </c>
      <c r="X49">
        <f>HYPERLINK("https://klasma.github.io/Logging_0482/kartor/A 1149-2025 karta.png", "A 1149-2025")</f>
        <v/>
      </c>
      <c r="Y49">
        <f>HYPERLINK("https://klasma.github.io/Logging_0482/kartor_geotiff/A 1149-2025 georefererad karta.tif", "A 1149-2025")</f>
        <v/>
      </c>
      <c r="AA49">
        <f>HYPERLINK("https://klasma.github.io/Logging_0482/klagomål/A 1149-2025 FSC-klagomål.docx", "A 1149-2025")</f>
        <v/>
      </c>
      <c r="AB49">
        <f>HYPERLINK("https://klasma.github.io/Logging_0482/klagomålsmail/A 1149-2025 FSC-klagomål mail.docx", "A 1149-2025")</f>
        <v/>
      </c>
      <c r="AC49">
        <f>HYPERLINK("https://klasma.github.io/Logging_0482/tillsyn/A 1149-2025 tillsynsbegäran.docx", "A 1149-2025")</f>
        <v/>
      </c>
      <c r="AD49">
        <f>HYPERLINK("https://klasma.github.io/Logging_0482/tillsynsmail/A 1149-2025 tillsynsbegäran mail.docx", "A 1149-2025")</f>
        <v/>
      </c>
    </row>
    <row r="50" ht="15" customHeight="1">
      <c r="A50" t="inlineStr">
        <is>
          <t>A 31238-2022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44771</v>
      </c>
      <c r="E50" s="1" t="n">
        <v>46269</v>
      </c>
      <c r="F50" t="inlineStr">
        <is>
          <t>SÖDERMANLANDS LÄN</t>
        </is>
      </c>
      <c r="G50" t="inlineStr">
        <is>
          <t>FLEN</t>
        </is>
      </c>
      <c r="I50" t="n">
        <v>7.5</v>
      </c>
      <c r="J50" t="n">
        <v>0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5</v>
      </c>
      <c r="U50" t="n">
        <v>5</v>
      </c>
      <c r="V50" s="2" t="inlineStr">
        <is>
          <t>Svedjenäva
Svinrot
Skogsbräsma</t>
        </is>
      </c>
      <c r="W50">
        <f>HYPERLINK("https://klasma.github.io/Logging_0482/artfynd/A 31238-2022 artfynd.xlsx", "A 31238-2022")</f>
        <v/>
      </c>
      <c r="X50">
        <f>HYPERLINK("https://klasma.github.io/Logging_0482/kartor/A 31238-2022 karta.png", "A 31238-2022")</f>
        <v/>
      </c>
      <c r="Y50">
        <f>HYPERLINK("https://klasma.github.io/Logging_0482/kartor_geotiff/A 31238-2022 georefererad karta.tif", "A 31238-2022")</f>
        <v/>
      </c>
      <c r="AA50">
        <f>HYPERLINK("https://klasma.github.io/Logging_0482/klagomål/A 31238-2022 FSC-klagomål.docx", "A 31238-2022")</f>
        <v/>
      </c>
      <c r="AB50">
        <f>HYPERLINK("https://klasma.github.io/Logging_0482/klagomålsmail/A 31238-2022 FSC-klagomål mail.docx", "A 31238-2022")</f>
        <v/>
      </c>
      <c r="AC50">
        <f>HYPERLINK("https://klasma.github.io/Logging_0482/tillsyn/A 31238-2022 tillsynsbegäran.docx", "A 31238-2022")</f>
        <v/>
      </c>
      <c r="AD50">
        <f>HYPERLINK("https://klasma.github.io/Logging_0482/tillsynsmail/A 31238-2022 tillsynsbegäran mail.docx", "A 31238-2022")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46269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46269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2203-2022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46269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2.9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Grönpyrola
Revlummer</t>
        </is>
      </c>
      <c r="W53">
        <f>HYPERLINK("https://klasma.github.io/Logging_0482/artfynd/A 2203-2022 artfynd.xlsx", "A 2203-2022")</f>
        <v/>
      </c>
      <c r="X53">
        <f>HYPERLINK("https://klasma.github.io/Logging_0482/kartor/A 2203-2022 karta.png", "A 2203-2022")</f>
        <v/>
      </c>
      <c r="Y53">
        <f>HYPERLINK("https://klasma.github.io/Logging_0482/kartor_geotiff/A 2203-2022 georefererad karta.tif", "A 2203-2022")</f>
        <v/>
      </c>
      <c r="Z53">
        <f>HYPERLINK("https://klasma.github.io/Logging_0482/knärot/A 2203-2022 karta knärot.png", "A 2203-2022")</f>
        <v/>
      </c>
      <c r="AA53">
        <f>HYPERLINK("https://klasma.github.io/Logging_0482/klagomål/A 2203-2022 FSC-klagomål.docx", "A 2203-2022")</f>
        <v/>
      </c>
      <c r="AB53">
        <f>HYPERLINK("https://klasma.github.io/Logging_0482/klagomålsmail/A 2203-2022 FSC-klagomål mail.docx", "A 2203-2022")</f>
        <v/>
      </c>
      <c r="AC53">
        <f>HYPERLINK("https://klasma.github.io/Logging_0482/tillsyn/A 2203-2022 tillsynsbegäran.docx", "A 2203-2022")</f>
        <v/>
      </c>
      <c r="AD53">
        <f>HYPERLINK("https://klasma.github.io/Logging_0482/tillsynsmail/A 2203-2022 tillsynsbegäran mail.docx", "A 2203-2022")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46269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46269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46269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34985-2023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46269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2.8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Knärot
Grönpyrola
Revlummer</t>
        </is>
      </c>
      <c r="W57">
        <f>HYPERLINK("https://klasma.github.io/Logging_0482/artfynd/A 34985-2023 artfynd.xlsx", "A 34985-2023")</f>
        <v/>
      </c>
      <c r="X57">
        <f>HYPERLINK("https://klasma.github.io/Logging_0482/kartor/A 34985-2023 karta.png", "A 34985-2023")</f>
        <v/>
      </c>
      <c r="Y57">
        <f>HYPERLINK("https://klasma.github.io/Logging_0482/kartor_geotiff/A 34985-2023 georefererad karta.tif", "A 34985-2023")</f>
        <v/>
      </c>
      <c r="Z57">
        <f>HYPERLINK("https://klasma.github.io/Logging_0482/knärot/A 34985-2023 karta knärot.png", "A 34985-2023")</f>
        <v/>
      </c>
      <c r="AA57">
        <f>HYPERLINK("https://klasma.github.io/Logging_0482/klagomål/A 34985-2023 FSC-klagomål.docx", "A 34985-2023")</f>
        <v/>
      </c>
      <c r="AB57">
        <f>HYPERLINK("https://klasma.github.io/Logging_0482/klagomålsmail/A 34985-2023 FSC-klagomål mail.docx", "A 34985-2023")</f>
        <v/>
      </c>
      <c r="AC57">
        <f>HYPERLINK("https://klasma.github.io/Logging_0482/tillsyn/A 34985-2023 tillsynsbegäran.docx", "A 34985-2023")</f>
        <v/>
      </c>
      <c r="AD57">
        <f>HYPERLINK("https://klasma.github.io/Logging_0482/tillsynsmail/A 34985-2023 tillsynsbegäran mail.docx", "A 34985-2023")</f>
        <v/>
      </c>
    </row>
    <row r="58" ht="15" customHeight="1">
      <c r="A58" t="inlineStr">
        <is>
          <t>A 9512-2026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46269</v>
      </c>
      <c r="F58" t="inlineStr">
        <is>
          <t>SÖDERMANLANDS LÄN</t>
        </is>
      </c>
      <c r="G58" t="inlineStr">
        <is>
          <t>FLEN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Gullpudra
Bäckbräsma
Hultbräken</t>
        </is>
      </c>
      <c r="W58">
        <f>HYPERLINK("https://klasma.github.io/Logging_0482/artfynd/A 9512-2026 artfynd.xlsx", "A 9512-2026")</f>
        <v/>
      </c>
      <c r="X58">
        <f>HYPERLINK("https://klasma.github.io/Logging_0482/kartor/A 9512-2026 karta.png", "A 9512-2026")</f>
        <v/>
      </c>
      <c r="Y58">
        <f>HYPERLINK("https://klasma.github.io/Logging_0482/kartor_geotiff/A 9512-2026 georefererad karta.tif", "A 9512-2026")</f>
        <v/>
      </c>
      <c r="AA58">
        <f>HYPERLINK("https://klasma.github.io/Logging_0482/klagomål/A 9512-2026 FSC-klagomål.docx", "A 9512-2026")</f>
        <v/>
      </c>
      <c r="AB58">
        <f>HYPERLINK("https://klasma.github.io/Logging_0482/klagomålsmail/A 9512-2026 FSC-klagomål mail.docx", "A 9512-2026")</f>
        <v/>
      </c>
      <c r="AC58">
        <f>HYPERLINK("https://klasma.github.io/Logging_0482/tillsyn/A 9512-2026 tillsynsbegäran.docx", "A 9512-2026")</f>
        <v/>
      </c>
      <c r="AD58">
        <f>HYPERLINK("https://klasma.github.io/Logging_0482/tillsynsmail/A 9512-2026 tillsynsbegäran mail.docx", "A 9512-2026")</f>
        <v/>
      </c>
    </row>
    <row r="59" ht="15" customHeight="1">
      <c r="A59" t="inlineStr">
        <is>
          <t>A 9530-2026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46269</v>
      </c>
      <c r="F59" t="inlineStr">
        <is>
          <t>SÖDERMANLANDS LÄN</t>
        </is>
      </c>
      <c r="G59" t="inlineStr">
        <is>
          <t>FLEN</t>
        </is>
      </c>
      <c r="I59" t="n">
        <v>7.4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Blåmossa
Flagellkvastmossa
Tjäder</t>
        </is>
      </c>
      <c r="W59">
        <f>HYPERLINK("https://klasma.github.io/Logging_0482/artfynd/A 9530-2026 artfynd.xlsx", "A 9530-2026")</f>
        <v/>
      </c>
      <c r="X59">
        <f>HYPERLINK("https://klasma.github.io/Logging_0482/kartor/A 9530-2026 karta.png", "A 9530-2026")</f>
        <v/>
      </c>
      <c r="Y59">
        <f>HYPERLINK("https://klasma.github.io/Logging_0482/kartor_geotiff/A 9530-2026 georefererad karta.tif", "A 9530-2026")</f>
        <v/>
      </c>
      <c r="AA59">
        <f>HYPERLINK("https://klasma.github.io/Logging_0482/klagomål/A 9530-2026 FSC-klagomål.docx", "A 9530-2026")</f>
        <v/>
      </c>
      <c r="AB59">
        <f>HYPERLINK("https://klasma.github.io/Logging_0482/klagomålsmail/A 9530-2026 FSC-klagomål mail.docx", "A 9530-2026")</f>
        <v/>
      </c>
      <c r="AC59">
        <f>HYPERLINK("https://klasma.github.io/Logging_0482/tillsyn/A 9530-2026 tillsynsbegäran.docx", "A 9530-2026")</f>
        <v/>
      </c>
      <c r="AD59">
        <f>HYPERLINK("https://klasma.github.io/Logging_0482/tillsynsmail/A 9530-2026 tillsynsbegäran mail.docx", "A 9530-2026")</f>
        <v/>
      </c>
      <c r="AE59">
        <f>HYPERLINK("https://klasma.github.io/Logging_0482/fåglar/A 9530-2026 prioriterade fågelarter.docx", "A 9530-2026")</f>
        <v/>
      </c>
    </row>
    <row r="60" ht="15" customHeight="1">
      <c r="A60" t="inlineStr">
        <is>
          <t>A 9539-2026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46269</v>
      </c>
      <c r="F60" t="inlineStr">
        <is>
          <t>SÖDERMANLANDS LÄN</t>
        </is>
      </c>
      <c r="G60" t="inlineStr">
        <is>
          <t>FLEN</t>
        </is>
      </c>
      <c r="I60" t="n">
        <v>7.6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Ask
Slåtterfibbla
Blåsippa</t>
        </is>
      </c>
      <c r="W60">
        <f>HYPERLINK("https://klasma.github.io/Logging_0482/artfynd/A 9539-2026 artfynd.xlsx", "A 9539-2026")</f>
        <v/>
      </c>
      <c r="X60">
        <f>HYPERLINK("https://klasma.github.io/Logging_0482/kartor/A 9539-2026 karta.png", "A 9539-2026")</f>
        <v/>
      </c>
      <c r="Y60">
        <f>HYPERLINK("https://klasma.github.io/Logging_0482/kartor_geotiff/A 9539-2026 georefererad karta.tif", "A 9539-2026")</f>
        <v/>
      </c>
      <c r="AA60">
        <f>HYPERLINK("https://klasma.github.io/Logging_0482/klagomål/A 9539-2026 FSC-klagomål.docx", "A 9539-2026")</f>
        <v/>
      </c>
      <c r="AB60">
        <f>HYPERLINK("https://klasma.github.io/Logging_0482/klagomålsmail/A 9539-2026 FSC-klagomål mail.docx", "A 9539-2026")</f>
        <v/>
      </c>
      <c r="AC60">
        <f>HYPERLINK("https://klasma.github.io/Logging_0482/tillsyn/A 9539-2026 tillsynsbegäran.docx", "A 9539-2026")</f>
        <v/>
      </c>
      <c r="AD60">
        <f>HYPERLINK("https://klasma.github.io/Logging_0482/tillsynsmail/A 9539-2026 tillsynsbegäran mail.docx", "A 9539-2026")</f>
        <v/>
      </c>
    </row>
    <row r="61" ht="15" customHeight="1">
      <c r="A61" t="inlineStr">
        <is>
          <t>A 29895-2026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46269</v>
      </c>
      <c r="F61" t="inlineStr">
        <is>
          <t>SÖDERMANLANDS LÄN</t>
        </is>
      </c>
      <c r="G61" t="inlineStr">
        <is>
          <t>FLEN</t>
        </is>
      </c>
      <c r="I61" t="n">
        <v>0.7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Gullklöver
Svinrot
Revlummer</t>
        </is>
      </c>
      <c r="W61">
        <f>HYPERLINK("https://klasma.github.io/Logging_0482/artfynd/A 29895-2026 artfynd.xlsx", "A 29895-2026")</f>
        <v/>
      </c>
      <c r="X61">
        <f>HYPERLINK("https://klasma.github.io/Logging_0482/kartor/A 29895-2026 karta.png", "A 29895-2026")</f>
        <v/>
      </c>
      <c r="Y61">
        <f>HYPERLINK("https://klasma.github.io/Logging_0482/kartor_geotiff/A 29895-2026 georefererad karta.tif", "A 29895-2026")</f>
        <v/>
      </c>
      <c r="AA61">
        <f>HYPERLINK("https://klasma.github.io/Logging_0482/klagomål/A 29895-2026 FSC-klagomål.docx", "A 29895-2026")</f>
        <v/>
      </c>
      <c r="AB61">
        <f>HYPERLINK("https://klasma.github.io/Logging_0482/klagomålsmail/A 29895-2026 FSC-klagomål mail.docx", "A 29895-2026")</f>
        <v/>
      </c>
      <c r="AC61">
        <f>HYPERLINK("https://klasma.github.io/Logging_0482/tillsyn/A 29895-2026 tillsynsbegäran.docx", "A 29895-2026")</f>
        <v/>
      </c>
      <c r="AD61">
        <f>HYPERLINK("https://klasma.github.io/Logging_0482/tillsynsmail/A 29895-2026 tillsynsbegäran mail.docx", "A 29895-2026")</f>
        <v/>
      </c>
    </row>
    <row r="62" ht="15" customHeight="1">
      <c r="A62" t="inlineStr">
        <is>
          <t>A 17512-2026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46269</v>
      </c>
      <c r="F62" t="inlineStr">
        <is>
          <t>SÖDERMANLANDS LÄN</t>
        </is>
      </c>
      <c r="G62" t="inlineStr">
        <is>
          <t>FLEN</t>
        </is>
      </c>
      <c r="I62" t="n">
        <v>1.7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Majbräken
Sälg</t>
        </is>
      </c>
      <c r="W62">
        <f>HYPERLINK("https://klasma.github.io/Logging_0482/artfynd/A 17512-2026 artfynd.xlsx", "A 17512-2026")</f>
        <v/>
      </c>
      <c r="X62">
        <f>HYPERLINK("https://klasma.github.io/Logging_0482/kartor/A 17512-2026 karta.png", "A 17512-2026")</f>
        <v/>
      </c>
      <c r="Y62">
        <f>HYPERLINK("https://klasma.github.io/Logging_0482/kartor_geotiff/A 17512-2026 georefererad karta.tif", "A 17512-2026")</f>
        <v/>
      </c>
      <c r="AA62">
        <f>HYPERLINK("https://klasma.github.io/Logging_0482/klagomål/A 17512-2026 FSC-klagomål.docx", "A 17512-2026")</f>
        <v/>
      </c>
      <c r="AB62">
        <f>HYPERLINK("https://klasma.github.io/Logging_0482/klagomålsmail/A 17512-2026 FSC-klagomål mail.docx", "A 17512-2026")</f>
        <v/>
      </c>
      <c r="AC62">
        <f>HYPERLINK("https://klasma.github.io/Logging_0482/tillsyn/A 17512-2026 tillsynsbegäran.docx", "A 17512-2026")</f>
        <v/>
      </c>
      <c r="AD62">
        <f>HYPERLINK("https://klasma.github.io/Logging_0482/tillsynsmail/A 17512-2026 tillsynsbegäran mail.docx", "A 17512-2026")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46269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46269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46269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46269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46269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46269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46269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46269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46269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24464-2025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46269</v>
      </c>
      <c r="F72" t="inlineStr">
        <is>
          <t>SÖDERMANLANDS LÄN</t>
        </is>
      </c>
      <c r="G72" t="inlineStr">
        <is>
          <t>FLEN</t>
        </is>
      </c>
      <c r="H72" t="inlineStr">
        <is>
          <t>Holmen skog AB</t>
        </is>
      </c>
      <c r="I72" t="n">
        <v>1.1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Motaggsvamp
Vedskivlav</t>
        </is>
      </c>
      <c r="W72">
        <f>HYPERLINK("https://klasma.github.io/Logging_0482/artfynd/A 24464-2025 artfynd.xlsx", "A 24464-2025")</f>
        <v/>
      </c>
      <c r="X72">
        <f>HYPERLINK("https://klasma.github.io/Logging_0482/kartor/A 24464-2025 karta.png", "A 24464-2025")</f>
        <v/>
      </c>
      <c r="Y72">
        <f>HYPERLINK("https://klasma.github.io/Logging_0482/kartor_geotiff/A 24464-2025 georefererad karta.tif", "A 24464-2025")</f>
        <v/>
      </c>
      <c r="AA72">
        <f>HYPERLINK("https://klasma.github.io/Logging_0482/klagomål/A 24464-2025 FSC-klagomål.docx", "A 24464-2025")</f>
        <v/>
      </c>
      <c r="AB72">
        <f>HYPERLINK("https://klasma.github.io/Logging_0482/klagomålsmail/A 24464-2025 FSC-klagomål mail.docx", "A 24464-2025")</f>
        <v/>
      </c>
      <c r="AC72">
        <f>HYPERLINK("https://klasma.github.io/Logging_0482/tillsyn/A 24464-2025 tillsynsbegäran.docx", "A 24464-2025")</f>
        <v/>
      </c>
      <c r="AD72">
        <f>HYPERLINK("https://klasma.github.io/Logging_0482/tillsynsmail/A 24464-2025 tillsynsbegäran mail.docx", "A 24464-2025")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46269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2</v>
      </c>
      <c r="V73" s="2" t="inlineStr">
        <is>
          <t>Igelkott
Grönvit nattviol</t>
        </is>
      </c>
      <c r="W73">
        <f>HYPERLINK("https://klasma.github.io/Logging_0482/artfynd/A 35278-2022 artfynd.xlsx", "A 35278-2022")</f>
        <v/>
      </c>
      <c r="X73">
        <f>HYPERLINK("https://klasma.github.io/Logging_0482/kartor/A 35278-2022 karta.png", "A 35278-2022")</f>
        <v/>
      </c>
      <c r="Y73">
        <f>HYPERLINK("https://klasma.github.io/Logging_0482/kartor_geotiff/A 35278-2022 georefererad karta.tif", "A 35278-2022")</f>
        <v/>
      </c>
      <c r="AA73">
        <f>HYPERLINK("https://klasma.github.io/Logging_0482/klagomål/A 35278-2022 FSC-klagomål.docx", "A 35278-2022")</f>
        <v/>
      </c>
      <c r="AB73">
        <f>HYPERLINK("https://klasma.github.io/Logging_0482/klagomålsmail/A 35278-2022 FSC-klagomål mail.docx", "A 35278-2022")</f>
        <v/>
      </c>
      <c r="AC73">
        <f>HYPERLINK("https://klasma.github.io/Logging_0482/tillsyn/A 35278-2022 tillsynsbegäran.docx", "A 35278-2022")</f>
        <v/>
      </c>
      <c r="AD73">
        <f>HYPERLINK("https://klasma.github.io/Logging_0482/tillsynsmail/A 35278-2022 tillsynsbegäran mail.docx", "A 35278-2022")</f>
        <v/>
      </c>
    </row>
    <row r="74" ht="15" customHeight="1">
      <c r="A74" t="inlineStr">
        <is>
          <t>A 55092-2021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46269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Sälg
Huggorm</t>
        </is>
      </c>
      <c r="W74">
        <f>HYPERLINK("https://klasma.github.io/Logging_0482/artfynd/A 55092-2021 artfynd.xlsx", "A 55092-2021")</f>
        <v/>
      </c>
      <c r="X74">
        <f>HYPERLINK("https://klasma.github.io/Logging_0482/kartor/A 55092-2021 karta.png", "A 55092-2021")</f>
        <v/>
      </c>
      <c r="Y74">
        <f>HYPERLINK("https://klasma.github.io/Logging_0482/kartor_geotiff/A 55092-2021 georefererad karta.tif", "A 55092-2021")</f>
        <v/>
      </c>
      <c r="AA74">
        <f>HYPERLINK("https://klasma.github.io/Logging_0482/klagomål/A 55092-2021 FSC-klagomål.docx", "A 55092-2021")</f>
        <v/>
      </c>
      <c r="AB74">
        <f>HYPERLINK("https://klasma.github.io/Logging_0482/klagomålsmail/A 55092-2021 FSC-klagomål mail.docx", "A 55092-2021")</f>
        <v/>
      </c>
      <c r="AC74">
        <f>HYPERLINK("https://klasma.github.io/Logging_0482/tillsyn/A 55092-2021 tillsynsbegäran.docx", "A 55092-2021")</f>
        <v/>
      </c>
      <c r="AD74">
        <f>HYPERLINK("https://klasma.github.io/Logging_0482/tillsynsmail/A 55092-2021 tillsynsbegäran mail.docx", "A 55092-2021")</f>
        <v/>
      </c>
    </row>
    <row r="75" ht="15" customHeight="1">
      <c r="A75" t="inlineStr">
        <is>
          <t>A 47194-2022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44848</v>
      </c>
      <c r="E75" s="1" t="n">
        <v>46269</v>
      </c>
      <c r="F75" t="inlineStr">
        <is>
          <t>SÖDERMANLANDS LÄN</t>
        </is>
      </c>
      <c r="G75" t="inlineStr">
        <is>
          <t>FLEN</t>
        </is>
      </c>
      <c r="H75" t="inlineStr">
        <is>
          <t>Övriga statliga verk och myndigheter</t>
        </is>
      </c>
      <c r="I75" t="n">
        <v>2.3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Gullklöver
Svinrot</t>
        </is>
      </c>
      <c r="W75">
        <f>HYPERLINK("https://klasma.github.io/Logging_0482/artfynd/A 47194-2022 artfynd.xlsx", "A 47194-2022")</f>
        <v/>
      </c>
      <c r="X75">
        <f>HYPERLINK("https://klasma.github.io/Logging_0482/kartor/A 47194-2022 karta.png", "A 47194-2022")</f>
        <v/>
      </c>
      <c r="Y75">
        <f>HYPERLINK("https://klasma.github.io/Logging_0482/kartor_geotiff/A 47194-2022 georefererad karta.tif", "A 47194-2022")</f>
        <v/>
      </c>
      <c r="AA75">
        <f>HYPERLINK("https://klasma.github.io/Logging_0482/klagomål/A 47194-2022 FSC-klagomål.docx", "A 47194-2022")</f>
        <v/>
      </c>
      <c r="AB75">
        <f>HYPERLINK("https://klasma.github.io/Logging_0482/klagomålsmail/A 47194-2022 FSC-klagomål mail.docx", "A 47194-2022")</f>
        <v/>
      </c>
      <c r="AC75">
        <f>HYPERLINK("https://klasma.github.io/Logging_0482/tillsyn/A 47194-2022 tillsynsbegäran.docx", "A 47194-2022")</f>
        <v/>
      </c>
      <c r="AD75">
        <f>HYPERLINK("https://klasma.github.io/Logging_0482/tillsynsmail/A 47194-2022 tillsynsbegäran mail.docx", "A 47194-2022")</f>
        <v/>
      </c>
    </row>
    <row r="76" ht="15" customHeight="1">
      <c r="A76" t="inlineStr">
        <is>
          <t>A 49816-2023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45211</v>
      </c>
      <c r="E76" s="1" t="n">
        <v>46269</v>
      </c>
      <c r="F76" t="inlineStr">
        <is>
          <t>SÖDERMANLANDS LÄN</t>
        </is>
      </c>
      <c r="G76" t="inlineStr">
        <is>
          <t>FLEN</t>
        </is>
      </c>
      <c r="I76" t="n">
        <v>4.6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Reliktbock
Tallticka</t>
        </is>
      </c>
      <c r="W76">
        <f>HYPERLINK("https://klasma.github.io/Logging_0482/artfynd/A 49816-2023 artfynd.xlsx", "A 49816-2023")</f>
        <v/>
      </c>
      <c r="X76">
        <f>HYPERLINK("https://klasma.github.io/Logging_0482/kartor/A 49816-2023 karta.png", "A 49816-2023")</f>
        <v/>
      </c>
      <c r="Y76">
        <f>HYPERLINK("https://klasma.github.io/Logging_0482/kartor_geotiff/A 49816-2023 georefererad karta.tif", "A 49816-2023")</f>
        <v/>
      </c>
      <c r="AA76">
        <f>HYPERLINK("https://klasma.github.io/Logging_0482/klagomål/A 49816-2023 FSC-klagomål.docx", "A 49816-2023")</f>
        <v/>
      </c>
      <c r="AB76">
        <f>HYPERLINK("https://klasma.github.io/Logging_0482/klagomålsmail/A 49816-2023 FSC-klagomål mail.docx", "A 49816-2023")</f>
        <v/>
      </c>
      <c r="AC76">
        <f>HYPERLINK("https://klasma.github.io/Logging_0482/tillsyn/A 49816-2023 tillsynsbegäran.docx", "A 49816-2023")</f>
        <v/>
      </c>
      <c r="AD76">
        <f>HYPERLINK("https://klasma.github.io/Logging_0482/tillsynsmail/A 49816-2023 tillsynsbegäran mail.docx", "A 49816-2023")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46269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59607-2022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46269</v>
      </c>
      <c r="F78" t="inlineStr">
        <is>
          <t>SÖDERMANLANDS LÄN</t>
        </is>
      </c>
      <c r="G78" t="inlineStr">
        <is>
          <t>FLEN</t>
        </is>
      </c>
      <c r="I78" t="n">
        <v>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Jungfrulin
Svinrot</t>
        </is>
      </c>
      <c r="W78">
        <f>HYPERLINK("https://klasma.github.io/Logging_0482/artfynd/A 59607-2022 artfynd.xlsx", "A 59607-2022")</f>
        <v/>
      </c>
      <c r="X78">
        <f>HYPERLINK("https://klasma.github.io/Logging_0482/kartor/A 59607-2022 karta.png", "A 59607-2022")</f>
        <v/>
      </c>
      <c r="Y78">
        <f>HYPERLINK("https://klasma.github.io/Logging_0482/kartor_geotiff/A 59607-2022 georefererad karta.tif", "A 59607-2022")</f>
        <v/>
      </c>
      <c r="AA78">
        <f>HYPERLINK("https://klasma.github.io/Logging_0482/klagomål/A 59607-2022 FSC-klagomål.docx", "A 59607-2022")</f>
        <v/>
      </c>
      <c r="AB78">
        <f>HYPERLINK("https://klasma.github.io/Logging_0482/klagomålsmail/A 59607-2022 FSC-klagomål mail.docx", "A 59607-2022")</f>
        <v/>
      </c>
      <c r="AC78">
        <f>HYPERLINK("https://klasma.github.io/Logging_0482/tillsyn/A 59607-2022 tillsynsbegäran.docx", "A 59607-2022")</f>
        <v/>
      </c>
      <c r="AD78">
        <f>HYPERLINK("https://klasma.github.io/Logging_0482/tillsynsmail/A 59607-2022 tillsynsbegäran mail.docx", "A 59607-2022")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46269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46269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46269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46269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32744-2025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45838</v>
      </c>
      <c r="E83" s="1" t="n">
        <v>46269</v>
      </c>
      <c r="F83" t="inlineStr">
        <is>
          <t>SÖDERMANLANDS LÄN</t>
        </is>
      </c>
      <c r="G83" t="inlineStr">
        <is>
          <t>FLEN</t>
        </is>
      </c>
      <c r="I83" t="n">
        <v>1.8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Ekticka
Klasefibbla</t>
        </is>
      </c>
      <c r="W83">
        <f>HYPERLINK("https://klasma.github.io/Logging_0482/artfynd/A 32744-2025 artfynd.xlsx", "A 32744-2025")</f>
        <v/>
      </c>
      <c r="X83">
        <f>HYPERLINK("https://klasma.github.io/Logging_0482/kartor/A 32744-2025 karta.png", "A 32744-2025")</f>
        <v/>
      </c>
      <c r="Y83">
        <f>HYPERLINK("https://klasma.github.io/Logging_0482/kartor_geotiff/A 32744-2025 georefererad karta.tif", "A 32744-2025")</f>
        <v/>
      </c>
      <c r="AA83">
        <f>HYPERLINK("https://klasma.github.io/Logging_0482/klagomål/A 32744-2025 FSC-klagomål.docx", "A 32744-2025")</f>
        <v/>
      </c>
      <c r="AB83">
        <f>HYPERLINK("https://klasma.github.io/Logging_0482/klagomålsmail/A 32744-2025 FSC-klagomål mail.docx", "A 32744-2025")</f>
        <v/>
      </c>
      <c r="AC83">
        <f>HYPERLINK("https://klasma.github.io/Logging_0482/tillsyn/A 32744-2025 tillsynsbegäran.docx", "A 32744-2025")</f>
        <v/>
      </c>
      <c r="AD83">
        <f>HYPERLINK("https://klasma.github.io/Logging_0482/tillsynsmail/A 32744-2025 tillsynsbegäran mail.docx", "A 32744-2025")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46269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Vanlig backsmörblomma</t>
        </is>
      </c>
      <c r="W84">
        <f>HYPERLINK("https://klasma.github.io/Logging_0482/artfynd/A 10825-2022 artfynd.xlsx", "A 10825-2022")</f>
        <v/>
      </c>
      <c r="X84">
        <f>HYPERLINK("https://klasma.github.io/Logging_0482/kartor/A 10825-2022 karta.png", "A 10825-2022")</f>
        <v/>
      </c>
      <c r="Y84">
        <f>HYPERLINK("https://klasma.github.io/Logging_0482/kartor_geotiff/A 10825-2022 georefererad karta.tif", "A 10825-2022")</f>
        <v/>
      </c>
      <c r="AA84">
        <f>HYPERLINK("https://klasma.github.io/Logging_0482/klagomål/A 10825-2022 FSC-klagomål.docx", "A 10825-2022")</f>
        <v/>
      </c>
      <c r="AB84">
        <f>HYPERLINK("https://klasma.github.io/Logging_0482/klagomålsmail/A 10825-2022 FSC-klagomål mail.docx", "A 10825-2022")</f>
        <v/>
      </c>
      <c r="AC84">
        <f>HYPERLINK("https://klasma.github.io/Logging_0482/tillsyn/A 10825-2022 tillsynsbegäran.docx", "A 10825-2022")</f>
        <v/>
      </c>
      <c r="AD84">
        <f>HYPERLINK("https://klasma.github.io/Logging_0482/tillsynsmail/A 10825-2022 tillsynsbegäran mail.docx", "A 10825-2022")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46269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15557-2026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46269</v>
      </c>
      <c r="F86" t="inlineStr">
        <is>
          <t>SÖDERMANLANDS LÄN</t>
        </is>
      </c>
      <c r="G86" t="inlineStr">
        <is>
          <t>FLEN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4</v>
      </c>
      <c r="U86" t="n">
        <v>0</v>
      </c>
      <c r="V86" s="2" t="inlineStr">
        <is>
          <t>Gullklöver
Svinrot</t>
        </is>
      </c>
      <c r="W86">
        <f>HYPERLINK("https://klasma.github.io/Logging_0482/artfynd/A 15557-2026 artfynd.xlsx", "A 15557-2026")</f>
        <v/>
      </c>
      <c r="X86">
        <f>HYPERLINK("https://klasma.github.io/Logging_0482/kartor/A 15557-2026 karta.png", "A 15557-2026")</f>
        <v/>
      </c>
      <c r="Y86">
        <f>HYPERLINK("https://klasma.github.io/Logging_0482/kartor_geotiff/A 15557-2026 georefererad karta.tif", "A 15557-2026")</f>
        <v/>
      </c>
      <c r="AA86">
        <f>HYPERLINK("https://klasma.github.io/Logging_0482/klagomål/A 15557-2026 FSC-klagomål.docx", "A 15557-2026")</f>
        <v/>
      </c>
      <c r="AB86">
        <f>HYPERLINK("https://klasma.github.io/Logging_0482/klagomålsmail/A 15557-2026 FSC-klagomål mail.docx", "A 15557-2026")</f>
        <v/>
      </c>
      <c r="AC86">
        <f>HYPERLINK("https://klasma.github.io/Logging_0482/tillsyn/A 15557-2026 tillsynsbegäran.docx", "A 15557-2026")</f>
        <v/>
      </c>
      <c r="AD86">
        <f>HYPERLINK("https://klasma.github.io/Logging_0482/tillsynsmail/A 15557-2026 tillsynsbegäran mail.docx", "A 15557-2026")</f>
        <v/>
      </c>
    </row>
    <row r="87" ht="15" customHeight="1">
      <c r="A87" t="inlineStr">
        <is>
          <t>A 49255-2021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46269</v>
      </c>
      <c r="F87" t="inlineStr">
        <is>
          <t>SÖDERMANLANDS LÄN</t>
        </is>
      </c>
      <c r="G87" t="inlineStr">
        <is>
          <t>FLEN</t>
        </is>
      </c>
      <c r="I87" t="n">
        <v>15.6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Backstarr
Revlummer</t>
        </is>
      </c>
      <c r="W87">
        <f>HYPERLINK("https://klasma.github.io/Logging_0482/artfynd/A 49255-2021 artfynd.xlsx", "A 49255-2021")</f>
        <v/>
      </c>
      <c r="X87">
        <f>HYPERLINK("https://klasma.github.io/Logging_0482/kartor/A 49255-2021 karta.png", "A 49255-2021")</f>
        <v/>
      </c>
      <c r="Y87">
        <f>HYPERLINK("https://klasma.github.io/Logging_0482/kartor_geotiff/A 49255-2021 georefererad karta.tif", "A 49255-2021")</f>
        <v/>
      </c>
      <c r="AA87">
        <f>HYPERLINK("https://klasma.github.io/Logging_0482/klagomål/A 49255-2021 FSC-klagomål.docx", "A 49255-2021")</f>
        <v/>
      </c>
      <c r="AB87">
        <f>HYPERLINK("https://klasma.github.io/Logging_0482/klagomålsmail/A 49255-2021 FSC-klagomål mail.docx", "A 49255-2021")</f>
        <v/>
      </c>
      <c r="AC87">
        <f>HYPERLINK("https://klasma.github.io/Logging_0482/tillsyn/A 49255-2021 tillsynsbegäran.docx", "A 49255-2021")</f>
        <v/>
      </c>
      <c r="AD87">
        <f>HYPERLINK("https://klasma.github.io/Logging_0482/tillsynsmail/A 49255-2021 tillsynsbegäran mail.docx", "A 49255-2021")</f>
        <v/>
      </c>
    </row>
    <row r="88" ht="15" customHeight="1">
      <c r="A88" t="inlineStr">
        <is>
          <t>A 4330-2026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46269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4.9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Backstarr
Blåsippa</t>
        </is>
      </c>
      <c r="W88">
        <f>HYPERLINK("https://klasma.github.io/Logging_0482/artfynd/A 4330-2026 artfynd.xlsx", "A 4330-2026")</f>
        <v/>
      </c>
      <c r="X88">
        <f>HYPERLINK("https://klasma.github.io/Logging_0482/kartor/A 4330-2026 karta.png", "A 4330-2026")</f>
        <v/>
      </c>
      <c r="Y88">
        <f>HYPERLINK("https://klasma.github.io/Logging_0482/kartor_geotiff/A 4330-2026 georefererad karta.tif", "A 4330-2026")</f>
        <v/>
      </c>
      <c r="AA88">
        <f>HYPERLINK("https://klasma.github.io/Logging_0482/klagomål/A 4330-2026 FSC-klagomål.docx", "A 4330-2026")</f>
        <v/>
      </c>
      <c r="AB88">
        <f>HYPERLINK("https://klasma.github.io/Logging_0482/klagomålsmail/A 4330-2026 FSC-klagomål mail.docx", "A 4330-2026")</f>
        <v/>
      </c>
      <c r="AC88">
        <f>HYPERLINK("https://klasma.github.io/Logging_0482/tillsyn/A 4330-2026 tillsynsbegäran.docx", "A 4330-2026")</f>
        <v/>
      </c>
      <c r="AD88">
        <f>HYPERLINK("https://klasma.github.io/Logging_0482/tillsynsmail/A 4330-2026 tillsynsbegäran mail.docx", "A 4330-2026")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46269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8887-2026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46068</v>
      </c>
      <c r="E90" s="1" t="n">
        <v>46269</v>
      </c>
      <c r="F90" t="inlineStr">
        <is>
          <t>SÖDERMANLANDS LÄN</t>
        </is>
      </c>
      <c r="G90" t="inlineStr">
        <is>
          <t>FLEN</t>
        </is>
      </c>
      <c r="I90" t="n">
        <v>2.1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Större vattensalamander
Mindre vattensalamander</t>
        </is>
      </c>
      <c r="W90">
        <f>HYPERLINK("https://klasma.github.io/Logging_0482/artfynd/A 8887-2026 artfynd.xlsx", "A 8887-2026")</f>
        <v/>
      </c>
      <c r="X90">
        <f>HYPERLINK("https://klasma.github.io/Logging_0482/kartor/A 8887-2026 karta.png", "A 8887-2026")</f>
        <v/>
      </c>
      <c r="Y90">
        <f>HYPERLINK("https://klasma.github.io/Logging_0482/kartor_geotiff/A 8887-2026 georefererad karta.tif", "A 8887-2026")</f>
        <v/>
      </c>
      <c r="AA90">
        <f>HYPERLINK("https://klasma.github.io/Logging_0482/klagomål/A 8887-2026 FSC-klagomål.docx", "A 8887-2026")</f>
        <v/>
      </c>
      <c r="AB90">
        <f>HYPERLINK("https://klasma.github.io/Logging_0482/klagomålsmail/A 8887-2026 FSC-klagomål mail.docx", "A 8887-2026")</f>
        <v/>
      </c>
      <c r="AC90">
        <f>HYPERLINK("https://klasma.github.io/Logging_0482/tillsyn/A 8887-2026 tillsynsbegäran.docx", "A 8887-2026")</f>
        <v/>
      </c>
      <c r="AD90">
        <f>HYPERLINK("https://klasma.github.io/Logging_0482/tillsynsmail/A 8887-2026 tillsynsbegäran mail.docx", "A 8887-2026")</f>
        <v/>
      </c>
    </row>
    <row r="91" ht="15" customHeight="1">
      <c r="A91" t="inlineStr">
        <is>
          <t>A 34849-2026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46258</v>
      </c>
      <c r="E91" s="1" t="n">
        <v>46269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5</v>
      </c>
      <c r="U91" t="n">
        <v>0</v>
      </c>
      <c r="V91" s="2" t="inlineStr">
        <is>
          <t>Motaggsvamp
Vedskivlav</t>
        </is>
      </c>
      <c r="W91">
        <f>HYPERLINK("https://klasma.github.io/Logging_0482/artfynd/A 34849-2026 artfynd.xlsx", "A 34849-2026")</f>
        <v/>
      </c>
      <c r="X91">
        <f>HYPERLINK("https://klasma.github.io/Logging_0482/kartor/A 34849-2026 karta.png", "A 34849-2026")</f>
        <v/>
      </c>
      <c r="Y91">
        <f>HYPERLINK("https://klasma.github.io/Logging_0482/kartor_geotiff/A 34849-2026 georefererad karta.tif", "A 34849-2026")</f>
        <v/>
      </c>
      <c r="AA91">
        <f>HYPERLINK("https://klasma.github.io/Logging_0482/klagomål/A 34849-2026 FSC-klagomål.docx", "A 34849-2026")</f>
        <v/>
      </c>
      <c r="AB91">
        <f>HYPERLINK("https://klasma.github.io/Logging_0482/klagomålsmail/A 34849-2026 FSC-klagomål mail.docx", "A 34849-2026")</f>
        <v/>
      </c>
      <c r="AC91">
        <f>HYPERLINK("https://klasma.github.io/Logging_0482/tillsyn/A 34849-2026 tillsynsbegäran.docx", "A 34849-2026")</f>
        <v/>
      </c>
      <c r="AD91">
        <f>HYPERLINK("https://klasma.github.io/Logging_0482/tillsynsmail/A 34849-2026 tillsynsbegäran mail.docx", "A 34849-2026")</f>
        <v/>
      </c>
    </row>
    <row r="92" ht="15" customHeight="1">
      <c r="A92" t="inlineStr">
        <is>
          <t>A 11103-2023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46269</v>
      </c>
      <c r="F92" t="inlineStr">
        <is>
          <t>SÖDERMANLANDS LÄN</t>
        </is>
      </c>
      <c r="G92" t="inlineStr">
        <is>
          <t>FLEN</t>
        </is>
      </c>
      <c r="I92" t="n">
        <v>8.9</v>
      </c>
      <c r="J92" t="n">
        <v>0</v>
      </c>
      <c r="K92" t="n">
        <v>1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Blåmossa</t>
        </is>
      </c>
      <c r="W92">
        <f>HYPERLINK("https://klasma.github.io/Logging_0482/artfynd/A 11103-2023 artfynd.xlsx", "A 11103-2023")</f>
        <v/>
      </c>
      <c r="X92">
        <f>HYPERLINK("https://klasma.github.io/Logging_0482/kartor/A 11103-2023 karta.png", "A 11103-2023")</f>
        <v/>
      </c>
      <c r="Y92">
        <f>HYPERLINK("https://klasma.github.io/Logging_0482/kartor_geotiff/A 11103-2023 georefererad karta.tif", "A 11103-2023")</f>
        <v/>
      </c>
      <c r="AA92">
        <f>HYPERLINK("https://klasma.github.io/Logging_0482/klagomål/A 11103-2023 FSC-klagomål.docx", "A 11103-2023")</f>
        <v/>
      </c>
      <c r="AB92">
        <f>HYPERLINK("https://klasma.github.io/Logging_0482/klagomålsmail/A 11103-2023 FSC-klagomål mail.docx", "A 11103-2023")</f>
        <v/>
      </c>
      <c r="AC92">
        <f>HYPERLINK("https://klasma.github.io/Logging_0482/tillsyn/A 11103-2023 tillsynsbegäran.docx", "A 11103-2023")</f>
        <v/>
      </c>
      <c r="AD92">
        <f>HYPERLINK("https://klasma.github.io/Logging_0482/tillsynsmail/A 11103-2023 tillsynsbegäran mail.docx", "A 11103-2023")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46269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46269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46269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46269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46269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44563-2022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44838</v>
      </c>
      <c r="E98" s="1" t="n">
        <v>46269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HYPERLINK("https://klasma.github.io/Logging_0482/artfynd/A 44563-2022 artfynd.xlsx", "A 44563-2022")</f>
        <v/>
      </c>
      <c r="X98">
        <f>HYPERLINK("https://klasma.github.io/Logging_0482/kartor/A 44563-2022 karta.png", "A 44563-2022")</f>
        <v/>
      </c>
      <c r="Y98">
        <f>HYPERLINK("https://klasma.github.io/Logging_0482/kartor_geotiff/A 44563-2022 georefererad karta.tif", "A 44563-2022")</f>
        <v/>
      </c>
      <c r="AA98">
        <f>HYPERLINK("https://klasma.github.io/Logging_0482/klagomål/A 44563-2022 FSC-klagomål.docx", "A 44563-2022")</f>
        <v/>
      </c>
      <c r="AB98">
        <f>HYPERLINK("https://klasma.github.io/Logging_0482/klagomålsmail/A 44563-2022 FSC-klagomål mail.docx", "A 44563-2022")</f>
        <v/>
      </c>
      <c r="AC98">
        <f>HYPERLINK("https://klasma.github.io/Logging_0482/tillsyn/A 44563-2022 tillsynsbegäran.docx", "A 44563-2022")</f>
        <v/>
      </c>
      <c r="AD98">
        <f>HYPERLINK("https://klasma.github.io/Logging_0482/tillsynsmail/A 44563-2022 tillsynsbegäran mail.docx", "A 44563-2022")</f>
        <v/>
      </c>
    </row>
    <row r="99" ht="15" customHeight="1">
      <c r="A99" t="inlineStr">
        <is>
          <t>A 56308-2024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45624</v>
      </c>
      <c r="E99" s="1" t="n">
        <v>46269</v>
      </c>
      <c r="F99" t="inlineStr">
        <is>
          <t>SÖDERMANLANDS LÄN</t>
        </is>
      </c>
      <c r="G99" t="inlineStr">
        <is>
          <t>FLEN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56308-2024 artfynd.xlsx", "A 56308-2024")</f>
        <v/>
      </c>
      <c r="X99">
        <f>HYPERLINK("https://klasma.github.io/Logging_0482/kartor/A 56308-2024 karta.png", "A 56308-2024")</f>
        <v/>
      </c>
      <c r="Y99">
        <f>HYPERLINK("https://klasma.github.io/Logging_0482/kartor_geotiff/A 56308-2024 georefererad karta.tif", "A 56308-2024")</f>
        <v/>
      </c>
      <c r="AA99">
        <f>HYPERLINK("https://klasma.github.io/Logging_0482/klagomål/A 56308-2024 FSC-klagomål.docx", "A 56308-2024")</f>
        <v/>
      </c>
      <c r="AB99">
        <f>HYPERLINK("https://klasma.github.io/Logging_0482/klagomålsmail/A 56308-2024 FSC-klagomål mail.docx", "A 56308-2024")</f>
        <v/>
      </c>
      <c r="AC99">
        <f>HYPERLINK("https://klasma.github.io/Logging_0482/tillsyn/A 56308-2024 tillsynsbegäran.docx", "A 56308-2024")</f>
        <v/>
      </c>
      <c r="AD99">
        <f>HYPERLINK("https://klasma.github.io/Logging_0482/tillsynsmail/A 56308-2024 tillsynsbegäran mail.docx", "A 56308-2024")</f>
        <v/>
      </c>
    </row>
    <row r="100" ht="15" customHeight="1">
      <c r="A100" t="inlineStr">
        <is>
          <t>A 54737-2022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44881</v>
      </c>
      <c r="E100" s="1" t="n">
        <v>46269</v>
      </c>
      <c r="F100" t="inlineStr">
        <is>
          <t>SÖDERMANLANDS LÄN</t>
        </is>
      </c>
      <c r="G100" t="inlineStr">
        <is>
          <t>FLEN</t>
        </is>
      </c>
      <c r="I100" t="n">
        <v>5.7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54737-2022 artfynd.xlsx", "A 54737-2022")</f>
        <v/>
      </c>
      <c r="X100">
        <f>HYPERLINK("https://klasma.github.io/Logging_0482/kartor/A 54737-2022 karta.png", "A 54737-2022")</f>
        <v/>
      </c>
      <c r="Y100">
        <f>HYPERLINK("https://klasma.github.io/Logging_0482/kartor_geotiff/A 54737-2022 georefererad karta.tif", "A 54737-2022")</f>
        <v/>
      </c>
      <c r="AA100">
        <f>HYPERLINK("https://klasma.github.io/Logging_0482/klagomål/A 54737-2022 FSC-klagomål.docx", "A 54737-2022")</f>
        <v/>
      </c>
      <c r="AB100">
        <f>HYPERLINK("https://klasma.github.io/Logging_0482/klagomålsmail/A 54737-2022 FSC-klagomål mail.docx", "A 54737-2022")</f>
        <v/>
      </c>
      <c r="AC100">
        <f>HYPERLINK("https://klasma.github.io/Logging_0482/tillsyn/A 54737-2022 tillsynsbegäran.docx", "A 54737-2022")</f>
        <v/>
      </c>
      <c r="AD100">
        <f>HYPERLINK("https://klasma.github.io/Logging_0482/tillsynsmail/A 54737-2022 tillsynsbegäran mail.docx", "A 54737-2022")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46269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12056-2024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45377</v>
      </c>
      <c r="E102" s="1" t="n">
        <v>46269</v>
      </c>
      <c r="F102" t="inlineStr">
        <is>
          <t>SÖDERMANLANDS LÄN</t>
        </is>
      </c>
      <c r="G102" t="inlineStr">
        <is>
          <t>FLEN</t>
        </is>
      </c>
      <c r="I102" t="n">
        <v>8.4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Fjällig taggsvamp s.str.</t>
        </is>
      </c>
      <c r="W102">
        <f>HYPERLINK("https://klasma.github.io/Logging_0482/artfynd/A 12056-2024 artfynd.xlsx", "A 12056-2024")</f>
        <v/>
      </c>
      <c r="X102">
        <f>HYPERLINK("https://klasma.github.io/Logging_0482/kartor/A 12056-2024 karta.png", "A 12056-2024")</f>
        <v/>
      </c>
      <c r="Y102">
        <f>HYPERLINK("https://klasma.github.io/Logging_0482/kartor_geotiff/A 12056-2024 georefererad karta.tif", "A 12056-2024")</f>
        <v/>
      </c>
      <c r="AA102">
        <f>HYPERLINK("https://klasma.github.io/Logging_0482/klagomål/A 12056-2024 FSC-klagomål.docx", "A 12056-2024")</f>
        <v/>
      </c>
      <c r="AB102">
        <f>HYPERLINK("https://klasma.github.io/Logging_0482/klagomålsmail/A 12056-2024 FSC-klagomål mail.docx", "A 12056-2024")</f>
        <v/>
      </c>
      <c r="AC102">
        <f>HYPERLINK("https://klasma.github.io/Logging_0482/tillsyn/A 12056-2024 tillsynsbegäran.docx", "A 12056-2024")</f>
        <v/>
      </c>
      <c r="AD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12371-2022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46269</v>
      </c>
      <c r="F103" t="inlineStr">
        <is>
          <t>SÖDERMANLANDS LÄN</t>
        </is>
      </c>
      <c r="G103" t="inlineStr">
        <is>
          <t>FLEN</t>
        </is>
      </c>
      <c r="H103" t="inlineStr">
        <is>
          <t>Kommuner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12371-2022 artfynd.xlsx", "A 12371-2022")</f>
        <v/>
      </c>
      <c r="X103">
        <f>HYPERLINK("https://klasma.github.io/Logging_0482/kartor/A 12371-2022 karta.png", "A 12371-2022")</f>
        <v/>
      </c>
      <c r="Y103">
        <f>HYPERLINK("https://klasma.github.io/Logging_0482/kartor_geotiff/A 12371-2022 georefererad karta.tif", "A 12371-2022")</f>
        <v/>
      </c>
      <c r="AA103">
        <f>HYPERLINK("https://klasma.github.io/Logging_0482/klagomål/A 12371-2022 FSC-klagomål.docx", "A 12371-2022")</f>
        <v/>
      </c>
      <c r="AB103">
        <f>HYPERLINK("https://klasma.github.io/Logging_0482/klagomålsmail/A 12371-2022 FSC-klagomål mail.docx", "A 12371-2022")</f>
        <v/>
      </c>
      <c r="AC103">
        <f>HYPERLINK("https://klasma.github.io/Logging_0482/tillsyn/A 12371-2022 tillsynsbegäran.docx", "A 12371-2022")</f>
        <v/>
      </c>
      <c r="AD103">
        <f>HYPERLINK("https://klasma.github.io/Logging_0482/tillsynsmail/A 12371-2022 tillsynsbegäran mail.docx", "A 12371-2022")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46269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46269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62535-2021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46269</v>
      </c>
      <c r="F106" t="inlineStr">
        <is>
          <t>SÖDERMANLANDS LÄN</t>
        </is>
      </c>
      <c r="G106" t="inlineStr">
        <is>
          <t>FLEN</t>
        </is>
      </c>
      <c r="I106" t="n">
        <v>0.6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62535-2021 artfynd.xlsx", "A 62535-2021")</f>
        <v/>
      </c>
      <c r="X106">
        <f>HYPERLINK("https://klasma.github.io/Logging_0482/kartor/A 62535-2021 karta.png", "A 62535-2021")</f>
        <v/>
      </c>
      <c r="Y106">
        <f>HYPERLINK("https://klasma.github.io/Logging_0482/kartor_geotiff/A 62535-2021 georefererad karta.tif", "A 62535-2021")</f>
        <v/>
      </c>
      <c r="AA106">
        <f>HYPERLINK("https://klasma.github.io/Logging_0482/klagomål/A 62535-2021 FSC-klagomål.docx", "A 62535-2021")</f>
        <v/>
      </c>
      <c r="AB106">
        <f>HYPERLINK("https://klasma.github.io/Logging_0482/klagomålsmail/A 62535-2021 FSC-klagomål mail.docx", "A 62535-2021")</f>
        <v/>
      </c>
      <c r="AC106">
        <f>HYPERLINK("https://klasma.github.io/Logging_0482/tillsyn/A 62535-2021 tillsynsbegäran.docx", "A 62535-2021")</f>
        <v/>
      </c>
      <c r="AD106">
        <f>HYPERLINK("https://klasma.github.io/Logging_0482/tillsynsmail/A 62535-2021 tillsynsbegäran mail.docx", "A 62535-2021")</f>
        <v/>
      </c>
    </row>
    <row r="107" ht="15" customHeight="1">
      <c r="A107" t="inlineStr">
        <is>
          <t>A 50202-2022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46269</v>
      </c>
      <c r="F107" t="inlineStr">
        <is>
          <t>SÖDERMANLANDS LÄN</t>
        </is>
      </c>
      <c r="G107" t="inlineStr">
        <is>
          <t>FLEN</t>
        </is>
      </c>
      <c r="H107" t="inlineStr">
        <is>
          <t>Kyrkan</t>
        </is>
      </c>
      <c r="I107" t="n">
        <v>5.8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50202-2022 artfynd.xlsx", "A 50202-2022")</f>
        <v/>
      </c>
      <c r="X107">
        <f>HYPERLINK("https://klasma.github.io/Logging_0482/kartor/A 50202-2022 karta.png", "A 50202-2022")</f>
        <v/>
      </c>
      <c r="Y107">
        <f>HYPERLINK("https://klasma.github.io/Logging_0482/kartor_geotiff/A 50202-2022 georefererad karta.tif", "A 50202-2022")</f>
        <v/>
      </c>
      <c r="AA107">
        <f>HYPERLINK("https://klasma.github.io/Logging_0482/klagomål/A 50202-2022 FSC-klagomål.docx", "A 50202-2022")</f>
        <v/>
      </c>
      <c r="AB107">
        <f>HYPERLINK("https://klasma.github.io/Logging_0482/klagomålsmail/A 50202-2022 FSC-klagomål mail.docx", "A 50202-2022")</f>
        <v/>
      </c>
      <c r="AC107">
        <f>HYPERLINK("https://klasma.github.io/Logging_0482/tillsyn/A 50202-2022 tillsynsbegäran.docx", "A 50202-2022")</f>
        <v/>
      </c>
      <c r="AD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52563-2021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44463</v>
      </c>
      <c r="E108" s="1" t="n">
        <v>46269</v>
      </c>
      <c r="F108" t="inlineStr">
        <is>
          <t>SÖDERMANLANDS LÄN</t>
        </is>
      </c>
      <c r="G108" t="inlineStr">
        <is>
          <t>FLEN</t>
        </is>
      </c>
      <c r="I108" t="n">
        <v>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Gulsparv</t>
        </is>
      </c>
      <c r="W108">
        <f>HYPERLINK("https://klasma.github.io/Logging_0482/artfynd/A 52563-2021 artfynd.xlsx", "A 52563-2021")</f>
        <v/>
      </c>
      <c r="X108">
        <f>HYPERLINK("https://klasma.github.io/Logging_0482/kartor/A 52563-2021 karta.png", "A 52563-2021")</f>
        <v/>
      </c>
      <c r="Y108">
        <f>HYPERLINK("https://klasma.github.io/Logging_0482/kartor_geotiff/A 52563-2021 georefererad karta.tif", "A 52563-2021")</f>
        <v/>
      </c>
      <c r="AA108">
        <f>HYPERLINK("https://klasma.github.io/Logging_0482/klagomål/A 52563-2021 FSC-klagomål.docx", "A 52563-2021")</f>
        <v/>
      </c>
      <c r="AB108">
        <f>HYPERLINK("https://klasma.github.io/Logging_0482/klagomålsmail/A 52563-2021 FSC-klagomål mail.docx", "A 52563-2021")</f>
        <v/>
      </c>
      <c r="AC108">
        <f>HYPERLINK("https://klasma.github.io/Logging_0482/tillsyn/A 52563-2021 tillsynsbegäran.docx", "A 52563-2021")</f>
        <v/>
      </c>
      <c r="AD108">
        <f>HYPERLINK("https://klasma.github.io/Logging_0482/tillsynsmail/A 52563-2021 tillsynsbegäran mail.docx", "A 52563-2021")</f>
        <v/>
      </c>
      <c r="AE108">
        <f>HYPERLINK("https://klasma.github.io/Logging_0482/fåglar/A 52563-2021 prioriterade fågelarter.docx", "A 52563-2021")</f>
        <v/>
      </c>
    </row>
    <row r="109" ht="15" customHeight="1">
      <c r="A109" t="inlineStr">
        <is>
          <t>A 14273-2025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46269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Vedskivlav</t>
        </is>
      </c>
      <c r="W109">
        <f>HYPERLINK("https://klasma.github.io/Logging_0482/artfynd/A 14273-2025 artfynd.xlsx", "A 14273-2025")</f>
        <v/>
      </c>
      <c r="X109">
        <f>HYPERLINK("https://klasma.github.io/Logging_0482/kartor/A 14273-2025 karta.png", "A 14273-2025")</f>
        <v/>
      </c>
      <c r="Y109">
        <f>HYPERLINK("https://klasma.github.io/Logging_0482/kartor_geotiff/A 14273-2025 georefererad karta.tif", "A 14273-2025")</f>
        <v/>
      </c>
      <c r="AA109">
        <f>HYPERLINK("https://klasma.github.io/Logging_0482/klagomål/A 14273-2025 FSC-klagomål.docx", "A 14273-2025")</f>
        <v/>
      </c>
      <c r="AB109">
        <f>HYPERLINK("https://klasma.github.io/Logging_0482/klagomålsmail/A 14273-2025 FSC-klagomål mail.docx", "A 14273-2025")</f>
        <v/>
      </c>
      <c r="AC109">
        <f>HYPERLINK("https://klasma.github.io/Logging_0482/tillsyn/A 14273-2025 tillsynsbegäran.docx", "A 14273-2025")</f>
        <v/>
      </c>
      <c r="AD109">
        <f>HYPERLINK("https://klasma.github.io/Logging_0482/tillsynsmail/A 14273-2025 tillsynsbegäran mail.docx", "A 14273-2025")</f>
        <v/>
      </c>
    </row>
    <row r="110" ht="15" customHeight="1">
      <c r="A110" t="inlineStr">
        <is>
          <t>A 14113-2025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45740</v>
      </c>
      <c r="E110" s="1" t="n">
        <v>46269</v>
      </c>
      <c r="F110" t="inlineStr">
        <is>
          <t>SÖDERMANLANDS LÄN</t>
        </is>
      </c>
      <c r="G110" t="inlineStr">
        <is>
          <t>FLEN</t>
        </is>
      </c>
      <c r="H110" t="inlineStr">
        <is>
          <t>Övriga statliga verk och myndigheter</t>
        </is>
      </c>
      <c r="I110" t="n">
        <v>3.6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14113-2025 artfynd.xlsx", "A 14113-2025")</f>
        <v/>
      </c>
      <c r="X110">
        <f>HYPERLINK("https://klasma.github.io/Logging_0482/kartor/A 14113-2025 karta.png", "A 14113-2025")</f>
        <v/>
      </c>
      <c r="Y110">
        <f>HYPERLINK("https://klasma.github.io/Logging_0482/kartor_geotiff/A 14113-2025 georefererad karta.tif", "A 14113-2025")</f>
        <v/>
      </c>
      <c r="AA110">
        <f>HYPERLINK("https://klasma.github.io/Logging_0482/klagomål/A 14113-2025 FSC-klagomål.docx", "A 14113-2025")</f>
        <v/>
      </c>
      <c r="AB110">
        <f>HYPERLINK("https://klasma.github.io/Logging_0482/klagomålsmail/A 14113-2025 FSC-klagomål mail.docx", "A 14113-2025")</f>
        <v/>
      </c>
      <c r="AC110">
        <f>HYPERLINK("https://klasma.github.io/Logging_0482/tillsyn/A 14113-2025 tillsynsbegäran.docx", "A 14113-2025")</f>
        <v/>
      </c>
      <c r="AD110">
        <f>HYPERLINK("https://klasma.github.io/Logging_0482/tillsynsmail/A 14113-2025 tillsynsbegäran mail.docx", "A 14113-2025")</f>
        <v/>
      </c>
    </row>
    <row r="111" ht="15" customHeight="1">
      <c r="A111" t="inlineStr">
        <is>
          <t>A 39036-2023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46269</v>
      </c>
      <c r="F111" t="inlineStr">
        <is>
          <t>SÖDERMANLANDS LÄN</t>
        </is>
      </c>
      <c r="G111" t="inlineStr">
        <is>
          <t>FLEN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Igelkott</t>
        </is>
      </c>
      <c r="W111">
        <f>HYPERLINK("https://klasma.github.io/Logging_0482/artfynd/A 39036-2023 artfynd.xlsx", "A 39036-2023")</f>
        <v/>
      </c>
      <c r="X111">
        <f>HYPERLINK("https://klasma.github.io/Logging_0482/kartor/A 39036-2023 karta.png", "A 39036-2023")</f>
        <v/>
      </c>
      <c r="Y111">
        <f>HYPERLINK("https://klasma.github.io/Logging_0482/kartor_geotiff/A 39036-2023 georefererad karta.tif", "A 39036-2023")</f>
        <v/>
      </c>
      <c r="AA111">
        <f>HYPERLINK("https://klasma.github.io/Logging_0482/klagomål/A 39036-2023 FSC-klagomål.docx", "A 39036-2023")</f>
        <v/>
      </c>
      <c r="AB111">
        <f>HYPERLINK("https://klasma.github.io/Logging_0482/klagomålsmail/A 39036-2023 FSC-klagomål mail.docx", "A 39036-2023")</f>
        <v/>
      </c>
      <c r="AC111">
        <f>HYPERLINK("https://klasma.github.io/Logging_0482/tillsyn/A 39036-2023 tillsynsbegäran.docx", "A 39036-2023")</f>
        <v/>
      </c>
      <c r="AD111">
        <f>HYPERLINK("https://klasma.github.io/Logging_0482/tillsynsmail/A 39036-2023 tillsynsbegäran mail.docx", "A 39036-2023")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46269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31427-2022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44774</v>
      </c>
      <c r="E113" s="1" t="n">
        <v>46269</v>
      </c>
      <c r="F113" t="inlineStr">
        <is>
          <t>SÖDERMANLANDS LÄN</t>
        </is>
      </c>
      <c r="G113" t="inlineStr">
        <is>
          <t>FLEN</t>
        </is>
      </c>
      <c r="I113" t="n">
        <v>3.7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HYPERLINK("https://klasma.github.io/Logging_0482/artfynd/A 31427-2022 artfynd.xlsx", "A 31427-2022")</f>
        <v/>
      </c>
      <c r="X113">
        <f>HYPERLINK("https://klasma.github.io/Logging_0482/kartor/A 31427-2022 karta.png", "A 31427-2022")</f>
        <v/>
      </c>
      <c r="Y113">
        <f>HYPERLINK("https://klasma.github.io/Logging_0482/kartor_geotiff/A 31427-2022 georefererad karta.tif", "A 31427-2022")</f>
        <v/>
      </c>
      <c r="AA113">
        <f>HYPERLINK("https://klasma.github.io/Logging_0482/klagomål/A 31427-2022 FSC-klagomål.docx", "A 31427-2022")</f>
        <v/>
      </c>
      <c r="AB113">
        <f>HYPERLINK("https://klasma.github.io/Logging_0482/klagomålsmail/A 31427-2022 FSC-klagomål mail.docx", "A 31427-2022")</f>
        <v/>
      </c>
      <c r="AC113">
        <f>HYPERLINK("https://klasma.github.io/Logging_0482/tillsyn/A 31427-2022 tillsynsbegäran.docx", "A 31427-2022")</f>
        <v/>
      </c>
      <c r="AD113">
        <f>HYPERLINK("https://klasma.github.io/Logging_0482/tillsynsmail/A 31427-2022 tillsynsbegäran mail.docx", "A 31427-2022")</f>
        <v/>
      </c>
    </row>
    <row r="114" ht="15" customHeight="1">
      <c r="A114" t="inlineStr">
        <is>
          <t>A 47756-2022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44854</v>
      </c>
      <c r="E114" s="1" t="n">
        <v>46269</v>
      </c>
      <c r="F114" t="inlineStr">
        <is>
          <t>SÖDERMANLANDS LÄN</t>
        </is>
      </c>
      <c r="G114" t="inlineStr">
        <is>
          <t>FLEN</t>
        </is>
      </c>
      <c r="I114" t="n">
        <v>2.4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Svinrot</t>
        </is>
      </c>
      <c r="W114">
        <f>HYPERLINK("https://klasma.github.io/Logging_0482/artfynd/A 47756-2022 artfynd.xlsx", "A 47756-2022")</f>
        <v/>
      </c>
      <c r="X114">
        <f>HYPERLINK("https://klasma.github.io/Logging_0482/kartor/A 47756-2022 karta.png", "A 47756-2022")</f>
        <v/>
      </c>
      <c r="Y114">
        <f>HYPERLINK("https://klasma.github.io/Logging_0482/kartor_geotiff/A 47756-2022 georefererad karta.tif", "A 47756-2022")</f>
        <v/>
      </c>
      <c r="AA114">
        <f>HYPERLINK("https://klasma.github.io/Logging_0482/klagomål/A 47756-2022 FSC-klagomål.docx", "A 47756-2022")</f>
        <v/>
      </c>
      <c r="AB114">
        <f>HYPERLINK("https://klasma.github.io/Logging_0482/klagomålsmail/A 47756-2022 FSC-klagomål mail.docx", "A 47756-2022")</f>
        <v/>
      </c>
      <c r="AC114">
        <f>HYPERLINK("https://klasma.github.io/Logging_0482/tillsyn/A 47756-2022 tillsynsbegäran.docx", "A 47756-2022")</f>
        <v/>
      </c>
      <c r="AD114">
        <f>HYPERLINK("https://klasma.github.io/Logging_0482/tillsynsmail/A 47756-2022 tillsynsbegäran mail.docx", "A 47756-2022")</f>
        <v/>
      </c>
    </row>
    <row r="115" ht="15" customHeight="1">
      <c r="A115" t="inlineStr">
        <is>
          <t>A 60562-2021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44495</v>
      </c>
      <c r="E115" s="1" t="n">
        <v>46269</v>
      </c>
      <c r="F115" t="inlineStr">
        <is>
          <t>SÖDERMANLANDS LÄN</t>
        </is>
      </c>
      <c r="G115" t="inlineStr">
        <is>
          <t>FLEN</t>
        </is>
      </c>
      <c r="H115" t="inlineStr">
        <is>
          <t>Övriga statliga verk och myndigheter</t>
        </is>
      </c>
      <c r="I115" t="n">
        <v>1.3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Gullklöver</t>
        </is>
      </c>
      <c r="W115">
        <f>HYPERLINK("https://klasma.github.io/Logging_0482/artfynd/A 60562-2021 artfynd.xlsx", "A 60562-2021")</f>
        <v/>
      </c>
      <c r="X115">
        <f>HYPERLINK("https://klasma.github.io/Logging_0482/kartor/A 60562-2021 karta.png", "A 60562-2021")</f>
        <v/>
      </c>
      <c r="Y115">
        <f>HYPERLINK("https://klasma.github.io/Logging_0482/kartor_geotiff/A 60562-2021 georefererad karta.tif", "A 60562-2021")</f>
        <v/>
      </c>
      <c r="AA115">
        <f>HYPERLINK("https://klasma.github.io/Logging_0482/klagomål/A 60562-2021 FSC-klagomål.docx", "A 60562-2021")</f>
        <v/>
      </c>
      <c r="AB115">
        <f>HYPERLINK("https://klasma.github.io/Logging_0482/klagomålsmail/A 60562-2021 FSC-klagomål mail.docx", "A 60562-2021")</f>
        <v/>
      </c>
      <c r="AC115">
        <f>HYPERLINK("https://klasma.github.io/Logging_0482/tillsyn/A 60562-2021 tillsynsbegäran.docx", "A 60562-2021")</f>
        <v/>
      </c>
      <c r="AD115">
        <f>HYPERLINK("https://klasma.github.io/Logging_0482/tillsynsmail/A 60562-2021 tillsynsbegäran mail.docx", "A 60562-2021")</f>
        <v/>
      </c>
    </row>
    <row r="116" ht="15" customHeight="1">
      <c r="A116" t="inlineStr">
        <is>
          <t>A 38829-2025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45887</v>
      </c>
      <c r="E116" s="1" t="n">
        <v>46269</v>
      </c>
      <c r="F116" t="inlineStr">
        <is>
          <t>SÖDERMANLANDS LÄN</t>
        </is>
      </c>
      <c r="G116" t="inlineStr">
        <is>
          <t>FLEN</t>
        </is>
      </c>
      <c r="I116" t="n">
        <v>4.2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HYPERLINK("https://klasma.github.io/Logging_0482/artfynd/A 38829-2025 artfynd.xlsx", "A 38829-2025")</f>
        <v/>
      </c>
      <c r="X116">
        <f>HYPERLINK("https://klasma.github.io/Logging_0482/kartor/A 38829-2025 karta.png", "A 38829-2025")</f>
        <v/>
      </c>
      <c r="Y116">
        <f>HYPERLINK("https://klasma.github.io/Logging_0482/kartor_geotiff/A 38829-2025 georefererad karta.tif", "A 38829-2025")</f>
        <v/>
      </c>
      <c r="AA116">
        <f>HYPERLINK("https://klasma.github.io/Logging_0482/klagomål/A 38829-2025 FSC-klagomål.docx", "A 38829-2025")</f>
        <v/>
      </c>
      <c r="AB116">
        <f>HYPERLINK("https://klasma.github.io/Logging_0482/klagomålsmail/A 38829-2025 FSC-klagomål mail.docx", "A 38829-2025")</f>
        <v/>
      </c>
      <c r="AC116">
        <f>HYPERLINK("https://klasma.github.io/Logging_0482/tillsyn/A 38829-2025 tillsynsbegäran.docx", "A 38829-2025")</f>
        <v/>
      </c>
      <c r="AD116">
        <f>HYPERLINK("https://klasma.github.io/Logging_0482/tillsynsmail/A 38829-2025 tillsynsbegäran mail.docx", "A 38829-2025")</f>
        <v/>
      </c>
    </row>
    <row r="117" ht="15" customHeight="1">
      <c r="A117" t="inlineStr">
        <is>
          <t>A 7525-2024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45348</v>
      </c>
      <c r="E117" s="1" t="n">
        <v>46269</v>
      </c>
      <c r="F117" t="inlineStr">
        <is>
          <t>SÖDERMANLANDS LÄN</t>
        </is>
      </c>
      <c r="G117" t="inlineStr">
        <is>
          <t>FLEN</t>
        </is>
      </c>
      <c r="I117" t="n">
        <v>2.3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Vanlig backsmörblomma</t>
        </is>
      </c>
      <c r="W117">
        <f>HYPERLINK("https://klasma.github.io/Logging_0482/artfynd/A 7525-2024 artfynd.xlsx", "A 7525-2024")</f>
        <v/>
      </c>
      <c r="X117">
        <f>HYPERLINK("https://klasma.github.io/Logging_0482/kartor/A 7525-2024 karta.png", "A 7525-2024")</f>
        <v/>
      </c>
      <c r="Y117">
        <f>HYPERLINK("https://klasma.github.io/Logging_0482/kartor_geotiff/A 7525-2024 georefererad karta.tif", "A 7525-2024")</f>
        <v/>
      </c>
      <c r="AA117">
        <f>HYPERLINK("https://klasma.github.io/Logging_0482/klagomål/A 7525-2024 FSC-klagomål.docx", "A 7525-2024")</f>
        <v/>
      </c>
      <c r="AB117">
        <f>HYPERLINK("https://klasma.github.io/Logging_0482/klagomålsmail/A 7525-2024 FSC-klagomål mail.docx", "A 7525-2024")</f>
        <v/>
      </c>
      <c r="AC117">
        <f>HYPERLINK("https://klasma.github.io/Logging_0482/tillsyn/A 7525-2024 tillsynsbegäran.docx", "A 7525-2024")</f>
        <v/>
      </c>
      <c r="AD117">
        <f>HYPERLINK("https://klasma.github.io/Logging_0482/tillsynsmail/A 7525-2024 tillsynsbegäran mail.docx", "A 7525-2024")</f>
        <v/>
      </c>
    </row>
    <row r="118" ht="15" customHeight="1">
      <c r="A118" t="inlineStr">
        <is>
          <t>A 13858-2023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45007</v>
      </c>
      <c r="E118" s="1" t="n">
        <v>46269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Svedjenäva</t>
        </is>
      </c>
      <c r="W118">
        <f>HYPERLINK("https://klasma.github.io/Logging_0482/artfynd/A 13858-2023 artfynd.xlsx", "A 13858-2023")</f>
        <v/>
      </c>
      <c r="X118">
        <f>HYPERLINK("https://klasma.github.io/Logging_0482/kartor/A 13858-2023 karta.png", "A 13858-2023")</f>
        <v/>
      </c>
      <c r="Y118">
        <f>HYPERLINK("https://klasma.github.io/Logging_0482/kartor_geotiff/A 13858-2023 georefererad karta.tif", "A 13858-2023")</f>
        <v/>
      </c>
      <c r="AA118">
        <f>HYPERLINK("https://klasma.github.io/Logging_0482/klagomål/A 13858-2023 FSC-klagomål.docx", "A 13858-2023")</f>
        <v/>
      </c>
      <c r="AB118">
        <f>HYPERLINK("https://klasma.github.io/Logging_0482/klagomålsmail/A 13858-2023 FSC-klagomål mail.docx", "A 13858-2023")</f>
        <v/>
      </c>
      <c r="AC118">
        <f>HYPERLINK("https://klasma.github.io/Logging_0482/tillsyn/A 13858-2023 tillsynsbegäran.docx", "A 13858-2023")</f>
        <v/>
      </c>
      <c r="AD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46269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47581-2025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45931</v>
      </c>
      <c r="E120" s="1" t="n">
        <v>46269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47581-2025 artfynd.xlsx", "A 47581-2025")</f>
        <v/>
      </c>
      <c r="X120">
        <f>HYPERLINK("https://klasma.github.io/Logging_0482/kartor/A 47581-2025 karta.png", "A 47581-2025")</f>
        <v/>
      </c>
      <c r="Y120">
        <f>HYPERLINK("https://klasma.github.io/Logging_0482/kartor_geotiff/A 47581-2025 georefererad karta.tif", "A 47581-2025")</f>
        <v/>
      </c>
      <c r="AA120">
        <f>HYPERLINK("https://klasma.github.io/Logging_0482/klagomål/A 47581-2025 FSC-klagomål.docx", "A 47581-2025")</f>
        <v/>
      </c>
      <c r="AB120">
        <f>HYPERLINK("https://klasma.github.io/Logging_0482/klagomålsmail/A 47581-2025 FSC-klagomål mail.docx", "A 47581-2025")</f>
        <v/>
      </c>
      <c r="AC120">
        <f>HYPERLINK("https://klasma.github.io/Logging_0482/tillsyn/A 47581-2025 tillsynsbegäran.docx", "A 47581-2025")</f>
        <v/>
      </c>
      <c r="AD120">
        <f>HYPERLINK("https://klasma.github.io/Logging_0482/tillsynsmail/A 47581-2025 tillsynsbegäran mail.docx", "A 47581-2025")</f>
        <v/>
      </c>
    </row>
    <row r="121" ht="15" customHeight="1">
      <c r="A121" t="inlineStr">
        <is>
          <t>A 6982-2024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46269</v>
      </c>
      <c r="F121" t="inlineStr">
        <is>
          <t>SÖDERMANLANDS LÄN</t>
        </is>
      </c>
      <c r="G121" t="inlineStr">
        <is>
          <t>FLEN</t>
        </is>
      </c>
      <c r="I121" t="n">
        <v>1.1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HYPERLINK("https://klasma.github.io/Logging_0482/artfynd/A 6982-2024 artfynd.xlsx", "A 6982-2024")</f>
        <v/>
      </c>
      <c r="X121">
        <f>HYPERLINK("https://klasma.github.io/Logging_0482/kartor/A 6982-2024 karta.png", "A 6982-2024")</f>
        <v/>
      </c>
      <c r="Y121">
        <f>HYPERLINK("https://klasma.github.io/Logging_0482/kartor_geotiff/A 6982-2024 georefererad karta.tif", "A 6982-2024")</f>
        <v/>
      </c>
      <c r="AA121">
        <f>HYPERLINK("https://klasma.github.io/Logging_0482/klagomål/A 6982-2024 FSC-klagomål.docx", "A 6982-2024")</f>
        <v/>
      </c>
      <c r="AB121">
        <f>HYPERLINK("https://klasma.github.io/Logging_0482/klagomålsmail/A 6982-2024 FSC-klagomål mail.docx", "A 6982-2024")</f>
        <v/>
      </c>
      <c r="AC121">
        <f>HYPERLINK("https://klasma.github.io/Logging_0482/tillsyn/A 6982-2024 tillsynsbegäran.docx", "A 6982-2024")</f>
        <v/>
      </c>
      <c r="AD121">
        <f>HYPERLINK("https://klasma.github.io/Logging_0482/tillsynsmail/A 6982-2024 tillsynsbegäran mail.docx", "A 6982-2024")</f>
        <v/>
      </c>
    </row>
    <row r="122" ht="15" customHeight="1">
      <c r="A122" t="inlineStr">
        <is>
          <t>A 1242-2022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46269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9.300000000000001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Slåtterfibbla</t>
        </is>
      </c>
      <c r="W122">
        <f>HYPERLINK("https://klasma.github.io/Logging_0482/artfynd/A 1242-2022 artfynd.xlsx", "A 1242-2022")</f>
        <v/>
      </c>
      <c r="X122">
        <f>HYPERLINK("https://klasma.github.io/Logging_0482/kartor/A 1242-2022 karta.png", "A 1242-2022")</f>
        <v/>
      </c>
      <c r="Y122">
        <f>HYPERLINK("https://klasma.github.io/Logging_0482/kartor_geotiff/A 1242-2022 georefererad karta.tif", "A 1242-2022")</f>
        <v/>
      </c>
      <c r="AA122">
        <f>HYPERLINK("https://klasma.github.io/Logging_0482/klagomål/A 1242-2022 FSC-klagomål.docx", "A 1242-2022")</f>
        <v/>
      </c>
      <c r="AB122">
        <f>HYPERLINK("https://klasma.github.io/Logging_0482/klagomålsmail/A 1242-2022 FSC-klagomål mail.docx", "A 1242-2022")</f>
        <v/>
      </c>
      <c r="AC122">
        <f>HYPERLINK("https://klasma.github.io/Logging_0482/tillsyn/A 1242-2022 tillsynsbegäran.docx", "A 1242-2022")</f>
        <v/>
      </c>
      <c r="AD122">
        <f>HYPERLINK("https://klasma.github.io/Logging_0482/tillsynsmail/A 1242-2022 tillsynsbegäran mail.docx", "A 1242-2022")</f>
        <v/>
      </c>
    </row>
    <row r="123" ht="15" customHeight="1">
      <c r="A123" t="inlineStr">
        <is>
          <t>A 21704-2026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46149</v>
      </c>
      <c r="E123" s="1" t="n">
        <v>46269</v>
      </c>
      <c r="F123" t="inlineStr">
        <is>
          <t>SÖDERMANLANDS LÄN</t>
        </is>
      </c>
      <c r="G123" t="inlineStr">
        <is>
          <t>FLEN</t>
        </is>
      </c>
      <c r="I123" t="n">
        <v>10.2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Kandelabersvamp</t>
        </is>
      </c>
      <c r="W123">
        <f>HYPERLINK("https://klasma.github.io/Logging_0482/artfynd/A 21704-2026 artfynd.xlsx", "A 21704-2026")</f>
        <v/>
      </c>
      <c r="X123">
        <f>HYPERLINK("https://klasma.github.io/Logging_0482/kartor/A 21704-2026 karta.png", "A 21704-2026")</f>
        <v/>
      </c>
      <c r="Y123">
        <f>HYPERLINK("https://klasma.github.io/Logging_0482/kartor_geotiff/A 21704-2026 georefererad karta.tif", "A 21704-2026")</f>
        <v/>
      </c>
      <c r="AA123">
        <f>HYPERLINK("https://klasma.github.io/Logging_0482/klagomål/A 21704-2026 FSC-klagomål.docx", "A 21704-2026")</f>
        <v/>
      </c>
      <c r="AB123">
        <f>HYPERLINK("https://klasma.github.io/Logging_0482/klagomålsmail/A 21704-2026 FSC-klagomål mail.docx", "A 21704-2026")</f>
        <v/>
      </c>
      <c r="AC123">
        <f>HYPERLINK("https://klasma.github.io/Logging_0482/tillsyn/A 21704-2026 tillsynsbegäran.docx", "A 21704-2026")</f>
        <v/>
      </c>
      <c r="AD123">
        <f>HYPERLINK("https://klasma.github.io/Logging_0482/tillsynsmail/A 21704-2026 tillsynsbegäran mail.docx", "A 21704-2026")</f>
        <v/>
      </c>
    </row>
    <row r="124" ht="15" customHeight="1">
      <c r="A124" t="inlineStr">
        <is>
          <t>A 52579-2025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46269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4.5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Slåtterfibbla</t>
        </is>
      </c>
      <c r="W124">
        <f>HYPERLINK("https://klasma.github.io/Logging_0482/artfynd/A 52579-2025 artfynd.xlsx", "A 52579-2025")</f>
        <v/>
      </c>
      <c r="X124">
        <f>HYPERLINK("https://klasma.github.io/Logging_0482/kartor/A 52579-2025 karta.png", "A 52579-2025")</f>
        <v/>
      </c>
      <c r="Y124">
        <f>HYPERLINK("https://klasma.github.io/Logging_0482/kartor_geotiff/A 52579-2025 georefererad karta.tif", "A 52579-2025")</f>
        <v/>
      </c>
      <c r="AA124">
        <f>HYPERLINK("https://klasma.github.io/Logging_0482/klagomål/A 52579-2025 FSC-klagomål.docx", "A 52579-2025")</f>
        <v/>
      </c>
      <c r="AB124">
        <f>HYPERLINK("https://klasma.github.io/Logging_0482/klagomålsmail/A 52579-2025 FSC-klagomål mail.docx", "A 52579-2025")</f>
        <v/>
      </c>
      <c r="AC124">
        <f>HYPERLINK("https://klasma.github.io/Logging_0482/tillsyn/A 52579-2025 tillsynsbegäran.docx", "A 52579-2025")</f>
        <v/>
      </c>
      <c r="AD124">
        <f>HYPERLINK("https://klasma.github.io/Logging_0482/tillsynsmail/A 52579-2025 tillsynsbegäran mail.docx", "A 52579-2025")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46269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53339-2023 artfynd.xlsx", "A 53339-2023")</f>
        <v/>
      </c>
      <c r="X125">
        <f>HYPERLINK("https://klasma.github.io/Logging_0482/kartor/A 53339-2023 karta.png", "A 53339-2023")</f>
        <v/>
      </c>
      <c r="Y125">
        <f>HYPERLINK("https://klasma.github.io/Logging_0482/kartor_geotiff/A 53339-2023 georefererad karta.tif", "A 53339-2023")</f>
        <v/>
      </c>
      <c r="AA125">
        <f>HYPERLINK("https://klasma.github.io/Logging_0482/klagomål/A 53339-2023 FSC-klagomål.docx", "A 53339-2023")</f>
        <v/>
      </c>
      <c r="AB125">
        <f>HYPERLINK("https://klasma.github.io/Logging_0482/klagomålsmail/A 53339-2023 FSC-klagomål mail.docx", "A 53339-2023")</f>
        <v/>
      </c>
      <c r="AC125">
        <f>HYPERLINK("https://klasma.github.io/Logging_0482/tillsyn/A 53339-2023 tillsynsbegäran.docx", "A 53339-2023")</f>
        <v/>
      </c>
      <c r="AD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4259-2023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44953</v>
      </c>
      <c r="E126" s="1" t="n">
        <v>46269</v>
      </c>
      <c r="F126" t="inlineStr">
        <is>
          <t>SÖDERMANLANDS LÄN</t>
        </is>
      </c>
      <c r="G126" t="inlineStr">
        <is>
          <t>FLEN</t>
        </is>
      </c>
      <c r="I126" t="n">
        <v>1.3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4259-2023 artfynd.xlsx", "A 4259-2023")</f>
        <v/>
      </c>
      <c r="X126">
        <f>HYPERLINK("https://klasma.github.io/Logging_0482/kartor/A 4259-2023 karta.png", "A 4259-2023")</f>
        <v/>
      </c>
      <c r="Y126">
        <f>HYPERLINK("https://klasma.github.io/Logging_0482/kartor_geotiff/A 4259-2023 georefererad karta.tif", "A 4259-2023")</f>
        <v/>
      </c>
      <c r="AA126">
        <f>HYPERLINK("https://klasma.github.io/Logging_0482/klagomål/A 4259-2023 FSC-klagomål.docx", "A 4259-2023")</f>
        <v/>
      </c>
      <c r="AB126">
        <f>HYPERLINK("https://klasma.github.io/Logging_0482/klagomålsmail/A 4259-2023 FSC-klagomål mail.docx", "A 4259-2023")</f>
        <v/>
      </c>
      <c r="AC126">
        <f>HYPERLINK("https://klasma.github.io/Logging_0482/tillsyn/A 4259-2023 tillsynsbegäran.docx", "A 4259-2023")</f>
        <v/>
      </c>
      <c r="AD126">
        <f>HYPERLINK("https://klasma.github.io/Logging_0482/tillsynsmail/A 4259-2023 tillsynsbegäran mail.docx", "A 4259-2023")</f>
        <v/>
      </c>
    </row>
    <row r="127" ht="15" customHeight="1">
      <c r="A127" t="inlineStr">
        <is>
          <t>A 24179-2026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46269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Gullklöver</t>
        </is>
      </c>
      <c r="W127">
        <f>HYPERLINK("https://klasma.github.io/Logging_0482/artfynd/A 24179-2026 artfynd.xlsx", "A 24179-2026")</f>
        <v/>
      </c>
      <c r="X127">
        <f>HYPERLINK("https://klasma.github.io/Logging_0482/kartor/A 24179-2026 karta.png", "A 24179-2026")</f>
        <v/>
      </c>
      <c r="Y127">
        <f>HYPERLINK("https://klasma.github.io/Logging_0482/kartor_geotiff/A 24179-2026 georefererad karta.tif", "A 24179-2026")</f>
        <v/>
      </c>
      <c r="AA127">
        <f>HYPERLINK("https://klasma.github.io/Logging_0482/klagomål/A 24179-2026 FSC-klagomål.docx", "A 24179-2026")</f>
        <v/>
      </c>
      <c r="AB127">
        <f>HYPERLINK("https://klasma.github.io/Logging_0482/klagomålsmail/A 24179-2026 FSC-klagomål mail.docx", "A 24179-2026")</f>
        <v/>
      </c>
      <c r="AC127">
        <f>HYPERLINK("https://klasma.github.io/Logging_0482/tillsyn/A 24179-2026 tillsynsbegäran.docx", "A 24179-2026")</f>
        <v/>
      </c>
      <c r="AD127">
        <f>HYPERLINK("https://klasma.github.io/Logging_0482/tillsynsmail/A 24179-2026 tillsynsbegäran mail.docx", "A 24179-2026")</f>
        <v/>
      </c>
    </row>
    <row r="128" ht="15" customHeight="1">
      <c r="A128" t="inlineStr">
        <is>
          <t>A 12306-2022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44637</v>
      </c>
      <c r="E128" s="1" t="n">
        <v>46269</v>
      </c>
      <c r="F128" t="inlineStr">
        <is>
          <t>SÖDERMANLANDS LÄN</t>
        </is>
      </c>
      <c r="G128" t="inlineStr">
        <is>
          <t>FLEN</t>
        </is>
      </c>
      <c r="I128" t="n">
        <v>3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Järnsparv</t>
        </is>
      </c>
      <c r="W128">
        <f>HYPERLINK("https://klasma.github.io/Logging_0482/artfynd/A 12306-2022 artfynd.xlsx", "A 12306-2022")</f>
        <v/>
      </c>
      <c r="X128">
        <f>HYPERLINK("https://klasma.github.io/Logging_0482/kartor/A 12306-2022 karta.png", "A 12306-2022")</f>
        <v/>
      </c>
      <c r="Y128">
        <f>HYPERLINK("https://klasma.github.io/Logging_0482/kartor_geotiff/A 12306-2022 georefererad karta.tif", "A 12306-2022")</f>
        <v/>
      </c>
      <c r="AA128">
        <f>HYPERLINK("https://klasma.github.io/Logging_0482/klagomål/A 12306-2022 FSC-klagomål.docx", "A 12306-2022")</f>
        <v/>
      </c>
      <c r="AB128">
        <f>HYPERLINK("https://klasma.github.io/Logging_0482/klagomålsmail/A 12306-2022 FSC-klagomål mail.docx", "A 12306-2022")</f>
        <v/>
      </c>
      <c r="AC128">
        <f>HYPERLINK("https://klasma.github.io/Logging_0482/tillsyn/A 12306-2022 tillsynsbegäran.docx", "A 12306-2022")</f>
        <v/>
      </c>
      <c r="AD128">
        <f>HYPERLINK("https://klasma.github.io/Logging_0482/tillsynsmail/A 12306-2022 tillsynsbegäran mail.docx", "A 12306-2022")</f>
        <v/>
      </c>
      <c r="AE128">
        <f>HYPERLINK("https://klasma.github.io/Logging_0482/fåglar/A 12306-2022 prioriterade fågelarter.docx", "A 12306-2022")</f>
        <v/>
      </c>
    </row>
    <row r="129" ht="15" customHeight="1">
      <c r="A129" t="inlineStr">
        <is>
          <t>A 26310-2026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46269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Spillkråka</t>
        </is>
      </c>
      <c r="W129">
        <f>HYPERLINK("https://klasma.github.io/Logging_0482/artfynd/A 26310-2026 artfynd.xlsx", "A 26310-2026")</f>
        <v/>
      </c>
      <c r="X129">
        <f>HYPERLINK("https://klasma.github.io/Logging_0482/kartor/A 26310-2026 karta.png", "A 26310-2026")</f>
        <v/>
      </c>
      <c r="Y129">
        <f>HYPERLINK("https://klasma.github.io/Logging_0482/kartor_geotiff/A 26310-2026 georefererad karta.tif", "A 26310-2026")</f>
        <v/>
      </c>
      <c r="AA129">
        <f>HYPERLINK("https://klasma.github.io/Logging_0482/klagomål/A 26310-2026 FSC-klagomål.docx", "A 26310-2026")</f>
        <v/>
      </c>
      <c r="AB129">
        <f>HYPERLINK("https://klasma.github.io/Logging_0482/klagomålsmail/A 26310-2026 FSC-klagomål mail.docx", "A 26310-2026")</f>
        <v/>
      </c>
      <c r="AC129">
        <f>HYPERLINK("https://klasma.github.io/Logging_0482/tillsyn/A 26310-2026 tillsynsbegäran.docx", "A 26310-2026")</f>
        <v/>
      </c>
      <c r="AD129">
        <f>HYPERLINK("https://klasma.github.io/Logging_0482/tillsynsmail/A 26310-2026 tillsynsbegäran mail.docx", "A 26310-2026")</f>
        <v/>
      </c>
      <c r="AE129">
        <f>HYPERLINK("https://klasma.github.io/Logging_0482/fåglar/A 26310-2026 prioriterade fågelarter.docx", "A 26310-2026")</f>
        <v/>
      </c>
    </row>
    <row r="130" ht="15" customHeight="1">
      <c r="A130" t="inlineStr">
        <is>
          <t>A 26052-2026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46269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HYPERLINK("https://klasma.github.io/Logging_0482/artfynd/A 26052-2026 artfynd.xlsx", "A 26052-2026")</f>
        <v/>
      </c>
      <c r="X130">
        <f>HYPERLINK("https://klasma.github.io/Logging_0482/kartor/A 26052-2026 karta.png", "A 26052-2026")</f>
        <v/>
      </c>
      <c r="Y130">
        <f>HYPERLINK("https://klasma.github.io/Logging_0482/kartor_geotiff/A 26052-2026 georefererad karta.tif", "A 26052-2026")</f>
        <v/>
      </c>
      <c r="AA130">
        <f>HYPERLINK("https://klasma.github.io/Logging_0482/klagomål/A 26052-2026 FSC-klagomål.docx", "A 26052-2026")</f>
        <v/>
      </c>
      <c r="AB130">
        <f>HYPERLINK("https://klasma.github.io/Logging_0482/klagomålsmail/A 26052-2026 FSC-klagomål mail.docx", "A 26052-2026")</f>
        <v/>
      </c>
      <c r="AC130">
        <f>HYPERLINK("https://klasma.github.io/Logging_0482/tillsyn/A 26052-2026 tillsynsbegäran.docx", "A 26052-2026")</f>
        <v/>
      </c>
      <c r="AD130">
        <f>HYPERLINK("https://klasma.github.io/Logging_0482/tillsynsmail/A 26052-2026 tillsynsbegäran mail.docx", "A 26052-2026")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46269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2043-2026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46269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Scharlakansvaxing</t>
        </is>
      </c>
      <c r="W132">
        <f>HYPERLINK("https://klasma.github.io/Logging_0482/artfynd/A 2043-2026 artfynd.xlsx", "A 2043-2026")</f>
        <v/>
      </c>
      <c r="X132">
        <f>HYPERLINK("https://klasma.github.io/Logging_0482/kartor/A 2043-2026 karta.png", "A 2043-2026")</f>
        <v/>
      </c>
      <c r="Y132">
        <f>HYPERLINK("https://klasma.github.io/Logging_0482/kartor_geotiff/A 2043-2026 georefererad karta.tif", "A 2043-2026")</f>
        <v/>
      </c>
      <c r="AA132">
        <f>HYPERLINK("https://klasma.github.io/Logging_0482/klagomål/A 2043-2026 FSC-klagomål.docx", "A 2043-2026")</f>
        <v/>
      </c>
      <c r="AB132">
        <f>HYPERLINK("https://klasma.github.io/Logging_0482/klagomålsmail/A 2043-2026 FSC-klagomål mail.docx", "A 2043-2026")</f>
        <v/>
      </c>
      <c r="AC132">
        <f>HYPERLINK("https://klasma.github.io/Logging_0482/tillsyn/A 2043-2026 tillsynsbegäran.docx", "A 2043-2026")</f>
        <v/>
      </c>
      <c r="AD132">
        <f>HYPERLINK("https://klasma.github.io/Logging_0482/tillsynsmail/A 2043-2026 tillsynsbegäran mail.docx", "A 2043-2026")</f>
        <v/>
      </c>
    </row>
    <row r="133" ht="15" customHeight="1">
      <c r="A133" t="inlineStr">
        <is>
          <t>A 2036-2026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46269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Knärot</t>
        </is>
      </c>
      <c r="W133">
        <f>HYPERLINK("https://klasma.github.io/Logging_0482/artfynd/A 2036-2026 artfynd.xlsx", "A 2036-2026")</f>
        <v/>
      </c>
      <c r="X133">
        <f>HYPERLINK("https://klasma.github.io/Logging_0482/kartor/A 2036-2026 karta.png", "A 2036-2026")</f>
        <v/>
      </c>
      <c r="Y133">
        <f>HYPERLINK("https://klasma.github.io/Logging_0482/kartor_geotiff/A 2036-2026 georefererad karta.tif", "A 2036-2026")</f>
        <v/>
      </c>
      <c r="Z133">
        <f>HYPERLINK("https://klasma.github.io/Logging_0482/knärot/A 2036-2026 karta knärot.png", "A 2036-2026")</f>
        <v/>
      </c>
      <c r="AA133">
        <f>HYPERLINK("https://klasma.github.io/Logging_0482/klagomål/A 2036-2026 FSC-klagomål.docx", "A 2036-2026")</f>
        <v/>
      </c>
      <c r="AB133">
        <f>HYPERLINK("https://klasma.github.io/Logging_0482/klagomålsmail/A 2036-2026 FSC-klagomål mail.docx", "A 2036-2026")</f>
        <v/>
      </c>
      <c r="AC133">
        <f>HYPERLINK("https://klasma.github.io/Logging_0482/tillsyn/A 2036-2026 tillsynsbegäran.docx", "A 2036-2026")</f>
        <v/>
      </c>
      <c r="AD133">
        <f>HYPERLINK("https://klasma.github.io/Logging_0482/tillsynsmail/A 2036-2026 tillsynsbegäran mail.docx", "A 2036-2026")</f>
        <v/>
      </c>
    </row>
    <row r="134" ht="15" customHeight="1">
      <c r="A134" t="inlineStr">
        <is>
          <t>A 66230-2021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44518</v>
      </c>
      <c r="E134" s="1" t="n">
        <v>46269</v>
      </c>
      <c r="F134" t="inlineStr">
        <is>
          <t>SÖDERMANLANDS LÄN</t>
        </is>
      </c>
      <c r="G134" t="inlineStr">
        <is>
          <t>FLEN</t>
        </is>
      </c>
      <c r="I134" t="n">
        <v>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Svinrot</t>
        </is>
      </c>
      <c r="W134">
        <f>HYPERLINK("https://klasma.github.io/Logging_0482/artfynd/A 66230-2021 artfynd.xlsx", "A 66230-2021")</f>
        <v/>
      </c>
      <c r="X134">
        <f>HYPERLINK("https://klasma.github.io/Logging_0482/kartor/A 66230-2021 karta.png", "A 66230-2021")</f>
        <v/>
      </c>
      <c r="Y134">
        <f>HYPERLINK("https://klasma.github.io/Logging_0482/kartor_geotiff/A 66230-2021 georefererad karta.tif", "A 66230-2021")</f>
        <v/>
      </c>
      <c r="AA134">
        <f>HYPERLINK("https://klasma.github.io/Logging_0482/klagomål/A 66230-2021 FSC-klagomål.docx", "A 66230-2021")</f>
        <v/>
      </c>
      <c r="AB134">
        <f>HYPERLINK("https://klasma.github.io/Logging_0482/klagomålsmail/A 66230-2021 FSC-klagomål mail.docx", "A 66230-2021")</f>
        <v/>
      </c>
      <c r="AC134">
        <f>HYPERLINK("https://klasma.github.io/Logging_0482/tillsyn/A 66230-2021 tillsynsbegäran.docx", "A 66230-2021")</f>
        <v/>
      </c>
      <c r="AD134">
        <f>HYPERLINK("https://klasma.github.io/Logging_0482/tillsynsmail/A 66230-2021 tillsynsbegäran mail.docx", "A 66230-2021")</f>
        <v/>
      </c>
    </row>
    <row r="135" ht="15" customHeight="1">
      <c r="A135" t="inlineStr">
        <is>
          <t>A 29195-2023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46269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3.9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Plattlummer</t>
        </is>
      </c>
      <c r="W135">
        <f>HYPERLINK("https://klasma.github.io/Logging_0482/artfynd/A 29195-2023 artfynd.xlsx", "A 29195-2023")</f>
        <v/>
      </c>
      <c r="X135">
        <f>HYPERLINK("https://klasma.github.io/Logging_0482/kartor/A 29195-2023 karta.png", "A 29195-2023")</f>
        <v/>
      </c>
      <c r="Y135">
        <f>HYPERLINK("https://klasma.github.io/Logging_0482/kartor_geotiff/A 29195-2023 georefererad karta.tif", "A 29195-2023")</f>
        <v/>
      </c>
      <c r="AA135">
        <f>HYPERLINK("https://klasma.github.io/Logging_0482/klagomål/A 29195-2023 FSC-klagomål.docx", "A 29195-2023")</f>
        <v/>
      </c>
      <c r="AB135">
        <f>HYPERLINK("https://klasma.github.io/Logging_0482/klagomålsmail/A 29195-2023 FSC-klagomål mail.docx", "A 29195-2023")</f>
        <v/>
      </c>
      <c r="AC135">
        <f>HYPERLINK("https://klasma.github.io/Logging_0482/tillsyn/A 29195-2023 tillsynsbegäran.docx", "A 29195-2023")</f>
        <v/>
      </c>
      <c r="AD135">
        <f>HYPERLINK("https://klasma.github.io/Logging_0482/tillsynsmail/A 29195-2023 tillsynsbegäran mail.docx", "A 29195-2023")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46269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9446-2026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46269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0.8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HYPERLINK("https://klasma.github.io/Logging_0482/artfynd/A 9446-2026 artfynd.xlsx", "A 9446-2026")</f>
        <v/>
      </c>
      <c r="X137">
        <f>HYPERLINK("https://klasma.github.io/Logging_0482/kartor/A 9446-2026 karta.png", "A 9446-2026")</f>
        <v/>
      </c>
      <c r="Y137">
        <f>HYPERLINK("https://klasma.github.io/Logging_0482/kartor_geotiff/A 9446-2026 georefererad karta.tif", "A 9446-2026")</f>
        <v/>
      </c>
      <c r="AA137">
        <f>HYPERLINK("https://klasma.github.io/Logging_0482/klagomål/A 9446-2026 FSC-klagomål.docx", "A 9446-2026")</f>
        <v/>
      </c>
      <c r="AB137">
        <f>HYPERLINK("https://klasma.github.io/Logging_0482/klagomålsmail/A 9446-2026 FSC-klagomål mail.docx", "A 9446-2026")</f>
        <v/>
      </c>
      <c r="AC137">
        <f>HYPERLINK("https://klasma.github.io/Logging_0482/tillsyn/A 9446-2026 tillsynsbegäran.docx", "A 9446-2026")</f>
        <v/>
      </c>
      <c r="AD137">
        <f>HYPERLINK("https://klasma.github.io/Logging_0482/tillsynsmail/A 9446-2026 tillsynsbegäran mail.docx", "A 9446-2026")</f>
        <v/>
      </c>
    </row>
    <row r="138" ht="15" customHeight="1">
      <c r="A138" t="inlineStr">
        <is>
          <t>A 34721-2023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45141</v>
      </c>
      <c r="E138" s="1" t="n">
        <v>46269</v>
      </c>
      <c r="F138" t="inlineStr">
        <is>
          <t>SÖDERMANLANDS LÄN</t>
        </is>
      </c>
      <c r="G138" t="inlineStr">
        <is>
          <t>FLEN</t>
        </is>
      </c>
      <c r="I138" t="n">
        <v>4.1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34721-2023 artfynd.xlsx", "A 34721-2023")</f>
        <v/>
      </c>
      <c r="X138">
        <f>HYPERLINK("https://klasma.github.io/Logging_0482/kartor/A 34721-2023 karta.png", "A 34721-2023")</f>
        <v/>
      </c>
      <c r="Y138">
        <f>HYPERLINK("https://klasma.github.io/Logging_0482/kartor_geotiff/A 34721-2023 georefererad karta.tif", "A 34721-2023")</f>
        <v/>
      </c>
      <c r="AA138">
        <f>HYPERLINK("https://klasma.github.io/Logging_0482/klagomål/A 34721-2023 FSC-klagomål.docx", "A 34721-2023")</f>
        <v/>
      </c>
      <c r="AB138">
        <f>HYPERLINK("https://klasma.github.io/Logging_0482/klagomålsmail/A 34721-2023 FSC-klagomål mail.docx", "A 34721-2023")</f>
        <v/>
      </c>
      <c r="AC138">
        <f>HYPERLINK("https://klasma.github.io/Logging_0482/tillsyn/A 34721-2023 tillsynsbegäran.docx", "A 34721-2023")</f>
        <v/>
      </c>
      <c r="AD138">
        <f>HYPERLINK("https://klasma.github.io/Logging_0482/tillsynsmail/A 34721-2023 tillsynsbegäran mail.docx", "A 34721-2023")</f>
        <v/>
      </c>
    </row>
    <row r="139" ht="15" customHeight="1">
      <c r="A139" t="inlineStr">
        <is>
          <t>A 30406-2026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46209</v>
      </c>
      <c r="E139" s="1" t="n">
        <v>46269</v>
      </c>
      <c r="F139" t="inlineStr">
        <is>
          <t>SÖDERMANLANDS LÄN</t>
        </is>
      </c>
      <c r="G139" t="inlineStr">
        <is>
          <t>FLEN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HYPERLINK("https://klasma.github.io/Logging_0482/artfynd/A 30406-2026 artfynd.xlsx", "A 30406-2026")</f>
        <v/>
      </c>
      <c r="X139">
        <f>HYPERLINK("https://klasma.github.io/Logging_0482/kartor/A 30406-2026 karta.png", "A 30406-2026")</f>
        <v/>
      </c>
      <c r="Y139">
        <f>HYPERLINK("https://klasma.github.io/Logging_0482/kartor_geotiff/A 30406-2026 georefererad karta.tif", "A 30406-2026")</f>
        <v/>
      </c>
      <c r="AA139">
        <f>HYPERLINK("https://klasma.github.io/Logging_0482/klagomål/A 30406-2026 FSC-klagomål.docx", "A 30406-2026")</f>
        <v/>
      </c>
      <c r="AB139">
        <f>HYPERLINK("https://klasma.github.io/Logging_0482/klagomålsmail/A 30406-2026 FSC-klagomål mail.docx", "A 30406-2026")</f>
        <v/>
      </c>
      <c r="AC139">
        <f>HYPERLINK("https://klasma.github.io/Logging_0482/tillsyn/A 30406-2026 tillsynsbegäran.docx", "A 30406-2026")</f>
        <v/>
      </c>
      <c r="AD139">
        <f>HYPERLINK("https://klasma.github.io/Logging_0482/tillsynsmail/A 30406-2026 tillsynsbegäran mail.docx", "A 30406-2026")</f>
        <v/>
      </c>
    </row>
    <row r="140" ht="15" customHeight="1">
      <c r="A140" t="inlineStr">
        <is>
          <t>A 10999-2026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46269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3.6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Blåsippa</t>
        </is>
      </c>
      <c r="W140">
        <f>HYPERLINK("https://klasma.github.io/Logging_0482/artfynd/A 10999-2026 artfynd.xlsx", "A 10999-2026")</f>
        <v/>
      </c>
      <c r="X140">
        <f>HYPERLINK("https://klasma.github.io/Logging_0482/kartor/A 10999-2026 karta.png", "A 10999-2026")</f>
        <v/>
      </c>
      <c r="Y140">
        <f>HYPERLINK("https://klasma.github.io/Logging_0482/kartor_geotiff/A 10999-2026 georefererad karta.tif", "A 10999-2026")</f>
        <v/>
      </c>
      <c r="AA140">
        <f>HYPERLINK("https://klasma.github.io/Logging_0482/klagomål/A 10999-2026 FSC-klagomål.docx", "A 10999-2026")</f>
        <v/>
      </c>
      <c r="AB140">
        <f>HYPERLINK("https://klasma.github.io/Logging_0482/klagomålsmail/A 10999-2026 FSC-klagomål mail.docx", "A 10999-2026")</f>
        <v/>
      </c>
      <c r="AC140">
        <f>HYPERLINK("https://klasma.github.io/Logging_0482/tillsyn/A 10999-2026 tillsynsbegäran.docx", "A 10999-2026")</f>
        <v/>
      </c>
      <c r="AD140">
        <f>HYPERLINK("https://klasma.github.io/Logging_0482/tillsynsmail/A 10999-2026 tillsynsbegäran mail.docx", "A 10999-2026")</f>
        <v/>
      </c>
    </row>
    <row r="141" ht="15" customHeight="1">
      <c r="A141" t="inlineStr">
        <is>
          <t>A 60591-2022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44911</v>
      </c>
      <c r="E141" s="1" t="n">
        <v>46269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HYPERLINK("https://klasma.github.io/Logging_0482/artfynd/A 60591-2022 artfynd.xlsx", "A 60591-2022")</f>
        <v/>
      </c>
      <c r="X141">
        <f>HYPERLINK("https://klasma.github.io/Logging_0482/kartor/A 60591-2022 karta.png", "A 60591-2022")</f>
        <v/>
      </c>
      <c r="Y141">
        <f>HYPERLINK("https://klasma.github.io/Logging_0482/kartor_geotiff/A 60591-2022 georefererad karta.tif", "A 60591-2022")</f>
        <v/>
      </c>
      <c r="AA141">
        <f>HYPERLINK("https://klasma.github.io/Logging_0482/klagomål/A 60591-2022 FSC-klagomål.docx", "A 60591-2022")</f>
        <v/>
      </c>
      <c r="AB141">
        <f>HYPERLINK("https://klasma.github.io/Logging_0482/klagomålsmail/A 60591-2022 FSC-klagomål mail.docx", "A 60591-2022")</f>
        <v/>
      </c>
      <c r="AC141">
        <f>HYPERLINK("https://klasma.github.io/Logging_0482/tillsyn/A 60591-2022 tillsynsbegäran.docx", "A 60591-2022")</f>
        <v/>
      </c>
      <c r="AD141">
        <f>HYPERLINK("https://klasma.github.io/Logging_0482/tillsynsmail/A 60591-2022 tillsynsbegäran mail.docx", "A 60591-2022")</f>
        <v/>
      </c>
    </row>
    <row r="142" ht="15" customHeight="1">
      <c r="A142" t="inlineStr">
        <is>
          <t>A 34823-2023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45140</v>
      </c>
      <c r="E142" s="1" t="n">
        <v>46269</v>
      </c>
      <c r="F142" t="inlineStr">
        <is>
          <t>SÖDERMANLANDS LÄN</t>
        </is>
      </c>
      <c r="G142" t="inlineStr">
        <is>
          <t>FLEN</t>
        </is>
      </c>
      <c r="I142" t="n">
        <v>1.3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Mörk dunört</t>
        </is>
      </c>
      <c r="W142">
        <f>HYPERLINK("https://klasma.github.io/Logging_0482/artfynd/A 34823-2023 artfynd.xlsx", "A 34823-2023")</f>
        <v/>
      </c>
      <c r="X142">
        <f>HYPERLINK("https://klasma.github.io/Logging_0482/kartor/A 34823-2023 karta.png", "A 34823-2023")</f>
        <v/>
      </c>
      <c r="Y142">
        <f>HYPERLINK("https://klasma.github.io/Logging_0482/kartor_geotiff/A 34823-2023 georefererad karta.tif", "A 34823-2023")</f>
        <v/>
      </c>
      <c r="AA142">
        <f>HYPERLINK("https://klasma.github.io/Logging_0482/klagomål/A 34823-2023 FSC-klagomål.docx", "A 34823-2023")</f>
        <v/>
      </c>
      <c r="AB142">
        <f>HYPERLINK("https://klasma.github.io/Logging_0482/klagomålsmail/A 34823-2023 FSC-klagomål mail.docx", "A 34823-2023")</f>
        <v/>
      </c>
      <c r="AC142">
        <f>HYPERLINK("https://klasma.github.io/Logging_0482/tillsyn/A 34823-2023 tillsynsbegäran.docx", "A 34823-2023")</f>
        <v/>
      </c>
      <c r="AD142">
        <f>HYPERLINK("https://klasma.github.io/Logging_0482/tillsynsmail/A 34823-2023 tillsynsbegäran mail.docx", "A 34823-2023")</f>
        <v/>
      </c>
    </row>
    <row r="143" ht="15" customHeight="1">
      <c r="A143" t="inlineStr">
        <is>
          <t>A 60529-2024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45643</v>
      </c>
      <c r="E143" s="1" t="n">
        <v>46269</v>
      </c>
      <c r="F143" t="inlineStr">
        <is>
          <t>SÖDERMANLANDS LÄN</t>
        </is>
      </c>
      <c r="G143" t="inlineStr">
        <is>
          <t>FLEN</t>
        </is>
      </c>
      <c r="I143" t="n">
        <v>2.5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Skarp dropptaggsvamp</t>
        </is>
      </c>
      <c r="W143">
        <f>HYPERLINK("https://klasma.github.io/Logging_0482/artfynd/A 60529-2024 artfynd.xlsx", "A 60529-2024")</f>
        <v/>
      </c>
      <c r="X143">
        <f>HYPERLINK("https://klasma.github.io/Logging_0482/kartor/A 60529-2024 karta.png", "A 60529-2024")</f>
        <v/>
      </c>
      <c r="Y143">
        <f>HYPERLINK("https://klasma.github.io/Logging_0482/kartor_geotiff/A 60529-2024 georefererad karta.tif", "A 60529-2024")</f>
        <v/>
      </c>
      <c r="AA143">
        <f>HYPERLINK("https://klasma.github.io/Logging_0482/klagomål/A 60529-2024 FSC-klagomål.docx", "A 60529-2024")</f>
        <v/>
      </c>
      <c r="AB143">
        <f>HYPERLINK("https://klasma.github.io/Logging_0482/klagomålsmail/A 60529-2024 FSC-klagomål mail.docx", "A 60529-2024")</f>
        <v/>
      </c>
      <c r="AC143">
        <f>HYPERLINK("https://klasma.github.io/Logging_0482/tillsyn/A 60529-2024 tillsynsbegäran.docx", "A 60529-2024")</f>
        <v/>
      </c>
      <c r="AD143">
        <f>HYPERLINK("https://klasma.github.io/Logging_0482/tillsynsmail/A 60529-2024 tillsynsbegäran mail.docx", "A 60529-2024")</f>
        <v/>
      </c>
    </row>
    <row r="144" ht="15" customHeight="1">
      <c r="A144" t="inlineStr">
        <is>
          <t>A 49820-2023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46269</v>
      </c>
      <c r="F144" t="inlineStr">
        <is>
          <t>SÖDERMANLANDS LÄN</t>
        </is>
      </c>
      <c r="G144" t="inlineStr">
        <is>
          <t>FLEN</t>
        </is>
      </c>
      <c r="I144" t="n">
        <v>3.2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Gullviva</t>
        </is>
      </c>
      <c r="W144">
        <f>HYPERLINK("https://klasma.github.io/Logging_0482/artfynd/A 49820-2023 artfynd.xlsx", "A 49820-2023")</f>
        <v/>
      </c>
      <c r="X144">
        <f>HYPERLINK("https://klasma.github.io/Logging_0482/kartor/A 49820-2023 karta.png", "A 49820-2023")</f>
        <v/>
      </c>
      <c r="Y144">
        <f>HYPERLINK("https://klasma.github.io/Logging_0482/kartor_geotiff/A 49820-2023 georefererad karta.tif", "A 49820-2023")</f>
        <v/>
      </c>
      <c r="AA144">
        <f>HYPERLINK("https://klasma.github.io/Logging_0482/klagomål/A 49820-2023 FSC-klagomål.docx", "A 49820-2023")</f>
        <v/>
      </c>
      <c r="AB144">
        <f>HYPERLINK("https://klasma.github.io/Logging_0482/klagomålsmail/A 49820-2023 FSC-klagomål mail.docx", "A 49820-2023")</f>
        <v/>
      </c>
      <c r="AC144">
        <f>HYPERLINK("https://klasma.github.io/Logging_0482/tillsyn/A 49820-2023 tillsynsbegäran.docx", "A 49820-2023")</f>
        <v/>
      </c>
      <c r="AD144">
        <f>HYPERLINK("https://klasma.github.io/Logging_0482/tillsynsmail/A 49820-2023 tillsynsbegäran mail.docx", "A 49820-2023")</f>
        <v/>
      </c>
    </row>
    <row r="145" ht="15" customHeight="1">
      <c r="A145" t="inlineStr">
        <is>
          <t>A 37283-2024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45540</v>
      </c>
      <c r="E145" s="1" t="n">
        <v>46269</v>
      </c>
      <c r="F145" t="inlineStr">
        <is>
          <t>SÖDERMANLANDS LÄN</t>
        </is>
      </c>
      <c r="G145" t="inlineStr">
        <is>
          <t>FLEN</t>
        </is>
      </c>
      <c r="I145" t="n">
        <v>1.5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Gullklöver</t>
        </is>
      </c>
      <c r="W145">
        <f>HYPERLINK("https://klasma.github.io/Logging_0482/artfynd/A 37283-2024 artfynd.xlsx", "A 37283-2024")</f>
        <v/>
      </c>
      <c r="X145">
        <f>HYPERLINK("https://klasma.github.io/Logging_0482/kartor/A 37283-2024 karta.png", "A 37283-2024")</f>
        <v/>
      </c>
      <c r="Y145">
        <f>HYPERLINK("https://klasma.github.io/Logging_0482/kartor_geotiff/A 37283-2024 georefererad karta.tif", "A 37283-2024")</f>
        <v/>
      </c>
      <c r="AA145">
        <f>HYPERLINK("https://klasma.github.io/Logging_0482/klagomål/A 37283-2024 FSC-klagomål.docx", "A 37283-2024")</f>
        <v/>
      </c>
      <c r="AB145">
        <f>HYPERLINK("https://klasma.github.io/Logging_0482/klagomålsmail/A 37283-2024 FSC-klagomål mail.docx", "A 37283-2024")</f>
        <v/>
      </c>
      <c r="AC145">
        <f>HYPERLINK("https://klasma.github.io/Logging_0482/tillsyn/A 37283-2024 tillsynsbegäran.docx", "A 37283-2024")</f>
        <v/>
      </c>
      <c r="AD145">
        <f>HYPERLINK("https://klasma.github.io/Logging_0482/tillsynsmail/A 37283-2024 tillsynsbegäran mail.docx", "A 37283-2024")</f>
        <v/>
      </c>
    </row>
    <row r="146" ht="15" customHeight="1">
      <c r="A146" t="inlineStr">
        <is>
          <t>A 7973-2024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45350</v>
      </c>
      <c r="E146" s="1" t="n">
        <v>46269</v>
      </c>
      <c r="F146" t="inlineStr">
        <is>
          <t>SÖDERMANLANDS LÄN</t>
        </is>
      </c>
      <c r="G146" t="inlineStr">
        <is>
          <t>FLEN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Vippärt</t>
        </is>
      </c>
      <c r="W146">
        <f>HYPERLINK("https://klasma.github.io/Logging_0482/artfynd/A 7973-2024 artfynd.xlsx", "A 7973-2024")</f>
        <v/>
      </c>
      <c r="X146">
        <f>HYPERLINK("https://klasma.github.io/Logging_0482/kartor/A 7973-2024 karta.png", "A 7973-2024")</f>
        <v/>
      </c>
      <c r="Y146">
        <f>HYPERLINK("https://klasma.github.io/Logging_0482/kartor_geotiff/A 7973-2024 georefererad karta.tif", "A 7973-2024")</f>
        <v/>
      </c>
      <c r="AA146">
        <f>HYPERLINK("https://klasma.github.io/Logging_0482/klagomål/A 7973-2024 FSC-klagomål.docx", "A 7973-2024")</f>
        <v/>
      </c>
      <c r="AB146">
        <f>HYPERLINK("https://klasma.github.io/Logging_0482/klagomålsmail/A 7973-2024 FSC-klagomål mail.docx", "A 7973-2024")</f>
        <v/>
      </c>
      <c r="AC146">
        <f>HYPERLINK("https://klasma.github.io/Logging_0482/tillsyn/A 7973-2024 tillsynsbegäran.docx", "A 7973-2024")</f>
        <v/>
      </c>
      <c r="AD146">
        <f>HYPERLINK("https://klasma.github.io/Logging_0482/tillsynsmail/A 7973-2024 tillsynsbegäran mail.docx", "A 7973-2024")</f>
        <v/>
      </c>
    </row>
    <row r="147" ht="15" customHeight="1">
      <c r="A147" t="inlineStr">
        <is>
          <t>A 43008-2023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45182</v>
      </c>
      <c r="E147" s="1" t="n">
        <v>46269</v>
      </c>
      <c r="F147" t="inlineStr">
        <is>
          <t>SÖDERMANLANDS LÄN</t>
        </is>
      </c>
      <c r="G147" t="inlineStr">
        <is>
          <t>FLEN</t>
        </is>
      </c>
      <c r="I147" t="n">
        <v>1.5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Gullklöver</t>
        </is>
      </c>
      <c r="W147">
        <f>HYPERLINK("https://klasma.github.io/Logging_0482/artfynd/A 43008-2023 artfynd.xlsx", "A 43008-2023")</f>
        <v/>
      </c>
      <c r="X147">
        <f>HYPERLINK("https://klasma.github.io/Logging_0482/kartor/A 43008-2023 karta.png", "A 43008-2023")</f>
        <v/>
      </c>
      <c r="Y147">
        <f>HYPERLINK("https://klasma.github.io/Logging_0482/kartor_geotiff/A 43008-2023 georefererad karta.tif", "A 43008-2023")</f>
        <v/>
      </c>
      <c r="AA147">
        <f>HYPERLINK("https://klasma.github.io/Logging_0482/klagomål/A 43008-2023 FSC-klagomål.docx", "A 43008-2023")</f>
        <v/>
      </c>
      <c r="AB147">
        <f>HYPERLINK("https://klasma.github.io/Logging_0482/klagomålsmail/A 43008-2023 FSC-klagomål mail.docx", "A 43008-2023")</f>
        <v/>
      </c>
      <c r="AC147">
        <f>HYPERLINK("https://klasma.github.io/Logging_0482/tillsyn/A 43008-2023 tillsynsbegäran.docx", "A 43008-2023")</f>
        <v/>
      </c>
      <c r="AD147">
        <f>HYPERLINK("https://klasma.github.io/Logging_0482/tillsynsmail/A 43008-2023 tillsynsbegäran mail.docx", "A 43008-2023")</f>
        <v/>
      </c>
    </row>
    <row r="148" ht="15" customHeight="1">
      <c r="A148" t="inlineStr">
        <is>
          <t>A 37317-2023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45156</v>
      </c>
      <c r="E148" s="1" t="n">
        <v>46269</v>
      </c>
      <c r="F148" t="inlineStr">
        <is>
          <t>SÖDERMANLANDS LÄN</t>
        </is>
      </c>
      <c r="G148" t="inlineStr">
        <is>
          <t>FLEN</t>
        </is>
      </c>
      <c r="H148" t="inlineStr">
        <is>
          <t>Holmen skog AB</t>
        </is>
      </c>
      <c r="I148" t="n">
        <v>5.1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Svavelriska</t>
        </is>
      </c>
      <c r="W148">
        <f>HYPERLINK("https://klasma.github.io/Logging_0482/artfynd/A 37317-2023 artfynd.xlsx", "A 37317-2023")</f>
        <v/>
      </c>
      <c r="X148">
        <f>HYPERLINK("https://klasma.github.io/Logging_0482/kartor/A 37317-2023 karta.png", "A 37317-2023")</f>
        <v/>
      </c>
      <c r="Y148">
        <f>HYPERLINK("https://klasma.github.io/Logging_0482/kartor_geotiff/A 37317-2023 georefererad karta.tif", "A 37317-2023")</f>
        <v/>
      </c>
      <c r="AA148">
        <f>HYPERLINK("https://klasma.github.io/Logging_0482/klagomål/A 37317-2023 FSC-klagomål.docx", "A 37317-2023")</f>
        <v/>
      </c>
      <c r="AB148">
        <f>HYPERLINK("https://klasma.github.io/Logging_0482/klagomålsmail/A 37317-2023 FSC-klagomål mail.docx", "A 37317-2023")</f>
        <v/>
      </c>
      <c r="AC148">
        <f>HYPERLINK("https://klasma.github.io/Logging_0482/tillsyn/A 37317-2023 tillsynsbegäran.docx", "A 37317-2023")</f>
        <v/>
      </c>
      <c r="AD148">
        <f>HYPERLINK("https://klasma.github.io/Logging_0482/tillsynsmail/A 37317-2023 tillsynsbegäran mail.docx", "A 37317-2023")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46269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46269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46269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46269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46269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46269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46269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46269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46269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46269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46269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46269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46269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46269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46269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46269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46269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46269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44745</v>
      </c>
      <c r="E167" s="1" t="n">
        <v>46269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46269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46269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46269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46269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46269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46269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44725</v>
      </c>
      <c r="E174" s="1" t="n">
        <v>46269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46269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48166-2021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44449</v>
      </c>
      <c r="E176" s="1" t="n">
        <v>46269</v>
      </c>
      <c r="F176" t="inlineStr">
        <is>
          <t>SÖDERMANLANDS LÄN</t>
        </is>
      </c>
      <c r="G176" t="inlineStr">
        <is>
          <t>FLEN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46269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46269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46269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44643</v>
      </c>
      <c r="E180" s="1" t="n">
        <v>46269</v>
      </c>
      <c r="F180" t="inlineStr">
        <is>
          <t>SÖDERMANLANDS LÄN</t>
        </is>
      </c>
      <c r="G180" t="inlineStr">
        <is>
          <t>FLEN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48298-2021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44450</v>
      </c>
      <c r="E181" s="1" t="n">
        <v>46269</v>
      </c>
      <c r="F181" t="inlineStr">
        <is>
          <t>SÖDERMANLANDS LÄN</t>
        </is>
      </c>
      <c r="G181" t="inlineStr">
        <is>
          <t>FLEN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54840-2021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44474</v>
      </c>
      <c r="E182" s="1" t="n">
        <v>46269</v>
      </c>
      <c r="F182" t="inlineStr">
        <is>
          <t>SÖDERMANLANDS LÄN</t>
        </is>
      </c>
      <c r="G182" t="inlineStr">
        <is>
          <t>FLEN</t>
        </is>
      </c>
      <c r="H182" t="inlineStr">
        <is>
          <t>Holmen skog AB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46269</v>
      </c>
      <c r="F183" t="inlineStr">
        <is>
          <t>SÖDERMANLANDS LÄN</t>
        </is>
      </c>
      <c r="G183" t="inlineStr">
        <is>
          <t>FLEN</t>
        </is>
      </c>
      <c r="H183" t="inlineStr">
        <is>
          <t>Övriga statliga verk och myndigheter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44769</v>
      </c>
      <c r="E184" s="1" t="n">
        <v>46269</v>
      </c>
      <c r="F184" t="inlineStr">
        <is>
          <t>SÖDERMANLANDS LÄN</t>
        </is>
      </c>
      <c r="G184" t="inlineStr">
        <is>
          <t>FLEN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44770</v>
      </c>
      <c r="E185" s="1" t="n">
        <v>46269</v>
      </c>
      <c r="F185" t="inlineStr">
        <is>
          <t>SÖDERMANLANDS LÄN</t>
        </is>
      </c>
      <c r="G185" t="inlineStr">
        <is>
          <t>FLEN</t>
        </is>
      </c>
      <c r="H185" t="inlineStr">
        <is>
          <t>Övriga statliga verk och myndigheter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46269</v>
      </c>
      <c r="F186" t="inlineStr">
        <is>
          <t>SÖDERMANLANDS LÄN</t>
        </is>
      </c>
      <c r="G186" t="inlineStr">
        <is>
          <t>FLEN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46269</v>
      </c>
      <c r="F187" t="inlineStr">
        <is>
          <t>SÖDERMANLANDS LÄN</t>
        </is>
      </c>
      <c r="G187" t="inlineStr">
        <is>
          <t>FLEN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47644-2021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46269</v>
      </c>
      <c r="F188" t="inlineStr">
        <is>
          <t>SÖDERMANLANDS LÄN</t>
        </is>
      </c>
      <c r="G188" t="inlineStr">
        <is>
          <t>FLEN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44778</v>
      </c>
      <c r="E189" s="1" t="n">
        <v>46269</v>
      </c>
      <c r="F189" t="inlineStr">
        <is>
          <t>SÖDERMANLANDS LÄN</t>
        </is>
      </c>
      <c r="G189" t="inlineStr">
        <is>
          <t>FLEN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44846</v>
      </c>
      <c r="E190" s="1" t="n">
        <v>46269</v>
      </c>
      <c r="F190" t="inlineStr">
        <is>
          <t>SÖDERMANLANDS LÄN</t>
        </is>
      </c>
      <c r="G190" t="inlineStr">
        <is>
          <t>FLEN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46269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29378-2022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44752</v>
      </c>
      <c r="E192" s="1" t="n">
        <v>46269</v>
      </c>
      <c r="F192" t="inlineStr">
        <is>
          <t>SÖDERMANLANDS LÄN</t>
        </is>
      </c>
      <c r="G192" t="inlineStr">
        <is>
          <t>FLEN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29384-2022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46269</v>
      </c>
      <c r="F193" t="inlineStr">
        <is>
          <t>SÖDERMANLANDS LÄN</t>
        </is>
      </c>
      <c r="G193" t="inlineStr">
        <is>
          <t>FLEN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46269</v>
      </c>
      <c r="F194" t="inlineStr">
        <is>
          <t>SÖDERMANLANDS LÄN</t>
        </is>
      </c>
      <c r="G194" t="inlineStr">
        <is>
          <t>FLEN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42177-2022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46269</v>
      </c>
      <c r="F195" t="inlineStr">
        <is>
          <t>SÖDERMANLANDS LÄN</t>
        </is>
      </c>
      <c r="G195" t="inlineStr">
        <is>
          <t>FLEN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44769</v>
      </c>
      <c r="E196" s="1" t="n">
        <v>46269</v>
      </c>
      <c r="F196" t="inlineStr">
        <is>
          <t>SÖDERMANLANDS LÄN</t>
        </is>
      </c>
      <c r="G196" t="inlineStr">
        <is>
          <t>FLEN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46269</v>
      </c>
      <c r="F197" t="inlineStr">
        <is>
          <t>SÖDERMANLANDS LÄN</t>
        </is>
      </c>
      <c r="G197" t="inlineStr">
        <is>
          <t>FLEN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44448</v>
      </c>
      <c r="E198" s="1" t="n">
        <v>46269</v>
      </c>
      <c r="F198" t="inlineStr">
        <is>
          <t>SÖDERMANLANDS LÄN</t>
        </is>
      </c>
      <c r="G198" t="inlineStr">
        <is>
          <t>FLEN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46269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46269</v>
      </c>
      <c r="F200" t="inlineStr">
        <is>
          <t>SÖDERMANLANDS LÄN</t>
        </is>
      </c>
      <c r="G200" t="inlineStr">
        <is>
          <t>FLEN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44979</v>
      </c>
      <c r="E201" s="1" t="n">
        <v>46269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12174-2022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44636</v>
      </c>
      <c r="E202" s="1" t="n">
        <v>46269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21351-2022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46269</v>
      </c>
      <c r="F203" t="inlineStr">
        <is>
          <t>SÖDERMANLANDS LÄN</t>
        </is>
      </c>
      <c r="G203" t="inlineStr">
        <is>
          <t>FLEN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46269</v>
      </c>
      <c r="F204" t="inlineStr">
        <is>
          <t>SÖDERMANLANDS LÄN</t>
        </is>
      </c>
      <c r="G204" t="inlineStr">
        <is>
          <t>FLEN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44818</v>
      </c>
      <c r="E205" s="1" t="n">
        <v>46269</v>
      </c>
      <c r="F205" t="inlineStr">
        <is>
          <t>SÖDERMANLANDS LÄN</t>
        </is>
      </c>
      <c r="G205" t="inlineStr">
        <is>
          <t>FLEN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44839</v>
      </c>
      <c r="E206" s="1" t="n">
        <v>46269</v>
      </c>
      <c r="F206" t="inlineStr">
        <is>
          <t>SÖDERMANLANDS LÄN</t>
        </is>
      </c>
      <c r="G206" t="inlineStr">
        <is>
          <t>FLEN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55081-2022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46269</v>
      </c>
      <c r="F207" t="inlineStr">
        <is>
          <t>SÖDERMANLANDS LÄN</t>
        </is>
      </c>
      <c r="G207" t="inlineStr">
        <is>
          <t>FLEN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46269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67464-2021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44524</v>
      </c>
      <c r="E209" s="1" t="n">
        <v>46269</v>
      </c>
      <c r="F209" t="inlineStr">
        <is>
          <t>SÖDERMANLANDS LÄN</t>
        </is>
      </c>
      <c r="G209" t="inlineStr">
        <is>
          <t>FLEN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46269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44897</v>
      </c>
      <c r="E211" s="1" t="n">
        <v>46269</v>
      </c>
      <c r="F211" t="inlineStr">
        <is>
          <t>SÖDERMANLANDS LÄN</t>
        </is>
      </c>
      <c r="G211" t="inlineStr">
        <is>
          <t>FLEN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47604-2021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44448</v>
      </c>
      <c r="E212" s="1" t="n">
        <v>46269</v>
      </c>
      <c r="F212" t="inlineStr">
        <is>
          <t>SÖDERMANLANDS LÄN</t>
        </is>
      </c>
      <c r="G212" t="inlineStr">
        <is>
          <t>FLEN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44643</v>
      </c>
      <c r="E213" s="1" t="n">
        <v>46269</v>
      </c>
      <c r="F213" t="inlineStr">
        <is>
          <t>SÖDERMANLANDS LÄN</t>
        </is>
      </c>
      <c r="G213" t="inlineStr">
        <is>
          <t>FLEN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45230</v>
      </c>
      <c r="E214" s="1" t="n">
        <v>46269</v>
      </c>
      <c r="F214" t="inlineStr">
        <is>
          <t>SÖDERMANLANDS LÄN</t>
        </is>
      </c>
      <c r="G214" t="inlineStr">
        <is>
          <t>FLEN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45311</v>
      </c>
      <c r="E215" s="1" t="n">
        <v>46269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44883</v>
      </c>
      <c r="E216" s="1" t="n">
        <v>46269</v>
      </c>
      <c r="F216" t="inlineStr">
        <is>
          <t>SÖDERMANLANDS LÄN</t>
        </is>
      </c>
      <c r="G216" t="inlineStr">
        <is>
          <t>FLEN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9147-2024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45358</v>
      </c>
      <c r="E217" s="1" t="n">
        <v>46269</v>
      </c>
      <c r="F217" t="inlineStr">
        <is>
          <t>SÖDERMANLANDS LÄN</t>
        </is>
      </c>
      <c r="G217" t="inlineStr">
        <is>
          <t>FLEN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46269</v>
      </c>
      <c r="F218" t="inlineStr">
        <is>
          <t>SÖDERMANLANDS LÄN</t>
        </is>
      </c>
      <c r="G218" t="inlineStr">
        <is>
          <t>FLEN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44986</v>
      </c>
      <c r="E219" s="1" t="n">
        <v>46269</v>
      </c>
      <c r="F219" t="inlineStr">
        <is>
          <t>SÖDERMANLANDS LÄN</t>
        </is>
      </c>
      <c r="G219" t="inlineStr">
        <is>
          <t>FLEN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44741</v>
      </c>
      <c r="E220" s="1" t="n">
        <v>46269</v>
      </c>
      <c r="F220" t="inlineStr">
        <is>
          <t>SÖDERMANLANDS LÄN</t>
        </is>
      </c>
      <c r="G220" t="inlineStr">
        <is>
          <t>FLEN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53121-2023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45228</v>
      </c>
      <c r="E221" s="1" t="n">
        <v>46269</v>
      </c>
      <c r="F221" t="inlineStr">
        <is>
          <t>SÖDERMANLANDS LÄN</t>
        </is>
      </c>
      <c r="G221" t="inlineStr">
        <is>
          <t>FLEN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44862</v>
      </c>
      <c r="E222" s="1" t="n">
        <v>46269</v>
      </c>
      <c r="F222" t="inlineStr">
        <is>
          <t>SÖDERMANLANDS LÄN</t>
        </is>
      </c>
      <c r="G222" t="inlineStr">
        <is>
          <t>FLEN</t>
        </is>
      </c>
      <c r="H222" t="inlineStr">
        <is>
          <t>Kyrkan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17290-2024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45414</v>
      </c>
      <c r="E223" s="1" t="n">
        <v>46269</v>
      </c>
      <c r="F223" t="inlineStr">
        <is>
          <t>SÖDERMANLANDS LÄN</t>
        </is>
      </c>
      <c r="G223" t="inlineStr">
        <is>
          <t>FLEN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44988</v>
      </c>
      <c r="E224" s="1" t="n">
        <v>46269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32023-2022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44778</v>
      </c>
      <c r="E225" s="1" t="n">
        <v>46269</v>
      </c>
      <c r="F225" t="inlineStr">
        <is>
          <t>SÖDERMANLANDS LÄN</t>
        </is>
      </c>
      <c r="G225" t="inlineStr">
        <is>
          <t>FLEN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22989-2025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45790</v>
      </c>
      <c r="E226" s="1" t="n">
        <v>46269</v>
      </c>
      <c r="F226" t="inlineStr">
        <is>
          <t>SÖDERMANLANDS LÄN</t>
        </is>
      </c>
      <c r="G226" t="inlineStr">
        <is>
          <t>FLEN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45089</v>
      </c>
      <c r="E227" s="1" t="n">
        <v>46269</v>
      </c>
      <c r="F227" t="inlineStr">
        <is>
          <t>SÖDERMANLANDS LÄN</t>
        </is>
      </c>
      <c r="G227" t="inlineStr">
        <is>
          <t>FLEN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22827-2024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45448</v>
      </c>
      <c r="E228" s="1" t="n">
        <v>46269</v>
      </c>
      <c r="F228" t="inlineStr">
        <is>
          <t>SÖDERMANLANDS LÄN</t>
        </is>
      </c>
      <c r="G228" t="inlineStr">
        <is>
          <t>FLEN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46269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22998-2025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45790</v>
      </c>
      <c r="E230" s="1" t="n">
        <v>46269</v>
      </c>
      <c r="F230" t="inlineStr">
        <is>
          <t>SÖDERMANLANDS LÄN</t>
        </is>
      </c>
      <c r="G230" t="inlineStr">
        <is>
          <t>FLEN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39821-2024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45553</v>
      </c>
      <c r="E231" s="1" t="n">
        <v>46269</v>
      </c>
      <c r="F231" t="inlineStr">
        <is>
          <t>SÖDERMANLANDS LÄN</t>
        </is>
      </c>
      <c r="G231" t="inlineStr">
        <is>
          <t>FLEN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51768-2023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46269</v>
      </c>
      <c r="F232" t="inlineStr">
        <is>
          <t>SÖDERMANLANDS LÄN</t>
        </is>
      </c>
      <c r="G232" t="inlineStr">
        <is>
          <t>FLEN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46269</v>
      </c>
      <c r="F233" t="inlineStr">
        <is>
          <t>SÖDERMANLANDS LÄN</t>
        </is>
      </c>
      <c r="G233" t="inlineStr">
        <is>
          <t>FLEN</t>
        </is>
      </c>
      <c r="H233" t="inlineStr">
        <is>
          <t>Övriga statliga verk och myndigheter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45555</v>
      </c>
      <c r="E234" s="1" t="n">
        <v>46269</v>
      </c>
      <c r="F234" t="inlineStr">
        <is>
          <t>SÖDERMANLANDS LÄN</t>
        </is>
      </c>
      <c r="G234" t="inlineStr">
        <is>
          <t>FLEN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46269</v>
      </c>
      <c r="F235" t="inlineStr">
        <is>
          <t>SÖDERMANLANDS LÄN</t>
        </is>
      </c>
      <c r="G235" t="inlineStr">
        <is>
          <t>FLEN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46269</v>
      </c>
      <c r="F236" t="inlineStr">
        <is>
          <t>SÖDERMANLANDS LÄN</t>
        </is>
      </c>
      <c r="G236" t="inlineStr">
        <is>
          <t>FLEN</t>
        </is>
      </c>
      <c r="H236" t="inlineStr">
        <is>
          <t>Holmen skog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46269</v>
      </c>
      <c r="F237" t="inlineStr">
        <is>
          <t>SÖDERMANLANDS LÄN</t>
        </is>
      </c>
      <c r="G237" t="inlineStr">
        <is>
          <t>FLEN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30423-2022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44761</v>
      </c>
      <c r="E238" s="1" t="n">
        <v>46269</v>
      </c>
      <c r="F238" t="inlineStr">
        <is>
          <t>SÖDERMANLANDS LÄN</t>
        </is>
      </c>
      <c r="G238" t="inlineStr">
        <is>
          <t>FLEN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58926-2023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46269</v>
      </c>
      <c r="F239" t="inlineStr">
        <is>
          <t>SÖDERMANLANDS LÄN</t>
        </is>
      </c>
      <c r="G239" t="inlineStr">
        <is>
          <t>FLEN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58267-2023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45250</v>
      </c>
      <c r="E240" s="1" t="n">
        <v>46269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46269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46269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46269</v>
      </c>
      <c r="F243" t="inlineStr">
        <is>
          <t>SÖDERMANLANDS LÄN</t>
        </is>
      </c>
      <c r="G243" t="inlineStr">
        <is>
          <t>FLEN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45398</v>
      </c>
      <c r="E244" s="1" t="n">
        <v>46269</v>
      </c>
      <c r="F244" t="inlineStr">
        <is>
          <t>SÖDERMANLANDS LÄN</t>
        </is>
      </c>
      <c r="G244" t="inlineStr">
        <is>
          <t>FLEN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45636</v>
      </c>
      <c r="E245" s="1" t="n">
        <v>46269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46269</v>
      </c>
      <c r="F246" t="inlineStr">
        <is>
          <t>SÖDERMANLANDS LÄN</t>
        </is>
      </c>
      <c r="G246" t="inlineStr">
        <is>
          <t>FLEN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46269</v>
      </c>
      <c r="F247" t="inlineStr">
        <is>
          <t>SÖDERMANLANDS LÄN</t>
        </is>
      </c>
      <c r="G247" t="inlineStr">
        <is>
          <t>FLEN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46269</v>
      </c>
      <c r="F248" t="inlineStr">
        <is>
          <t>SÖDERMANLANDS LÄN</t>
        </is>
      </c>
      <c r="G248" t="inlineStr">
        <is>
          <t>FLEN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44796</v>
      </c>
      <c r="E249" s="1" t="n">
        <v>46269</v>
      </c>
      <c r="F249" t="inlineStr">
        <is>
          <t>SÖDERMANLANDS LÄN</t>
        </is>
      </c>
      <c r="G249" t="inlineStr">
        <is>
          <t>FLEN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46269</v>
      </c>
      <c r="F250" t="inlineStr">
        <is>
          <t>SÖDERMANLANDS LÄN</t>
        </is>
      </c>
      <c r="G250" t="inlineStr">
        <is>
          <t>FLEN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7313-2025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45702</v>
      </c>
      <c r="E251" s="1" t="n">
        <v>46269</v>
      </c>
      <c r="F251" t="inlineStr">
        <is>
          <t>SÖDERMANLANDS LÄN</t>
        </is>
      </c>
      <c r="G251" t="inlineStr">
        <is>
          <t>FLEN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31214-2023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46269</v>
      </c>
      <c r="F252" t="inlineStr">
        <is>
          <t>SÖDERMANLANDS LÄN</t>
        </is>
      </c>
      <c r="G252" t="inlineStr">
        <is>
          <t>FLEN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23835-2022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46269</v>
      </c>
      <c r="F253" t="inlineStr">
        <is>
          <t>SÖDERMANLANDS LÄN</t>
        </is>
      </c>
      <c r="G253" t="inlineStr">
        <is>
          <t>FLEN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23859-2022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44722</v>
      </c>
      <c r="E254" s="1" t="n">
        <v>46269</v>
      </c>
      <c r="F254" t="inlineStr">
        <is>
          <t>SÖDERMANLANDS LÄN</t>
        </is>
      </c>
      <c r="G254" t="inlineStr">
        <is>
          <t>FLEN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59779-2023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46269</v>
      </c>
      <c r="F255" t="inlineStr">
        <is>
          <t>SÖDERMANLANDS LÄN</t>
        </is>
      </c>
      <c r="G255" t="inlineStr">
        <is>
          <t>FLEN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45119</v>
      </c>
      <c r="E256" s="1" t="n">
        <v>46269</v>
      </c>
      <c r="F256" t="inlineStr">
        <is>
          <t>SÖDERMANLANDS LÄN</t>
        </is>
      </c>
      <c r="G256" t="inlineStr">
        <is>
          <t>FLEN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46269</v>
      </c>
      <c r="F257" t="inlineStr">
        <is>
          <t>SÖDERMANLANDS LÄN</t>
        </is>
      </c>
      <c r="G257" t="inlineStr">
        <is>
          <t>FLEN</t>
        </is>
      </c>
      <c r="I257" t="n">
        <v>11.3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46269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65869-2021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44517</v>
      </c>
      <c r="E259" s="1" t="n">
        <v>46269</v>
      </c>
      <c r="F259" t="inlineStr">
        <is>
          <t>SÖDERMANLANDS LÄN</t>
        </is>
      </c>
      <c r="G259" t="inlineStr">
        <is>
          <t>FLEN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45322</v>
      </c>
      <c r="E260" s="1" t="n">
        <v>46269</v>
      </c>
      <c r="F260" t="inlineStr">
        <is>
          <t>SÖDERMANLANDS LÄN</t>
        </is>
      </c>
      <c r="G260" t="inlineStr">
        <is>
          <t>FLEN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46269</v>
      </c>
      <c r="F261" t="inlineStr">
        <is>
          <t>SÖDERMANLANDS LÄN</t>
        </is>
      </c>
      <c r="G261" t="inlineStr">
        <is>
          <t>FLEN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45256</v>
      </c>
      <c r="E262" s="1" t="n">
        <v>46269</v>
      </c>
      <c r="F262" t="inlineStr">
        <is>
          <t>SÖDERMANLANDS LÄN</t>
        </is>
      </c>
      <c r="G262" t="inlineStr">
        <is>
          <t>FLEN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45684</v>
      </c>
      <c r="E263" s="1" t="n">
        <v>46269</v>
      </c>
      <c r="F263" t="inlineStr">
        <is>
          <t>SÖDERMANLANDS LÄN</t>
        </is>
      </c>
      <c r="G263" t="inlineStr">
        <is>
          <t>FLEN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46269</v>
      </c>
      <c r="F264" t="inlineStr">
        <is>
          <t>SÖDERMANLANDS LÄN</t>
        </is>
      </c>
      <c r="G264" t="inlineStr">
        <is>
          <t>FLEN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49775-2024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46269</v>
      </c>
      <c r="F265" t="inlineStr">
        <is>
          <t>SÖDERMANLANDS LÄN</t>
        </is>
      </c>
      <c r="G265" t="inlineStr">
        <is>
          <t>FLEN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58635-2024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46269</v>
      </c>
      <c r="F266" t="inlineStr">
        <is>
          <t>SÖDERMANLANDS LÄN</t>
        </is>
      </c>
      <c r="G266" t="inlineStr">
        <is>
          <t>FLEN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11747-2022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44634</v>
      </c>
      <c r="E267" s="1" t="n">
        <v>46269</v>
      </c>
      <c r="F267" t="inlineStr">
        <is>
          <t>SÖDERMANLANDS LÄN</t>
        </is>
      </c>
      <c r="G267" t="inlineStr">
        <is>
          <t>FLEN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1575-2024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45306</v>
      </c>
      <c r="E268" s="1" t="n">
        <v>46269</v>
      </c>
      <c r="F268" t="inlineStr">
        <is>
          <t>SÖDERMANLANDS LÄN</t>
        </is>
      </c>
      <c r="G268" t="inlineStr">
        <is>
          <t>FLEN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46269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52481-2023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46269</v>
      </c>
      <c r="F270" t="inlineStr">
        <is>
          <t>SÖDERMANLANDS LÄN</t>
        </is>
      </c>
      <c r="G270" t="inlineStr">
        <is>
          <t>FLEN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30494-2025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45830</v>
      </c>
      <c r="E271" s="1" t="n">
        <v>46269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45830</v>
      </c>
      <c r="E272" s="1" t="n">
        <v>46269</v>
      </c>
      <c r="F272" t="inlineStr">
        <is>
          <t>SÖDERMANLANDS LÄN</t>
        </is>
      </c>
      <c r="G272" t="inlineStr">
        <is>
          <t>FLEN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45030</v>
      </c>
      <c r="E273" s="1" t="n">
        <v>46269</v>
      </c>
      <c r="F273" t="inlineStr">
        <is>
          <t>SÖDERMANLANDS LÄN</t>
        </is>
      </c>
      <c r="G273" t="inlineStr">
        <is>
          <t>FLEN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46269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46269</v>
      </c>
      <c r="F275" t="inlineStr">
        <is>
          <t>SÖDERMANLANDS LÄN</t>
        </is>
      </c>
      <c r="G275" t="inlineStr">
        <is>
          <t>FLEN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46269</v>
      </c>
      <c r="F276" t="inlineStr">
        <is>
          <t>SÖDERMANLANDS LÄN</t>
        </is>
      </c>
      <c r="G276" t="inlineStr">
        <is>
          <t>FLEN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53119-2023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45228</v>
      </c>
      <c r="E277" s="1" t="n">
        <v>46269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46269</v>
      </c>
      <c r="F278" t="inlineStr">
        <is>
          <t>SÖDERMANLANDS LÄN</t>
        </is>
      </c>
      <c r="G278" t="inlineStr">
        <is>
          <t>FLEN</t>
        </is>
      </c>
      <c r="H278" t="inlineStr">
        <is>
          <t>Övriga statliga verk och myndigheter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58631-2024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46269</v>
      </c>
      <c r="F279" t="inlineStr">
        <is>
          <t>SÖDERMANLANDS LÄN</t>
        </is>
      </c>
      <c r="G279" t="inlineStr">
        <is>
          <t>FLEN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66867-2021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44522</v>
      </c>
      <c r="E280" s="1" t="n">
        <v>46269</v>
      </c>
      <c r="F280" t="inlineStr">
        <is>
          <t>SÖDERMANLANDS LÄN</t>
        </is>
      </c>
      <c r="G280" t="inlineStr">
        <is>
          <t>FLEN</t>
        </is>
      </c>
      <c r="H280" t="inlineStr">
        <is>
          <t>Kyrkan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41806-2023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46269</v>
      </c>
      <c r="F281" t="inlineStr">
        <is>
          <t>SÖDERMANLANDS LÄN</t>
        </is>
      </c>
      <c r="G281" t="inlineStr">
        <is>
          <t>FLEN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66979-2021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44522</v>
      </c>
      <c r="E282" s="1" t="n">
        <v>46269</v>
      </c>
      <c r="F282" t="inlineStr">
        <is>
          <t>SÖDERMANLANDS LÄN</t>
        </is>
      </c>
      <c r="G282" t="inlineStr">
        <is>
          <t>FLEN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45211</v>
      </c>
      <c r="E283" s="1" t="n">
        <v>46269</v>
      </c>
      <c r="F283" t="inlineStr">
        <is>
          <t>SÖDERMANLANDS LÄN</t>
        </is>
      </c>
      <c r="G283" t="inlineStr">
        <is>
          <t>FLEN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45048</v>
      </c>
      <c r="E284" s="1" t="n">
        <v>46269</v>
      </c>
      <c r="F284" t="inlineStr">
        <is>
          <t>SÖDERMANLANDS LÄN</t>
        </is>
      </c>
      <c r="G284" t="inlineStr">
        <is>
          <t>FLEN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45671</v>
      </c>
      <c r="E285" s="1" t="n">
        <v>46269</v>
      </c>
      <c r="F285" t="inlineStr">
        <is>
          <t>SÖDERMANLANDS LÄN</t>
        </is>
      </c>
      <c r="G285" t="inlineStr">
        <is>
          <t>FLEN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13824-2023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46269</v>
      </c>
      <c r="F286" t="inlineStr">
        <is>
          <t>SÖDERMANLANDS LÄN</t>
        </is>
      </c>
      <c r="G286" t="inlineStr">
        <is>
          <t>FLEN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45345</v>
      </c>
      <c r="E287" s="1" t="n">
        <v>46269</v>
      </c>
      <c r="F287" t="inlineStr">
        <is>
          <t>SÖDERMANLANDS LÄN</t>
        </is>
      </c>
      <c r="G287" t="inlineStr">
        <is>
          <t>FLEN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37286-2024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46269</v>
      </c>
      <c r="F288" t="inlineStr">
        <is>
          <t>SÖDERMANLANDS LÄN</t>
        </is>
      </c>
      <c r="G288" t="inlineStr">
        <is>
          <t>FLEN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46269</v>
      </c>
      <c r="F289" t="inlineStr">
        <is>
          <t>SÖDERMANLANDS LÄN</t>
        </is>
      </c>
      <c r="G289" t="inlineStr">
        <is>
          <t>FLEN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46269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46269</v>
      </c>
      <c r="F291" t="inlineStr">
        <is>
          <t>SÖDERMANLANDS LÄN</t>
        </is>
      </c>
      <c r="G291" t="inlineStr">
        <is>
          <t>FLEN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45702</v>
      </c>
      <c r="E292" s="1" t="n">
        <v>46269</v>
      </c>
      <c r="F292" t="inlineStr">
        <is>
          <t>SÖDERMANLANDS LÄN</t>
        </is>
      </c>
      <c r="G292" t="inlineStr">
        <is>
          <t>FLEN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12172-2022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46269</v>
      </c>
      <c r="F293" t="inlineStr">
        <is>
          <t>SÖDERMANLANDS LÄN</t>
        </is>
      </c>
      <c r="G293" t="inlineStr">
        <is>
          <t>FLEN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45041</v>
      </c>
      <c r="E294" s="1" t="n">
        <v>46269</v>
      </c>
      <c r="F294" t="inlineStr">
        <is>
          <t>SÖDERMANLANDS LÄN</t>
        </is>
      </c>
      <c r="G294" t="inlineStr">
        <is>
          <t>FLEN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45729</v>
      </c>
      <c r="E295" s="1" t="n">
        <v>46269</v>
      </c>
      <c r="F295" t="inlineStr">
        <is>
          <t>SÖDERMANLANDS LÄN</t>
        </is>
      </c>
      <c r="G295" t="inlineStr">
        <is>
          <t>FLEN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48785-2022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46269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46269</v>
      </c>
      <c r="F297" t="inlineStr">
        <is>
          <t>SÖDERMANLANDS LÄN</t>
        </is>
      </c>
      <c r="G297" t="inlineStr">
        <is>
          <t>FLEN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46269</v>
      </c>
      <c r="F298" t="inlineStr">
        <is>
          <t>SÖDERMANLANDS LÄN</t>
        </is>
      </c>
      <c r="G298" t="inlineStr">
        <is>
          <t>FLEN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45209</v>
      </c>
      <c r="E299" s="1" t="n">
        <v>46269</v>
      </c>
      <c r="F299" t="inlineStr">
        <is>
          <t>SÖDERMANLANDS LÄN</t>
        </is>
      </c>
      <c r="G299" t="inlineStr">
        <is>
          <t>FLEN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21822-2023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45068</v>
      </c>
      <c r="E300" s="1" t="n">
        <v>46269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57863-2022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44899</v>
      </c>
      <c r="E301" s="1" t="n">
        <v>46269</v>
      </c>
      <c r="F301" t="inlineStr">
        <is>
          <t>SÖDERMANLANDS LÄN</t>
        </is>
      </c>
      <c r="G301" t="inlineStr">
        <is>
          <t>FLEN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8903-2022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44614</v>
      </c>
      <c r="E302" s="1" t="n">
        <v>46269</v>
      </c>
      <c r="F302" t="inlineStr">
        <is>
          <t>SÖDERMANLANDS LÄN</t>
        </is>
      </c>
      <c r="G302" t="inlineStr">
        <is>
          <t>FLEN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47187-2022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44848</v>
      </c>
      <c r="E303" s="1" t="n">
        <v>46269</v>
      </c>
      <c r="F303" t="inlineStr">
        <is>
          <t>SÖDERMANLANDS LÄN</t>
        </is>
      </c>
      <c r="G303" t="inlineStr">
        <is>
          <t>FLEN</t>
        </is>
      </c>
      <c r="H303" t="inlineStr">
        <is>
          <t>Övriga statliga verk och myndigheter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16937-2022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44676</v>
      </c>
      <c r="E304" s="1" t="n">
        <v>46269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45454</v>
      </c>
      <c r="E305" s="1" t="n">
        <v>46269</v>
      </c>
      <c r="F305" t="inlineStr">
        <is>
          <t>SÖDERMANLANDS LÄN</t>
        </is>
      </c>
      <c r="G305" t="inlineStr">
        <is>
          <t>FLEN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46269</v>
      </c>
      <c r="F306" t="inlineStr">
        <is>
          <t>SÖDERMANLANDS LÄN</t>
        </is>
      </c>
      <c r="G306" t="inlineStr">
        <is>
          <t>FLEN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57353-2022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46269</v>
      </c>
      <c r="F307" t="inlineStr">
        <is>
          <t>SÖDERMANLANDS LÄN</t>
        </is>
      </c>
      <c r="G307" t="inlineStr">
        <is>
          <t>FLEN</t>
        </is>
      </c>
      <c r="H307" t="inlineStr">
        <is>
          <t>Övriga statliga verk och myndigheter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50898-2022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44864</v>
      </c>
      <c r="E308" s="1" t="n">
        <v>46269</v>
      </c>
      <c r="F308" t="inlineStr">
        <is>
          <t>SÖDERMANLANDS LÄN</t>
        </is>
      </c>
      <c r="G308" t="inlineStr">
        <is>
          <t>FLEN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50796-2021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46269</v>
      </c>
      <c r="F309" t="inlineStr">
        <is>
          <t>SÖDERMANLANDS LÄN</t>
        </is>
      </c>
      <c r="G309" t="inlineStr">
        <is>
          <t>FLEN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44616</v>
      </c>
      <c r="E310" s="1" t="n">
        <v>46269</v>
      </c>
      <c r="F310" t="inlineStr">
        <is>
          <t>SÖDERMANLANDS LÄN</t>
        </is>
      </c>
      <c r="G310" t="inlineStr">
        <is>
          <t>FLEN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45014</v>
      </c>
      <c r="E311" s="1" t="n">
        <v>46269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44588</v>
      </c>
      <c r="E312" s="1" t="n">
        <v>46269</v>
      </c>
      <c r="F312" t="inlineStr">
        <is>
          <t>SÖDERMANLANDS LÄN</t>
        </is>
      </c>
      <c r="G312" t="inlineStr">
        <is>
          <t>FLEN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44006-2022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46269</v>
      </c>
      <c r="F313" t="inlineStr">
        <is>
          <t>SÖDERMANLANDS LÄN</t>
        </is>
      </c>
      <c r="G313" t="inlineStr">
        <is>
          <t>FLEN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4899-2023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44958</v>
      </c>
      <c r="E314" s="1" t="n">
        <v>46269</v>
      </c>
      <c r="F314" t="inlineStr">
        <is>
          <t>SÖDERMANLANDS LÄN</t>
        </is>
      </c>
      <c r="G314" t="inlineStr">
        <is>
          <t>FLEN</t>
        </is>
      </c>
      <c r="H314" t="inlineStr">
        <is>
          <t>Kyrkan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50358-2023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45216</v>
      </c>
      <c r="E315" s="1" t="n">
        <v>46269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40404-2024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46269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45880</v>
      </c>
      <c r="E317" s="1" t="n">
        <v>46269</v>
      </c>
      <c r="F317" t="inlineStr">
        <is>
          <t>SÖDERMANLANDS LÄN</t>
        </is>
      </c>
      <c r="G317" t="inlineStr">
        <is>
          <t>FLEN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46269</v>
      </c>
      <c r="F318" t="inlineStr">
        <is>
          <t>SÖDERMANLANDS LÄN</t>
        </is>
      </c>
      <c r="G318" t="inlineStr">
        <is>
          <t>FLEN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52692-2021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44466</v>
      </c>
      <c r="E319" s="1" t="n">
        <v>46269</v>
      </c>
      <c r="F319" t="inlineStr">
        <is>
          <t>SÖDERMANLANDS LÄN</t>
        </is>
      </c>
      <c r="G319" t="inlineStr">
        <is>
          <t>FLEN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46269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46269</v>
      </c>
      <c r="F321" t="inlineStr">
        <is>
          <t>SÖDERMANLANDS LÄN</t>
        </is>
      </c>
      <c r="G321" t="inlineStr">
        <is>
          <t>FLEN</t>
        </is>
      </c>
      <c r="H321" t="inlineStr">
        <is>
          <t>Övriga statliga verk och myndigheter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46269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62763-2023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45271</v>
      </c>
      <c r="E323" s="1" t="n">
        <v>46269</v>
      </c>
      <c r="F323" t="inlineStr">
        <is>
          <t>SÖDERMANLANDS LÄN</t>
        </is>
      </c>
      <c r="G323" t="inlineStr">
        <is>
          <t>FLEN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45103</v>
      </c>
      <c r="E324" s="1" t="n">
        <v>46269</v>
      </c>
      <c r="F324" t="inlineStr">
        <is>
          <t>SÖDERMANLANDS LÄN</t>
        </is>
      </c>
      <c r="G324" t="inlineStr">
        <is>
          <t>FLEN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46269</v>
      </c>
      <c r="F325" t="inlineStr">
        <is>
          <t>SÖDERMANLANDS LÄN</t>
        </is>
      </c>
      <c r="G325" t="inlineStr">
        <is>
          <t>FLEN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44785</v>
      </c>
      <c r="E326" s="1" t="n">
        <v>46269</v>
      </c>
      <c r="F326" t="inlineStr">
        <is>
          <t>SÖDERMANLANDS LÄN</t>
        </is>
      </c>
      <c r="G326" t="inlineStr">
        <is>
          <t>FLEN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53509-2023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46269</v>
      </c>
      <c r="F327" t="inlineStr">
        <is>
          <t>SÖDERMANLANDS LÄN</t>
        </is>
      </c>
      <c r="G327" t="inlineStr">
        <is>
          <t>FLEN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46401-2022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44846</v>
      </c>
      <c r="E328" s="1" t="n">
        <v>46269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45034</v>
      </c>
      <c r="E329" s="1" t="n">
        <v>46269</v>
      </c>
      <c r="F329" t="inlineStr">
        <is>
          <t>SÖDERMANLANDS LÄN</t>
        </is>
      </c>
      <c r="G329" t="inlineStr">
        <is>
          <t>FLEN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46269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45104</v>
      </c>
      <c r="E331" s="1" t="n">
        <v>46269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45057</v>
      </c>
      <c r="E332" s="1" t="n">
        <v>46269</v>
      </c>
      <c r="F332" t="inlineStr">
        <is>
          <t>SÖDERMANLANDS LÄN</t>
        </is>
      </c>
      <c r="G332" t="inlineStr">
        <is>
          <t>FLEN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40286-2023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45169</v>
      </c>
      <c r="E333" s="1" t="n">
        <v>46269</v>
      </c>
      <c r="F333" t="inlineStr">
        <is>
          <t>SÖDERMANLANDS LÄN</t>
        </is>
      </c>
      <c r="G333" t="inlineStr">
        <is>
          <t>FLEN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44733</v>
      </c>
      <c r="E334" s="1" t="n">
        <v>46269</v>
      </c>
      <c r="F334" t="inlineStr">
        <is>
          <t>SÖDERMANLANDS LÄN</t>
        </is>
      </c>
      <c r="G334" t="inlineStr">
        <is>
          <t>FLEN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59599-2022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44907</v>
      </c>
      <c r="E335" s="1" t="n">
        <v>46269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45315</v>
      </c>
      <c r="E336" s="1" t="n">
        <v>46269</v>
      </c>
      <c r="F336" t="inlineStr">
        <is>
          <t>SÖDERMANLANDS LÄN</t>
        </is>
      </c>
      <c r="G336" t="inlineStr">
        <is>
          <t>FLEN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45081</v>
      </c>
      <c r="E337" s="1" t="n">
        <v>46269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25474-2023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45081</v>
      </c>
      <c r="E338" s="1" t="n">
        <v>46269</v>
      </c>
      <c r="F338" t="inlineStr">
        <is>
          <t>SÖDERMANLANDS LÄN</t>
        </is>
      </c>
      <c r="G338" t="inlineStr">
        <is>
          <t>FLEN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17840-2026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46269</v>
      </c>
      <c r="F339" t="inlineStr">
        <is>
          <t>SÖDERMANLANDS LÄN</t>
        </is>
      </c>
      <c r="G339" t="inlineStr">
        <is>
          <t>FLEN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17847-2026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46269</v>
      </c>
      <c r="F340" t="inlineStr">
        <is>
          <t>SÖDERMANLANDS LÄN</t>
        </is>
      </c>
      <c r="G340" t="inlineStr">
        <is>
          <t>FLEN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46121</v>
      </c>
      <c r="E341" s="1" t="n">
        <v>46269</v>
      </c>
      <c r="F341" t="inlineStr">
        <is>
          <t>SÖDERMANLANDS LÄN</t>
        </is>
      </c>
      <c r="G341" t="inlineStr">
        <is>
          <t>FLEN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46269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38464-2025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46269</v>
      </c>
      <c r="F343" t="inlineStr">
        <is>
          <t>SÖDERMANLANDS LÄN</t>
        </is>
      </c>
      <c r="G343" t="inlineStr">
        <is>
          <t>FLEN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55445-2022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44887</v>
      </c>
      <c r="E344" s="1" t="n">
        <v>46269</v>
      </c>
      <c r="F344" t="inlineStr">
        <is>
          <t>SÖDERMANLANDS LÄN</t>
        </is>
      </c>
      <c r="G344" t="inlineStr">
        <is>
          <t>FLEN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46269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12277-2024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45378</v>
      </c>
      <c r="E346" s="1" t="n">
        <v>46269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39053-2023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45163</v>
      </c>
      <c r="E347" s="1" t="n">
        <v>46269</v>
      </c>
      <c r="F347" t="inlineStr">
        <is>
          <t>SÖDERMANLANDS LÄN</t>
        </is>
      </c>
      <c r="G347" t="inlineStr">
        <is>
          <t>FLEN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35600-2023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46269</v>
      </c>
      <c r="F348" t="inlineStr">
        <is>
          <t>SÖDERMANLANDS LÄN</t>
        </is>
      </c>
      <c r="G348" t="inlineStr">
        <is>
          <t>FLEN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58377-2023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45250</v>
      </c>
      <c r="E349" s="1" t="n">
        <v>46269</v>
      </c>
      <c r="F349" t="inlineStr">
        <is>
          <t>SÖDERMANLANDS LÄN</t>
        </is>
      </c>
      <c r="G349" t="inlineStr">
        <is>
          <t>FLEN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73923-2021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44553</v>
      </c>
      <c r="E350" s="1" t="n">
        <v>46269</v>
      </c>
      <c r="F350" t="inlineStr">
        <is>
          <t>SÖDERMANLANDS LÄN</t>
        </is>
      </c>
      <c r="G350" t="inlineStr">
        <is>
          <t>FLEN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46134</v>
      </c>
      <c r="E351" s="1" t="n">
        <v>46269</v>
      </c>
      <c r="F351" t="inlineStr">
        <is>
          <t>SÖDERMANLANDS LÄN</t>
        </is>
      </c>
      <c r="G351" t="inlineStr">
        <is>
          <t>FLEN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46269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58364-2023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45250</v>
      </c>
      <c r="E353" s="1" t="n">
        <v>46269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46269</v>
      </c>
      <c r="F354" t="inlineStr">
        <is>
          <t>SÖDERMANLANDS LÄN</t>
        </is>
      </c>
      <c r="G354" t="inlineStr">
        <is>
          <t>FLEN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45805</v>
      </c>
      <c r="E355" s="1" t="n">
        <v>46269</v>
      </c>
      <c r="F355" t="inlineStr">
        <is>
          <t>SÖDERMANLANDS LÄN</t>
        </is>
      </c>
      <c r="G355" t="inlineStr">
        <is>
          <t>FLEN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22839-2025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45789</v>
      </c>
      <c r="E356" s="1" t="n">
        <v>46269</v>
      </c>
      <c r="F356" t="inlineStr">
        <is>
          <t>SÖDERMANLANDS LÄN</t>
        </is>
      </c>
      <c r="G356" t="inlineStr">
        <is>
          <t>FLEN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46269</v>
      </c>
      <c r="F357" t="inlineStr">
        <is>
          <t>SÖDERMANLANDS LÄN</t>
        </is>
      </c>
      <c r="G357" t="inlineStr">
        <is>
          <t>FLEN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9257-2023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44980</v>
      </c>
      <c r="E358" s="1" t="n">
        <v>46269</v>
      </c>
      <c r="F358" t="inlineStr">
        <is>
          <t>SÖDERMANLANDS LÄN</t>
        </is>
      </c>
      <c r="G358" t="inlineStr">
        <is>
          <t>FLEN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45321</v>
      </c>
      <c r="E359" s="1" t="n">
        <v>46269</v>
      </c>
      <c r="F359" t="inlineStr">
        <is>
          <t>SÖDERMANLANDS LÄN</t>
        </is>
      </c>
      <c r="G359" t="inlineStr">
        <is>
          <t>FLEN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54666-2021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44473</v>
      </c>
      <c r="E360" s="1" t="n">
        <v>46269</v>
      </c>
      <c r="F360" t="inlineStr">
        <is>
          <t>SÖDERMANLANDS LÄN</t>
        </is>
      </c>
      <c r="G360" t="inlineStr">
        <is>
          <t>FLEN</t>
        </is>
      </c>
      <c r="I360" t="n">
        <v>10.1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46269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45895</v>
      </c>
      <c r="E362" s="1" t="n">
        <v>46269</v>
      </c>
      <c r="F362" t="inlineStr">
        <is>
          <t>SÖDERMANLANDS LÄN</t>
        </is>
      </c>
      <c r="G362" t="inlineStr">
        <is>
          <t>FLEN</t>
        </is>
      </c>
      <c r="I362" t="n">
        <v>7.1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44957</v>
      </c>
      <c r="E363" s="1" t="n">
        <v>46269</v>
      </c>
      <c r="F363" t="inlineStr">
        <is>
          <t>SÖDERMANLANDS LÄN</t>
        </is>
      </c>
      <c r="G363" t="inlineStr">
        <is>
          <t>FLEN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8793-2022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44614</v>
      </c>
      <c r="E364" s="1" t="n">
        <v>46269</v>
      </c>
      <c r="F364" t="inlineStr">
        <is>
          <t>SÖDERMANLANDS LÄN</t>
        </is>
      </c>
      <c r="G364" t="inlineStr">
        <is>
          <t>FLEN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59817-2022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44900</v>
      </c>
      <c r="E365" s="1" t="n">
        <v>46269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37256-2022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44807</v>
      </c>
      <c r="E366" s="1" t="n">
        <v>46269</v>
      </c>
      <c r="F366" t="inlineStr">
        <is>
          <t>SÖDERMANLANDS LÄN</t>
        </is>
      </c>
      <c r="G366" t="inlineStr">
        <is>
          <t>FLEN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42388-2023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45180</v>
      </c>
      <c r="E367" s="1" t="n">
        <v>46269</v>
      </c>
      <c r="F367" t="inlineStr">
        <is>
          <t>SÖDERMANLANDS LÄN</t>
        </is>
      </c>
      <c r="G367" t="inlineStr">
        <is>
          <t>FLEN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45528</v>
      </c>
      <c r="E368" s="1" t="n">
        <v>46269</v>
      </c>
      <c r="F368" t="inlineStr">
        <is>
          <t>SÖDERMANLANDS LÄN</t>
        </is>
      </c>
      <c r="G368" t="inlineStr">
        <is>
          <t>FLEN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72314-2021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46269</v>
      </c>
      <c r="F369" t="inlineStr">
        <is>
          <t>SÖDERMANLANDS LÄN</t>
        </is>
      </c>
      <c r="G369" t="inlineStr">
        <is>
          <t>FLEN</t>
        </is>
      </c>
      <c r="I369" t="n">
        <v>13.8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41630-2023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45175</v>
      </c>
      <c r="E370" s="1" t="n">
        <v>46269</v>
      </c>
      <c r="F370" t="inlineStr">
        <is>
          <t>SÖDERMANLANDS LÄN</t>
        </is>
      </c>
      <c r="G370" t="inlineStr">
        <is>
          <t>FLEN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46269</v>
      </c>
      <c r="F371" t="inlineStr">
        <is>
          <t>SÖDERMANLANDS LÄN</t>
        </is>
      </c>
      <c r="G371" t="inlineStr">
        <is>
          <t>FLEN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60255-2021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44495</v>
      </c>
      <c r="E372" s="1" t="n">
        <v>46269</v>
      </c>
      <c r="F372" t="inlineStr">
        <is>
          <t>SÖDERMANLANDS LÄN</t>
        </is>
      </c>
      <c r="G372" t="inlineStr">
        <is>
          <t>FLEN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46269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45869</v>
      </c>
      <c r="E374" s="1" t="n">
        <v>46269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45309</v>
      </c>
      <c r="E375" s="1" t="n">
        <v>46269</v>
      </c>
      <c r="F375" t="inlineStr">
        <is>
          <t>SÖDERMANLANDS LÄN</t>
        </is>
      </c>
      <c r="G375" t="inlineStr">
        <is>
          <t>FLEN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39171-2025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45888</v>
      </c>
      <c r="E376" s="1" t="n">
        <v>46269</v>
      </c>
      <c r="F376" t="inlineStr">
        <is>
          <t>SÖDERMANLANDS LÄN</t>
        </is>
      </c>
      <c r="G376" t="inlineStr">
        <is>
          <t>FLEN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56229-2025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46269</v>
      </c>
      <c r="F377" t="inlineStr">
        <is>
          <t>SÖDERMANLANDS LÄN</t>
        </is>
      </c>
      <c r="G377" t="inlineStr">
        <is>
          <t>FLEN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46269</v>
      </c>
      <c r="F378" t="inlineStr">
        <is>
          <t>SÖDERMANLANDS LÄN</t>
        </is>
      </c>
      <c r="G378" t="inlineStr">
        <is>
          <t>FLEN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9979-2025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45718</v>
      </c>
      <c r="E379" s="1" t="n">
        <v>46269</v>
      </c>
      <c r="F379" t="inlineStr">
        <is>
          <t>SÖDERMANLANDS LÄN</t>
        </is>
      </c>
      <c r="G379" t="inlineStr">
        <is>
          <t>FLEN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44958</v>
      </c>
      <c r="E380" s="1" t="n">
        <v>46269</v>
      </c>
      <c r="F380" t="inlineStr">
        <is>
          <t>SÖDERMANLANDS LÄN</t>
        </is>
      </c>
      <c r="G380" t="inlineStr">
        <is>
          <t>FLEN</t>
        </is>
      </c>
      <c r="I380" t="n">
        <v>7.5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46269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51925-2022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44868</v>
      </c>
      <c r="E382" s="1" t="n">
        <v>46269</v>
      </c>
      <c r="F382" t="inlineStr">
        <is>
          <t>SÖDERMANLANDS LÄN</t>
        </is>
      </c>
      <c r="G382" t="inlineStr">
        <is>
          <t>FLEN</t>
        </is>
      </c>
      <c r="H382" t="inlineStr">
        <is>
          <t>Övriga statliga verk och myndigheter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46269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11.5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23216-2025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45791</v>
      </c>
      <c r="E384" s="1" t="n">
        <v>46269</v>
      </c>
      <c r="F384" t="inlineStr">
        <is>
          <t>SÖDERMANLANDS LÄN</t>
        </is>
      </c>
      <c r="G384" t="inlineStr">
        <is>
          <t>FLEN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8293-2022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44610</v>
      </c>
      <c r="E385" s="1" t="n">
        <v>46269</v>
      </c>
      <c r="F385" t="inlineStr">
        <is>
          <t>SÖDERMANLANDS LÄN</t>
        </is>
      </c>
      <c r="G385" t="inlineStr">
        <is>
          <t>FLEN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44602</v>
      </c>
      <c r="E386" s="1" t="n">
        <v>46269</v>
      </c>
      <c r="F386" t="inlineStr">
        <is>
          <t>SÖDERMANLANDS LÄN</t>
        </is>
      </c>
      <c r="G386" t="inlineStr">
        <is>
          <t>FLEN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59891-2025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46269</v>
      </c>
      <c r="F387" t="inlineStr">
        <is>
          <t>SÖDERMANLANDS LÄN</t>
        </is>
      </c>
      <c r="G387" t="inlineStr">
        <is>
          <t>FLEN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47989-2025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45932</v>
      </c>
      <c r="E388" s="1" t="n">
        <v>46269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9.1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46269</v>
      </c>
      <c r="F389" t="inlineStr">
        <is>
          <t>SÖDERMANLANDS LÄN</t>
        </is>
      </c>
      <c r="G389" t="inlineStr">
        <is>
          <t>FLEN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46269</v>
      </c>
      <c r="F390" t="inlineStr">
        <is>
          <t>SÖDERMANLANDS LÄN</t>
        </is>
      </c>
      <c r="G390" t="inlineStr">
        <is>
          <t>FLEN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45555</v>
      </c>
      <c r="E391" s="1" t="n">
        <v>46269</v>
      </c>
      <c r="F391" t="inlineStr">
        <is>
          <t>SÖDERMANLANDS LÄN</t>
        </is>
      </c>
      <c r="G391" t="inlineStr">
        <is>
          <t>FLEN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39335-2023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46269</v>
      </c>
      <c r="F392" t="inlineStr">
        <is>
          <t>SÖDERMANLANDS LÄN</t>
        </is>
      </c>
      <c r="G392" t="inlineStr">
        <is>
          <t>FLEN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48169-2025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45933</v>
      </c>
      <c r="E393" s="1" t="n">
        <v>46269</v>
      </c>
      <c r="F393" t="inlineStr">
        <is>
          <t>SÖDERMANLANDS LÄN</t>
        </is>
      </c>
      <c r="G393" t="inlineStr">
        <is>
          <t>FLEN</t>
        </is>
      </c>
      <c r="H393" t="inlineStr">
        <is>
          <t>Holmen skog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10771-2022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46269</v>
      </c>
      <c r="F394" t="inlineStr">
        <is>
          <t>SÖDERMANLANDS LÄN</t>
        </is>
      </c>
      <c r="G394" t="inlineStr">
        <is>
          <t>FLEN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44624</v>
      </c>
      <c r="E395" s="1" t="n">
        <v>46269</v>
      </c>
      <c r="F395" t="inlineStr">
        <is>
          <t>SÖDERMANLANDS LÄN</t>
        </is>
      </c>
      <c r="G395" t="inlineStr">
        <is>
          <t>FLEN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16908-2024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45411</v>
      </c>
      <c r="E396" s="1" t="n">
        <v>46269</v>
      </c>
      <c r="F396" t="inlineStr">
        <is>
          <t>SÖDERMANLANDS LÄN</t>
        </is>
      </c>
      <c r="G396" t="inlineStr">
        <is>
          <t>FLEN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69588-2021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44531</v>
      </c>
      <c r="E397" s="1" t="n">
        <v>46269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7163-2023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46269</v>
      </c>
      <c r="F398" t="inlineStr">
        <is>
          <t>SÖDERMANLANDS LÄN</t>
        </is>
      </c>
      <c r="G398" t="inlineStr">
        <is>
          <t>FLEN</t>
        </is>
      </c>
      <c r="H398" t="inlineStr">
        <is>
          <t>Kommuner</t>
        </is>
      </c>
      <c r="I398" t="n">
        <v>11.2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57356-2022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44896</v>
      </c>
      <c r="E399" s="1" t="n">
        <v>46269</v>
      </c>
      <c r="F399" t="inlineStr">
        <is>
          <t>SÖDERMANLANDS LÄN</t>
        </is>
      </c>
      <c r="G399" t="inlineStr">
        <is>
          <t>FLEN</t>
        </is>
      </c>
      <c r="H399" t="inlineStr">
        <is>
          <t>Övriga statliga verk och myndigheter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46269</v>
      </c>
      <c r="F400" t="inlineStr">
        <is>
          <t>SÖDERMANLANDS LÄN</t>
        </is>
      </c>
      <c r="G400" t="inlineStr">
        <is>
          <t>FLEN</t>
        </is>
      </c>
      <c r="H400" t="inlineStr">
        <is>
          <t>Övriga statliga verk och myndigheter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50727-2025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46269</v>
      </c>
      <c r="F401" t="inlineStr">
        <is>
          <t>SÖDERMANLANDS LÄN</t>
        </is>
      </c>
      <c r="G401" t="inlineStr">
        <is>
          <t>FLEN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39161-2025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45888</v>
      </c>
      <c r="E402" s="1" t="n">
        <v>46269</v>
      </c>
      <c r="F402" t="inlineStr">
        <is>
          <t>SÖDERMANLANDS LÄN</t>
        </is>
      </c>
      <c r="G402" t="inlineStr">
        <is>
          <t>FLEN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35507-2024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46269</v>
      </c>
      <c r="F403" t="inlineStr">
        <is>
          <t>SÖDERMANLANDS LÄN</t>
        </is>
      </c>
      <c r="G403" t="inlineStr">
        <is>
          <t>FLEN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48826-2022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44859</v>
      </c>
      <c r="E404" s="1" t="n">
        <v>46269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31028-2024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45501</v>
      </c>
      <c r="E405" s="1" t="n">
        <v>46269</v>
      </c>
      <c r="F405" t="inlineStr">
        <is>
          <t>SÖDERMANLANDS LÄN</t>
        </is>
      </c>
      <c r="G405" t="inlineStr">
        <is>
          <t>FLEN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45952</v>
      </c>
      <c r="E406" s="1" t="n">
        <v>46269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52353-2023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45224</v>
      </c>
      <c r="E407" s="1" t="n">
        <v>46269</v>
      </c>
      <c r="F407" t="inlineStr">
        <is>
          <t>SÖDERMANLANDS LÄN</t>
        </is>
      </c>
      <c r="G407" t="inlineStr">
        <is>
          <t>FLEN</t>
        </is>
      </c>
      <c r="H407" t="inlineStr">
        <is>
          <t>Kyrkan</t>
        </is>
      </c>
      <c r="I407" t="n">
        <v>8.199999999999999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9088-2026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46069</v>
      </c>
      <c r="E408" s="1" t="n">
        <v>46269</v>
      </c>
      <c r="F408" t="inlineStr">
        <is>
          <t>SÖDERMANLANDS LÄN</t>
        </is>
      </c>
      <c r="G408" t="inlineStr">
        <is>
          <t>FLEN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54282-2025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45964</v>
      </c>
      <c r="E409" s="1" t="n">
        <v>46269</v>
      </c>
      <c r="F409" t="inlineStr">
        <is>
          <t>SÖDERMANLANDS LÄN</t>
        </is>
      </c>
      <c r="G409" t="inlineStr">
        <is>
          <t>FLEN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54283-2025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45964</v>
      </c>
      <c r="E410" s="1" t="n">
        <v>46269</v>
      </c>
      <c r="F410" t="inlineStr">
        <is>
          <t>SÖDERMANLANDS LÄN</t>
        </is>
      </c>
      <c r="G410" t="inlineStr">
        <is>
          <t>FLEN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44566</v>
      </c>
      <c r="E411" s="1" t="n">
        <v>46269</v>
      </c>
      <c r="F411" t="inlineStr">
        <is>
          <t>SÖDERMANLANDS LÄN</t>
        </is>
      </c>
      <c r="G411" t="inlineStr">
        <is>
          <t>FLEN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24157-2026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46168</v>
      </c>
      <c r="E412" s="1" t="n">
        <v>46269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24151-2026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46269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56573-2025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45974</v>
      </c>
      <c r="E414" s="1" t="n">
        <v>46269</v>
      </c>
      <c r="F414" t="inlineStr">
        <is>
          <t>SÖDERMANLANDS LÄN</t>
        </is>
      </c>
      <c r="G414" t="inlineStr">
        <is>
          <t>FLEN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46269</v>
      </c>
      <c r="F415" t="inlineStr">
        <is>
          <t>SÖDERMANLANDS LÄN</t>
        </is>
      </c>
      <c r="G415" t="inlineStr">
        <is>
          <t>FLEN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46269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46269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24116-2026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46269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24721-2026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46269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44960</v>
      </c>
      <c r="E420" s="1" t="n">
        <v>46269</v>
      </c>
      <c r="F420" t="inlineStr">
        <is>
          <t>SÖDERMANLANDS LÄN</t>
        </is>
      </c>
      <c r="G420" t="inlineStr">
        <is>
          <t>FLEN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17838-2026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46121</v>
      </c>
      <c r="E421" s="1" t="n">
        <v>46269</v>
      </c>
      <c r="F421" t="inlineStr">
        <is>
          <t>SÖDERMANLANDS LÄN</t>
        </is>
      </c>
      <c r="G421" t="inlineStr">
        <is>
          <t>FLEN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54781-2024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45618</v>
      </c>
      <c r="E422" s="1" t="n">
        <v>46269</v>
      </c>
      <c r="F422" t="inlineStr">
        <is>
          <t>SÖDERMANLANDS LÄN</t>
        </is>
      </c>
      <c r="G422" t="inlineStr">
        <is>
          <t>FLEN</t>
        </is>
      </c>
      <c r="I422" t="n">
        <v>10.3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24450-2026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46269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  <c r="Z423">
        <f>HYPERLINK("https://klasma.github.io/Logging_0482/knärot/A 24450-2026 karta knärot.png", "A 24450-2026")</f>
        <v/>
      </c>
      <c r="AA423">
        <f>HYPERLINK("https://klasma.github.io/Logging_0482/klagomål/A 24450-2026 FSC-klagomål.docx", "A 24450-2026")</f>
        <v/>
      </c>
      <c r="AB423">
        <f>HYPERLINK("https://klasma.github.io/Logging_0482/klagomålsmail/A 24450-2026 FSC-klagomål mail.docx", "A 24450-2026")</f>
        <v/>
      </c>
      <c r="AC423">
        <f>HYPERLINK("https://klasma.github.io/Logging_0482/tillsyn/A 24450-2026 tillsynsbegäran.docx", "A 24450-2026")</f>
        <v/>
      </c>
      <c r="AD423">
        <f>HYPERLINK("https://klasma.github.io/Logging_0482/tillsynsmail/A 24450-2026 tillsynsbegäran mail.docx", "A 24450-2026")</f>
        <v/>
      </c>
    </row>
    <row r="424" ht="15" customHeight="1">
      <c r="A424" t="inlineStr">
        <is>
          <t>A 47872-2025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45932</v>
      </c>
      <c r="E424" s="1" t="n">
        <v>46269</v>
      </c>
      <c r="F424" t="inlineStr">
        <is>
          <t>SÖDERMANLANDS LÄN</t>
        </is>
      </c>
      <c r="G424" t="inlineStr">
        <is>
          <t>FLEN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46269</v>
      </c>
      <c r="F425" t="inlineStr">
        <is>
          <t>SÖDERMANLANDS LÄN</t>
        </is>
      </c>
      <c r="G425" t="inlineStr">
        <is>
          <t>FLEN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46269</v>
      </c>
      <c r="F426" t="inlineStr">
        <is>
          <t>SÖDERMANLANDS LÄN</t>
        </is>
      </c>
      <c r="G426" t="inlineStr">
        <is>
          <t>FLEN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48749-2022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44855</v>
      </c>
      <c r="E427" s="1" t="n">
        <v>46269</v>
      </c>
      <c r="F427" t="inlineStr">
        <is>
          <t>SÖDERMANLANDS LÄN</t>
        </is>
      </c>
      <c r="G427" t="inlineStr">
        <is>
          <t>FLEN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48774-2022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44855</v>
      </c>
      <c r="E428" s="1" t="n">
        <v>46269</v>
      </c>
      <c r="F428" t="inlineStr">
        <is>
          <t>SÖDERMANLANDS LÄN</t>
        </is>
      </c>
      <c r="G428" t="inlineStr">
        <is>
          <t>FLEN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25303-2026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46176</v>
      </c>
      <c r="E429" s="1" t="n">
        <v>46269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59910-2025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46269</v>
      </c>
      <c r="F430" t="inlineStr">
        <is>
          <t>SÖDERMANLANDS LÄN</t>
        </is>
      </c>
      <c r="G430" t="inlineStr">
        <is>
          <t>FLEN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46269</v>
      </c>
      <c r="F431" t="inlineStr">
        <is>
          <t>SÖDERMANLANDS LÄN</t>
        </is>
      </c>
      <c r="G431" t="inlineStr">
        <is>
          <t>FLEN</t>
        </is>
      </c>
      <c r="H431" t="inlineStr">
        <is>
          <t>Kyrkan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60144-2025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46269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59895-2025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46269</v>
      </c>
      <c r="F433" t="inlineStr">
        <is>
          <t>SÖDERMANLANDS LÄN</t>
        </is>
      </c>
      <c r="G433" t="inlineStr">
        <is>
          <t>FLEN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46269</v>
      </c>
      <c r="F434" t="inlineStr">
        <is>
          <t>SÖDERMANLANDS LÄN</t>
        </is>
      </c>
      <c r="G434" t="inlineStr">
        <is>
          <t>FLEN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46269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45995</v>
      </c>
      <c r="E436" s="1" t="n">
        <v>46269</v>
      </c>
      <c r="F436" t="inlineStr">
        <is>
          <t>SÖDERMANLANDS LÄN</t>
        </is>
      </c>
      <c r="G436" t="inlineStr">
        <is>
          <t>FLEN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61041-2025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46000</v>
      </c>
      <c r="E437" s="1" t="n">
        <v>46269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26326-2026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46269</v>
      </c>
      <c r="F438" t="inlineStr">
        <is>
          <t>SÖDERMANLANDS LÄN</t>
        </is>
      </c>
      <c r="G438" t="inlineStr">
        <is>
          <t>FLEN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46269</v>
      </c>
      <c r="F439" t="inlineStr">
        <is>
          <t>SÖDERMANLANDS LÄN</t>
        </is>
      </c>
      <c r="G439" t="inlineStr">
        <is>
          <t>FLEN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46269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46269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45140</v>
      </c>
      <c r="E442" s="1" t="n">
        <v>46269</v>
      </c>
      <c r="F442" t="inlineStr">
        <is>
          <t>SÖDERMANLANDS LÄN</t>
        </is>
      </c>
      <c r="G442" t="inlineStr">
        <is>
          <t>FLEN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46269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46229</v>
      </c>
      <c r="E444" s="1" t="n">
        <v>46269</v>
      </c>
      <c r="F444" t="inlineStr">
        <is>
          <t>SÖDERMANLANDS LÄN</t>
        </is>
      </c>
      <c r="G444" t="inlineStr">
        <is>
          <t>FLEN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26854-2026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46185</v>
      </c>
      <c r="E445" s="1" t="n">
        <v>46269</v>
      </c>
      <c r="F445" t="inlineStr">
        <is>
          <t>SÖDERMANLANDS LÄN</t>
        </is>
      </c>
      <c r="G445" t="inlineStr">
        <is>
          <t>FLEN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26850-2026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46185</v>
      </c>
      <c r="E446" s="1" t="n">
        <v>46269</v>
      </c>
      <c r="F446" t="inlineStr">
        <is>
          <t>SÖDERMANLANDS LÄN</t>
        </is>
      </c>
      <c r="G446" t="inlineStr">
        <is>
          <t>FLEN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48497-2021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46269</v>
      </c>
      <c r="F447" t="inlineStr">
        <is>
          <t>SÖDERMANLANDS LÄN</t>
        </is>
      </c>
      <c r="G447" t="inlineStr">
        <is>
          <t>FLEN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27304-2026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46269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27317-2026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46269</v>
      </c>
      <c r="F449" t="inlineStr">
        <is>
          <t>SÖDERMANLANDS LÄN</t>
        </is>
      </c>
      <c r="G449" t="inlineStr">
        <is>
          <t>FLEN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46269</v>
      </c>
      <c r="F450" t="inlineStr">
        <is>
          <t>SÖDERMANLANDS LÄN</t>
        </is>
      </c>
      <c r="G450" t="inlineStr">
        <is>
          <t>FLEN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22957-2023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45072</v>
      </c>
      <c r="E451" s="1" t="n">
        <v>46269</v>
      </c>
      <c r="F451" t="inlineStr">
        <is>
          <t>SÖDERMANLANDS LÄN</t>
        </is>
      </c>
      <c r="G451" t="inlineStr">
        <is>
          <t>FLEN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29148-2024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45482</v>
      </c>
      <c r="E452" s="1" t="n">
        <v>46269</v>
      </c>
      <c r="F452" t="inlineStr">
        <is>
          <t>SÖDERMANLANDS LÄN</t>
        </is>
      </c>
      <c r="G452" t="inlineStr">
        <is>
          <t>FLEN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45213</v>
      </c>
      <c r="E453" s="1" t="n">
        <v>46269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46269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28316-2026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46269</v>
      </c>
      <c r="F455" t="inlineStr">
        <is>
          <t>SÖDERMANLANDS LÄN</t>
        </is>
      </c>
      <c r="G455" t="inlineStr">
        <is>
          <t>FLEN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45510</v>
      </c>
      <c r="E456" s="1" t="n">
        <v>46269</v>
      </c>
      <c r="F456" t="inlineStr">
        <is>
          <t>SÖDERMANLANDS LÄN</t>
        </is>
      </c>
      <c r="G456" t="inlineStr">
        <is>
          <t>FLEN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32693-2026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46240</v>
      </c>
      <c r="E457" s="1" t="n">
        <v>46269</v>
      </c>
      <c r="F457" t="inlineStr">
        <is>
          <t>SÖDERMANLANDS LÄN</t>
        </is>
      </c>
      <c r="G457" t="inlineStr">
        <is>
          <t>FLEN</t>
        </is>
      </c>
      <c r="I457" t="n">
        <v>9.5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44914</v>
      </c>
      <c r="E458" s="1" t="n">
        <v>46269</v>
      </c>
      <c r="F458" t="inlineStr">
        <is>
          <t>SÖDERMANLANDS LÄN</t>
        </is>
      </c>
      <c r="G458" t="inlineStr">
        <is>
          <t>FLEN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46044</v>
      </c>
      <c r="E459" s="1" t="n">
        <v>46269</v>
      </c>
      <c r="F459" t="inlineStr">
        <is>
          <t>SÖDERMANLANDS LÄN</t>
        </is>
      </c>
      <c r="G459" t="inlineStr">
        <is>
          <t>FLEN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33000-2026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46269</v>
      </c>
      <c r="F460" t="inlineStr">
        <is>
          <t>SÖDERMANLANDS LÄN</t>
        </is>
      </c>
      <c r="G460" t="inlineStr">
        <is>
          <t>FLEN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33103-2022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44785</v>
      </c>
      <c r="E461" s="1" t="n">
        <v>46269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6720-2026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46269</v>
      </c>
      <c r="F462" t="inlineStr">
        <is>
          <t>SÖDERMANLANDS LÄN</t>
        </is>
      </c>
      <c r="G462" t="inlineStr">
        <is>
          <t>FLEN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44648</v>
      </c>
      <c r="E463" s="1" t="n">
        <v>46269</v>
      </c>
      <c r="F463" t="inlineStr">
        <is>
          <t>SÖDERMANLANDS LÄN</t>
        </is>
      </c>
      <c r="G463" t="inlineStr">
        <is>
          <t>FLEN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52541-2021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44463</v>
      </c>
      <c r="E464" s="1" t="n">
        <v>46269</v>
      </c>
      <c r="F464" t="inlineStr">
        <is>
          <t>SÖDERMANLANDS LÄN</t>
        </is>
      </c>
      <c r="G464" t="inlineStr">
        <is>
          <t>FLEN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4351-2026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46044</v>
      </c>
      <c r="E465" s="1" t="n">
        <v>46269</v>
      </c>
      <c r="F465" t="inlineStr">
        <is>
          <t>SÖDERMANLANDS LÄN</t>
        </is>
      </c>
      <c r="G465" t="inlineStr">
        <is>
          <t>FLEN</t>
        </is>
      </c>
      <c r="H465" t="inlineStr">
        <is>
          <t>Övriga statliga verk och myndigheter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9892-2023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44979</v>
      </c>
      <c r="E466" s="1" t="n">
        <v>46269</v>
      </c>
      <c r="F466" t="inlineStr">
        <is>
          <t>SÖDERMANLANDS LÄN</t>
        </is>
      </c>
      <c r="G466" t="inlineStr">
        <is>
          <t>FLEN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20980-2023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45056</v>
      </c>
      <c r="E467" s="1" t="n">
        <v>46269</v>
      </c>
      <c r="F467" t="inlineStr">
        <is>
          <t>SÖDERMANLANDS LÄN</t>
        </is>
      </c>
      <c r="G467" t="inlineStr">
        <is>
          <t>FLEN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29897-2026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46205</v>
      </c>
      <c r="E468" s="1" t="n">
        <v>46269</v>
      </c>
      <c r="F468" t="inlineStr">
        <is>
          <t>SÖDERMANLANDS LÄN</t>
        </is>
      </c>
      <c r="G468" t="inlineStr">
        <is>
          <t>FLEN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26663-2022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44739</v>
      </c>
      <c r="E469" s="1" t="n">
        <v>46269</v>
      </c>
      <c r="F469" t="inlineStr">
        <is>
          <t>SÖDERMANLANDS LÄN</t>
        </is>
      </c>
      <c r="G469" t="inlineStr">
        <is>
          <t>FLEN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33717-2026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46251</v>
      </c>
      <c r="E470" s="1" t="n">
        <v>46269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33936-2026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46250</v>
      </c>
      <c r="E471" s="1" t="n">
        <v>46269</v>
      </c>
      <c r="F471" t="inlineStr">
        <is>
          <t>SÖDERMANLANDS LÄN</t>
        </is>
      </c>
      <c r="G471" t="inlineStr">
        <is>
          <t>FLEN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31083-2022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44769</v>
      </c>
      <c r="E472" s="1" t="n">
        <v>46269</v>
      </c>
      <c r="F472" t="inlineStr">
        <is>
          <t>SÖDERMANLANDS LÄN</t>
        </is>
      </c>
      <c r="G472" t="inlineStr">
        <is>
          <t>FLEN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9527-2026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46071</v>
      </c>
      <c r="E473" s="1" t="n">
        <v>46269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9511-2026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46071</v>
      </c>
      <c r="E474" s="1" t="n">
        <v>46269</v>
      </c>
      <c r="F474" t="inlineStr">
        <is>
          <t>SÖDERMANLANDS LÄN</t>
        </is>
      </c>
      <c r="G474" t="inlineStr">
        <is>
          <t>FLEN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46251</v>
      </c>
      <c r="E475" s="1" t="n">
        <v>46269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33730-2026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46251</v>
      </c>
      <c r="E476" s="1" t="n">
        <v>46269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5.1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10397-2026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46077</v>
      </c>
      <c r="E477" s="1" t="n">
        <v>46269</v>
      </c>
      <c r="F477" t="inlineStr">
        <is>
          <t>SÖDERMANLANDS LÄN</t>
        </is>
      </c>
      <c r="G477" t="inlineStr">
        <is>
          <t>FLEN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11098-2026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46079</v>
      </c>
      <c r="E478" s="1" t="n">
        <v>46269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46269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11105-2026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46079</v>
      </c>
      <c r="E480" s="1" t="n">
        <v>46269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17654-2023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45036</v>
      </c>
      <c r="E481" s="1" t="n">
        <v>46269</v>
      </c>
      <c r="F481" t="inlineStr">
        <is>
          <t>SÖDERMANLANDS LÄN</t>
        </is>
      </c>
      <c r="G481" t="inlineStr">
        <is>
          <t>FLEN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46082</v>
      </c>
      <c r="E482" s="1" t="n">
        <v>46269</v>
      </c>
      <c r="F482" t="inlineStr">
        <is>
          <t>SÖDERMANLANDS LÄN</t>
        </is>
      </c>
      <c r="G482" t="inlineStr">
        <is>
          <t>FLEN</t>
        </is>
      </c>
      <c r="I482" t="n">
        <v>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11148-2026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46080</v>
      </c>
      <c r="E483" s="1" t="n">
        <v>46269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11187-2026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46080</v>
      </c>
      <c r="E484" s="1" t="n">
        <v>46269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46269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11413-2026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46083</v>
      </c>
      <c r="E486" s="1" t="n">
        <v>46269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34325-2026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46253</v>
      </c>
      <c r="E487" s="1" t="n">
        <v>46269</v>
      </c>
      <c r="F487" t="inlineStr">
        <is>
          <t>SÖDERMANLANDS LÄN</t>
        </is>
      </c>
      <c r="G487" t="inlineStr">
        <is>
          <t>FLEN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46269</v>
      </c>
      <c r="F488" t="inlineStr">
        <is>
          <t>SÖDERMANLANDS LÄN</t>
        </is>
      </c>
      <c r="G488" t="inlineStr">
        <is>
          <t>FLEN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34839-2026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46269</v>
      </c>
      <c r="F489" t="inlineStr">
        <is>
          <t>SÖDERMANLANDS LÄN</t>
        </is>
      </c>
      <c r="G489" t="inlineStr">
        <is>
          <t>FLEN</t>
        </is>
      </c>
      <c r="H489" t="inlineStr">
        <is>
          <t>Holmen skog AB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34844-2026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46269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34851-2026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46258</v>
      </c>
      <c r="E491" s="1" t="n">
        <v>46269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51872-2022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44872</v>
      </c>
      <c r="E492" s="1" t="n">
        <v>46269</v>
      </c>
      <c r="F492" t="inlineStr">
        <is>
          <t>SÖDERMANLANDS LÄN</t>
        </is>
      </c>
      <c r="G492" t="inlineStr">
        <is>
          <t>FLEN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46269</v>
      </c>
      <c r="F493" t="inlineStr">
        <is>
          <t>SÖDERMANLANDS LÄN</t>
        </is>
      </c>
      <c r="G493" t="inlineStr">
        <is>
          <t>FLEN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45239</v>
      </c>
      <c r="E494" s="1" t="n">
        <v>46269</v>
      </c>
      <c r="F494" t="inlineStr">
        <is>
          <t>SÖDERMANLANDS LÄN</t>
        </is>
      </c>
      <c r="G494" t="inlineStr">
        <is>
          <t>FLEN</t>
        </is>
      </c>
      <c r="H494" t="inlineStr">
        <is>
          <t>Övriga statliga verk och myndigheter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56996-2023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46269</v>
      </c>
      <c r="F495" t="inlineStr">
        <is>
          <t>SÖDERMANLANDS LÄN</t>
        </is>
      </c>
      <c r="G495" t="inlineStr">
        <is>
          <t>FLEN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20791-2022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44701</v>
      </c>
      <c r="E496" s="1" t="n">
        <v>46269</v>
      </c>
      <c r="F496" t="inlineStr">
        <is>
          <t>SÖDERMANLANDS LÄN</t>
        </is>
      </c>
      <c r="G496" t="inlineStr">
        <is>
          <t>FLEN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62579-2023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45270</v>
      </c>
      <c r="E497" s="1" t="n">
        <v>46269</v>
      </c>
      <c r="F497" t="inlineStr">
        <is>
          <t>SÖDERMANLANDS LÄN</t>
        </is>
      </c>
      <c r="G497" t="inlineStr">
        <is>
          <t>FLEN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34030-2026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46252</v>
      </c>
      <c r="E498" s="1" t="n">
        <v>46269</v>
      </c>
      <c r="F498" t="inlineStr">
        <is>
          <t>SÖDERMANLANDS LÄN</t>
        </is>
      </c>
      <c r="G498" t="inlineStr">
        <is>
          <t>FLEN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46252</v>
      </c>
      <c r="E499" s="1" t="n">
        <v>46269</v>
      </c>
      <c r="F499" t="inlineStr">
        <is>
          <t>SÖDERMANLANDS LÄN</t>
        </is>
      </c>
      <c r="G499" t="inlineStr">
        <is>
          <t>FLEN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46252</v>
      </c>
      <c r="E500" s="1" t="n">
        <v>46269</v>
      </c>
      <c r="F500" t="inlineStr">
        <is>
          <t>SÖDERMANLANDS LÄN</t>
        </is>
      </c>
      <c r="G500" t="inlineStr">
        <is>
          <t>FLEN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46269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16052-2026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46269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33228-2024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45518</v>
      </c>
      <c r="E503" s="1" t="n">
        <v>46269</v>
      </c>
      <c r="F503" t="inlineStr">
        <is>
          <t>SÖDERMANLANDS LÄN</t>
        </is>
      </c>
      <c r="G503" t="inlineStr">
        <is>
          <t>FLEN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44561-2024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45574</v>
      </c>
      <c r="E504" s="1" t="n">
        <v>46269</v>
      </c>
      <c r="F504" t="inlineStr">
        <is>
          <t>SÖDERMANLANDS LÄN</t>
        </is>
      </c>
      <c r="G504" t="inlineStr">
        <is>
          <t>FLEN</t>
        </is>
      </c>
      <c r="H504" t="inlineStr">
        <is>
          <t>Övriga statliga verk och myndigheter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16502-2026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46269</v>
      </c>
      <c r="F505" t="inlineStr">
        <is>
          <t>SÖDERMANLANDS LÄN</t>
        </is>
      </c>
      <c r="G505" t="inlineStr">
        <is>
          <t>FLEN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16803-2026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46269</v>
      </c>
      <c r="F506" t="inlineStr">
        <is>
          <t>SÖDERMANLANDS LÄN</t>
        </is>
      </c>
      <c r="G506" t="inlineStr">
        <is>
          <t>FLEN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46266</v>
      </c>
      <c r="E507" s="1" t="n">
        <v>46269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46269</v>
      </c>
      <c r="F508" t="inlineStr">
        <is>
          <t>SÖDERMANLANDS LÄN</t>
        </is>
      </c>
      <c r="G508" t="inlineStr">
        <is>
          <t>FLEN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45365</v>
      </c>
      <c r="E509" s="1" t="n">
        <v>46269</v>
      </c>
      <c r="F509" t="inlineStr">
        <is>
          <t>SÖDERMANLANDS LÄN</t>
        </is>
      </c>
      <c r="G509" t="inlineStr">
        <is>
          <t>FLEN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45299</v>
      </c>
      <c r="E510" s="1" t="n">
        <v>46269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45299</v>
      </c>
      <c r="E511" s="1" t="n">
        <v>46269</v>
      </c>
      <c r="F511" t="inlineStr">
        <is>
          <t>SÖDERMANLANDS LÄN</t>
        </is>
      </c>
      <c r="G511" t="inlineStr">
        <is>
          <t>FLEN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15904-2023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45022</v>
      </c>
      <c r="E512" s="1" t="n">
        <v>46269</v>
      </c>
      <c r="F512" t="inlineStr">
        <is>
          <t>SÖDERMANLANDS LÄN</t>
        </is>
      </c>
      <c r="G512" t="inlineStr">
        <is>
          <t>FLEN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46125</v>
      </c>
      <c r="E513" s="1" t="n">
        <v>46269</v>
      </c>
      <c r="F513" t="inlineStr">
        <is>
          <t>SÖDERMANLANDS LÄN</t>
        </is>
      </c>
      <c r="G513" t="inlineStr">
        <is>
          <t>FLEN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46267</v>
      </c>
      <c r="E514" s="1" t="n">
        <v>46269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18499-2026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46126</v>
      </c>
      <c r="E515" s="1" t="n">
        <v>46269</v>
      </c>
      <c r="F515" t="inlineStr">
        <is>
          <t>SÖDERMANLANDS LÄN</t>
        </is>
      </c>
      <c r="G515" t="inlineStr">
        <is>
          <t>FLEN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32407-2023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46269</v>
      </c>
      <c r="F516" t="inlineStr">
        <is>
          <t>SÖDERMANLANDS LÄN</t>
        </is>
      </c>
      <c r="G516" t="inlineStr">
        <is>
          <t>FLEN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46126</v>
      </c>
      <c r="E517" s="1" t="n">
        <v>46269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18508-2026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46126</v>
      </c>
      <c r="E518" s="1" t="n">
        <v>46269</v>
      </c>
      <c r="F518" t="inlineStr">
        <is>
          <t>SÖDERMANLANDS LÄN</t>
        </is>
      </c>
      <c r="G518" t="inlineStr">
        <is>
          <t>FLEN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36096-2023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45149</v>
      </c>
      <c r="E519" s="1" t="n">
        <v>46269</v>
      </c>
      <c r="F519" t="inlineStr">
        <is>
          <t>SÖDERMANLANDS LÄN</t>
        </is>
      </c>
      <c r="G519" t="inlineStr">
        <is>
          <t>FLEN</t>
        </is>
      </c>
      <c r="H519" t="inlineStr">
        <is>
          <t>Kyrkan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45555</v>
      </c>
      <c r="E520" s="1" t="n">
        <v>46269</v>
      </c>
      <c r="F520" t="inlineStr">
        <is>
          <t>SÖDERMANLANDS LÄN</t>
        </is>
      </c>
      <c r="G520" t="inlineStr">
        <is>
          <t>FLEN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18918-2026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46129</v>
      </c>
      <c r="E521" s="1" t="n">
        <v>46269</v>
      </c>
      <c r="F521" t="inlineStr">
        <is>
          <t>SÖDERMANLANDS LÄN</t>
        </is>
      </c>
      <c r="G521" t="inlineStr">
        <is>
          <t>FLEN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46269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46132</v>
      </c>
      <c r="E523" s="1" t="n">
        <v>46269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33694-2026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46249</v>
      </c>
      <c r="E524" s="1" t="n">
        <v>46269</v>
      </c>
      <c r="F524" t="inlineStr">
        <is>
          <t>SÖDERMANLANDS LÄN</t>
        </is>
      </c>
      <c r="G524" t="inlineStr">
        <is>
          <t>FLEN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46269</v>
      </c>
      <c r="F525" t="inlineStr">
        <is>
          <t>SÖDERMANLANDS LÄN</t>
        </is>
      </c>
      <c r="G525" t="inlineStr">
        <is>
          <t>FLEN</t>
        </is>
      </c>
      <c r="H525" t="inlineStr">
        <is>
          <t>Holmen skog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5331-2024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45331</v>
      </c>
      <c r="E526" s="1" t="n">
        <v>46269</v>
      </c>
      <c r="F526" t="inlineStr">
        <is>
          <t>SÖDERMANLANDS LÄN</t>
        </is>
      </c>
      <c r="G526" t="inlineStr">
        <is>
          <t>FLEN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34612-2023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45140</v>
      </c>
      <c r="E527" s="1" t="n">
        <v>46269</v>
      </c>
      <c r="F527" t="inlineStr">
        <is>
          <t>SÖDERMANLANDS LÄN</t>
        </is>
      </c>
      <c r="G527" t="inlineStr">
        <is>
          <t>FLEN</t>
        </is>
      </c>
      <c r="H527" t="inlineStr">
        <is>
          <t>Kyrkan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44931</v>
      </c>
      <c r="E528" s="1" t="n">
        <v>46269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44580</v>
      </c>
      <c r="E529" s="1" t="n">
        <v>46269</v>
      </c>
      <c r="F529" t="inlineStr">
        <is>
          <t>SÖDERMANLANDS LÄN</t>
        </is>
      </c>
      <c r="G529" t="inlineStr">
        <is>
          <t>FLEN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50646-2023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45217</v>
      </c>
      <c r="E530" s="1" t="n">
        <v>46269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45066</v>
      </c>
      <c r="E531" s="1" t="n">
        <v>46269</v>
      </c>
      <c r="F531" t="inlineStr">
        <is>
          <t>SÖDERMANLANDS LÄN</t>
        </is>
      </c>
      <c r="G531" t="inlineStr">
        <is>
          <t>FLEN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59439-2022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44907</v>
      </c>
      <c r="E532" s="1" t="n">
        <v>46269</v>
      </c>
      <c r="F532" t="inlineStr">
        <is>
          <t>SÖDERMANLANDS LÄN</t>
        </is>
      </c>
      <c r="G532" t="inlineStr">
        <is>
          <t>FLEN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1209-2025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45667</v>
      </c>
      <c r="E533" s="1" t="n">
        <v>46269</v>
      </c>
      <c r="F533" t="inlineStr">
        <is>
          <t>SÖDERMANLANDS LÄN</t>
        </is>
      </c>
      <c r="G533" t="inlineStr">
        <is>
          <t>FLEN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53507-2023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45230</v>
      </c>
      <c r="E534" s="1" t="n">
        <v>46269</v>
      </c>
      <c r="F534" t="inlineStr">
        <is>
          <t>SÖDERMANLANDS LÄN</t>
        </is>
      </c>
      <c r="G534" t="inlineStr">
        <is>
          <t>FLEN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45230</v>
      </c>
      <c r="E535" s="1" t="n">
        <v>46269</v>
      </c>
      <c r="F535" t="inlineStr">
        <is>
          <t>SÖDERMANLANDS LÄN</t>
        </is>
      </c>
      <c r="G535" t="inlineStr">
        <is>
          <t>FLEN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14599-2023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45013</v>
      </c>
      <c r="E536" s="1" t="n">
        <v>46269</v>
      </c>
      <c r="F536" t="inlineStr">
        <is>
          <t>SÖDERMANLANDS LÄN</t>
        </is>
      </c>
      <c r="G536" t="inlineStr">
        <is>
          <t>FLEN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42731-2024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45566</v>
      </c>
      <c r="E537" s="1" t="n">
        <v>46269</v>
      </c>
      <c r="F537" t="inlineStr">
        <is>
          <t>SÖDERMANLANDS LÄN</t>
        </is>
      </c>
      <c r="G537" t="inlineStr">
        <is>
          <t>FLEN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57044-2023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46269</v>
      </c>
      <c r="F538" t="inlineStr">
        <is>
          <t>SÖDERMANLANDS LÄN</t>
        </is>
      </c>
      <c r="G538" t="inlineStr">
        <is>
          <t>FLEN</t>
        </is>
      </c>
      <c r="H538" t="inlineStr">
        <is>
          <t>Övriga statliga verk och myndigheter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13233-2024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45386</v>
      </c>
      <c r="E539" s="1" t="n">
        <v>46269</v>
      </c>
      <c r="F539" t="inlineStr">
        <is>
          <t>SÖDERMANLANDS LÄN</t>
        </is>
      </c>
      <c r="G539" t="inlineStr">
        <is>
          <t>FLEN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20952-2025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46269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7960-2024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45350</v>
      </c>
      <c r="E541" s="1" t="n">
        <v>46269</v>
      </c>
      <c r="F541" t="inlineStr">
        <is>
          <t>SÖDERMANLANDS LÄN</t>
        </is>
      </c>
      <c r="G541" t="inlineStr">
        <is>
          <t>FLEN</t>
        </is>
      </c>
      <c r="I541" t="n">
        <v>10.4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59051-2023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45252</v>
      </c>
      <c r="E542" s="1" t="n">
        <v>46269</v>
      </c>
      <c r="F542" t="inlineStr">
        <is>
          <t>SÖDERMANLANDS LÄN</t>
        </is>
      </c>
      <c r="G542" t="inlineStr">
        <is>
          <t>FLEN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45008</v>
      </c>
      <c r="E543" s="1" t="n">
        <v>46269</v>
      </c>
      <c r="F543" t="inlineStr">
        <is>
          <t>SÖDERMANLANDS LÄN</t>
        </is>
      </c>
      <c r="G543" t="inlineStr">
        <is>
          <t>FLEN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47055-2022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44852</v>
      </c>
      <c r="E544" s="1" t="n">
        <v>46269</v>
      </c>
      <c r="F544" t="inlineStr">
        <is>
          <t>SÖDERMANLANDS LÄN</t>
        </is>
      </c>
      <c r="G544" t="inlineStr">
        <is>
          <t>FLEN</t>
        </is>
      </c>
      <c r="I544" t="n">
        <v>8.699999999999999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46269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46269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458-2023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44964</v>
      </c>
      <c r="E547" s="1" t="n">
        <v>46269</v>
      </c>
      <c r="F547" t="inlineStr">
        <is>
          <t>SÖDERMANLANDS LÄN</t>
        </is>
      </c>
      <c r="G547" t="inlineStr">
        <is>
          <t>FLEN</t>
        </is>
      </c>
      <c r="H547" t="inlineStr">
        <is>
          <t>Kyrkan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292-2025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45686</v>
      </c>
      <c r="E548" s="1" t="n">
        <v>46269</v>
      </c>
      <c r="F548" t="inlineStr">
        <is>
          <t>SÖDERMANLANDS LÄN</t>
        </is>
      </c>
      <c r="G548" t="inlineStr">
        <is>
          <t>FLEN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3723-2022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44742</v>
      </c>
      <c r="E549" s="1" t="n">
        <v>46269</v>
      </c>
      <c r="F549" t="inlineStr">
        <is>
          <t>SÖDERMANLANDS LÄN</t>
        </is>
      </c>
      <c r="G549" t="inlineStr">
        <is>
          <t>FLEN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46269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46269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46269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2026-09-04T02:06:50Z</dcterms:created>
  <dcterms:modified xmlns:dcterms="http://purl.org/dc/terms/" xmlns:xsi="http://www.w3.org/2001/XMLSchema-instance" xsi:type="dcterms:W3CDTF">2026-09-04T02:06:51Z</dcterms:modified>
</cp:coreProperties>
</file>