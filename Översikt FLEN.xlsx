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46234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46234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46234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46234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46234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46234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46234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46234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46234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46234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46234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48790-2021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46234</v>
      </c>
      <c r="F25" t="inlineStr">
        <is>
          <t>SÖDERMANLANDS LÄN</t>
        </is>
      </c>
      <c r="G25" t="inlineStr">
        <is>
          <t>FLEN</t>
        </is>
      </c>
      <c r="H25" t="inlineStr">
        <is>
          <t>Holmen skog AB</t>
        </is>
      </c>
      <c r="I25" t="n">
        <v>1.8</v>
      </c>
      <c r="J25" t="n">
        <v>0</v>
      </c>
      <c r="K25" t="n">
        <v>1</v>
      </c>
      <c r="L25" t="n">
        <v>3</v>
      </c>
      <c r="M25" t="n">
        <v>0</v>
      </c>
      <c r="N25" t="n">
        <v>1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7</v>
      </c>
      <c r="U25" t="n">
        <v>6</v>
      </c>
      <c r="V25" s="2" t="inlineStr">
        <is>
          <t>Ask
Skogsklocka
Vippärt
Ängsskära
Underviol</t>
        </is>
      </c>
      <c r="W25">
        <f>HYPERLINK("https://klasma.github.io/Logging_0482/artfynd/A 48790-2021 artfynd.xlsx", "A 48790-2021")</f>
        <v/>
      </c>
      <c r="X25">
        <f>HYPERLINK("https://klasma.github.io/Logging_0482/kartor/A 48790-2021 karta.png", "A 48790-2021")</f>
        <v/>
      </c>
      <c r="Y25">
        <f>HYPERLINK("https://klasma.github.io/Logging_0482/kartor_geotiff/A 48790-2021 georefererad karta.tif", "A 48790-2021")</f>
        <v/>
      </c>
      <c r="AA25">
        <f>HYPERLINK("https://klasma.github.io/Logging_0482/klagomål/A 48790-2021 FSC-klagomål.docx", "A 48790-2021")</f>
        <v/>
      </c>
      <c r="AB25">
        <f>HYPERLINK("https://klasma.github.io/Logging_0482/klagomålsmail/A 48790-2021 FSC-klagomål mail.docx", "A 48790-2021")</f>
        <v/>
      </c>
      <c r="AC25">
        <f>HYPERLINK("https://klasma.github.io/Logging_0482/tillsyn/A 48790-2021 tillsynsbegäran.docx", "A 48790-2021")</f>
        <v/>
      </c>
      <c r="AD25">
        <f>HYPERLINK("https://klasma.github.io/Logging_0482/tillsynsmail/A 48790-2021 tillsynsbegäran mail.docx", "A 48790-2021")</f>
        <v/>
      </c>
    </row>
    <row r="26" ht="15" customHeight="1">
      <c r="A26" t="inlineStr">
        <is>
          <t>A 49323-2021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44453</v>
      </c>
      <c r="E26" s="1" t="n">
        <v>46234</v>
      </c>
      <c r="F26" t="inlineStr">
        <is>
          <t>SÖDERMANLANDS LÄN</t>
        </is>
      </c>
      <c r="G26" t="inlineStr">
        <is>
          <t>FLEN</t>
        </is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5</v>
      </c>
      <c r="U26" t="n">
        <v>3</v>
      </c>
      <c r="V26" s="2" t="inlineStr">
        <is>
          <t>Ask
Blåsippa
Ängskovall
Vanlig padda
Grönvit nattviol</t>
        </is>
      </c>
      <c r="W26">
        <f>HYPERLINK("https://klasma.github.io/Logging_0482/artfynd/A 49323-2021 artfynd.xlsx", "A 49323-2021")</f>
        <v/>
      </c>
      <c r="X26">
        <f>HYPERLINK("https://klasma.github.io/Logging_0482/kartor/A 49323-2021 karta.png", "A 49323-2021")</f>
        <v/>
      </c>
      <c r="Y26">
        <f>HYPERLINK("https://klasma.github.io/Logging_0482/kartor_geotiff/A 49323-2021 georefererad karta.tif", "A 49323-2021")</f>
        <v/>
      </c>
      <c r="AA26">
        <f>HYPERLINK("https://klasma.github.io/Logging_0482/klagomål/A 49323-2021 FSC-klagomål.docx", "A 49323-2021")</f>
        <v/>
      </c>
      <c r="AB26">
        <f>HYPERLINK("https://klasma.github.io/Logging_0482/klagomålsmail/A 49323-2021 FSC-klagomål mail.docx", "A 49323-2021")</f>
        <v/>
      </c>
      <c r="AC26">
        <f>HYPERLINK("https://klasma.github.io/Logging_0482/tillsyn/A 49323-2021 tillsynsbegäran.docx", "A 49323-2021")</f>
        <v/>
      </c>
      <c r="AD26">
        <f>HYPERLINK("https://klasma.github.io/Logging_0482/tillsynsmail/A 49323-2021 tillsynsbegäran mail.docx", "A 49323-2021")</f>
        <v/>
      </c>
    </row>
    <row r="27" ht="15" customHeight="1">
      <c r="A27" t="inlineStr">
        <is>
          <t>A 33219-2024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46234</v>
      </c>
      <c r="F27" t="inlineStr">
        <is>
          <t>SÖDERMANLANDS LÄN</t>
        </is>
      </c>
      <c r="G27" t="inlineStr">
        <is>
          <t>FLEN</t>
        </is>
      </c>
      <c r="I27" t="n">
        <v>2.5</v>
      </c>
      <c r="J27" t="n">
        <v>3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7</v>
      </c>
      <c r="V27" s="2" t="inlineStr">
        <is>
          <t>Knärot
Svinrot
Zontaggsvamp
Blåsippa
Mattlummer</t>
        </is>
      </c>
      <c r="W27">
        <f>HYPERLINK("https://klasma.github.io/Logging_0482/artfynd/A 33219-2024 artfynd.xlsx", "A 33219-2024")</f>
        <v/>
      </c>
      <c r="X27">
        <f>HYPERLINK("https://klasma.github.io/Logging_0482/kartor/A 33219-2024 karta.png", "A 33219-2024")</f>
        <v/>
      </c>
      <c r="Y27">
        <f>HYPERLINK("https://klasma.github.io/Logging_0482/kartor_geotiff/A 33219-2024 georefererad karta.tif", "A 33219-2024")</f>
        <v/>
      </c>
      <c r="Z27">
        <f>HYPERLINK("https://klasma.github.io/Logging_0482/knärot/A 33219-2024 karta knärot.png", "A 33219-2024")</f>
        <v/>
      </c>
      <c r="AA27">
        <f>HYPERLINK("https://klasma.github.io/Logging_0482/klagomål/A 33219-2024 FSC-klagomål.docx", "A 33219-2024")</f>
        <v/>
      </c>
      <c r="AB27">
        <f>HYPERLINK("https://klasma.github.io/Logging_0482/klagomålsmail/A 33219-2024 FSC-klagomål mail.docx", "A 33219-2024")</f>
        <v/>
      </c>
      <c r="AC27">
        <f>HYPERLINK("https://klasma.github.io/Logging_0482/tillsyn/A 33219-2024 tillsynsbegäran.docx", "A 33219-2024")</f>
        <v/>
      </c>
      <c r="AD27">
        <f>HYPERLINK("https://klasma.github.io/Logging_0482/tillsynsmail/A 33219-2024 tillsynsbegäran mail.docx", "A 33219-2024")</f>
        <v/>
      </c>
    </row>
    <row r="28" ht="15" customHeight="1">
      <c r="A28" t="inlineStr">
        <is>
          <t>A 32901-2025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45839</v>
      </c>
      <c r="E28" s="1" t="n">
        <v>46234</v>
      </c>
      <c r="F28" t="inlineStr">
        <is>
          <t>SÖDERMANLANDS LÄN</t>
        </is>
      </c>
      <c r="G28" t="inlineStr">
        <is>
          <t>FLEN</t>
        </is>
      </c>
      <c r="I28" t="n">
        <v>2.6</v>
      </c>
      <c r="J28" t="n">
        <v>1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9</v>
      </c>
      <c r="U28" t="n">
        <v>5</v>
      </c>
      <c r="V28" s="2" t="inlineStr">
        <is>
          <t>Motaggsvamp
Ullticka
Blomkålssvamp
Flagellkvastmossa
Spillkråka</t>
        </is>
      </c>
      <c r="W28">
        <f>HYPERLINK("https://klasma.github.io/Logging_0482/artfynd/A 32901-2025 artfynd.xlsx", "A 32901-2025")</f>
        <v/>
      </c>
      <c r="X28">
        <f>HYPERLINK("https://klasma.github.io/Logging_0482/kartor/A 32901-2025 karta.png", "A 32901-2025")</f>
        <v/>
      </c>
      <c r="Y28">
        <f>HYPERLINK("https://klasma.github.io/Logging_0482/kartor_geotiff/A 32901-2025 georefererad karta.tif", "A 32901-2025")</f>
        <v/>
      </c>
      <c r="AA28">
        <f>HYPERLINK("https://klasma.github.io/Logging_0482/klagomål/A 32901-2025 FSC-klagomål.docx", "A 32901-2025")</f>
        <v/>
      </c>
      <c r="AB28">
        <f>HYPERLINK("https://klasma.github.io/Logging_0482/klagomålsmail/A 32901-2025 FSC-klagomål mail.docx", "A 32901-2025")</f>
        <v/>
      </c>
      <c r="AC28">
        <f>HYPERLINK("https://klasma.github.io/Logging_0482/tillsyn/A 32901-2025 tillsynsbegäran.docx", "A 32901-2025")</f>
        <v/>
      </c>
      <c r="AD28">
        <f>HYPERLINK("https://klasma.github.io/Logging_0482/tillsynsmail/A 32901-2025 tillsynsbegäran mail.docx", "A 32901-2025")</f>
        <v/>
      </c>
      <c r="AE28">
        <f>HYPERLINK("https://klasma.github.io/Logging_0482/fåglar/A 32901-2025 prioriterade fågelarter.docx", "A 32901-2025")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46234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46234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46234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46234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46234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A 17508-2026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46119</v>
      </c>
      <c r="E34" s="1" t="n">
        <v>46234</v>
      </c>
      <c r="F34" t="inlineStr">
        <is>
          <t>SÖDERMANLANDS LÄN</t>
        </is>
      </c>
      <c r="G34" t="inlineStr">
        <is>
          <t>FLEN</t>
        </is>
      </c>
      <c r="I34" t="n">
        <v>2.2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5</v>
      </c>
      <c r="U34" t="n">
        <v>2</v>
      </c>
      <c r="V34" s="2" t="inlineStr">
        <is>
          <t>Gulvaxing
Ekbräken
Spillkråka
Sälg
Gröngöling</t>
        </is>
      </c>
      <c r="W34">
        <f>HYPERLINK("https://klasma.github.io/Logging_0482/artfynd/A 17508-2026 artfynd.xlsx", "A 17508-2026")</f>
        <v/>
      </c>
      <c r="X34">
        <f>HYPERLINK("https://klasma.github.io/Logging_0482/kartor/A 17508-2026 karta.png", "A 17508-2026")</f>
        <v/>
      </c>
      <c r="Y34">
        <f>HYPERLINK("https://klasma.github.io/Logging_0482/kartor_geotiff/A 17508-2026 georefererad karta.tif", "A 17508-2026")</f>
        <v/>
      </c>
      <c r="AA34">
        <f>HYPERLINK("https://klasma.github.io/Logging_0482/klagomål/A 17508-2026 FSC-klagomål.docx", "A 17508-2026")</f>
        <v/>
      </c>
      <c r="AB34">
        <f>HYPERLINK("https://klasma.github.io/Logging_0482/klagomålsmail/A 17508-2026 FSC-klagomål mail.docx", "A 17508-2026")</f>
        <v/>
      </c>
      <c r="AC34">
        <f>HYPERLINK("https://klasma.github.io/Logging_0482/tillsyn/A 17508-2026 tillsynsbegäran.docx", "A 17508-2026")</f>
        <v/>
      </c>
      <c r="AD34">
        <f>HYPERLINK("https://klasma.github.io/Logging_0482/tillsynsmail/A 17508-2026 tillsynsbegäran mail.docx", "A 17508-2026")</f>
        <v/>
      </c>
      <c r="AE34">
        <f>HYPERLINK("https://klasma.github.io/Logging_0482/fåglar/A 17508-2026 prioriterade fågelarter.docx", "A 17508-2026")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46234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46234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46234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46234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21004-2025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45777</v>
      </c>
      <c r="E39" s="1" t="n">
        <v>46234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Ask
Parknål
Tallticka
Brun nållav</t>
        </is>
      </c>
      <c r="W39">
        <f>HYPERLINK("https://klasma.github.io/Logging_0482/artfynd/A 21004-2025 artfynd.xlsx", "A 21004-2025")</f>
        <v/>
      </c>
      <c r="X39">
        <f>HYPERLINK("https://klasma.github.io/Logging_0482/kartor/A 21004-2025 karta.png", "A 21004-2025")</f>
        <v/>
      </c>
      <c r="Y39">
        <f>HYPERLINK("https://klasma.github.io/Logging_0482/kartor_geotiff/A 21004-2025 georefererad karta.tif", "A 21004-2025")</f>
        <v/>
      </c>
      <c r="AA39">
        <f>HYPERLINK("https://klasma.github.io/Logging_0482/klagomål/A 21004-2025 FSC-klagomål.docx", "A 21004-2025")</f>
        <v/>
      </c>
      <c r="AB39">
        <f>HYPERLINK("https://klasma.github.io/Logging_0482/klagomålsmail/A 21004-2025 FSC-klagomål mail.docx", "A 21004-2025")</f>
        <v/>
      </c>
      <c r="AC39">
        <f>HYPERLINK("https://klasma.github.io/Logging_0482/tillsyn/A 21004-2025 tillsynsbegäran.docx", "A 21004-2025")</f>
        <v/>
      </c>
      <c r="AD39">
        <f>HYPERLINK("https://klasma.github.io/Logging_0482/tillsynsmail/A 21004-2025 tillsynsbegäran mail.docx", "A 21004-2025")</f>
        <v/>
      </c>
    </row>
    <row r="40" ht="15" customHeight="1">
      <c r="A40" t="inlineStr">
        <is>
          <t>A 50343-2024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46234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Svartöra
Tallticka
Blåsippa
Vildkaprifol</t>
        </is>
      </c>
      <c r="W40">
        <f>HYPERLINK("https://klasma.github.io/Logging_0482/artfynd/A 50343-2024 artfynd.xlsx", "A 50343-2024")</f>
        <v/>
      </c>
      <c r="X40">
        <f>HYPERLINK("https://klasma.github.io/Logging_0482/kartor/A 50343-2024 karta.png", "A 50343-2024")</f>
        <v/>
      </c>
      <c r="Y40">
        <f>HYPERLINK("https://klasma.github.io/Logging_0482/kartor_geotiff/A 50343-2024 georefererad karta.tif", "A 50343-2024")</f>
        <v/>
      </c>
      <c r="AA40">
        <f>HYPERLINK("https://klasma.github.io/Logging_0482/klagomål/A 50343-2024 FSC-klagomål.docx", "A 50343-2024")</f>
        <v/>
      </c>
      <c r="AB40">
        <f>HYPERLINK("https://klasma.github.io/Logging_0482/klagomålsmail/A 50343-2024 FSC-klagomål mail.docx", "A 50343-2024")</f>
        <v/>
      </c>
      <c r="AC40">
        <f>HYPERLINK("https://klasma.github.io/Logging_0482/tillsyn/A 50343-2024 tillsynsbegäran.docx", "A 50343-2024")</f>
        <v/>
      </c>
      <c r="AD40">
        <f>HYPERLINK("https://klasma.github.io/Logging_0482/tillsynsmail/A 50343-2024 tillsynsbegäran mail.docx", "A 50343-2024")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46234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46234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46234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46234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33225-2024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46234</v>
      </c>
      <c r="F45" t="inlineStr">
        <is>
          <t>SÖDERMANLANDS LÄN</t>
        </is>
      </c>
      <c r="G45" t="inlineStr">
        <is>
          <t>FLEN</t>
        </is>
      </c>
      <c r="I45" t="n">
        <v>0.1</v>
      </c>
      <c r="J45" t="n">
        <v>1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Skogsklocka
Svinrot
Vippärt
Grönvit nattviol</t>
        </is>
      </c>
      <c r="W45">
        <f>HYPERLINK("https://klasma.github.io/Logging_0482/artfynd/A 33225-2024 artfynd.xlsx", "A 33225-2024")</f>
        <v/>
      </c>
      <c r="X45">
        <f>HYPERLINK("https://klasma.github.io/Logging_0482/kartor/A 33225-2024 karta.png", "A 33225-2024")</f>
        <v/>
      </c>
      <c r="Y45">
        <f>HYPERLINK("https://klasma.github.io/Logging_0482/kartor_geotiff/A 33225-2024 georefererad karta.tif", "A 33225-2024")</f>
        <v/>
      </c>
      <c r="AA45">
        <f>HYPERLINK("https://klasma.github.io/Logging_0482/klagomål/A 33225-2024 FSC-klagomål.docx", "A 33225-2024")</f>
        <v/>
      </c>
      <c r="AB45">
        <f>HYPERLINK("https://klasma.github.io/Logging_0482/klagomålsmail/A 33225-2024 FSC-klagomål mail.docx", "A 33225-2024")</f>
        <v/>
      </c>
      <c r="AC45">
        <f>HYPERLINK("https://klasma.github.io/Logging_0482/tillsyn/A 33225-2024 tillsynsbegäran.docx", "A 33225-2024")</f>
        <v/>
      </c>
      <c r="AD45">
        <f>HYPERLINK("https://klasma.github.io/Logging_0482/tillsynsmail/A 33225-2024 tillsynsbegäran mail.docx", "A 33225-2024")</f>
        <v/>
      </c>
    </row>
    <row r="46" ht="15" customHeight="1">
      <c r="A46" t="inlineStr">
        <is>
          <t>A 10107-2023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46234</v>
      </c>
      <c r="F46" t="inlineStr">
        <is>
          <t>SÖDERMANLANDS LÄN</t>
        </is>
      </c>
      <c r="G46" t="inlineStr">
        <is>
          <t>FLEN</t>
        </is>
      </c>
      <c r="I46" t="n">
        <v>21.1</v>
      </c>
      <c r="J46" t="n">
        <v>2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4</v>
      </c>
      <c r="U46" t="n">
        <v>2</v>
      </c>
      <c r="V46" s="2" t="inlineStr">
        <is>
          <t>Bombmurkla
Svedjenäva
Blåmossa
Mattlummer</t>
        </is>
      </c>
      <c r="W46">
        <f>HYPERLINK("https://klasma.github.io/Logging_0482/artfynd/A 10107-2023 artfynd.xlsx", "A 10107-2023")</f>
        <v/>
      </c>
      <c r="X46">
        <f>HYPERLINK("https://klasma.github.io/Logging_0482/kartor/A 10107-2023 karta.png", "A 10107-2023")</f>
        <v/>
      </c>
      <c r="Y46">
        <f>HYPERLINK("https://klasma.github.io/Logging_0482/kartor_geotiff/A 10107-2023 georefererad karta.tif", "A 10107-2023")</f>
        <v/>
      </c>
      <c r="AA46">
        <f>HYPERLINK("https://klasma.github.io/Logging_0482/klagomål/A 10107-2023 FSC-klagomål.docx", "A 10107-2023")</f>
        <v/>
      </c>
      <c r="AB46">
        <f>HYPERLINK("https://klasma.github.io/Logging_0482/klagomålsmail/A 10107-2023 FSC-klagomål mail.docx", "A 10107-2023")</f>
        <v/>
      </c>
      <c r="AC46">
        <f>HYPERLINK("https://klasma.github.io/Logging_0482/tillsyn/A 10107-2023 tillsynsbegäran.docx", "A 10107-2023")</f>
        <v/>
      </c>
      <c r="AD46">
        <f>HYPERLINK("https://klasma.github.io/Logging_0482/tillsynsmail/A 10107-2023 tillsynsbegäran mail.docx", "A 10107-2023")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46234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46234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46234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38465-2025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46234</v>
      </c>
      <c r="F50" t="inlineStr">
        <is>
          <t>SÖDERMANLANDS LÄN</t>
        </is>
      </c>
      <c r="G50" t="inlineStr">
        <is>
          <t>FLEN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Gullklöver
Nattviol</t>
        </is>
      </c>
      <c r="W50">
        <f>HYPERLINK("https://klasma.github.io/Logging_0482/artfynd/A 38465-2025 artfynd.xlsx", "A 38465-2025")</f>
        <v/>
      </c>
      <c r="X50">
        <f>HYPERLINK("https://klasma.github.io/Logging_0482/kartor/A 38465-2025 karta.png", "A 38465-2025")</f>
        <v/>
      </c>
      <c r="Y50">
        <f>HYPERLINK("https://klasma.github.io/Logging_0482/kartor_geotiff/A 38465-2025 georefererad karta.tif", "A 38465-2025")</f>
        <v/>
      </c>
      <c r="AA50">
        <f>HYPERLINK("https://klasma.github.io/Logging_0482/klagomål/A 38465-2025 FSC-klagomål.docx", "A 38465-2025")</f>
        <v/>
      </c>
      <c r="AB50">
        <f>HYPERLINK("https://klasma.github.io/Logging_0482/klagomålsmail/A 38465-2025 FSC-klagomål mail.docx", "A 38465-2025")</f>
        <v/>
      </c>
      <c r="AC50">
        <f>HYPERLINK("https://klasma.github.io/Logging_0482/tillsyn/A 38465-2025 tillsynsbegäran.docx", "A 38465-2025")</f>
        <v/>
      </c>
      <c r="AD50">
        <f>HYPERLINK("https://klasma.github.io/Logging_0482/tillsynsmail/A 38465-2025 tillsynsbegäran mail.docx", "A 38465-2025")</f>
        <v/>
      </c>
    </row>
    <row r="51" ht="15" customHeight="1">
      <c r="A51" t="inlineStr">
        <is>
          <t>A 38466-2025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46234</v>
      </c>
      <c r="F51" t="inlineStr">
        <is>
          <t>SÖDERMANLANDS LÄN</t>
        </is>
      </c>
      <c r="G51" t="inlineStr">
        <is>
          <t>FLEN</t>
        </is>
      </c>
      <c r="I51" t="n">
        <v>5.4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Svinrot
Blåsippa
Gullviva</t>
        </is>
      </c>
      <c r="W51">
        <f>HYPERLINK("https://klasma.github.io/Logging_0482/artfynd/A 38466-2025 artfynd.xlsx", "A 38466-2025")</f>
        <v/>
      </c>
      <c r="X51">
        <f>HYPERLINK("https://klasma.github.io/Logging_0482/kartor/A 38466-2025 karta.png", "A 38466-2025")</f>
        <v/>
      </c>
      <c r="Y51">
        <f>HYPERLINK("https://klasma.github.io/Logging_0482/kartor_geotiff/A 38466-2025 georefererad karta.tif", "A 38466-2025")</f>
        <v/>
      </c>
      <c r="AA51">
        <f>HYPERLINK("https://klasma.github.io/Logging_0482/klagomål/A 38466-2025 FSC-klagomål.docx", "A 38466-2025")</f>
        <v/>
      </c>
      <c r="AB51">
        <f>HYPERLINK("https://klasma.github.io/Logging_0482/klagomålsmail/A 38466-2025 FSC-klagomål mail.docx", "A 38466-2025")</f>
        <v/>
      </c>
      <c r="AC51">
        <f>HYPERLINK("https://klasma.github.io/Logging_0482/tillsyn/A 38466-2025 tillsynsbegäran.docx", "A 38466-2025")</f>
        <v/>
      </c>
      <c r="AD51">
        <f>HYPERLINK("https://klasma.github.io/Logging_0482/tillsynsmail/A 38466-2025 tillsynsbegäran mail.docx", "A 38466-2025")</f>
        <v/>
      </c>
    </row>
    <row r="52" ht="15" customHeight="1">
      <c r="A52" t="inlineStr">
        <is>
          <t>A 9539-2026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46234</v>
      </c>
      <c r="F52" t="inlineStr">
        <is>
          <t>SÖDERMANLANDS LÄN</t>
        </is>
      </c>
      <c r="G52" t="inlineStr">
        <is>
          <t>FLEN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Ask
Slåtterfibbla
Blåsippa</t>
        </is>
      </c>
      <c r="W52">
        <f>HYPERLINK("https://klasma.github.io/Logging_0482/artfynd/A 9539-2026 artfynd.xlsx", "A 9539-2026")</f>
        <v/>
      </c>
      <c r="X52">
        <f>HYPERLINK("https://klasma.github.io/Logging_0482/kartor/A 9539-2026 karta.png", "A 9539-2026")</f>
        <v/>
      </c>
      <c r="Y52">
        <f>HYPERLINK("https://klasma.github.io/Logging_0482/kartor_geotiff/A 9539-2026 georefererad karta.tif", "A 9539-2026")</f>
        <v/>
      </c>
      <c r="AA52">
        <f>HYPERLINK("https://klasma.github.io/Logging_0482/klagomål/A 9539-2026 FSC-klagomål.docx", "A 9539-2026")</f>
        <v/>
      </c>
      <c r="AB52">
        <f>HYPERLINK("https://klasma.github.io/Logging_0482/klagomålsmail/A 9539-2026 FSC-klagomål mail.docx", "A 9539-2026")</f>
        <v/>
      </c>
      <c r="AC52">
        <f>HYPERLINK("https://klasma.github.io/Logging_0482/tillsyn/A 9539-2026 tillsynsbegäran.docx", "A 9539-2026")</f>
        <v/>
      </c>
      <c r="AD52">
        <f>HYPERLINK("https://klasma.github.io/Logging_0482/tillsynsmail/A 9539-2026 tillsynsbegäran mail.docx", "A 9539-2026")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46234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46234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46234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46234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46234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46234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29895-2026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46234</v>
      </c>
      <c r="F59" t="inlineStr">
        <is>
          <t>SÖDERMANLANDS LÄN</t>
        </is>
      </c>
      <c r="G59" t="inlineStr">
        <is>
          <t>FLEN</t>
        </is>
      </c>
      <c r="I59" t="n">
        <v>0.7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Gullklöver
Svinrot
Revlummer</t>
        </is>
      </c>
      <c r="W59">
        <f>HYPERLINK("https://klasma.github.io/Logging_0482/artfynd/A 29895-2026 artfynd.xlsx", "A 29895-2026")</f>
        <v/>
      </c>
      <c r="X59">
        <f>HYPERLINK("https://klasma.github.io/Logging_0482/kartor/A 29895-2026 karta.png", "A 29895-2026")</f>
        <v/>
      </c>
      <c r="Y59">
        <f>HYPERLINK("https://klasma.github.io/Logging_0482/kartor_geotiff/A 29895-2026 georefererad karta.tif", "A 29895-2026")</f>
        <v/>
      </c>
      <c r="AA59">
        <f>HYPERLINK("https://klasma.github.io/Logging_0482/klagomål/A 29895-2026 FSC-klagomål.docx", "A 29895-2026")</f>
        <v/>
      </c>
      <c r="AB59">
        <f>HYPERLINK("https://klasma.github.io/Logging_0482/klagomålsmail/A 29895-2026 FSC-klagomål mail.docx", "A 29895-2026")</f>
        <v/>
      </c>
      <c r="AC59">
        <f>HYPERLINK("https://klasma.github.io/Logging_0482/tillsyn/A 29895-2026 tillsynsbegäran.docx", "A 29895-2026")</f>
        <v/>
      </c>
      <c r="AD59">
        <f>HYPERLINK("https://klasma.github.io/Logging_0482/tillsynsmail/A 29895-2026 tillsynsbegäran mail.docx", "A 29895-2026")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46234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46234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46234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46234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46234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46234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46234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46234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46234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19389-2025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46234</v>
      </c>
      <c r="F69" t="inlineStr">
        <is>
          <t>SÖDERMANLANDS LÄN</t>
        </is>
      </c>
      <c r="G69" t="inlineStr">
        <is>
          <t>FLEN</t>
        </is>
      </c>
      <c r="I69" t="n">
        <v>12.4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Motaggsvamp
Mattlummer</t>
        </is>
      </c>
      <c r="W69">
        <f>HYPERLINK("https://klasma.github.io/Logging_0482/artfynd/A 19389-2025 artfynd.xlsx", "A 19389-2025")</f>
        <v/>
      </c>
      <c r="X69">
        <f>HYPERLINK("https://klasma.github.io/Logging_0482/kartor/A 19389-2025 karta.png", "A 19389-2025")</f>
        <v/>
      </c>
      <c r="Y69">
        <f>HYPERLINK("https://klasma.github.io/Logging_0482/kartor_geotiff/A 19389-2025 georefererad karta.tif", "A 19389-2025")</f>
        <v/>
      </c>
      <c r="AA69">
        <f>HYPERLINK("https://klasma.github.io/Logging_0482/klagomål/A 19389-2025 FSC-klagomål.docx", "A 19389-2025")</f>
        <v/>
      </c>
      <c r="AB69">
        <f>HYPERLINK("https://klasma.github.io/Logging_0482/klagomålsmail/A 19389-2025 FSC-klagomål mail.docx", "A 19389-2025")</f>
        <v/>
      </c>
      <c r="AC69">
        <f>HYPERLINK("https://klasma.github.io/Logging_0482/tillsyn/A 19389-2025 tillsynsbegäran.docx", "A 19389-2025")</f>
        <v/>
      </c>
      <c r="AD69">
        <f>HYPERLINK("https://klasma.github.io/Logging_0482/tillsynsmail/A 19389-2025 tillsynsbegäran mail.docx", "A 19389-2025")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46234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49255-2021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46234</v>
      </c>
      <c r="F71" t="inlineStr">
        <is>
          <t>SÖDERMANLANDS LÄN</t>
        </is>
      </c>
      <c r="G71" t="inlineStr">
        <is>
          <t>FLEN</t>
        </is>
      </c>
      <c r="I71" t="n">
        <v>15.6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Backstarr
Revlummer</t>
        </is>
      </c>
      <c r="W71">
        <f>HYPERLINK("https://klasma.github.io/Logging_0482/artfynd/A 49255-2021 artfynd.xlsx", "A 49255-2021")</f>
        <v/>
      </c>
      <c r="X71">
        <f>HYPERLINK("https://klasma.github.io/Logging_0482/kartor/A 49255-2021 karta.png", "A 49255-2021")</f>
        <v/>
      </c>
      <c r="Y71">
        <f>HYPERLINK("https://klasma.github.io/Logging_0482/kartor_geotiff/A 49255-2021 georefererad karta.tif", "A 49255-2021")</f>
        <v/>
      </c>
      <c r="AA71">
        <f>HYPERLINK("https://klasma.github.io/Logging_0482/klagomål/A 49255-2021 FSC-klagomål.docx", "A 49255-2021")</f>
        <v/>
      </c>
      <c r="AB71">
        <f>HYPERLINK("https://klasma.github.io/Logging_0482/klagomålsmail/A 49255-2021 FSC-klagomål mail.docx", "A 49255-2021")</f>
        <v/>
      </c>
      <c r="AC71">
        <f>HYPERLINK("https://klasma.github.io/Logging_0482/tillsyn/A 49255-2021 tillsynsbegäran.docx", "A 49255-2021")</f>
        <v/>
      </c>
      <c r="AD71">
        <f>HYPERLINK("https://klasma.github.io/Logging_0482/tillsynsmail/A 49255-2021 tillsynsbegäran mail.docx", "A 49255-2021")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46234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Ekticka
Klasefibbla</t>
        </is>
      </c>
      <c r="W72">
        <f>HYPERLINK("https://klasma.github.io/Logging_0482/artfynd/A 32744-2025 artfynd.xlsx", "A 32744-2025")</f>
        <v/>
      </c>
      <c r="X72">
        <f>HYPERLINK("https://klasma.github.io/Logging_0482/kartor/A 32744-2025 karta.png", "A 32744-2025")</f>
        <v/>
      </c>
      <c r="Y72">
        <f>HYPERLINK("https://klasma.github.io/Logging_0482/kartor_geotiff/A 32744-2025 georefererad karta.tif", "A 32744-2025")</f>
        <v/>
      </c>
      <c r="AA72">
        <f>HYPERLINK("https://klasma.github.io/Logging_0482/klagomål/A 32744-2025 FSC-klagomål.docx", "A 32744-2025")</f>
        <v/>
      </c>
      <c r="AB72">
        <f>HYPERLINK("https://klasma.github.io/Logging_0482/klagomålsmail/A 32744-2025 FSC-klagomål mail.docx", "A 32744-2025")</f>
        <v/>
      </c>
      <c r="AC72">
        <f>HYPERLINK("https://klasma.github.io/Logging_0482/tillsyn/A 32744-2025 tillsynsbegäran.docx", "A 32744-2025")</f>
        <v/>
      </c>
      <c r="AD72">
        <f>HYPERLINK("https://klasma.github.io/Logging_0482/tillsynsmail/A 32744-2025 tillsynsbegäran mail.docx", "A 32744-2025")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46234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46234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15452-2024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46234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Svinrot
Älg</t>
        </is>
      </c>
      <c r="W75">
        <f>HYPERLINK("https://klasma.github.io/Logging_0482/artfynd/A 15452-2024 artfynd.xlsx", "A 15452-2024")</f>
        <v/>
      </c>
      <c r="X75">
        <f>HYPERLINK("https://klasma.github.io/Logging_0482/kartor/A 15452-2024 karta.png", "A 15452-2024")</f>
        <v/>
      </c>
      <c r="Y75">
        <f>HYPERLINK("https://klasma.github.io/Logging_0482/kartor_geotiff/A 15452-2024 georefererad karta.tif", "A 15452-2024")</f>
        <v/>
      </c>
      <c r="AA75">
        <f>HYPERLINK("https://klasma.github.io/Logging_0482/klagomål/A 15452-2024 FSC-klagomål.docx", "A 15452-2024")</f>
        <v/>
      </c>
      <c r="AB75">
        <f>HYPERLINK("https://klasma.github.io/Logging_0482/klagomålsmail/A 15452-2024 FSC-klagomål mail.docx", "A 15452-2024")</f>
        <v/>
      </c>
      <c r="AC75">
        <f>HYPERLINK("https://klasma.github.io/Logging_0482/tillsyn/A 15452-2024 tillsynsbegäran.docx", "A 15452-2024")</f>
        <v/>
      </c>
      <c r="AD75">
        <f>HYPERLINK("https://klasma.github.io/Logging_0482/tillsynsmail/A 15452-2024 tillsynsbegäran mail.docx", "A 15452-2024")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46234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46234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Slåtterfibbla
Svinrot</t>
        </is>
      </c>
      <c r="W77">
        <f>HYPERLINK("https://klasma.github.io/Logging_0482/artfynd/A 7506-2023 artfynd.xlsx", "A 7506-2023")</f>
        <v/>
      </c>
      <c r="X77">
        <f>HYPERLINK("https://klasma.github.io/Logging_0482/kartor/A 7506-2023 karta.png", "A 7506-2023")</f>
        <v/>
      </c>
      <c r="Y77">
        <f>HYPERLINK("https://klasma.github.io/Logging_0482/kartor_geotiff/A 7506-2023 georefererad karta.tif", "A 7506-2023")</f>
        <v/>
      </c>
      <c r="AA77">
        <f>HYPERLINK("https://klasma.github.io/Logging_0482/klagomål/A 7506-2023 FSC-klagomål.docx", "A 7506-2023")</f>
        <v/>
      </c>
      <c r="AB77">
        <f>HYPERLINK("https://klasma.github.io/Logging_0482/klagomålsmail/A 7506-2023 FSC-klagomål mail.docx", "A 7506-2023")</f>
        <v/>
      </c>
      <c r="AC77">
        <f>HYPERLINK("https://klasma.github.io/Logging_0482/tillsyn/A 7506-2023 tillsynsbegäran.docx", "A 7506-2023")</f>
        <v/>
      </c>
      <c r="AD77">
        <f>HYPERLINK("https://klasma.github.io/Logging_0482/tillsynsmail/A 7506-2023 tillsynsbegäran mail.docx", "A 7506-2023")</f>
        <v/>
      </c>
    </row>
    <row r="78" ht="15" customHeight="1">
      <c r="A78" t="inlineStr">
        <is>
          <t>A 4330-2026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46234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Backstarr
Blåsippa</t>
        </is>
      </c>
      <c r="W78">
        <f>HYPERLINK("https://klasma.github.io/Logging_0482/artfynd/A 4330-2026 artfynd.xlsx", "A 4330-2026")</f>
        <v/>
      </c>
      <c r="X78">
        <f>HYPERLINK("https://klasma.github.io/Logging_0482/kartor/A 4330-2026 karta.png", "A 4330-2026")</f>
        <v/>
      </c>
      <c r="Y78">
        <f>HYPERLINK("https://klasma.github.io/Logging_0482/kartor_geotiff/A 4330-2026 georefererad karta.tif", "A 4330-2026")</f>
        <v/>
      </c>
      <c r="AA78">
        <f>HYPERLINK("https://klasma.github.io/Logging_0482/klagomål/A 4330-2026 FSC-klagomål.docx", "A 4330-2026")</f>
        <v/>
      </c>
      <c r="AB78">
        <f>HYPERLINK("https://klasma.github.io/Logging_0482/klagomålsmail/A 4330-2026 FSC-klagomål mail.docx", "A 4330-2026")</f>
        <v/>
      </c>
      <c r="AC78">
        <f>HYPERLINK("https://klasma.github.io/Logging_0482/tillsyn/A 4330-2026 tillsynsbegäran.docx", "A 4330-2026")</f>
        <v/>
      </c>
      <c r="AD78">
        <f>HYPERLINK("https://klasma.github.io/Logging_0482/tillsynsmail/A 4330-2026 tillsynsbegäran mail.docx", "A 4330-2026")</f>
        <v/>
      </c>
    </row>
    <row r="79" ht="15" customHeight="1">
      <c r="A79" t="inlineStr">
        <is>
          <t>A 8887-2026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46068</v>
      </c>
      <c r="E79" s="1" t="n">
        <v>46234</v>
      </c>
      <c r="F79" t="inlineStr">
        <is>
          <t>SÖDERMANLANDS LÄN</t>
        </is>
      </c>
      <c r="G79" t="inlineStr">
        <is>
          <t>FLEN</t>
        </is>
      </c>
      <c r="I79" t="n">
        <v>2.1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Större vattensalamander
Mindre vattensalamander</t>
        </is>
      </c>
      <c r="W79">
        <f>HYPERLINK("https://klasma.github.io/Logging_0482/artfynd/A 8887-2026 artfynd.xlsx", "A 8887-2026")</f>
        <v/>
      </c>
      <c r="X79">
        <f>HYPERLINK("https://klasma.github.io/Logging_0482/kartor/A 8887-2026 karta.png", "A 8887-2026")</f>
        <v/>
      </c>
      <c r="Y79">
        <f>HYPERLINK("https://klasma.github.io/Logging_0482/kartor_geotiff/A 8887-2026 georefererad karta.tif", "A 8887-2026")</f>
        <v/>
      </c>
      <c r="AA79">
        <f>HYPERLINK("https://klasma.github.io/Logging_0482/klagomål/A 8887-2026 FSC-klagomål.docx", "A 8887-2026")</f>
        <v/>
      </c>
      <c r="AB79">
        <f>HYPERLINK("https://klasma.github.io/Logging_0482/klagomålsmail/A 8887-2026 FSC-klagomål mail.docx", "A 8887-2026")</f>
        <v/>
      </c>
      <c r="AC79">
        <f>HYPERLINK("https://klasma.github.io/Logging_0482/tillsyn/A 8887-2026 tillsynsbegäran.docx", "A 8887-2026")</f>
        <v/>
      </c>
      <c r="AD79">
        <f>HYPERLINK("https://klasma.github.io/Logging_0482/tillsynsmail/A 8887-2026 tillsynsbegäran mail.docx", "A 8887-2026")</f>
        <v/>
      </c>
    </row>
    <row r="80" ht="15" customHeight="1">
      <c r="A80" t="inlineStr">
        <is>
          <t>A 38882-2021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44411</v>
      </c>
      <c r="E80" s="1" t="n">
        <v>46234</v>
      </c>
      <c r="F80" t="inlineStr">
        <is>
          <t>SÖDERMANLANDS LÄN</t>
        </is>
      </c>
      <c r="G80" t="inlineStr">
        <is>
          <t>FLEN</t>
        </is>
      </c>
      <c r="I80" t="n">
        <v>3.4</v>
      </c>
      <c r="J80" t="n">
        <v>1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Knärot
Grönpyrola</t>
        </is>
      </c>
      <c r="W80">
        <f>HYPERLINK("https://klasma.github.io/Logging_0482/artfynd/A 38882-2021 artfynd.xlsx", "A 38882-2021")</f>
        <v/>
      </c>
      <c r="X80">
        <f>HYPERLINK("https://klasma.github.io/Logging_0482/kartor/A 38882-2021 karta.png", "A 38882-2021")</f>
        <v/>
      </c>
      <c r="Y80">
        <f>HYPERLINK("https://klasma.github.io/Logging_0482/kartor_geotiff/A 38882-2021 georefererad karta.tif", "A 38882-2021")</f>
        <v/>
      </c>
      <c r="Z80">
        <f>HYPERLINK("https://klasma.github.io/Logging_0482/knärot/A 38882-2021 karta knärot.png", "A 38882-2021")</f>
        <v/>
      </c>
      <c r="AA80">
        <f>HYPERLINK("https://klasma.github.io/Logging_0482/klagomål/A 38882-2021 FSC-klagomål.docx", "A 38882-2021")</f>
        <v/>
      </c>
      <c r="AB80">
        <f>HYPERLINK("https://klasma.github.io/Logging_0482/klagomålsmail/A 38882-2021 FSC-klagomål mail.docx", "A 38882-2021")</f>
        <v/>
      </c>
      <c r="AC80">
        <f>HYPERLINK("https://klasma.github.io/Logging_0482/tillsyn/A 38882-2021 tillsynsbegäran.docx", "A 38882-2021")</f>
        <v/>
      </c>
      <c r="AD80">
        <f>HYPERLINK("https://klasma.github.io/Logging_0482/tillsynsmail/A 38882-2021 tillsynsbegäran mail.docx", "A 38882-2021")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46234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52858-2023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46234</v>
      </c>
      <c r="F82" t="inlineStr">
        <is>
          <t>SÖDERMANLANDS LÄN</t>
        </is>
      </c>
      <c r="G82" t="inlineStr">
        <is>
          <t>FLEN</t>
        </is>
      </c>
      <c r="I82" t="n">
        <v>3.6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1</v>
      </c>
      <c r="V82" s="2" t="inlineStr">
        <is>
          <t>Mindre hackspett
Tallticka</t>
        </is>
      </c>
      <c r="W82">
        <f>HYPERLINK("https://klasma.github.io/Logging_0482/artfynd/A 52858-2023 artfynd.xlsx", "A 52858-2023")</f>
        <v/>
      </c>
      <c r="X82">
        <f>HYPERLINK("https://klasma.github.io/Logging_0482/kartor/A 52858-2023 karta.png", "A 52858-2023")</f>
        <v/>
      </c>
      <c r="Y82">
        <f>HYPERLINK("https://klasma.github.io/Logging_0482/kartor_geotiff/A 52858-2023 georefererad karta.tif", "A 52858-2023")</f>
        <v/>
      </c>
      <c r="AA82">
        <f>HYPERLINK("https://klasma.github.io/Logging_0482/klagomål/A 52858-2023 FSC-klagomål.docx", "A 52858-2023")</f>
        <v/>
      </c>
      <c r="AB82">
        <f>HYPERLINK("https://klasma.github.io/Logging_0482/klagomålsmail/A 52858-2023 FSC-klagomål mail.docx", "A 52858-2023")</f>
        <v/>
      </c>
      <c r="AC82">
        <f>HYPERLINK("https://klasma.github.io/Logging_0482/tillsyn/A 52858-2023 tillsynsbegäran.docx", "A 52858-2023")</f>
        <v/>
      </c>
      <c r="AD82">
        <f>HYPERLINK("https://klasma.github.io/Logging_0482/tillsynsmail/A 52858-2023 tillsynsbegäran mail.docx", "A 52858-2023")</f>
        <v/>
      </c>
      <c r="AE82">
        <f>HYPERLINK("https://klasma.github.io/Logging_0482/fåglar/A 52858-2023 prioriterade fågelarter.docx", "A 52858-2023")</f>
        <v/>
      </c>
    </row>
    <row r="83" ht="15" customHeight="1">
      <c r="A83" t="inlineStr">
        <is>
          <t>A 22101-2023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46234</v>
      </c>
      <c r="F83" t="inlineStr">
        <is>
          <t>SÖDERMANLANDS LÄN</t>
        </is>
      </c>
      <c r="G83" t="inlineStr">
        <is>
          <t>FLEN</t>
        </is>
      </c>
      <c r="I83" t="n">
        <v>2.7</v>
      </c>
      <c r="J83" t="n">
        <v>2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Bombmurkla
Blåsippa</t>
        </is>
      </c>
      <c r="W83">
        <f>HYPERLINK("https://klasma.github.io/Logging_0482/artfynd/A 22101-2023 artfynd.xlsx", "A 22101-2023")</f>
        <v/>
      </c>
      <c r="X83">
        <f>HYPERLINK("https://klasma.github.io/Logging_0482/kartor/A 22101-2023 karta.png", "A 22101-2023")</f>
        <v/>
      </c>
      <c r="Y83">
        <f>HYPERLINK("https://klasma.github.io/Logging_0482/kartor_geotiff/A 22101-2023 georefererad karta.tif", "A 22101-2023")</f>
        <v/>
      </c>
      <c r="AA83">
        <f>HYPERLINK("https://klasma.github.io/Logging_0482/klagomål/A 22101-2023 FSC-klagomål.docx", "A 22101-2023")</f>
        <v/>
      </c>
      <c r="AB83">
        <f>HYPERLINK("https://klasma.github.io/Logging_0482/klagomålsmail/A 22101-2023 FSC-klagomål mail.docx", "A 22101-2023")</f>
        <v/>
      </c>
      <c r="AC83">
        <f>HYPERLINK("https://klasma.github.io/Logging_0482/tillsyn/A 22101-2023 tillsynsbegäran.docx", "A 22101-2023")</f>
        <v/>
      </c>
      <c r="AD83">
        <f>HYPERLINK("https://klasma.github.io/Logging_0482/tillsynsmail/A 22101-2023 tillsynsbegäran mail.docx", "A 22101-2023")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46234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46234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46234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46234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22511-2026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46234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Ormbär
Skriftlav</t>
        </is>
      </c>
      <c r="W88">
        <f>HYPERLINK("https://klasma.github.io/Logging_0482/artfynd/A 22511-2026 artfynd.xlsx", "A 22511-2026")</f>
        <v/>
      </c>
      <c r="X88">
        <f>HYPERLINK("https://klasma.github.io/Logging_0482/kartor/A 22511-2026 karta.png", "A 22511-2026")</f>
        <v/>
      </c>
      <c r="Y88">
        <f>HYPERLINK("https://klasma.github.io/Logging_0482/kartor_geotiff/A 22511-2026 georefererad karta.tif", "A 22511-2026")</f>
        <v/>
      </c>
      <c r="AA88">
        <f>HYPERLINK("https://klasma.github.io/Logging_0482/klagomål/A 22511-2026 FSC-klagomål.docx", "A 22511-2026")</f>
        <v/>
      </c>
      <c r="AB88">
        <f>HYPERLINK("https://klasma.github.io/Logging_0482/klagomålsmail/A 22511-2026 FSC-klagomål mail.docx", "A 22511-2026")</f>
        <v/>
      </c>
      <c r="AC88">
        <f>HYPERLINK("https://klasma.github.io/Logging_0482/tillsyn/A 22511-2026 tillsynsbegäran.docx", "A 22511-2026")</f>
        <v/>
      </c>
      <c r="AD88">
        <f>HYPERLINK("https://klasma.github.io/Logging_0482/tillsynsmail/A 22511-2026 tillsynsbegäran mail.docx", "A 22511-2026")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46234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46234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Gullklöver
Svinrot</t>
        </is>
      </c>
      <c r="W90">
        <f>HYPERLINK("https://klasma.github.io/Logging_0482/artfynd/A 15557-2026 artfynd.xlsx", "A 15557-2026")</f>
        <v/>
      </c>
      <c r="X90">
        <f>HYPERLINK("https://klasma.github.io/Logging_0482/kartor/A 15557-2026 karta.png", "A 15557-2026")</f>
        <v/>
      </c>
      <c r="Y90">
        <f>HYPERLINK("https://klasma.github.io/Logging_0482/kartor_geotiff/A 15557-2026 georefererad karta.tif", "A 15557-2026")</f>
        <v/>
      </c>
      <c r="AA90">
        <f>HYPERLINK("https://klasma.github.io/Logging_0482/klagomål/A 15557-2026 FSC-klagomål.docx", "A 15557-2026")</f>
        <v/>
      </c>
      <c r="AB90">
        <f>HYPERLINK("https://klasma.github.io/Logging_0482/klagomålsmail/A 15557-2026 FSC-klagomål mail.docx", "A 15557-2026")</f>
        <v/>
      </c>
      <c r="AC90">
        <f>HYPERLINK("https://klasma.github.io/Logging_0482/tillsyn/A 15557-2026 tillsynsbegäran.docx", "A 15557-2026")</f>
        <v/>
      </c>
      <c r="AD90">
        <f>HYPERLINK("https://klasma.github.io/Logging_0482/tillsynsmail/A 15557-2026 tillsynsbegäran mail.docx", "A 15557-2026")</f>
        <v/>
      </c>
    </row>
    <row r="91" ht="15" customHeight="1">
      <c r="A91" t="inlineStr">
        <is>
          <t>A 10825-2022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46234</v>
      </c>
      <c r="F91" t="inlineStr">
        <is>
          <t>SÖDERMANLANDS LÄN</t>
        </is>
      </c>
      <c r="G91" t="inlineStr">
        <is>
          <t>FLEN</t>
        </is>
      </c>
      <c r="I91" t="n">
        <v>4.7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Svinrot
Vanlig backsmörblomma</t>
        </is>
      </c>
      <c r="W91">
        <f>HYPERLINK("https://klasma.github.io/Logging_0482/artfynd/A 10825-2022 artfynd.xlsx", "A 10825-2022")</f>
        <v/>
      </c>
      <c r="X91">
        <f>HYPERLINK("https://klasma.github.io/Logging_0482/kartor/A 10825-2022 karta.png", "A 10825-2022")</f>
        <v/>
      </c>
      <c r="Y91">
        <f>HYPERLINK("https://klasma.github.io/Logging_0482/kartor_geotiff/A 10825-2022 georefererad karta.tif", "A 10825-2022")</f>
        <v/>
      </c>
      <c r="AA91">
        <f>HYPERLINK("https://klasma.github.io/Logging_0482/klagomål/A 10825-2022 FSC-klagomål.docx", "A 10825-2022")</f>
        <v/>
      </c>
      <c r="AB91">
        <f>HYPERLINK("https://klasma.github.io/Logging_0482/klagomålsmail/A 10825-2022 FSC-klagomål mail.docx", "A 10825-2022")</f>
        <v/>
      </c>
      <c r="AC91">
        <f>HYPERLINK("https://klasma.github.io/Logging_0482/tillsyn/A 10825-2022 tillsynsbegäran.docx", "A 10825-2022")</f>
        <v/>
      </c>
      <c r="AD91">
        <f>HYPERLINK("https://klasma.github.io/Logging_0482/tillsynsmail/A 10825-2022 tillsynsbegäran mail.docx", "A 10825-2022")</f>
        <v/>
      </c>
    </row>
    <row r="92" ht="15" customHeight="1">
      <c r="A92" t="inlineStr">
        <is>
          <t>A 11103-2023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46234</v>
      </c>
      <c r="F92" t="inlineStr">
        <is>
          <t>SÖDERMANLANDS LÄN</t>
        </is>
      </c>
      <c r="G92" t="inlineStr">
        <is>
          <t>FLEN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Blåmossa</t>
        </is>
      </c>
      <c r="W92">
        <f>HYPERLINK("https://klasma.github.io/Logging_0482/artfynd/A 11103-2023 artfynd.xlsx", "A 11103-2023")</f>
        <v/>
      </c>
      <c r="X92">
        <f>HYPERLINK("https://klasma.github.io/Logging_0482/kartor/A 11103-2023 karta.png", "A 11103-2023")</f>
        <v/>
      </c>
      <c r="Y92">
        <f>HYPERLINK("https://klasma.github.io/Logging_0482/kartor_geotiff/A 11103-2023 georefererad karta.tif", "A 11103-2023")</f>
        <v/>
      </c>
      <c r="AA92">
        <f>HYPERLINK("https://klasma.github.io/Logging_0482/klagomål/A 11103-2023 FSC-klagomål.docx", "A 11103-2023")</f>
        <v/>
      </c>
      <c r="AB92">
        <f>HYPERLINK("https://klasma.github.io/Logging_0482/klagomålsmail/A 11103-2023 FSC-klagomål mail.docx", "A 11103-2023")</f>
        <v/>
      </c>
      <c r="AC92">
        <f>HYPERLINK("https://klasma.github.io/Logging_0482/tillsyn/A 11103-2023 tillsynsbegäran.docx", "A 11103-2023")</f>
        <v/>
      </c>
      <c r="AD92">
        <f>HYPERLINK("https://klasma.github.io/Logging_0482/tillsynsmail/A 11103-2023 tillsynsbegäran mail.docx", "A 11103-2023")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46234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46234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46234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46234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46234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46234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46234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46234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38829-2025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46234</v>
      </c>
      <c r="F101" t="inlineStr">
        <is>
          <t>SÖDERMANLANDS LÄN</t>
        </is>
      </c>
      <c r="G101" t="inlineStr">
        <is>
          <t>FLEN</t>
        </is>
      </c>
      <c r="I101" t="n">
        <v>4.2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38829-2025 artfynd.xlsx", "A 38829-2025")</f>
        <v/>
      </c>
      <c r="X101">
        <f>HYPERLINK("https://klasma.github.io/Logging_0482/kartor/A 38829-2025 karta.png", "A 38829-2025")</f>
        <v/>
      </c>
      <c r="Y101">
        <f>HYPERLINK("https://klasma.github.io/Logging_0482/kartor_geotiff/A 38829-2025 georefererad karta.tif", "A 38829-2025")</f>
        <v/>
      </c>
      <c r="AA101">
        <f>HYPERLINK("https://klasma.github.io/Logging_0482/klagomål/A 38829-2025 FSC-klagomål.docx", "A 38829-2025")</f>
        <v/>
      </c>
      <c r="AB101">
        <f>HYPERLINK("https://klasma.github.io/Logging_0482/klagomålsmail/A 38829-2025 FSC-klagomål mail.docx", "A 38829-2025")</f>
        <v/>
      </c>
      <c r="AC101">
        <f>HYPERLINK("https://klasma.github.io/Logging_0482/tillsyn/A 38829-2025 tillsynsbegäran.docx", "A 38829-2025")</f>
        <v/>
      </c>
      <c r="AD101">
        <f>HYPERLINK("https://klasma.github.io/Logging_0482/tillsynsmail/A 38829-2025 tillsynsbegäran mail.docx", "A 38829-2025")</f>
        <v/>
      </c>
    </row>
    <row r="102" ht="15" customHeight="1">
      <c r="A102" t="inlineStr">
        <is>
          <t>A 46115-2023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46234</v>
      </c>
      <c r="F102" t="inlineStr">
        <is>
          <t>SÖDERMANLANDS LÄN</t>
        </is>
      </c>
      <c r="G102" t="inlineStr">
        <is>
          <t>FLEN</t>
        </is>
      </c>
      <c r="H102" t="inlineStr">
        <is>
          <t>Kyrkan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Ullticka</t>
        </is>
      </c>
      <c r="W102">
        <f>HYPERLINK("https://klasma.github.io/Logging_0482/artfynd/A 46115-2023 artfynd.xlsx", "A 46115-2023")</f>
        <v/>
      </c>
      <c r="X102">
        <f>HYPERLINK("https://klasma.github.io/Logging_0482/kartor/A 46115-2023 karta.png", "A 46115-2023")</f>
        <v/>
      </c>
      <c r="Y102">
        <f>HYPERLINK("https://klasma.github.io/Logging_0482/kartor_geotiff/A 46115-2023 georefererad karta.tif", "A 46115-2023")</f>
        <v/>
      </c>
      <c r="AA102">
        <f>HYPERLINK("https://klasma.github.io/Logging_0482/klagomål/A 46115-2023 FSC-klagomål.docx", "A 46115-2023")</f>
        <v/>
      </c>
      <c r="AB102">
        <f>HYPERLINK("https://klasma.github.io/Logging_0482/klagomålsmail/A 46115-2023 FSC-klagomål mail.docx", "A 46115-2023")</f>
        <v/>
      </c>
      <c r="AC102">
        <f>HYPERLINK("https://klasma.github.io/Logging_0482/tillsyn/A 46115-2023 tillsynsbegäran.docx", "A 46115-2023")</f>
        <v/>
      </c>
      <c r="AD102">
        <f>HYPERLINK("https://klasma.github.io/Logging_0482/tillsynsmail/A 46115-2023 tillsynsbegäran mail.docx", "A 46115-2023")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46234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56308-2024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46234</v>
      </c>
      <c r="F104" t="inlineStr">
        <is>
          <t>SÖDERMANLANDS LÄN</t>
        </is>
      </c>
      <c r="G104" t="inlineStr">
        <is>
          <t>FLEN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56308-2024 artfynd.xlsx", "A 56308-2024")</f>
        <v/>
      </c>
      <c r="X104">
        <f>HYPERLINK("https://klasma.github.io/Logging_0482/kartor/A 56308-2024 karta.png", "A 56308-2024")</f>
        <v/>
      </c>
      <c r="Y104">
        <f>HYPERLINK("https://klasma.github.io/Logging_0482/kartor_geotiff/A 56308-2024 georefererad karta.tif", "A 56308-2024")</f>
        <v/>
      </c>
      <c r="AA104">
        <f>HYPERLINK("https://klasma.github.io/Logging_0482/klagomål/A 56308-2024 FSC-klagomål.docx", "A 56308-2024")</f>
        <v/>
      </c>
      <c r="AB104">
        <f>HYPERLINK("https://klasma.github.io/Logging_0482/klagomålsmail/A 56308-2024 FSC-klagomål mail.docx", "A 56308-2024")</f>
        <v/>
      </c>
      <c r="AC104">
        <f>HYPERLINK("https://klasma.github.io/Logging_0482/tillsyn/A 56308-2024 tillsynsbegäran.docx", "A 56308-2024")</f>
        <v/>
      </c>
      <c r="AD104">
        <f>HYPERLINK("https://klasma.github.io/Logging_0482/tillsynsmail/A 56308-2024 tillsynsbegäran mail.docx", "A 56308-2024")</f>
        <v/>
      </c>
    </row>
    <row r="105" ht="15" customHeight="1">
      <c r="A105" t="inlineStr">
        <is>
          <t>A 52563-2021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44463</v>
      </c>
      <c r="E105" s="1" t="n">
        <v>46234</v>
      </c>
      <c r="F105" t="inlineStr">
        <is>
          <t>SÖDERMANLANDS LÄN</t>
        </is>
      </c>
      <c r="G105" t="inlineStr">
        <is>
          <t>FLEN</t>
        </is>
      </c>
      <c r="I105" t="n">
        <v>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Gulsparv</t>
        </is>
      </c>
      <c r="W105">
        <f>HYPERLINK("https://klasma.github.io/Logging_0482/artfynd/A 52563-2021 artfynd.xlsx", "A 52563-2021")</f>
        <v/>
      </c>
      <c r="X105">
        <f>HYPERLINK("https://klasma.github.io/Logging_0482/kartor/A 52563-2021 karta.png", "A 52563-2021")</f>
        <v/>
      </c>
      <c r="Y105">
        <f>HYPERLINK("https://klasma.github.io/Logging_0482/kartor_geotiff/A 52563-2021 georefererad karta.tif", "A 52563-2021")</f>
        <v/>
      </c>
      <c r="AA105">
        <f>HYPERLINK("https://klasma.github.io/Logging_0482/klagomål/A 52563-2021 FSC-klagomål.docx", "A 52563-2021")</f>
        <v/>
      </c>
      <c r="AB105">
        <f>HYPERLINK("https://klasma.github.io/Logging_0482/klagomålsmail/A 52563-2021 FSC-klagomål mail.docx", "A 52563-2021")</f>
        <v/>
      </c>
      <c r="AC105">
        <f>HYPERLINK("https://klasma.github.io/Logging_0482/tillsyn/A 52563-2021 tillsynsbegäran.docx", "A 52563-2021")</f>
        <v/>
      </c>
      <c r="AD105">
        <f>HYPERLINK("https://klasma.github.io/Logging_0482/tillsynsmail/A 52563-2021 tillsynsbegäran mail.docx", "A 52563-2021")</f>
        <v/>
      </c>
      <c r="AE105">
        <f>HYPERLINK("https://klasma.github.io/Logging_0482/fåglar/A 52563-2021 prioriterade fågelarter.docx", "A 52563-2021")</f>
        <v/>
      </c>
    </row>
    <row r="106" ht="15" customHeight="1">
      <c r="A106" t="inlineStr">
        <is>
          <t>A 13858-2023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45007</v>
      </c>
      <c r="E106" s="1" t="n">
        <v>46234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Svedjenäva</t>
        </is>
      </c>
      <c r="W106">
        <f>HYPERLINK("https://klasma.github.io/Logging_0482/artfynd/A 13858-2023 artfynd.xlsx", "A 13858-2023")</f>
        <v/>
      </c>
      <c r="X106">
        <f>HYPERLINK("https://klasma.github.io/Logging_0482/kartor/A 13858-2023 karta.png", "A 13858-2023")</f>
        <v/>
      </c>
      <c r="Y106">
        <f>HYPERLINK("https://klasma.github.io/Logging_0482/kartor_geotiff/A 13858-2023 georefererad karta.tif", "A 13858-2023")</f>
        <v/>
      </c>
      <c r="AA106">
        <f>HYPERLINK("https://klasma.github.io/Logging_0482/klagomål/A 13858-2023 FSC-klagomål.docx", "A 13858-2023")</f>
        <v/>
      </c>
      <c r="AB106">
        <f>HYPERLINK("https://klasma.github.io/Logging_0482/klagomålsmail/A 13858-2023 FSC-klagomål mail.docx", "A 13858-2023")</f>
        <v/>
      </c>
      <c r="AC106">
        <f>HYPERLINK("https://klasma.github.io/Logging_0482/tillsyn/A 13858-2023 tillsynsbegäran.docx", "A 13858-2023")</f>
        <v/>
      </c>
      <c r="AD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46234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46234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52579-2025 artfynd.xlsx", "A 52579-2025")</f>
        <v/>
      </c>
      <c r="X108">
        <f>HYPERLINK("https://klasma.github.io/Logging_0482/kartor/A 52579-2025 karta.png", "A 52579-2025")</f>
        <v/>
      </c>
      <c r="Y108">
        <f>HYPERLINK("https://klasma.github.io/Logging_0482/kartor_geotiff/A 52579-2025 georefererad karta.tif", "A 52579-2025")</f>
        <v/>
      </c>
      <c r="AA108">
        <f>HYPERLINK("https://klasma.github.io/Logging_0482/klagomål/A 52579-2025 FSC-klagomål.docx", "A 52579-2025")</f>
        <v/>
      </c>
      <c r="AB108">
        <f>HYPERLINK("https://klasma.github.io/Logging_0482/klagomålsmail/A 52579-2025 FSC-klagomål mail.docx", "A 52579-2025")</f>
        <v/>
      </c>
      <c r="AC108">
        <f>HYPERLINK("https://klasma.github.io/Logging_0482/tillsyn/A 52579-2025 tillsynsbegäran.docx", "A 52579-2025")</f>
        <v/>
      </c>
      <c r="AD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37283-2024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45540</v>
      </c>
      <c r="E109" s="1" t="n">
        <v>46234</v>
      </c>
      <c r="F109" t="inlineStr">
        <is>
          <t>SÖDERMANLANDS LÄN</t>
        </is>
      </c>
      <c r="G109" t="inlineStr">
        <is>
          <t>FLEN</t>
        </is>
      </c>
      <c r="I109" t="n">
        <v>1.5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37283-2024 artfynd.xlsx", "A 37283-2024")</f>
        <v/>
      </c>
      <c r="X109">
        <f>HYPERLINK("https://klasma.github.io/Logging_0482/kartor/A 37283-2024 karta.png", "A 37283-2024")</f>
        <v/>
      </c>
      <c r="Y109">
        <f>HYPERLINK("https://klasma.github.io/Logging_0482/kartor_geotiff/A 37283-2024 georefererad karta.tif", "A 37283-2024")</f>
        <v/>
      </c>
      <c r="AA109">
        <f>HYPERLINK("https://klasma.github.io/Logging_0482/klagomål/A 37283-2024 FSC-klagomål.docx", "A 37283-2024")</f>
        <v/>
      </c>
      <c r="AB109">
        <f>HYPERLINK("https://klasma.github.io/Logging_0482/klagomålsmail/A 37283-2024 FSC-klagomål mail.docx", "A 37283-2024")</f>
        <v/>
      </c>
      <c r="AC109">
        <f>HYPERLINK("https://klasma.github.io/Logging_0482/tillsyn/A 37283-2024 tillsynsbegäran.docx", "A 37283-2024")</f>
        <v/>
      </c>
      <c r="AD109">
        <f>HYPERLINK("https://klasma.github.io/Logging_0482/tillsynsmail/A 37283-2024 tillsynsbegäran mail.docx", "A 37283-2024")</f>
        <v/>
      </c>
    </row>
    <row r="110" ht="15" customHeight="1">
      <c r="A110" t="inlineStr">
        <is>
          <t>A 7525-2024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45348</v>
      </c>
      <c r="E110" s="1" t="n">
        <v>46234</v>
      </c>
      <c r="F110" t="inlineStr">
        <is>
          <t>SÖDERMANLANDS LÄN</t>
        </is>
      </c>
      <c r="G110" t="inlineStr">
        <is>
          <t>FLEN</t>
        </is>
      </c>
      <c r="I110" t="n">
        <v>2.3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Vanlig backsmörblomma</t>
        </is>
      </c>
      <c r="W110">
        <f>HYPERLINK("https://klasma.github.io/Logging_0482/artfynd/A 7525-2024 artfynd.xlsx", "A 7525-2024")</f>
        <v/>
      </c>
      <c r="X110">
        <f>HYPERLINK("https://klasma.github.io/Logging_0482/kartor/A 7525-2024 karta.png", "A 7525-2024")</f>
        <v/>
      </c>
      <c r="Y110">
        <f>HYPERLINK("https://klasma.github.io/Logging_0482/kartor_geotiff/A 7525-2024 georefererad karta.tif", "A 7525-2024")</f>
        <v/>
      </c>
      <c r="AA110">
        <f>HYPERLINK("https://klasma.github.io/Logging_0482/klagomål/A 7525-2024 FSC-klagomål.docx", "A 7525-2024")</f>
        <v/>
      </c>
      <c r="AB110">
        <f>HYPERLINK("https://klasma.github.io/Logging_0482/klagomålsmail/A 7525-2024 FSC-klagomål mail.docx", "A 7525-2024")</f>
        <v/>
      </c>
      <c r="AC110">
        <f>HYPERLINK("https://klasma.github.io/Logging_0482/tillsyn/A 7525-2024 tillsynsbegäran.docx", "A 7525-2024")</f>
        <v/>
      </c>
      <c r="AD110">
        <f>HYPERLINK("https://klasma.github.io/Logging_0482/tillsynsmail/A 7525-2024 tillsynsbegäran mail.docx", "A 7525-2024")</f>
        <v/>
      </c>
    </row>
    <row r="111" ht="15" customHeight="1">
      <c r="A111" t="inlineStr">
        <is>
          <t>A 31427-2022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44774</v>
      </c>
      <c r="E111" s="1" t="n">
        <v>46234</v>
      </c>
      <c r="F111" t="inlineStr">
        <is>
          <t>SÖDERMANLANDS LÄN</t>
        </is>
      </c>
      <c r="G111" t="inlineStr">
        <is>
          <t>FLEN</t>
        </is>
      </c>
      <c r="I111" t="n">
        <v>3.7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HYPERLINK("https://klasma.github.io/Logging_0482/artfynd/A 31427-2022 artfynd.xlsx", "A 31427-2022")</f>
        <v/>
      </c>
      <c r="X111">
        <f>HYPERLINK("https://klasma.github.io/Logging_0482/kartor/A 31427-2022 karta.png", "A 31427-2022")</f>
        <v/>
      </c>
      <c r="Y111">
        <f>HYPERLINK("https://klasma.github.io/Logging_0482/kartor_geotiff/A 31427-2022 georefererad karta.tif", "A 31427-2022")</f>
        <v/>
      </c>
      <c r="AA111">
        <f>HYPERLINK("https://klasma.github.io/Logging_0482/klagomål/A 31427-2022 FSC-klagomål.docx", "A 31427-2022")</f>
        <v/>
      </c>
      <c r="AB111">
        <f>HYPERLINK("https://klasma.github.io/Logging_0482/klagomålsmail/A 31427-2022 FSC-klagomål mail.docx", "A 31427-2022")</f>
        <v/>
      </c>
      <c r="AC111">
        <f>HYPERLINK("https://klasma.github.io/Logging_0482/tillsyn/A 31427-2022 tillsynsbegäran.docx", "A 31427-2022")</f>
        <v/>
      </c>
      <c r="AD111">
        <f>HYPERLINK("https://klasma.github.io/Logging_0482/tillsynsmail/A 31427-2022 tillsynsbegäran mail.docx", "A 31427-2022")</f>
        <v/>
      </c>
    </row>
    <row r="112" ht="15" customHeight="1">
      <c r="A112" t="inlineStr">
        <is>
          <t>A 14113-2025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46234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3.6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HYPERLINK("https://klasma.github.io/Logging_0482/artfynd/A 14113-2025 artfynd.xlsx", "A 14113-2025")</f>
        <v/>
      </c>
      <c r="X112">
        <f>HYPERLINK("https://klasma.github.io/Logging_0482/kartor/A 14113-2025 karta.png", "A 14113-2025")</f>
        <v/>
      </c>
      <c r="Y112">
        <f>HYPERLINK("https://klasma.github.io/Logging_0482/kartor_geotiff/A 14113-2025 georefererad karta.tif", "A 14113-2025")</f>
        <v/>
      </c>
      <c r="AA112">
        <f>HYPERLINK("https://klasma.github.io/Logging_0482/klagomål/A 14113-2025 FSC-klagomål.docx", "A 14113-2025")</f>
        <v/>
      </c>
      <c r="AB112">
        <f>HYPERLINK("https://klasma.github.io/Logging_0482/klagomålsmail/A 14113-2025 FSC-klagomål mail.docx", "A 14113-2025")</f>
        <v/>
      </c>
      <c r="AC112">
        <f>HYPERLINK("https://klasma.github.io/Logging_0482/tillsyn/A 14113-2025 tillsynsbegäran.docx", "A 14113-2025")</f>
        <v/>
      </c>
      <c r="AD112">
        <f>HYPERLINK("https://klasma.github.io/Logging_0482/tillsynsmail/A 14113-2025 tillsynsbegäran mail.docx", "A 14113-2025")</f>
        <v/>
      </c>
    </row>
    <row r="113" ht="15" customHeight="1">
      <c r="A113" t="inlineStr">
        <is>
          <t>A 6982-2024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46234</v>
      </c>
      <c r="F113" t="inlineStr">
        <is>
          <t>SÖDERMANLANDS LÄN</t>
        </is>
      </c>
      <c r="G113" t="inlineStr">
        <is>
          <t>FLEN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HYPERLINK("https://klasma.github.io/Logging_0482/artfynd/A 6982-2024 artfynd.xlsx", "A 6982-2024")</f>
        <v/>
      </c>
      <c r="X113">
        <f>HYPERLINK("https://klasma.github.io/Logging_0482/kartor/A 6982-2024 karta.png", "A 6982-2024")</f>
        <v/>
      </c>
      <c r="Y113">
        <f>HYPERLINK("https://klasma.github.io/Logging_0482/kartor_geotiff/A 6982-2024 georefererad karta.tif", "A 6982-2024")</f>
        <v/>
      </c>
      <c r="AA113">
        <f>HYPERLINK("https://klasma.github.io/Logging_0482/klagomål/A 6982-2024 FSC-klagomål.docx", "A 6982-2024")</f>
        <v/>
      </c>
      <c r="AB113">
        <f>HYPERLINK("https://klasma.github.io/Logging_0482/klagomålsmail/A 6982-2024 FSC-klagomål mail.docx", "A 6982-2024")</f>
        <v/>
      </c>
      <c r="AC113">
        <f>HYPERLINK("https://klasma.github.io/Logging_0482/tillsyn/A 6982-2024 tillsynsbegäran.docx", "A 6982-2024")</f>
        <v/>
      </c>
      <c r="AD113">
        <f>HYPERLINK("https://klasma.github.io/Logging_0482/tillsynsmail/A 6982-2024 tillsynsbegäran mail.docx", "A 6982-2024")</f>
        <v/>
      </c>
    </row>
    <row r="114" ht="15" customHeight="1">
      <c r="A114" t="inlineStr">
        <is>
          <t>A 55092-2021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46234</v>
      </c>
      <c r="F114" t="inlineStr">
        <is>
          <t>SÖDERMANLANDS LÄN</t>
        </is>
      </c>
      <c r="G114" t="inlineStr">
        <is>
          <t>FLEN</t>
        </is>
      </c>
      <c r="I114" t="n">
        <v>3.5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Huggorm</t>
        </is>
      </c>
      <c r="W114">
        <f>HYPERLINK("https://klasma.github.io/Logging_0482/artfynd/A 55092-2021 artfynd.xlsx", "A 55092-2021")</f>
        <v/>
      </c>
      <c r="X114">
        <f>HYPERLINK("https://klasma.github.io/Logging_0482/kartor/A 55092-2021 karta.png", "A 55092-2021")</f>
        <v/>
      </c>
      <c r="Y114">
        <f>HYPERLINK("https://klasma.github.io/Logging_0482/kartor_geotiff/A 55092-2021 georefererad karta.tif", "A 55092-2021")</f>
        <v/>
      </c>
      <c r="AA114">
        <f>HYPERLINK("https://klasma.github.io/Logging_0482/klagomål/A 55092-2021 FSC-klagomål.docx", "A 55092-2021")</f>
        <v/>
      </c>
      <c r="AB114">
        <f>HYPERLINK("https://klasma.github.io/Logging_0482/klagomålsmail/A 55092-2021 FSC-klagomål mail.docx", "A 55092-2021")</f>
        <v/>
      </c>
      <c r="AC114">
        <f>HYPERLINK("https://klasma.github.io/Logging_0482/tillsyn/A 55092-2021 tillsynsbegäran.docx", "A 55092-2021")</f>
        <v/>
      </c>
      <c r="AD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2043-2026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46234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2.1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Scharlakansvaxing</t>
        </is>
      </c>
      <c r="W115">
        <f>HYPERLINK("https://klasma.github.io/Logging_0482/artfynd/A 2043-2026 artfynd.xlsx", "A 2043-2026")</f>
        <v/>
      </c>
      <c r="X115">
        <f>HYPERLINK("https://klasma.github.io/Logging_0482/kartor/A 2043-2026 karta.png", "A 2043-2026")</f>
        <v/>
      </c>
      <c r="Y115">
        <f>HYPERLINK("https://klasma.github.io/Logging_0482/kartor_geotiff/A 2043-2026 georefererad karta.tif", "A 2043-2026")</f>
        <v/>
      </c>
      <c r="AA115">
        <f>HYPERLINK("https://klasma.github.io/Logging_0482/klagomål/A 2043-2026 FSC-klagomål.docx", "A 2043-2026")</f>
        <v/>
      </c>
      <c r="AB115">
        <f>HYPERLINK("https://klasma.github.io/Logging_0482/klagomålsmail/A 2043-2026 FSC-klagomål mail.docx", "A 2043-2026")</f>
        <v/>
      </c>
      <c r="AC115">
        <f>HYPERLINK("https://klasma.github.io/Logging_0482/tillsyn/A 2043-2026 tillsynsbegäran.docx", "A 2043-2026")</f>
        <v/>
      </c>
      <c r="AD115">
        <f>HYPERLINK("https://klasma.github.io/Logging_0482/tillsynsmail/A 2043-2026 tillsynsbegäran mail.docx", "A 2043-2026")</f>
        <v/>
      </c>
    </row>
    <row r="116" ht="15" customHeight="1">
      <c r="A116" t="inlineStr">
        <is>
          <t>A 2036-2026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46234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HYPERLINK("https://klasma.github.io/Logging_0482/artfynd/A 2036-2026 artfynd.xlsx", "A 2036-2026")</f>
        <v/>
      </c>
      <c r="X116">
        <f>HYPERLINK("https://klasma.github.io/Logging_0482/kartor/A 2036-2026 karta.png", "A 2036-2026")</f>
        <v/>
      </c>
      <c r="Y116">
        <f>HYPERLINK("https://klasma.github.io/Logging_0482/kartor_geotiff/A 2036-2026 georefererad karta.tif", "A 2036-2026")</f>
        <v/>
      </c>
      <c r="Z116">
        <f>HYPERLINK("https://klasma.github.io/Logging_0482/knärot/A 2036-2026 karta knärot.png", "A 2036-2026")</f>
        <v/>
      </c>
      <c r="AA116">
        <f>HYPERLINK("https://klasma.github.io/Logging_0482/klagomål/A 2036-2026 FSC-klagomål.docx", "A 2036-2026")</f>
        <v/>
      </c>
      <c r="AB116">
        <f>HYPERLINK("https://klasma.github.io/Logging_0482/klagomålsmail/A 2036-2026 FSC-klagomål mail.docx", "A 2036-2026")</f>
        <v/>
      </c>
      <c r="AC116">
        <f>HYPERLINK("https://klasma.github.io/Logging_0482/tillsyn/A 2036-2026 tillsynsbegäran.docx", "A 2036-2026")</f>
        <v/>
      </c>
      <c r="AD116">
        <f>HYPERLINK("https://klasma.github.io/Logging_0482/tillsynsmail/A 2036-2026 tillsynsbegäran mail.docx", "A 2036-2026")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46234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46234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46234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6714-2026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46234</v>
      </c>
      <c r="F120" t="inlineStr">
        <is>
          <t>SÖDERMANLANDS LÄN</t>
        </is>
      </c>
      <c r="G120" t="inlineStr">
        <is>
          <t>FLEN</t>
        </is>
      </c>
      <c r="I120" t="n">
        <v>4.6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6714-2026 artfynd.xlsx", "A 6714-2026")</f>
        <v/>
      </c>
      <c r="X120">
        <f>HYPERLINK("https://klasma.github.io/Logging_0482/kartor/A 6714-2026 karta.png", "A 6714-2026")</f>
        <v/>
      </c>
      <c r="Y120">
        <f>HYPERLINK("https://klasma.github.io/Logging_0482/kartor_geotiff/A 6714-2026 georefererad karta.tif", "A 6714-2026")</f>
        <v/>
      </c>
      <c r="AA120">
        <f>HYPERLINK("https://klasma.github.io/Logging_0482/klagomål/A 6714-2026 FSC-klagomål.docx", "A 6714-2026")</f>
        <v/>
      </c>
      <c r="AB120">
        <f>HYPERLINK("https://klasma.github.io/Logging_0482/klagomålsmail/A 6714-2026 FSC-klagomål mail.docx", "A 6714-2026")</f>
        <v/>
      </c>
      <c r="AC120">
        <f>HYPERLINK("https://klasma.github.io/Logging_0482/tillsyn/A 6714-2026 tillsynsbegäran.docx", "A 6714-2026")</f>
        <v/>
      </c>
      <c r="AD120">
        <f>HYPERLINK("https://klasma.github.io/Logging_0482/tillsynsmail/A 6714-2026 tillsynsbegäran mail.docx", "A 6714-2026")</f>
        <v/>
      </c>
    </row>
    <row r="121" ht="15" customHeight="1">
      <c r="A121" t="inlineStr">
        <is>
          <t>A 1242-2022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46234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HYPERLINK("https://klasma.github.io/Logging_0482/artfynd/A 1242-2022 artfynd.xlsx", "A 1242-2022")</f>
        <v/>
      </c>
      <c r="X121">
        <f>HYPERLINK("https://klasma.github.io/Logging_0482/kartor/A 1242-2022 karta.png", "A 1242-2022")</f>
        <v/>
      </c>
      <c r="Y121">
        <f>HYPERLINK("https://klasma.github.io/Logging_0482/kartor_geotiff/A 1242-2022 georefererad karta.tif", "A 1242-2022")</f>
        <v/>
      </c>
      <c r="AA121">
        <f>HYPERLINK("https://klasma.github.io/Logging_0482/klagomål/A 1242-2022 FSC-klagomål.docx", "A 1242-2022")</f>
        <v/>
      </c>
      <c r="AB121">
        <f>HYPERLINK("https://klasma.github.io/Logging_0482/klagomålsmail/A 1242-2022 FSC-klagomål mail.docx", "A 1242-2022")</f>
        <v/>
      </c>
      <c r="AC121">
        <f>HYPERLINK("https://klasma.github.io/Logging_0482/tillsyn/A 1242-2022 tillsynsbegäran.docx", "A 1242-2022")</f>
        <v/>
      </c>
      <c r="AD121">
        <f>HYPERLINK("https://klasma.github.io/Logging_0482/tillsynsmail/A 1242-2022 tillsynsbegäran mail.docx", "A 1242-2022")</f>
        <v/>
      </c>
    </row>
    <row r="122" ht="15" customHeight="1">
      <c r="A122" t="inlineStr">
        <is>
          <t>A 14101-2025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46234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HYPERLINK("https://klasma.github.io/Logging_0482/artfynd/A 14101-2025 artfynd.xlsx", "A 14101-2025")</f>
        <v/>
      </c>
      <c r="X122">
        <f>HYPERLINK("https://klasma.github.io/Logging_0482/kartor/A 14101-2025 karta.png", "A 14101-2025")</f>
        <v/>
      </c>
      <c r="Y122">
        <f>HYPERLINK("https://klasma.github.io/Logging_0482/kartor_geotiff/A 14101-2025 georefererad karta.tif", "A 14101-2025")</f>
        <v/>
      </c>
      <c r="AA122">
        <f>HYPERLINK("https://klasma.github.io/Logging_0482/klagomål/A 14101-2025 FSC-klagomål.docx", "A 14101-2025")</f>
        <v/>
      </c>
      <c r="AB122">
        <f>HYPERLINK("https://klasma.github.io/Logging_0482/klagomålsmail/A 14101-2025 FSC-klagomål mail.docx", "A 14101-2025")</f>
        <v/>
      </c>
      <c r="AC122">
        <f>HYPERLINK("https://klasma.github.io/Logging_0482/tillsyn/A 14101-2025 tillsynsbegäran.docx", "A 14101-2025")</f>
        <v/>
      </c>
      <c r="AD122">
        <f>HYPERLINK("https://klasma.github.io/Logging_0482/tillsynsmail/A 14101-2025 tillsynsbegäran mail.docx", "A 14101-2025")</f>
        <v/>
      </c>
    </row>
    <row r="123" ht="15" customHeight="1">
      <c r="A123" t="inlineStr">
        <is>
          <t>A 37317-2023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45156</v>
      </c>
      <c r="E123" s="1" t="n">
        <v>46234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5.1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Svavelriska</t>
        </is>
      </c>
      <c r="W123">
        <f>HYPERLINK("https://klasma.github.io/Logging_0482/artfynd/A 37317-2023 artfynd.xlsx", "A 37317-2023")</f>
        <v/>
      </c>
      <c r="X123">
        <f>HYPERLINK("https://klasma.github.io/Logging_0482/kartor/A 37317-2023 karta.png", "A 37317-2023")</f>
        <v/>
      </c>
      <c r="Y123">
        <f>HYPERLINK("https://klasma.github.io/Logging_0482/kartor_geotiff/A 37317-2023 georefererad karta.tif", "A 37317-2023")</f>
        <v/>
      </c>
      <c r="AA123">
        <f>HYPERLINK("https://klasma.github.io/Logging_0482/klagomål/A 37317-2023 FSC-klagomål.docx", "A 37317-2023")</f>
        <v/>
      </c>
      <c r="AB123">
        <f>HYPERLINK("https://klasma.github.io/Logging_0482/klagomålsmail/A 37317-2023 FSC-klagomål mail.docx", "A 37317-2023")</f>
        <v/>
      </c>
      <c r="AC123">
        <f>HYPERLINK("https://klasma.github.io/Logging_0482/tillsyn/A 37317-2023 tillsynsbegäran.docx", "A 37317-2023")</f>
        <v/>
      </c>
      <c r="AD123">
        <f>HYPERLINK("https://klasma.github.io/Logging_0482/tillsynsmail/A 37317-2023 tillsynsbegäran mail.docx", "A 37317-2023")</f>
        <v/>
      </c>
    </row>
    <row r="124" ht="15" customHeight="1">
      <c r="A124" t="inlineStr">
        <is>
          <t>A 9446-2026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46071</v>
      </c>
      <c r="E124" s="1" t="n">
        <v>46234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0.8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HYPERLINK("https://klasma.github.io/Logging_0482/artfynd/A 9446-2026 artfynd.xlsx", "A 9446-2026")</f>
        <v/>
      </c>
      <c r="X124">
        <f>HYPERLINK("https://klasma.github.io/Logging_0482/kartor/A 9446-2026 karta.png", "A 9446-2026")</f>
        <v/>
      </c>
      <c r="Y124">
        <f>HYPERLINK("https://klasma.github.io/Logging_0482/kartor_geotiff/A 9446-2026 georefererad karta.tif", "A 9446-2026")</f>
        <v/>
      </c>
      <c r="AA124">
        <f>HYPERLINK("https://klasma.github.io/Logging_0482/klagomål/A 9446-2026 FSC-klagomål.docx", "A 9446-2026")</f>
        <v/>
      </c>
      <c r="AB124">
        <f>HYPERLINK("https://klasma.github.io/Logging_0482/klagomålsmail/A 9446-2026 FSC-klagomål mail.docx", "A 9446-2026")</f>
        <v/>
      </c>
      <c r="AC124">
        <f>HYPERLINK("https://klasma.github.io/Logging_0482/tillsyn/A 9446-2026 tillsynsbegäran.docx", "A 9446-2026")</f>
        <v/>
      </c>
      <c r="AD124">
        <f>HYPERLINK("https://klasma.github.io/Logging_0482/tillsynsmail/A 9446-2026 tillsynsbegäran mail.docx", "A 9446-2026")</f>
        <v/>
      </c>
    </row>
    <row r="125" ht="15" customHeight="1">
      <c r="A125" t="inlineStr">
        <is>
          <t>A 60529-2024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46234</v>
      </c>
      <c r="F125" t="inlineStr">
        <is>
          <t>SÖDERMANLANDS LÄN</t>
        </is>
      </c>
      <c r="G125" t="inlineStr">
        <is>
          <t>FLEN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Skarp dropptaggsvamp</t>
        </is>
      </c>
      <c r="W125">
        <f>HYPERLINK("https://klasma.github.io/Logging_0482/artfynd/A 60529-2024 artfynd.xlsx", "A 60529-2024")</f>
        <v/>
      </c>
      <c r="X125">
        <f>HYPERLINK("https://klasma.github.io/Logging_0482/kartor/A 60529-2024 karta.png", "A 60529-2024")</f>
        <v/>
      </c>
      <c r="Y125">
        <f>HYPERLINK("https://klasma.github.io/Logging_0482/kartor_geotiff/A 60529-2024 georefererad karta.tif", "A 60529-2024")</f>
        <v/>
      </c>
      <c r="AA125">
        <f>HYPERLINK("https://klasma.github.io/Logging_0482/klagomål/A 60529-2024 FSC-klagomål.docx", "A 60529-2024")</f>
        <v/>
      </c>
      <c r="AB125">
        <f>HYPERLINK("https://klasma.github.io/Logging_0482/klagomålsmail/A 60529-2024 FSC-klagomål mail.docx", "A 60529-2024")</f>
        <v/>
      </c>
      <c r="AC125">
        <f>HYPERLINK("https://klasma.github.io/Logging_0482/tillsyn/A 60529-2024 tillsynsbegäran.docx", "A 60529-2024")</f>
        <v/>
      </c>
      <c r="AD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53339-2023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46234</v>
      </c>
      <c r="F126" t="inlineStr">
        <is>
          <t>SÖDERMANLANDS LÄN</t>
        </is>
      </c>
      <c r="G126" t="inlineStr">
        <is>
          <t>FLEN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Blåsippa</t>
        </is>
      </c>
      <c r="W126">
        <f>HYPERLINK("https://klasma.github.io/Logging_0482/artfynd/A 53339-2023 artfynd.xlsx", "A 53339-2023")</f>
        <v/>
      </c>
      <c r="X126">
        <f>HYPERLINK("https://klasma.github.io/Logging_0482/kartor/A 53339-2023 karta.png", "A 53339-2023")</f>
        <v/>
      </c>
      <c r="Y126">
        <f>HYPERLINK("https://klasma.github.io/Logging_0482/kartor_geotiff/A 53339-2023 georefererad karta.tif", "A 53339-2023")</f>
        <v/>
      </c>
      <c r="AA126">
        <f>HYPERLINK("https://klasma.github.io/Logging_0482/klagomål/A 53339-2023 FSC-klagomål.docx", "A 53339-2023")</f>
        <v/>
      </c>
      <c r="AB126">
        <f>HYPERLINK("https://klasma.github.io/Logging_0482/klagomålsmail/A 53339-2023 FSC-klagomål mail.docx", "A 53339-2023")</f>
        <v/>
      </c>
      <c r="AC126">
        <f>HYPERLINK("https://klasma.github.io/Logging_0482/tillsyn/A 53339-2023 tillsynsbegäran.docx", "A 53339-2023")</f>
        <v/>
      </c>
      <c r="AD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10999-2026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46234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3.6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HYPERLINK("https://klasma.github.io/Logging_0482/artfynd/A 10999-2026 artfynd.xlsx", "A 10999-2026")</f>
        <v/>
      </c>
      <c r="X127">
        <f>HYPERLINK("https://klasma.github.io/Logging_0482/kartor/A 10999-2026 karta.png", "A 10999-2026")</f>
        <v/>
      </c>
      <c r="Y127">
        <f>HYPERLINK("https://klasma.github.io/Logging_0482/kartor_geotiff/A 10999-2026 georefererad karta.tif", "A 10999-2026")</f>
        <v/>
      </c>
      <c r="AA127">
        <f>HYPERLINK("https://klasma.github.io/Logging_0482/klagomål/A 10999-2026 FSC-klagomål.docx", "A 10999-2026")</f>
        <v/>
      </c>
      <c r="AB127">
        <f>HYPERLINK("https://klasma.github.io/Logging_0482/klagomålsmail/A 10999-2026 FSC-klagomål mail.docx", "A 10999-2026")</f>
        <v/>
      </c>
      <c r="AC127">
        <f>HYPERLINK("https://klasma.github.io/Logging_0482/tillsyn/A 10999-2026 tillsynsbegäran.docx", "A 10999-2026")</f>
        <v/>
      </c>
      <c r="AD127">
        <f>HYPERLINK("https://klasma.github.io/Logging_0482/tillsynsmail/A 10999-2026 tillsynsbegäran mail.docx", "A 10999-2026")</f>
        <v/>
      </c>
    </row>
    <row r="128" ht="15" customHeight="1">
      <c r="A128" t="inlineStr">
        <is>
          <t>A 52546-2021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44463</v>
      </c>
      <c r="E128" s="1" t="n">
        <v>46234</v>
      </c>
      <c r="F128" t="inlineStr">
        <is>
          <t>SÖDERMANLANDS LÄN</t>
        </is>
      </c>
      <c r="G128" t="inlineStr">
        <is>
          <t>FLEN</t>
        </is>
      </c>
      <c r="I128" t="n">
        <v>6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Mindre bastardsvärmare</t>
        </is>
      </c>
      <c r="W128">
        <f>HYPERLINK("https://klasma.github.io/Logging_0482/artfynd/A 52546-2021 artfynd.xlsx", "A 52546-2021")</f>
        <v/>
      </c>
      <c r="X128">
        <f>HYPERLINK("https://klasma.github.io/Logging_0482/kartor/A 52546-2021 karta.png", "A 52546-2021")</f>
        <v/>
      </c>
      <c r="Y128">
        <f>HYPERLINK("https://klasma.github.io/Logging_0482/kartor_geotiff/A 52546-2021 georefererad karta.tif", "A 52546-2021")</f>
        <v/>
      </c>
      <c r="AA128">
        <f>HYPERLINK("https://klasma.github.io/Logging_0482/klagomål/A 52546-2021 FSC-klagomål.docx", "A 52546-2021")</f>
        <v/>
      </c>
      <c r="AB128">
        <f>HYPERLINK("https://klasma.github.io/Logging_0482/klagomålsmail/A 52546-2021 FSC-klagomål mail.docx", "A 52546-2021")</f>
        <v/>
      </c>
      <c r="AC128">
        <f>HYPERLINK("https://klasma.github.io/Logging_0482/tillsyn/A 52546-2021 tillsynsbegäran.docx", "A 52546-2021")</f>
        <v/>
      </c>
      <c r="AD128">
        <f>HYPERLINK("https://klasma.github.io/Logging_0482/tillsynsmail/A 52546-2021 tillsynsbegäran mail.docx", "A 52546-2021")</f>
        <v/>
      </c>
    </row>
    <row r="129" ht="15" customHeight="1">
      <c r="A129" t="inlineStr">
        <is>
          <t>A 45120-2021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46234</v>
      </c>
      <c r="F129" t="inlineStr">
        <is>
          <t>SÖDERMANLANDS LÄN</t>
        </is>
      </c>
      <c r="G129" t="inlineStr">
        <is>
          <t>FLEN</t>
        </is>
      </c>
      <c r="I129" t="n">
        <v>1.5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45120-2021 artfynd.xlsx", "A 45120-2021")</f>
        <v/>
      </c>
      <c r="X129">
        <f>HYPERLINK("https://klasma.github.io/Logging_0482/kartor/A 45120-2021 karta.png", "A 45120-2021")</f>
        <v/>
      </c>
      <c r="Y129">
        <f>HYPERLINK("https://klasma.github.io/Logging_0482/kartor_geotiff/A 45120-2021 georefererad karta.tif", "A 45120-2021")</f>
        <v/>
      </c>
      <c r="AA129">
        <f>HYPERLINK("https://klasma.github.io/Logging_0482/klagomål/A 45120-2021 FSC-klagomål.docx", "A 45120-2021")</f>
        <v/>
      </c>
      <c r="AB129">
        <f>HYPERLINK("https://klasma.github.io/Logging_0482/klagomålsmail/A 45120-2021 FSC-klagomål mail.docx", "A 45120-2021")</f>
        <v/>
      </c>
      <c r="AC129">
        <f>HYPERLINK("https://klasma.github.io/Logging_0482/tillsyn/A 45120-2021 tillsynsbegäran.docx", "A 45120-2021")</f>
        <v/>
      </c>
      <c r="AD129">
        <f>HYPERLINK("https://klasma.github.io/Logging_0482/tillsynsmail/A 45120-2021 tillsynsbegäran mail.docx", "A 45120-2021")</f>
        <v/>
      </c>
    </row>
    <row r="130" ht="15" customHeight="1">
      <c r="A130" t="inlineStr">
        <is>
          <t>A 46987-2024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46234</v>
      </c>
      <c r="F130" t="inlineStr">
        <is>
          <t>SÖDERMANLANDS LÄN</t>
        </is>
      </c>
      <c r="G130" t="inlineStr">
        <is>
          <t>FLEN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Svinrot</t>
        </is>
      </c>
      <c r="W130">
        <f>HYPERLINK("https://klasma.github.io/Logging_0482/artfynd/A 46987-2024 artfynd.xlsx", "A 46987-2024")</f>
        <v/>
      </c>
      <c r="X130">
        <f>HYPERLINK("https://klasma.github.io/Logging_0482/kartor/A 46987-2024 karta.png", "A 46987-2024")</f>
        <v/>
      </c>
      <c r="Y130">
        <f>HYPERLINK("https://klasma.github.io/Logging_0482/kartor_geotiff/A 46987-2024 georefererad karta.tif", "A 46987-2024")</f>
        <v/>
      </c>
      <c r="AA130">
        <f>HYPERLINK("https://klasma.github.io/Logging_0482/klagomål/A 46987-2024 FSC-klagomål.docx", "A 46987-2024")</f>
        <v/>
      </c>
      <c r="AB130">
        <f>HYPERLINK("https://klasma.github.io/Logging_0482/klagomålsmail/A 46987-2024 FSC-klagomål mail.docx", "A 46987-2024")</f>
        <v/>
      </c>
      <c r="AC130">
        <f>HYPERLINK("https://klasma.github.io/Logging_0482/tillsyn/A 46987-2024 tillsynsbegäran.docx", "A 46987-2024")</f>
        <v/>
      </c>
      <c r="AD130">
        <f>HYPERLINK("https://klasma.github.io/Logging_0482/tillsynsmail/A 46987-2024 tillsynsbegäran mail.docx", "A 46987-2024")</f>
        <v/>
      </c>
    </row>
    <row r="131" ht="15" customHeight="1">
      <c r="A131" t="inlineStr">
        <is>
          <t>A 10770-2022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44624</v>
      </c>
      <c r="E131" s="1" t="n">
        <v>46234</v>
      </c>
      <c r="F131" t="inlineStr">
        <is>
          <t>SÖDERMANLANDS LÄN</t>
        </is>
      </c>
      <c r="G131" t="inlineStr">
        <is>
          <t>FLEN</t>
        </is>
      </c>
      <c r="I131" t="n">
        <v>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10770-2022 artfynd.xlsx", "A 10770-2022")</f>
        <v/>
      </c>
      <c r="X131">
        <f>HYPERLINK("https://klasma.github.io/Logging_0482/kartor/A 10770-2022 karta.png", "A 10770-2022")</f>
        <v/>
      </c>
      <c r="Y131">
        <f>HYPERLINK("https://klasma.github.io/Logging_0482/kartor_geotiff/A 10770-2022 georefererad karta.tif", "A 10770-2022")</f>
        <v/>
      </c>
      <c r="AA131">
        <f>HYPERLINK("https://klasma.github.io/Logging_0482/klagomål/A 10770-2022 FSC-klagomål.docx", "A 10770-2022")</f>
        <v/>
      </c>
      <c r="AB131">
        <f>HYPERLINK("https://klasma.github.io/Logging_0482/klagomålsmail/A 10770-2022 FSC-klagomål mail.docx", "A 10770-2022")</f>
        <v/>
      </c>
      <c r="AC131">
        <f>HYPERLINK("https://klasma.github.io/Logging_0482/tillsyn/A 10770-2022 tillsynsbegäran.docx", "A 10770-2022")</f>
        <v/>
      </c>
      <c r="AD131">
        <f>HYPERLINK("https://klasma.github.io/Logging_0482/tillsynsmail/A 10770-2022 tillsynsbegäran mail.docx", "A 10770-2022")</f>
        <v/>
      </c>
    </row>
    <row r="132" ht="15" customHeight="1">
      <c r="A132" t="inlineStr">
        <is>
          <t>A 39036-2023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46234</v>
      </c>
      <c r="F132" t="inlineStr">
        <is>
          <t>SÖDERMANLANDS LÄN</t>
        </is>
      </c>
      <c r="G132" t="inlineStr">
        <is>
          <t>FLEN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Igelkott</t>
        </is>
      </c>
      <c r="W132">
        <f>HYPERLINK("https://klasma.github.io/Logging_0482/artfynd/A 39036-2023 artfynd.xlsx", "A 39036-2023")</f>
        <v/>
      </c>
      <c r="X132">
        <f>HYPERLINK("https://klasma.github.io/Logging_0482/kartor/A 39036-2023 karta.png", "A 39036-2023")</f>
        <v/>
      </c>
      <c r="Y132">
        <f>HYPERLINK("https://klasma.github.io/Logging_0482/kartor_geotiff/A 39036-2023 georefererad karta.tif", "A 39036-2023")</f>
        <v/>
      </c>
      <c r="AA132">
        <f>HYPERLINK("https://klasma.github.io/Logging_0482/klagomål/A 39036-2023 FSC-klagomål.docx", "A 39036-2023")</f>
        <v/>
      </c>
      <c r="AB132">
        <f>HYPERLINK("https://klasma.github.io/Logging_0482/klagomålsmail/A 39036-2023 FSC-klagomål mail.docx", "A 39036-2023")</f>
        <v/>
      </c>
      <c r="AC132">
        <f>HYPERLINK("https://klasma.github.io/Logging_0482/tillsyn/A 39036-2023 tillsynsbegäran.docx", "A 39036-2023")</f>
        <v/>
      </c>
      <c r="AD132">
        <f>HYPERLINK("https://klasma.github.io/Logging_0482/tillsynsmail/A 39036-2023 tillsynsbegäran mail.docx", "A 39036-2023")</f>
        <v/>
      </c>
    </row>
    <row r="133" ht="15" customHeight="1">
      <c r="A133" t="inlineStr">
        <is>
          <t>A 12371-2022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46234</v>
      </c>
      <c r="F133" t="inlineStr">
        <is>
          <t>SÖDERMANLANDS LÄN</t>
        </is>
      </c>
      <c r="G133" t="inlineStr">
        <is>
          <t>FLEN</t>
        </is>
      </c>
      <c r="H133" t="inlineStr">
        <is>
          <t>Kommuner</t>
        </is>
      </c>
      <c r="I133" t="n">
        <v>2.1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12371-2022 artfynd.xlsx", "A 12371-2022")</f>
        <v/>
      </c>
      <c r="X133">
        <f>HYPERLINK("https://klasma.github.io/Logging_0482/kartor/A 12371-2022 karta.png", "A 12371-2022")</f>
        <v/>
      </c>
      <c r="Y133">
        <f>HYPERLINK("https://klasma.github.io/Logging_0482/kartor_geotiff/A 12371-2022 georefererad karta.tif", "A 12371-2022")</f>
        <v/>
      </c>
      <c r="AA133">
        <f>HYPERLINK("https://klasma.github.io/Logging_0482/klagomål/A 12371-2022 FSC-klagomål.docx", "A 12371-2022")</f>
        <v/>
      </c>
      <c r="AB133">
        <f>HYPERLINK("https://klasma.github.io/Logging_0482/klagomålsmail/A 12371-2022 FSC-klagomål mail.docx", "A 12371-2022")</f>
        <v/>
      </c>
      <c r="AC133">
        <f>HYPERLINK("https://klasma.github.io/Logging_0482/tillsyn/A 12371-2022 tillsynsbegäran.docx", "A 12371-2022")</f>
        <v/>
      </c>
      <c r="AD133">
        <f>HYPERLINK("https://klasma.github.io/Logging_0482/tillsynsmail/A 12371-2022 tillsynsbegäran mail.docx", "A 12371-2022")</f>
        <v/>
      </c>
    </row>
    <row r="134" ht="15" customHeight="1">
      <c r="A134" t="inlineStr">
        <is>
          <t>A 60591-2022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46234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Grönpyrola</t>
        </is>
      </c>
      <c r="W134">
        <f>HYPERLINK("https://klasma.github.io/Logging_0482/artfynd/A 60591-2022 artfynd.xlsx", "A 60591-2022")</f>
        <v/>
      </c>
      <c r="X134">
        <f>HYPERLINK("https://klasma.github.io/Logging_0482/kartor/A 60591-2022 karta.png", "A 60591-2022")</f>
        <v/>
      </c>
      <c r="Y134">
        <f>HYPERLINK("https://klasma.github.io/Logging_0482/kartor_geotiff/A 60591-2022 georefererad karta.tif", "A 60591-2022")</f>
        <v/>
      </c>
      <c r="AA134">
        <f>HYPERLINK("https://klasma.github.io/Logging_0482/klagomål/A 60591-2022 FSC-klagomål.docx", "A 60591-2022")</f>
        <v/>
      </c>
      <c r="AB134">
        <f>HYPERLINK("https://klasma.github.io/Logging_0482/klagomålsmail/A 60591-2022 FSC-klagomål mail.docx", "A 60591-2022")</f>
        <v/>
      </c>
      <c r="AC134">
        <f>HYPERLINK("https://klasma.github.io/Logging_0482/tillsyn/A 60591-2022 tillsynsbegäran.docx", "A 60591-2022")</f>
        <v/>
      </c>
      <c r="AD134">
        <f>HYPERLINK("https://klasma.github.io/Logging_0482/tillsynsmail/A 60591-2022 tillsynsbegäran mail.docx", "A 60591-2022")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46234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HYPERLINK("https://klasma.github.io/Logging_0482/artfynd/A 4259-2023 artfynd.xlsx", "A 4259-2023")</f>
        <v/>
      </c>
      <c r="X135">
        <f>HYPERLINK("https://klasma.github.io/Logging_0482/kartor/A 4259-2023 karta.png", "A 4259-2023")</f>
        <v/>
      </c>
      <c r="Y135">
        <f>HYPERLINK("https://klasma.github.io/Logging_0482/kartor_geotiff/A 4259-2023 georefererad karta.tif", "A 4259-2023")</f>
        <v/>
      </c>
      <c r="AA135">
        <f>HYPERLINK("https://klasma.github.io/Logging_0482/klagomål/A 4259-2023 FSC-klagomål.docx", "A 4259-2023")</f>
        <v/>
      </c>
      <c r="AB135">
        <f>HYPERLINK("https://klasma.github.io/Logging_0482/klagomålsmail/A 4259-2023 FSC-klagomål mail.docx", "A 4259-2023")</f>
        <v/>
      </c>
      <c r="AC135">
        <f>HYPERLINK("https://klasma.github.io/Logging_0482/tillsyn/A 4259-2023 tillsynsbegäran.docx", "A 4259-2023")</f>
        <v/>
      </c>
      <c r="AD135">
        <f>HYPERLINK("https://klasma.github.io/Logging_0482/tillsynsmail/A 4259-2023 tillsynsbegäran mail.docx", "A 4259-2023")</f>
        <v/>
      </c>
    </row>
    <row r="136" ht="15" customHeight="1">
      <c r="A136" t="inlineStr">
        <is>
          <t>A 12306-2022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44637</v>
      </c>
      <c r="E136" s="1" t="n">
        <v>46234</v>
      </c>
      <c r="F136" t="inlineStr">
        <is>
          <t>SÖDERMANLANDS LÄN</t>
        </is>
      </c>
      <c r="G136" t="inlineStr">
        <is>
          <t>FLEN</t>
        </is>
      </c>
      <c r="I136" t="n">
        <v>3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Järnsparv</t>
        </is>
      </c>
      <c r="W136">
        <f>HYPERLINK("https://klasma.github.io/Logging_0482/artfynd/A 12306-2022 artfynd.xlsx", "A 12306-2022")</f>
        <v/>
      </c>
      <c r="X136">
        <f>HYPERLINK("https://klasma.github.io/Logging_0482/kartor/A 12306-2022 karta.png", "A 12306-2022")</f>
        <v/>
      </c>
      <c r="Y136">
        <f>HYPERLINK("https://klasma.github.io/Logging_0482/kartor_geotiff/A 12306-2022 georefererad karta.tif", "A 12306-2022")</f>
        <v/>
      </c>
      <c r="AA136">
        <f>HYPERLINK("https://klasma.github.io/Logging_0482/klagomål/A 12306-2022 FSC-klagomål.docx", "A 12306-2022")</f>
        <v/>
      </c>
      <c r="AB136">
        <f>HYPERLINK("https://klasma.github.io/Logging_0482/klagomålsmail/A 12306-2022 FSC-klagomål mail.docx", "A 12306-2022")</f>
        <v/>
      </c>
      <c r="AC136">
        <f>HYPERLINK("https://klasma.github.io/Logging_0482/tillsyn/A 12306-2022 tillsynsbegäran.docx", "A 12306-2022")</f>
        <v/>
      </c>
      <c r="AD136">
        <f>HYPERLINK("https://klasma.github.io/Logging_0482/tillsynsmail/A 12306-2022 tillsynsbegäran mail.docx", "A 12306-2022")</f>
        <v/>
      </c>
      <c r="AE136">
        <f>HYPERLINK("https://klasma.github.io/Logging_0482/fåglar/A 12306-2022 prioriterade fågelarter.docx", "A 12306-2022")</f>
        <v/>
      </c>
    </row>
    <row r="137" ht="15" customHeight="1">
      <c r="A137" t="inlineStr">
        <is>
          <t>A 29195-2023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45105</v>
      </c>
      <c r="E137" s="1" t="n">
        <v>46234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3.9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Plattlummer</t>
        </is>
      </c>
      <c r="W137">
        <f>HYPERLINK("https://klasma.github.io/Logging_0482/artfynd/A 29195-2023 artfynd.xlsx", "A 29195-2023")</f>
        <v/>
      </c>
      <c r="X137">
        <f>HYPERLINK("https://klasma.github.io/Logging_0482/kartor/A 29195-2023 karta.png", "A 29195-2023")</f>
        <v/>
      </c>
      <c r="Y137">
        <f>HYPERLINK("https://klasma.github.io/Logging_0482/kartor_geotiff/A 29195-2023 georefererad karta.tif", "A 29195-2023")</f>
        <v/>
      </c>
      <c r="AA137">
        <f>HYPERLINK("https://klasma.github.io/Logging_0482/klagomål/A 29195-2023 FSC-klagomål.docx", "A 29195-2023")</f>
        <v/>
      </c>
      <c r="AB137">
        <f>HYPERLINK("https://klasma.github.io/Logging_0482/klagomålsmail/A 29195-2023 FSC-klagomål mail.docx", "A 29195-2023")</f>
        <v/>
      </c>
      <c r="AC137">
        <f>HYPERLINK("https://klasma.github.io/Logging_0482/tillsyn/A 29195-2023 tillsynsbegäran.docx", "A 29195-2023")</f>
        <v/>
      </c>
      <c r="AD137">
        <f>HYPERLINK("https://klasma.github.io/Logging_0482/tillsynsmail/A 29195-2023 tillsynsbegäran mail.docx", "A 29195-2023")</f>
        <v/>
      </c>
    </row>
    <row r="138" ht="15" customHeight="1">
      <c r="A138" t="inlineStr">
        <is>
          <t>A 60562-2021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44495</v>
      </c>
      <c r="E138" s="1" t="n">
        <v>46234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Gullklöver</t>
        </is>
      </c>
      <c r="W138">
        <f>HYPERLINK("https://klasma.github.io/Logging_0482/artfynd/A 60562-2021 artfynd.xlsx", "A 60562-2021")</f>
        <v/>
      </c>
      <c r="X138">
        <f>HYPERLINK("https://klasma.github.io/Logging_0482/kartor/A 60562-2021 karta.png", "A 60562-2021")</f>
        <v/>
      </c>
      <c r="Y138">
        <f>HYPERLINK("https://klasma.github.io/Logging_0482/kartor_geotiff/A 60562-2021 georefererad karta.tif", "A 60562-2021")</f>
        <v/>
      </c>
      <c r="AA138">
        <f>HYPERLINK("https://klasma.github.io/Logging_0482/klagomål/A 60562-2021 FSC-klagomål.docx", "A 60562-2021")</f>
        <v/>
      </c>
      <c r="AB138">
        <f>HYPERLINK("https://klasma.github.io/Logging_0482/klagomålsmail/A 60562-2021 FSC-klagomål mail.docx", "A 60562-2021")</f>
        <v/>
      </c>
      <c r="AC138">
        <f>HYPERLINK("https://klasma.github.io/Logging_0482/tillsyn/A 60562-2021 tillsynsbegäran.docx", "A 60562-2021")</f>
        <v/>
      </c>
      <c r="AD138">
        <f>HYPERLINK("https://klasma.github.io/Logging_0482/tillsynsmail/A 60562-2021 tillsynsbegäran mail.docx", "A 60562-2021")</f>
        <v/>
      </c>
    </row>
    <row r="139" ht="15" customHeight="1">
      <c r="A139" t="inlineStr">
        <is>
          <t>A 21704-2026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46234</v>
      </c>
      <c r="F139" t="inlineStr">
        <is>
          <t>SÖDERMANLANDS LÄN</t>
        </is>
      </c>
      <c r="G139" t="inlineStr">
        <is>
          <t>FLEN</t>
        </is>
      </c>
      <c r="I139" t="n">
        <v>10.2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Kandelabersvamp</t>
        </is>
      </c>
      <c r="W139">
        <f>HYPERLINK("https://klasma.github.io/Logging_0482/artfynd/A 21704-2026 artfynd.xlsx", "A 21704-2026")</f>
        <v/>
      </c>
      <c r="X139">
        <f>HYPERLINK("https://klasma.github.io/Logging_0482/kartor/A 21704-2026 karta.png", "A 21704-2026")</f>
        <v/>
      </c>
      <c r="Y139">
        <f>HYPERLINK("https://klasma.github.io/Logging_0482/kartor_geotiff/A 21704-2026 georefererad karta.tif", "A 21704-2026")</f>
        <v/>
      </c>
      <c r="AA139">
        <f>HYPERLINK("https://klasma.github.io/Logging_0482/klagomål/A 21704-2026 FSC-klagomål.docx", "A 21704-2026")</f>
        <v/>
      </c>
      <c r="AB139">
        <f>HYPERLINK("https://klasma.github.io/Logging_0482/klagomålsmail/A 21704-2026 FSC-klagomål mail.docx", "A 21704-2026")</f>
        <v/>
      </c>
      <c r="AC139">
        <f>HYPERLINK("https://klasma.github.io/Logging_0482/tillsyn/A 21704-2026 tillsynsbegäran.docx", "A 21704-2026")</f>
        <v/>
      </c>
      <c r="AD139">
        <f>HYPERLINK("https://klasma.github.io/Logging_0482/tillsynsmail/A 21704-2026 tillsynsbegäran mail.docx", "A 21704-2026")</f>
        <v/>
      </c>
    </row>
    <row r="140" ht="15" customHeight="1">
      <c r="A140" t="inlineStr">
        <is>
          <t>A 50202-2022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46234</v>
      </c>
      <c r="F140" t="inlineStr">
        <is>
          <t>SÖDERMANLANDS LÄN</t>
        </is>
      </c>
      <c r="G140" t="inlineStr">
        <is>
          <t>FLEN</t>
        </is>
      </c>
      <c r="H140" t="inlineStr">
        <is>
          <t>Kyrkan</t>
        </is>
      </c>
      <c r="I140" t="n">
        <v>5.8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50202-2022 artfynd.xlsx", "A 50202-2022")</f>
        <v/>
      </c>
      <c r="X140">
        <f>HYPERLINK("https://klasma.github.io/Logging_0482/kartor/A 50202-2022 karta.png", "A 50202-2022")</f>
        <v/>
      </c>
      <c r="Y140">
        <f>HYPERLINK("https://klasma.github.io/Logging_0482/kartor_geotiff/A 50202-2022 georefererad karta.tif", "A 50202-2022")</f>
        <v/>
      </c>
      <c r="AA140">
        <f>HYPERLINK("https://klasma.github.io/Logging_0482/klagomål/A 50202-2022 FSC-klagomål.docx", "A 50202-2022")</f>
        <v/>
      </c>
      <c r="AB140">
        <f>HYPERLINK("https://klasma.github.io/Logging_0482/klagomålsmail/A 50202-2022 FSC-klagomål mail.docx", "A 50202-2022")</f>
        <v/>
      </c>
      <c r="AC140">
        <f>HYPERLINK("https://klasma.github.io/Logging_0482/tillsyn/A 50202-2022 tillsynsbegäran.docx", "A 50202-2022")</f>
        <v/>
      </c>
      <c r="AD140">
        <f>HYPERLINK("https://klasma.github.io/Logging_0482/tillsynsmail/A 50202-2022 tillsynsbegäran mail.docx", "A 50202-2022")</f>
        <v/>
      </c>
    </row>
    <row r="141" ht="15" customHeight="1">
      <c r="A141" t="inlineStr">
        <is>
          <t>A 7973-2024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45350</v>
      </c>
      <c r="E141" s="1" t="n">
        <v>46234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Vippärt</t>
        </is>
      </c>
      <c r="W141">
        <f>HYPERLINK("https://klasma.github.io/Logging_0482/artfynd/A 7973-2024 artfynd.xlsx", "A 7973-2024")</f>
        <v/>
      </c>
      <c r="X141">
        <f>HYPERLINK("https://klasma.github.io/Logging_0482/kartor/A 7973-2024 karta.png", "A 7973-2024")</f>
        <v/>
      </c>
      <c r="Y141">
        <f>HYPERLINK("https://klasma.github.io/Logging_0482/kartor_geotiff/A 7973-2024 georefererad karta.tif", "A 7973-2024")</f>
        <v/>
      </c>
      <c r="AA141">
        <f>HYPERLINK("https://klasma.github.io/Logging_0482/klagomål/A 7973-2024 FSC-klagomål.docx", "A 7973-2024")</f>
        <v/>
      </c>
      <c r="AB141">
        <f>HYPERLINK("https://klasma.github.io/Logging_0482/klagomålsmail/A 7973-2024 FSC-klagomål mail.docx", "A 7973-2024")</f>
        <v/>
      </c>
      <c r="AC141">
        <f>HYPERLINK("https://klasma.github.io/Logging_0482/tillsyn/A 7973-2024 tillsynsbegäran.docx", "A 7973-2024")</f>
        <v/>
      </c>
      <c r="AD141">
        <f>HYPERLINK("https://klasma.github.io/Logging_0482/tillsynsmail/A 7973-2024 tillsynsbegäran mail.docx", "A 7973-2024")</f>
        <v/>
      </c>
    </row>
    <row r="142" ht="15" customHeight="1">
      <c r="A142" t="inlineStr">
        <is>
          <t>A 12056-2024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45377</v>
      </c>
      <c r="E142" s="1" t="n">
        <v>46234</v>
      </c>
      <c r="F142" t="inlineStr">
        <is>
          <t>SÖDERMANLANDS LÄN</t>
        </is>
      </c>
      <c r="G142" t="inlineStr">
        <is>
          <t>FLEN</t>
        </is>
      </c>
      <c r="I142" t="n">
        <v>8.4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Fjällig taggsvamp s.str.</t>
        </is>
      </c>
      <c r="W142">
        <f>HYPERLINK("https://klasma.github.io/Logging_0482/artfynd/A 12056-2024 artfynd.xlsx", "A 12056-2024")</f>
        <v/>
      </c>
      <c r="X142">
        <f>HYPERLINK("https://klasma.github.io/Logging_0482/kartor/A 12056-2024 karta.png", "A 12056-2024")</f>
        <v/>
      </c>
      <c r="Y142">
        <f>HYPERLINK("https://klasma.github.io/Logging_0482/kartor_geotiff/A 12056-2024 georefererad karta.tif", "A 12056-2024")</f>
        <v/>
      </c>
      <c r="AA142">
        <f>HYPERLINK("https://klasma.github.io/Logging_0482/klagomål/A 12056-2024 FSC-klagomål.docx", "A 12056-2024")</f>
        <v/>
      </c>
      <c r="AB142">
        <f>HYPERLINK("https://klasma.github.io/Logging_0482/klagomålsmail/A 12056-2024 FSC-klagomål mail.docx", "A 12056-2024")</f>
        <v/>
      </c>
      <c r="AC142">
        <f>HYPERLINK("https://klasma.github.io/Logging_0482/tillsyn/A 12056-2024 tillsynsbegäran.docx", "A 12056-2024")</f>
        <v/>
      </c>
      <c r="AD142">
        <f>HYPERLINK("https://klasma.github.io/Logging_0482/tillsynsmail/A 12056-2024 tillsynsbegäran mail.docx", "A 12056-2024")</f>
        <v/>
      </c>
    </row>
    <row r="143" ht="15" customHeight="1">
      <c r="A143" t="inlineStr">
        <is>
          <t>A 54302-2025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46234</v>
      </c>
      <c r="F143" t="inlineStr">
        <is>
          <t>SÖDERMANLANDS LÄN</t>
        </is>
      </c>
      <c r="G143" t="inlineStr">
        <is>
          <t>FLEN</t>
        </is>
      </c>
      <c r="I143" t="n">
        <v>12.6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Dofttaggsvamp</t>
        </is>
      </c>
      <c r="W143">
        <f>HYPERLINK("https://klasma.github.io/Logging_0482/artfynd/A 54302-2025 artfynd.xlsx", "A 54302-2025")</f>
        <v/>
      </c>
      <c r="X143">
        <f>HYPERLINK("https://klasma.github.io/Logging_0482/kartor/A 54302-2025 karta.png", "A 54302-2025")</f>
        <v/>
      </c>
      <c r="Y143">
        <f>HYPERLINK("https://klasma.github.io/Logging_0482/kartor_geotiff/A 54302-2025 georefererad karta.tif", "A 54302-2025")</f>
        <v/>
      </c>
      <c r="AA143">
        <f>HYPERLINK("https://klasma.github.io/Logging_0482/klagomål/A 54302-2025 FSC-klagomål.docx", "A 54302-2025")</f>
        <v/>
      </c>
      <c r="AB143">
        <f>HYPERLINK("https://klasma.github.io/Logging_0482/klagomålsmail/A 54302-2025 FSC-klagomål mail.docx", "A 54302-2025")</f>
        <v/>
      </c>
      <c r="AC143">
        <f>HYPERLINK("https://klasma.github.io/Logging_0482/tillsyn/A 54302-2025 tillsynsbegäran.docx", "A 54302-2025")</f>
        <v/>
      </c>
      <c r="AD143">
        <f>HYPERLINK("https://klasma.github.io/Logging_0482/tillsynsmail/A 54302-2025 tillsynsbegäran mail.docx", "A 54302-2025")</f>
        <v/>
      </c>
    </row>
    <row r="144" ht="15" customHeight="1">
      <c r="A144" t="inlineStr">
        <is>
          <t>A 47756-2022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44854</v>
      </c>
      <c r="E144" s="1" t="n">
        <v>46234</v>
      </c>
      <c r="F144" t="inlineStr">
        <is>
          <t>SÖDERMANLANDS LÄN</t>
        </is>
      </c>
      <c r="G144" t="inlineStr">
        <is>
          <t>FLEN</t>
        </is>
      </c>
      <c r="I144" t="n">
        <v>2.4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Svinrot</t>
        </is>
      </c>
      <c r="W144">
        <f>HYPERLINK("https://klasma.github.io/Logging_0482/artfynd/A 47756-2022 artfynd.xlsx", "A 47756-2022")</f>
        <v/>
      </c>
      <c r="X144">
        <f>HYPERLINK("https://klasma.github.io/Logging_0482/kartor/A 47756-2022 karta.png", "A 47756-2022")</f>
        <v/>
      </c>
      <c r="Y144">
        <f>HYPERLINK("https://klasma.github.io/Logging_0482/kartor_geotiff/A 47756-2022 georefererad karta.tif", "A 47756-2022")</f>
        <v/>
      </c>
      <c r="AA144">
        <f>HYPERLINK("https://klasma.github.io/Logging_0482/klagomål/A 47756-2022 FSC-klagomål.docx", "A 47756-2022")</f>
        <v/>
      </c>
      <c r="AB144">
        <f>HYPERLINK("https://klasma.github.io/Logging_0482/klagomålsmail/A 47756-2022 FSC-klagomål mail.docx", "A 47756-2022")</f>
        <v/>
      </c>
      <c r="AC144">
        <f>HYPERLINK("https://klasma.github.io/Logging_0482/tillsyn/A 47756-2022 tillsynsbegäran.docx", "A 47756-2022")</f>
        <v/>
      </c>
      <c r="AD144">
        <f>HYPERLINK("https://klasma.github.io/Logging_0482/tillsynsmail/A 47756-2022 tillsynsbegäran mail.docx", "A 47756-2022")</f>
        <v/>
      </c>
    </row>
    <row r="145" ht="15" customHeight="1">
      <c r="A145" t="inlineStr">
        <is>
          <t>A 62535-2021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46234</v>
      </c>
      <c r="F145" t="inlineStr">
        <is>
          <t>SÖDERMANLANDS LÄN</t>
        </is>
      </c>
      <c r="G145" t="inlineStr">
        <is>
          <t>FLEN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62535-2021 artfynd.xlsx", "A 62535-2021")</f>
        <v/>
      </c>
      <c r="X145">
        <f>HYPERLINK("https://klasma.github.io/Logging_0482/kartor/A 62535-2021 karta.png", "A 62535-2021")</f>
        <v/>
      </c>
      <c r="Y145">
        <f>HYPERLINK("https://klasma.github.io/Logging_0482/kartor_geotiff/A 62535-2021 georefererad karta.tif", "A 62535-2021")</f>
        <v/>
      </c>
      <c r="AA145">
        <f>HYPERLINK("https://klasma.github.io/Logging_0482/klagomål/A 62535-2021 FSC-klagomål.docx", "A 62535-2021")</f>
        <v/>
      </c>
      <c r="AB145">
        <f>HYPERLINK("https://klasma.github.io/Logging_0482/klagomålsmail/A 62535-2021 FSC-klagomål mail.docx", "A 62535-2021")</f>
        <v/>
      </c>
      <c r="AC145">
        <f>HYPERLINK("https://klasma.github.io/Logging_0482/tillsyn/A 62535-2021 tillsynsbegäran.docx", "A 62535-2021")</f>
        <v/>
      </c>
      <c r="AD145">
        <f>HYPERLINK("https://klasma.github.io/Logging_0482/tillsynsmail/A 62535-2021 tillsynsbegäran mail.docx", "A 62535-2021")</f>
        <v/>
      </c>
    </row>
    <row r="146" ht="15" customHeight="1">
      <c r="A146" t="inlineStr">
        <is>
          <t>A 14273-2025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46234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Vedskivlav</t>
        </is>
      </c>
      <c r="W146">
        <f>HYPERLINK("https://klasma.github.io/Logging_0482/artfynd/A 14273-2025 artfynd.xlsx", "A 14273-2025")</f>
        <v/>
      </c>
      <c r="X146">
        <f>HYPERLINK("https://klasma.github.io/Logging_0482/kartor/A 14273-2025 karta.png", "A 14273-2025")</f>
        <v/>
      </c>
      <c r="Y146">
        <f>HYPERLINK("https://klasma.github.io/Logging_0482/kartor_geotiff/A 14273-2025 georefererad karta.tif", "A 14273-2025")</f>
        <v/>
      </c>
      <c r="AA146">
        <f>HYPERLINK("https://klasma.github.io/Logging_0482/klagomål/A 14273-2025 FSC-klagomål.docx", "A 14273-2025")</f>
        <v/>
      </c>
      <c r="AB146">
        <f>HYPERLINK("https://klasma.github.io/Logging_0482/klagomålsmail/A 14273-2025 FSC-klagomål mail.docx", "A 14273-2025")</f>
        <v/>
      </c>
      <c r="AC146">
        <f>HYPERLINK("https://klasma.github.io/Logging_0482/tillsyn/A 14273-2025 tillsynsbegäran.docx", "A 14273-2025")</f>
        <v/>
      </c>
      <c r="AD146">
        <f>HYPERLINK("https://klasma.github.io/Logging_0482/tillsynsmail/A 14273-2025 tillsynsbegäran mail.docx", "A 14273-2025")</f>
        <v/>
      </c>
    </row>
    <row r="147" ht="15" customHeight="1">
      <c r="A147" t="inlineStr">
        <is>
          <t>A 30406-2026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46234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HYPERLINK("https://klasma.github.io/Logging_0482/artfynd/A 30406-2026 artfynd.xlsx", "A 30406-2026")</f>
        <v/>
      </c>
      <c r="X147">
        <f>HYPERLINK("https://klasma.github.io/Logging_0482/kartor/A 30406-2026 karta.png", "A 30406-2026")</f>
        <v/>
      </c>
      <c r="Y147">
        <f>HYPERLINK("https://klasma.github.io/Logging_0482/kartor_geotiff/A 30406-2026 georefererad karta.tif", "A 30406-2026")</f>
        <v/>
      </c>
      <c r="AA147">
        <f>HYPERLINK("https://klasma.github.io/Logging_0482/klagomål/A 30406-2026 FSC-klagomål.docx", "A 30406-2026")</f>
        <v/>
      </c>
      <c r="AB147">
        <f>HYPERLINK("https://klasma.github.io/Logging_0482/klagomålsmail/A 30406-2026 FSC-klagomål mail.docx", "A 30406-2026")</f>
        <v/>
      </c>
      <c r="AC147">
        <f>HYPERLINK("https://klasma.github.io/Logging_0482/tillsyn/A 30406-2026 tillsynsbegäran.docx", "A 30406-2026")</f>
        <v/>
      </c>
      <c r="AD147">
        <f>HYPERLINK("https://klasma.github.io/Logging_0482/tillsynsmail/A 30406-2026 tillsynsbegäran mail.docx", "A 30406-2026")</f>
        <v/>
      </c>
    </row>
    <row r="148" ht="15" customHeight="1">
      <c r="A148" t="inlineStr">
        <is>
          <t>A 49820-2023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46234</v>
      </c>
      <c r="F148" t="inlineStr">
        <is>
          <t>SÖDERMANLANDS LÄN</t>
        </is>
      </c>
      <c r="G148" t="inlineStr">
        <is>
          <t>FLEN</t>
        </is>
      </c>
      <c r="I148" t="n">
        <v>3.2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Gullviva</t>
        </is>
      </c>
      <c r="W148">
        <f>HYPERLINK("https://klasma.github.io/Logging_0482/artfynd/A 49820-2023 artfynd.xlsx", "A 49820-2023")</f>
        <v/>
      </c>
      <c r="X148">
        <f>HYPERLINK("https://klasma.github.io/Logging_0482/kartor/A 49820-2023 karta.png", "A 49820-2023")</f>
        <v/>
      </c>
      <c r="Y148">
        <f>HYPERLINK("https://klasma.github.io/Logging_0482/kartor_geotiff/A 49820-2023 georefererad karta.tif", "A 49820-2023")</f>
        <v/>
      </c>
      <c r="AA148">
        <f>HYPERLINK("https://klasma.github.io/Logging_0482/klagomål/A 49820-2023 FSC-klagomål.docx", "A 49820-2023")</f>
        <v/>
      </c>
      <c r="AB148">
        <f>HYPERLINK("https://klasma.github.io/Logging_0482/klagomålsmail/A 49820-2023 FSC-klagomål mail.docx", "A 49820-2023")</f>
        <v/>
      </c>
      <c r="AC148">
        <f>HYPERLINK("https://klasma.github.io/Logging_0482/tillsyn/A 49820-2023 tillsynsbegäran.docx", "A 49820-2023")</f>
        <v/>
      </c>
      <c r="AD148">
        <f>HYPERLINK("https://klasma.github.io/Logging_0482/tillsynsmail/A 49820-2023 tillsynsbegäran mail.docx", "A 49820-2023")</f>
        <v/>
      </c>
    </row>
    <row r="149" ht="15" customHeight="1">
      <c r="A149" t="inlineStr">
        <is>
          <t>A 24179-2026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46234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24179-2026 artfynd.xlsx", "A 24179-2026")</f>
        <v/>
      </c>
      <c r="X149">
        <f>HYPERLINK("https://klasma.github.io/Logging_0482/kartor/A 24179-2026 karta.png", "A 24179-2026")</f>
        <v/>
      </c>
      <c r="Y149">
        <f>HYPERLINK("https://klasma.github.io/Logging_0482/kartor_geotiff/A 24179-2026 georefererad karta.tif", "A 24179-2026")</f>
        <v/>
      </c>
      <c r="AA149">
        <f>HYPERLINK("https://klasma.github.io/Logging_0482/klagomål/A 24179-2026 FSC-klagomål.docx", "A 24179-2026")</f>
        <v/>
      </c>
      <c r="AB149">
        <f>HYPERLINK("https://klasma.github.io/Logging_0482/klagomålsmail/A 24179-2026 FSC-klagomål mail.docx", "A 24179-2026")</f>
        <v/>
      </c>
      <c r="AC149">
        <f>HYPERLINK("https://klasma.github.io/Logging_0482/tillsyn/A 24179-2026 tillsynsbegäran.docx", "A 24179-2026")</f>
        <v/>
      </c>
      <c r="AD149">
        <f>HYPERLINK("https://klasma.github.io/Logging_0482/tillsynsmail/A 24179-2026 tillsynsbegäran mail.docx", "A 24179-2026")</f>
        <v/>
      </c>
    </row>
    <row r="150" ht="15" customHeight="1">
      <c r="A150" t="inlineStr">
        <is>
          <t>A 45107-2023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46234</v>
      </c>
      <c r="F150" t="inlineStr">
        <is>
          <t>SÖDERMANLANDS LÄN</t>
        </is>
      </c>
      <c r="G150" t="inlineStr">
        <is>
          <t>FLEN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Brudborste</t>
        </is>
      </c>
      <c r="W150">
        <f>HYPERLINK("https://klasma.github.io/Logging_0482/artfynd/A 45107-2023 artfynd.xlsx", "A 45107-2023")</f>
        <v/>
      </c>
      <c r="X150">
        <f>HYPERLINK("https://klasma.github.io/Logging_0482/kartor/A 45107-2023 karta.png", "A 45107-2023")</f>
        <v/>
      </c>
      <c r="Y150">
        <f>HYPERLINK("https://klasma.github.io/Logging_0482/kartor_geotiff/A 45107-2023 georefererad karta.tif", "A 45107-2023")</f>
        <v/>
      </c>
      <c r="AA150">
        <f>HYPERLINK("https://klasma.github.io/Logging_0482/klagomål/A 45107-2023 FSC-klagomål.docx", "A 45107-2023")</f>
        <v/>
      </c>
      <c r="AB150">
        <f>HYPERLINK("https://klasma.github.io/Logging_0482/klagomålsmail/A 45107-2023 FSC-klagomål mail.docx", "A 45107-2023")</f>
        <v/>
      </c>
      <c r="AC150">
        <f>HYPERLINK("https://klasma.github.io/Logging_0482/tillsyn/A 45107-2023 tillsynsbegäran.docx", "A 45107-2023")</f>
        <v/>
      </c>
      <c r="AD150">
        <f>HYPERLINK("https://klasma.github.io/Logging_0482/tillsynsmail/A 45107-2023 tillsynsbegäran mail.docx", "A 45107-2023")</f>
        <v/>
      </c>
    </row>
    <row r="151" ht="15" customHeight="1">
      <c r="A151" t="inlineStr">
        <is>
          <t>A 26310-2026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46234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Spillkråka</t>
        </is>
      </c>
      <c r="W151">
        <f>HYPERLINK("https://klasma.github.io/Logging_0482/artfynd/A 26310-2026 artfynd.xlsx", "A 26310-2026")</f>
        <v/>
      </c>
      <c r="X151">
        <f>HYPERLINK("https://klasma.github.io/Logging_0482/kartor/A 26310-2026 karta.png", "A 26310-2026")</f>
        <v/>
      </c>
      <c r="Y151">
        <f>HYPERLINK("https://klasma.github.io/Logging_0482/kartor_geotiff/A 26310-2026 georefererad karta.tif", "A 26310-2026")</f>
        <v/>
      </c>
      <c r="AA151">
        <f>HYPERLINK("https://klasma.github.io/Logging_0482/klagomål/A 26310-2026 FSC-klagomål.docx", "A 26310-2026")</f>
        <v/>
      </c>
      <c r="AB151">
        <f>HYPERLINK("https://klasma.github.io/Logging_0482/klagomålsmail/A 26310-2026 FSC-klagomål mail.docx", "A 26310-2026")</f>
        <v/>
      </c>
      <c r="AC151">
        <f>HYPERLINK("https://klasma.github.io/Logging_0482/tillsyn/A 26310-2026 tillsynsbegäran.docx", "A 26310-2026")</f>
        <v/>
      </c>
      <c r="AD151">
        <f>HYPERLINK("https://klasma.github.io/Logging_0482/tillsynsmail/A 26310-2026 tillsynsbegäran mail.docx", "A 26310-2026")</f>
        <v/>
      </c>
      <c r="AE151">
        <f>HYPERLINK("https://klasma.github.io/Logging_0482/fåglar/A 26310-2026 prioriterade fågelarter.docx", "A 26310-2026")</f>
        <v/>
      </c>
    </row>
    <row r="152" ht="15" customHeight="1">
      <c r="A152" t="inlineStr">
        <is>
          <t>A 26052-2026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46234</v>
      </c>
      <c r="F152" t="inlineStr">
        <is>
          <t>SÖDERMANLANDS LÄN</t>
        </is>
      </c>
      <c r="G152" t="inlineStr">
        <is>
          <t>FLEN</t>
        </is>
      </c>
      <c r="H152" t="inlineStr">
        <is>
          <t>Holmen skog AB</t>
        </is>
      </c>
      <c r="I152" t="n">
        <v>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HYPERLINK("https://klasma.github.io/Logging_0482/artfynd/A 26052-2026 artfynd.xlsx", "A 26052-2026")</f>
        <v/>
      </c>
      <c r="X152">
        <f>HYPERLINK("https://klasma.github.io/Logging_0482/kartor/A 26052-2026 karta.png", "A 26052-2026")</f>
        <v/>
      </c>
      <c r="Y152">
        <f>HYPERLINK("https://klasma.github.io/Logging_0482/kartor_geotiff/A 26052-2026 georefererad karta.tif", "A 26052-2026")</f>
        <v/>
      </c>
      <c r="AA152">
        <f>HYPERLINK("https://klasma.github.io/Logging_0482/klagomål/A 26052-2026 FSC-klagomål.docx", "A 26052-2026")</f>
        <v/>
      </c>
      <c r="AB152">
        <f>HYPERLINK("https://klasma.github.io/Logging_0482/klagomålsmail/A 26052-2026 FSC-klagomål mail.docx", "A 26052-2026")</f>
        <v/>
      </c>
      <c r="AC152">
        <f>HYPERLINK("https://klasma.github.io/Logging_0482/tillsyn/A 26052-2026 tillsynsbegäran.docx", "A 26052-2026")</f>
        <v/>
      </c>
      <c r="AD152">
        <f>HYPERLINK("https://klasma.github.io/Logging_0482/tillsynsmail/A 26052-2026 tillsynsbegäran mail.docx", "A 26052-2026")</f>
        <v/>
      </c>
    </row>
    <row r="153" ht="15" customHeight="1">
      <c r="A153" t="inlineStr">
        <is>
          <t>A 62223-2021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46234</v>
      </c>
      <c r="F153" t="inlineStr">
        <is>
          <t>SÖDERMANLANDS LÄN</t>
        </is>
      </c>
      <c r="G153" t="inlineStr">
        <is>
          <t>FLEN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44724</v>
      </c>
      <c r="E154" s="1" t="n">
        <v>46234</v>
      </c>
      <c r="F154" t="inlineStr">
        <is>
          <t>SÖDERMANLANDS LÄN</t>
        </is>
      </c>
      <c r="G154" t="inlineStr">
        <is>
          <t>FLEN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44414</v>
      </c>
      <c r="E155" s="1" t="n">
        <v>46234</v>
      </c>
      <c r="F155" t="inlineStr">
        <is>
          <t>SÖDERMANLANDS LÄN</t>
        </is>
      </c>
      <c r="G155" t="inlineStr">
        <is>
          <t>FLEN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70701-2021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46234</v>
      </c>
      <c r="F156" t="inlineStr">
        <is>
          <t>SÖDERMANLANDS LÄN</t>
        </is>
      </c>
      <c r="G156" t="inlineStr">
        <is>
          <t>FLEN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44458</v>
      </c>
      <c r="E157" s="1" t="n">
        <v>46234</v>
      </c>
      <c r="F157" t="inlineStr">
        <is>
          <t>SÖDERMANLANDS LÄN</t>
        </is>
      </c>
      <c r="G157" t="inlineStr">
        <is>
          <t>FLEN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46234</v>
      </c>
      <c r="F158" t="inlineStr">
        <is>
          <t>SÖDERMANLANDS LÄN</t>
        </is>
      </c>
      <c r="G158" t="inlineStr">
        <is>
          <t>FLEN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70215-2021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44535</v>
      </c>
      <c r="E159" s="1" t="n">
        <v>46234</v>
      </c>
      <c r="F159" t="inlineStr">
        <is>
          <t>SÖDERMANLANDS LÄN</t>
        </is>
      </c>
      <c r="G159" t="inlineStr">
        <is>
          <t>FLEN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39518-2021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46234</v>
      </c>
      <c r="F160" t="inlineStr">
        <is>
          <t>SÖDERMANLANDS LÄN</t>
        </is>
      </c>
      <c r="G160" t="inlineStr">
        <is>
          <t>FLEN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44411</v>
      </c>
      <c r="E161" s="1" t="n">
        <v>46234</v>
      </c>
      <c r="F161" t="inlineStr">
        <is>
          <t>SÖDERMANLANDS LÄN</t>
        </is>
      </c>
      <c r="G161" t="inlineStr">
        <is>
          <t>FLEN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46234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44722</v>
      </c>
      <c r="E163" s="1" t="n">
        <v>46234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44869</v>
      </c>
      <c r="E164" s="1" t="n">
        <v>46234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44473</v>
      </c>
      <c r="E165" s="1" t="n">
        <v>46234</v>
      </c>
      <c r="F165" t="inlineStr">
        <is>
          <t>SÖDERMANLANDS LÄN</t>
        </is>
      </c>
      <c r="G165" t="inlineStr">
        <is>
          <t>FLEN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46234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46234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44608</v>
      </c>
      <c r="E168" s="1" t="n">
        <v>46234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44752</v>
      </c>
      <c r="E169" s="1" t="n">
        <v>46234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44720</v>
      </c>
      <c r="E170" s="1" t="n">
        <v>46234</v>
      </c>
      <c r="F170" t="inlineStr">
        <is>
          <t>SÖDERMANLANDS LÄN</t>
        </is>
      </c>
      <c r="G170" t="inlineStr">
        <is>
          <t>FLEN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46234</v>
      </c>
      <c r="F171" t="inlineStr">
        <is>
          <t>SÖDERMANLANDS LÄN</t>
        </is>
      </c>
      <c r="G171" t="inlineStr">
        <is>
          <t>FLEN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46234</v>
      </c>
      <c r="F172" t="inlineStr">
        <is>
          <t>SÖDERMANLANDS LÄN</t>
        </is>
      </c>
      <c r="G172" t="inlineStr">
        <is>
          <t>FLEN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44745</v>
      </c>
      <c r="E173" s="1" t="n">
        <v>46234</v>
      </c>
      <c r="F173" t="inlineStr">
        <is>
          <t>SÖDERMANLANDS LÄN</t>
        </is>
      </c>
      <c r="G173" t="inlineStr">
        <is>
          <t>FLEN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46234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46234</v>
      </c>
      <c r="F175" t="inlineStr">
        <is>
          <t>SÖDERMANLANDS LÄN</t>
        </is>
      </c>
      <c r="G175" t="inlineStr">
        <is>
          <t>FLEN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46234</v>
      </c>
      <c r="F176" t="inlineStr">
        <is>
          <t>SÖDERMANLANDS LÄN</t>
        </is>
      </c>
      <c r="G176" t="inlineStr">
        <is>
          <t>FLEN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44454</v>
      </c>
      <c r="E177" s="1" t="n">
        <v>46234</v>
      </c>
      <c r="F177" t="inlineStr">
        <is>
          <t>SÖDERMANLANDS LÄN</t>
        </is>
      </c>
      <c r="G177" t="inlineStr">
        <is>
          <t>FLEN</t>
        </is>
      </c>
      <c r="I177" t="n">
        <v>14.7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44807</v>
      </c>
      <c r="E178" s="1" t="n">
        <v>46234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39188-2021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44413</v>
      </c>
      <c r="E179" s="1" t="n">
        <v>46234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46234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46234</v>
      </c>
      <c r="F181" t="inlineStr">
        <is>
          <t>SÖDERMANLANDS LÄN</t>
        </is>
      </c>
      <c r="G181" t="inlineStr">
        <is>
          <t>FLEN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46234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46234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44425</v>
      </c>
      <c r="E184" s="1" t="n">
        <v>46234</v>
      </c>
      <c r="F184" t="inlineStr">
        <is>
          <t>SÖDERMANLANDS LÄN</t>
        </is>
      </c>
      <c r="G184" t="inlineStr">
        <is>
          <t>FLEN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48166-2021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44449</v>
      </c>
      <c r="E185" s="1" t="n">
        <v>46234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46234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46234</v>
      </c>
      <c r="F187" t="inlineStr">
        <is>
          <t>SÖDERMANLANDS LÄN</t>
        </is>
      </c>
      <c r="G187" t="inlineStr">
        <is>
          <t>FLEN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46234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44769</v>
      </c>
      <c r="E189" s="1" t="n">
        <v>46234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46234</v>
      </c>
      <c r="F190" t="inlineStr">
        <is>
          <t>SÖDERMANLANDS LÄN</t>
        </is>
      </c>
      <c r="G190" t="inlineStr">
        <is>
          <t>FLEN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46234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46234</v>
      </c>
      <c r="F192" t="inlineStr">
        <is>
          <t>SÖDERMANLANDS LÄN</t>
        </is>
      </c>
      <c r="G192" t="inlineStr">
        <is>
          <t>FLEN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46234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44643</v>
      </c>
      <c r="E194" s="1" t="n">
        <v>46234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46234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44778</v>
      </c>
      <c r="E196" s="1" t="n">
        <v>46234</v>
      </c>
      <c r="F196" t="inlineStr">
        <is>
          <t>SÖDERMANLANDS LÄN</t>
        </is>
      </c>
      <c r="G196" t="inlineStr">
        <is>
          <t>FLEN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46234</v>
      </c>
      <c r="F197" t="inlineStr">
        <is>
          <t>SÖDERMANLANDS LÄN</t>
        </is>
      </c>
      <c r="G197" t="inlineStr">
        <is>
          <t>FLEN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46234</v>
      </c>
      <c r="F198" t="inlineStr">
        <is>
          <t>SÖDERMANLANDS LÄN</t>
        </is>
      </c>
      <c r="G198" t="inlineStr">
        <is>
          <t>FLEN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46234</v>
      </c>
      <c r="F199" t="inlineStr">
        <is>
          <t>SÖDERMANLANDS LÄN</t>
        </is>
      </c>
      <c r="G199" t="inlineStr">
        <is>
          <t>FLEN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46234</v>
      </c>
      <c r="F200" t="inlineStr">
        <is>
          <t>SÖDERMANLANDS LÄN</t>
        </is>
      </c>
      <c r="G200" t="inlineStr">
        <is>
          <t>FLEN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44854</v>
      </c>
      <c r="E201" s="1" t="n">
        <v>46234</v>
      </c>
      <c r="F201" t="inlineStr">
        <is>
          <t>SÖDERMANLANDS LÄN</t>
        </is>
      </c>
      <c r="G201" t="inlineStr">
        <is>
          <t>FLEN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46234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44450</v>
      </c>
      <c r="E203" s="1" t="n">
        <v>46234</v>
      </c>
      <c r="F203" t="inlineStr">
        <is>
          <t>SÖDERMANLANDS LÄN</t>
        </is>
      </c>
      <c r="G203" t="inlineStr">
        <is>
          <t>FLEN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46234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46234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46234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46234</v>
      </c>
      <c r="F207" t="inlineStr">
        <is>
          <t>SÖDERMANLANDS LÄN</t>
        </is>
      </c>
      <c r="G207" t="inlineStr">
        <is>
          <t>FLEN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44440</v>
      </c>
      <c r="E208" s="1" t="n">
        <v>46234</v>
      </c>
      <c r="F208" t="inlineStr">
        <is>
          <t>SÖDERMANLANDS LÄN</t>
        </is>
      </c>
      <c r="G208" t="inlineStr">
        <is>
          <t>FLEN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43640-2021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44433</v>
      </c>
      <c r="E209" s="1" t="n">
        <v>46234</v>
      </c>
      <c r="F209" t="inlineStr">
        <is>
          <t>SÖDERMANLANDS LÄN</t>
        </is>
      </c>
      <c r="G209" t="inlineStr">
        <is>
          <t>FLEN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44752</v>
      </c>
      <c r="E210" s="1" t="n">
        <v>46234</v>
      </c>
      <c r="F210" t="inlineStr">
        <is>
          <t>SÖDERMANLANDS LÄN</t>
        </is>
      </c>
      <c r="G210" t="inlineStr">
        <is>
          <t>FLEN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46234</v>
      </c>
      <c r="F211" t="inlineStr">
        <is>
          <t>SÖDERMANLANDS LÄN</t>
        </is>
      </c>
      <c r="G211" t="inlineStr">
        <is>
          <t>FLEN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44566</v>
      </c>
      <c r="E212" s="1" t="n">
        <v>46234</v>
      </c>
      <c r="F212" t="inlineStr">
        <is>
          <t>SÖDERMANLANDS LÄN</t>
        </is>
      </c>
      <c r="G212" t="inlineStr">
        <is>
          <t>FLEN</t>
        </is>
      </c>
      <c r="H212" t="inlineStr">
        <is>
          <t>Kyrkan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46234</v>
      </c>
      <c r="F213" t="inlineStr">
        <is>
          <t>SÖDERMANLANDS LÄN</t>
        </is>
      </c>
      <c r="G213" t="inlineStr">
        <is>
          <t>FLEN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8301-2022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44610</v>
      </c>
      <c r="E214" s="1" t="n">
        <v>46234</v>
      </c>
      <c r="F214" t="inlineStr">
        <is>
          <t>SÖDERMANLANDS LÄN</t>
        </is>
      </c>
      <c r="G214" t="inlineStr">
        <is>
          <t>FLEN</t>
        </is>
      </c>
      <c r="H214" t="inlineStr">
        <is>
          <t>Övriga statliga verk och myndigheter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44643</v>
      </c>
      <c r="E215" s="1" t="n">
        <v>46234</v>
      </c>
      <c r="F215" t="inlineStr">
        <is>
          <t>SÖDERMANLANDS LÄN</t>
        </is>
      </c>
      <c r="G215" t="inlineStr">
        <is>
          <t>FLEN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44448</v>
      </c>
      <c r="E216" s="1" t="n">
        <v>46234</v>
      </c>
      <c r="F216" t="inlineStr">
        <is>
          <t>SÖDERMANLANDS LÄN</t>
        </is>
      </c>
      <c r="G216" t="inlineStr">
        <is>
          <t>FLEN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46234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46234</v>
      </c>
      <c r="F218" t="inlineStr">
        <is>
          <t>SÖDERMANLANDS LÄN</t>
        </is>
      </c>
      <c r="G218" t="inlineStr">
        <is>
          <t>FLEN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46234</v>
      </c>
      <c r="F219" t="inlineStr">
        <is>
          <t>SÖDERMANLANDS LÄN</t>
        </is>
      </c>
      <c r="G219" t="inlineStr">
        <is>
          <t>FLEN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46234</v>
      </c>
      <c r="F220" t="inlineStr">
        <is>
          <t>SÖDERMANLANDS LÄN</t>
        </is>
      </c>
      <c r="G220" t="inlineStr">
        <is>
          <t>FLEN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44868</v>
      </c>
      <c r="E221" s="1" t="n">
        <v>46234</v>
      </c>
      <c r="F221" t="inlineStr">
        <is>
          <t>SÖDERMANLANDS LÄN</t>
        </is>
      </c>
      <c r="G221" t="inlineStr">
        <is>
          <t>FLEN</t>
        </is>
      </c>
      <c r="H221" t="inlineStr">
        <is>
          <t>Övriga statliga verk och myndigheter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46234</v>
      </c>
      <c r="F222" t="inlineStr">
        <is>
          <t>SÖDERMANLANDS LÄN</t>
        </is>
      </c>
      <c r="G222" t="inlineStr">
        <is>
          <t>FLEN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46234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46234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65869-2021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46234</v>
      </c>
      <c r="F225" t="inlineStr">
        <is>
          <t>SÖDERMANLANDS LÄN</t>
        </is>
      </c>
      <c r="G225" t="inlineStr">
        <is>
          <t>FLEN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4899-2023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44958</v>
      </c>
      <c r="E226" s="1" t="n">
        <v>46234</v>
      </c>
      <c r="F226" t="inlineStr">
        <is>
          <t>SÖDERMANLANDS LÄN</t>
        </is>
      </c>
      <c r="G226" t="inlineStr">
        <is>
          <t>FLEN</t>
        </is>
      </c>
      <c r="H226" t="inlineStr">
        <is>
          <t>Kyrkan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69588-2021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46234</v>
      </c>
      <c r="F227" t="inlineStr">
        <is>
          <t>SÖDERMANLANDS LÄN</t>
        </is>
      </c>
      <c r="G227" t="inlineStr">
        <is>
          <t>FLEN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45777</v>
      </c>
      <c r="E228" s="1" t="n">
        <v>46234</v>
      </c>
      <c r="F228" t="inlineStr">
        <is>
          <t>SÖDERMANLANDS LÄN</t>
        </is>
      </c>
      <c r="G228" t="inlineStr">
        <is>
          <t>FLEN</t>
        </is>
      </c>
      <c r="H228" t="inlineStr">
        <is>
          <t>Holmen skog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46234</v>
      </c>
      <c r="F229" t="inlineStr">
        <is>
          <t>SÖDERMANLANDS LÄN</t>
        </is>
      </c>
      <c r="G229" t="inlineStr">
        <is>
          <t>FLEN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44785</v>
      </c>
      <c r="E230" s="1" t="n">
        <v>46234</v>
      </c>
      <c r="F230" t="inlineStr">
        <is>
          <t>SÖDERMANLANDS LÄN</t>
        </is>
      </c>
      <c r="G230" t="inlineStr">
        <is>
          <t>FLEN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46234</v>
      </c>
      <c r="F231" t="inlineStr">
        <is>
          <t>SÖDERMANLANDS LÄN</t>
        </is>
      </c>
      <c r="G231" t="inlineStr">
        <is>
          <t>FLEN</t>
        </is>
      </c>
      <c r="H231" t="inlineStr">
        <is>
          <t>Holmen skog AB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46234</v>
      </c>
      <c r="F232" t="inlineStr">
        <is>
          <t>SÖDERMANLANDS LÄN</t>
        </is>
      </c>
      <c r="G232" t="inlineStr">
        <is>
          <t>FLEN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46234</v>
      </c>
      <c r="F233" t="inlineStr">
        <is>
          <t>SÖDERMANLANDS LÄN</t>
        </is>
      </c>
      <c r="G233" t="inlineStr">
        <is>
          <t>FLEN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46234</v>
      </c>
      <c r="F234" t="inlineStr">
        <is>
          <t>SÖDERMANLANDS LÄN</t>
        </is>
      </c>
      <c r="G234" t="inlineStr">
        <is>
          <t>FLEN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7960-2024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45350</v>
      </c>
      <c r="E235" s="1" t="n">
        <v>46234</v>
      </c>
      <c r="F235" t="inlineStr">
        <is>
          <t>SÖDERMANLANDS LÄN</t>
        </is>
      </c>
      <c r="G235" t="inlineStr">
        <is>
          <t>FLEN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54736-2022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44883</v>
      </c>
      <c r="E236" s="1" t="n">
        <v>46234</v>
      </c>
      <c r="F236" t="inlineStr">
        <is>
          <t>SÖDERMANLANDS LÄN</t>
        </is>
      </c>
      <c r="G236" t="inlineStr">
        <is>
          <t>FLEN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47055-2022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44852</v>
      </c>
      <c r="E237" s="1" t="n">
        <v>46234</v>
      </c>
      <c r="F237" t="inlineStr">
        <is>
          <t>SÖDERMANLANDS LÄN</t>
        </is>
      </c>
      <c r="G237" t="inlineStr">
        <is>
          <t>FLEN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60937-2022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46234</v>
      </c>
      <c r="F238" t="inlineStr">
        <is>
          <t>SÖDERMANLANDS LÄN</t>
        </is>
      </c>
      <c r="G238" t="inlineStr">
        <is>
          <t>FLEN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45008</v>
      </c>
      <c r="E239" s="1" t="n">
        <v>46234</v>
      </c>
      <c r="F239" t="inlineStr">
        <is>
          <t>SÖDERMANLANDS LÄN</t>
        </is>
      </c>
      <c r="G239" t="inlineStr">
        <is>
          <t>FLEN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60255-2021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44495</v>
      </c>
      <c r="E240" s="1" t="n">
        <v>46234</v>
      </c>
      <c r="F240" t="inlineStr">
        <is>
          <t>SÖDERMANLANDS LÄN</t>
        </is>
      </c>
      <c r="G240" t="inlineStr">
        <is>
          <t>FLEN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46234</v>
      </c>
      <c r="F241" t="inlineStr">
        <is>
          <t>SÖDERMANLANDS LÄN</t>
        </is>
      </c>
      <c r="G241" t="inlineStr">
        <is>
          <t>FLEN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72314-2021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44544</v>
      </c>
      <c r="E242" s="1" t="n">
        <v>46234</v>
      </c>
      <c r="F242" t="inlineStr">
        <is>
          <t>SÖDERMANLANDS LÄN</t>
        </is>
      </c>
      <c r="G242" t="inlineStr">
        <is>
          <t>FLEN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46234</v>
      </c>
      <c r="F243" t="inlineStr">
        <is>
          <t>SÖDERMANLANDS LÄN</t>
        </is>
      </c>
      <c r="G243" t="inlineStr">
        <is>
          <t>FLEN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45790</v>
      </c>
      <c r="E244" s="1" t="n">
        <v>46234</v>
      </c>
      <c r="F244" t="inlineStr">
        <is>
          <t>SÖDERMANLANDS LÄN</t>
        </is>
      </c>
      <c r="G244" t="inlineStr">
        <is>
          <t>FLEN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45790</v>
      </c>
      <c r="E245" s="1" t="n">
        <v>46234</v>
      </c>
      <c r="F245" t="inlineStr">
        <is>
          <t>SÖDERMANLANDS LÄN</t>
        </is>
      </c>
      <c r="G245" t="inlineStr">
        <is>
          <t>FLEN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54666-2021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44473</v>
      </c>
      <c r="E246" s="1" t="n">
        <v>46234</v>
      </c>
      <c r="F246" t="inlineStr">
        <is>
          <t>SÖDERMANLANDS LÄN</t>
        </is>
      </c>
      <c r="G246" t="inlineStr">
        <is>
          <t>FLEN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45636</v>
      </c>
      <c r="E247" s="1" t="n">
        <v>46234</v>
      </c>
      <c r="F247" t="inlineStr">
        <is>
          <t>SÖDERMANLANDS LÄN</t>
        </is>
      </c>
      <c r="G247" t="inlineStr">
        <is>
          <t>FLEN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46234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45510</v>
      </c>
      <c r="E249" s="1" t="n">
        <v>46234</v>
      </c>
      <c r="F249" t="inlineStr">
        <is>
          <t>SÖDERMANLANDS LÄN</t>
        </is>
      </c>
      <c r="G249" t="inlineStr">
        <is>
          <t>FLEN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50727-2025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46234</v>
      </c>
      <c r="F250" t="inlineStr">
        <is>
          <t>SÖDERMANLANDS LÄN</t>
        </is>
      </c>
      <c r="G250" t="inlineStr">
        <is>
          <t>FLEN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47604-2021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44448</v>
      </c>
      <c r="E251" s="1" t="n">
        <v>46234</v>
      </c>
      <c r="F251" t="inlineStr">
        <is>
          <t>SÖDERMANLANDS LÄN</t>
        </is>
      </c>
      <c r="G251" t="inlineStr">
        <is>
          <t>FLEN</t>
        </is>
      </c>
      <c r="I251" t="n">
        <v>11.5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45225</v>
      </c>
      <c r="E252" s="1" t="n">
        <v>46234</v>
      </c>
      <c r="F252" t="inlineStr">
        <is>
          <t>SÖDERMANLANDS LÄN</t>
        </is>
      </c>
      <c r="G252" t="inlineStr">
        <is>
          <t>FLEN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46234</v>
      </c>
      <c r="F253" t="inlineStr">
        <is>
          <t>SÖDERMANLANDS LÄN</t>
        </is>
      </c>
      <c r="G253" t="inlineStr">
        <is>
          <t>FLEN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44796</v>
      </c>
      <c r="E254" s="1" t="n">
        <v>46234</v>
      </c>
      <c r="F254" t="inlineStr">
        <is>
          <t>SÖDERMANLANDS LÄN</t>
        </is>
      </c>
      <c r="G254" t="inlineStr">
        <is>
          <t>FLEN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45482</v>
      </c>
      <c r="E255" s="1" t="n">
        <v>46234</v>
      </c>
      <c r="F255" t="inlineStr">
        <is>
          <t>SÖDERMANLANDS LÄN</t>
        </is>
      </c>
      <c r="G255" t="inlineStr">
        <is>
          <t>FLEN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46234</v>
      </c>
      <c r="F256" t="inlineStr">
        <is>
          <t>SÖDERMANLANDS LÄN</t>
        </is>
      </c>
      <c r="G256" t="inlineStr">
        <is>
          <t>FLEN</t>
        </is>
      </c>
      <c r="H256" t="inlineStr">
        <is>
          <t>Övriga statliga verk och myndigheter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46234</v>
      </c>
      <c r="F257" t="inlineStr">
        <is>
          <t>SÖDERMANLANDS LÄN</t>
        </is>
      </c>
      <c r="G257" t="inlineStr">
        <is>
          <t>FLEN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46234</v>
      </c>
      <c r="F258" t="inlineStr">
        <is>
          <t>SÖDERMANLANDS LÄN</t>
        </is>
      </c>
      <c r="G258" t="inlineStr">
        <is>
          <t>FLEN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46234</v>
      </c>
      <c r="F259" t="inlineStr">
        <is>
          <t>SÖDERMANLANDS LÄN</t>
        </is>
      </c>
      <c r="G259" t="inlineStr">
        <is>
          <t>FLEN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45226</v>
      </c>
      <c r="E260" s="1" t="n">
        <v>46234</v>
      </c>
      <c r="F260" t="inlineStr">
        <is>
          <t>SÖDERMANLANDS LÄN</t>
        </is>
      </c>
      <c r="G260" t="inlineStr">
        <is>
          <t>FLEN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45798</v>
      </c>
      <c r="E261" s="1" t="n">
        <v>46234</v>
      </c>
      <c r="F261" t="inlineStr">
        <is>
          <t>SÖDERMANLANDS LÄN</t>
        </is>
      </c>
      <c r="G261" t="inlineStr">
        <is>
          <t>FLEN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46234</v>
      </c>
      <c r="F262" t="inlineStr">
        <is>
          <t>SÖDERMANLANDS LÄN</t>
        </is>
      </c>
      <c r="G262" t="inlineStr">
        <is>
          <t>FLEN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45702</v>
      </c>
      <c r="E263" s="1" t="n">
        <v>46234</v>
      </c>
      <c r="F263" t="inlineStr">
        <is>
          <t>SÖDERMANLANDS LÄN</t>
        </is>
      </c>
      <c r="G263" t="inlineStr">
        <is>
          <t>FLEN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46234</v>
      </c>
      <c r="F264" t="inlineStr">
        <is>
          <t>SÖDERMANLANDS LÄN</t>
        </is>
      </c>
      <c r="G264" t="inlineStr">
        <is>
          <t>FLEN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46234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62579-2023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45270</v>
      </c>
      <c r="E266" s="1" t="n">
        <v>46234</v>
      </c>
      <c r="F266" t="inlineStr">
        <is>
          <t>SÖDERMANLANDS LÄN</t>
        </is>
      </c>
      <c r="G266" t="inlineStr">
        <is>
          <t>FLEN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46234</v>
      </c>
      <c r="F267" t="inlineStr">
        <is>
          <t>SÖDERMANLANDS LÄN</t>
        </is>
      </c>
      <c r="G267" t="inlineStr">
        <is>
          <t>FLEN</t>
        </is>
      </c>
      <c r="H267" t="inlineStr">
        <is>
          <t>Kommuner</t>
        </is>
      </c>
      <c r="I267" t="n">
        <v>11.2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46234</v>
      </c>
      <c r="F268" t="inlineStr">
        <is>
          <t>SÖDERMANLANDS LÄN</t>
        </is>
      </c>
      <c r="G268" t="inlineStr">
        <is>
          <t>FLEN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46234</v>
      </c>
      <c r="F269" t="inlineStr">
        <is>
          <t>SÖDERMANLANDS LÄN</t>
        </is>
      </c>
      <c r="G269" t="inlineStr">
        <is>
          <t>FLEN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46234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46234</v>
      </c>
      <c r="F271" t="inlineStr">
        <is>
          <t>SÖDERMANLANDS LÄN</t>
        </is>
      </c>
      <c r="G271" t="inlineStr">
        <is>
          <t>FLEN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36096-2023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45149</v>
      </c>
      <c r="E272" s="1" t="n">
        <v>46234</v>
      </c>
      <c r="F272" t="inlineStr">
        <is>
          <t>SÖDERMANLANDS LÄN</t>
        </is>
      </c>
      <c r="G272" t="inlineStr">
        <is>
          <t>FLEN</t>
        </is>
      </c>
      <c r="H272" t="inlineStr">
        <is>
          <t>Kyrkan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46234</v>
      </c>
      <c r="F273" t="inlineStr">
        <is>
          <t>SÖDERMANLANDS LÄN</t>
        </is>
      </c>
      <c r="G273" t="inlineStr">
        <is>
          <t>FLEN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44733</v>
      </c>
      <c r="E274" s="1" t="n">
        <v>46234</v>
      </c>
      <c r="F274" t="inlineStr">
        <is>
          <t>SÖDERMANLANDS LÄN</t>
        </is>
      </c>
      <c r="G274" t="inlineStr">
        <is>
          <t>FLEN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46234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45684</v>
      </c>
      <c r="E276" s="1" t="n">
        <v>46234</v>
      </c>
      <c r="F276" t="inlineStr">
        <is>
          <t>SÖDERMANLANDS LÄN</t>
        </is>
      </c>
      <c r="G276" t="inlineStr">
        <is>
          <t>FLEN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46234</v>
      </c>
      <c r="F277" t="inlineStr">
        <is>
          <t>SÖDERMANLANDS LÄN</t>
        </is>
      </c>
      <c r="G277" t="inlineStr">
        <is>
          <t>FLEN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46234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66867-2021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44522</v>
      </c>
      <c r="E279" s="1" t="n">
        <v>46234</v>
      </c>
      <c r="F279" t="inlineStr">
        <is>
          <t>SÖDERMANLANDS LÄN</t>
        </is>
      </c>
      <c r="G279" t="inlineStr">
        <is>
          <t>FLEN</t>
        </is>
      </c>
      <c r="H279" t="inlineStr">
        <is>
          <t>Kyrkan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44931</v>
      </c>
      <c r="E280" s="1" t="n">
        <v>46234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46234</v>
      </c>
      <c r="F281" t="inlineStr">
        <is>
          <t>SÖDERMANLANDS LÄN</t>
        </is>
      </c>
      <c r="G281" t="inlineStr">
        <is>
          <t>FLEN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44979</v>
      </c>
      <c r="E282" s="1" t="n">
        <v>46234</v>
      </c>
      <c r="F282" t="inlineStr">
        <is>
          <t>SÖDERMANLANDS LÄN</t>
        </is>
      </c>
      <c r="G282" t="inlineStr">
        <is>
          <t>FLEN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45830</v>
      </c>
      <c r="E283" s="1" t="n">
        <v>46234</v>
      </c>
      <c r="F283" t="inlineStr">
        <is>
          <t>SÖDERMANLANDS LÄN</t>
        </is>
      </c>
      <c r="G283" t="inlineStr">
        <is>
          <t>FLEN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45830</v>
      </c>
      <c r="E284" s="1" t="n">
        <v>46234</v>
      </c>
      <c r="F284" t="inlineStr">
        <is>
          <t>SÖDERMANLANDS LÄN</t>
        </is>
      </c>
      <c r="G284" t="inlineStr">
        <is>
          <t>FLEN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46234</v>
      </c>
      <c r="F285" t="inlineStr">
        <is>
          <t>SÖDERMANLANDS LÄN</t>
        </is>
      </c>
      <c r="G285" t="inlineStr">
        <is>
          <t>FLEN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40961-2021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44421</v>
      </c>
      <c r="E286" s="1" t="n">
        <v>46234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44859</v>
      </c>
      <c r="E287" s="1" t="n">
        <v>46234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54283-2025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45964</v>
      </c>
      <c r="E288" s="1" t="n">
        <v>46234</v>
      </c>
      <c r="F288" t="inlineStr">
        <is>
          <t>SÖDERMANLANDS LÄN</t>
        </is>
      </c>
      <c r="G288" t="inlineStr">
        <is>
          <t>FLEN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54282-2025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45964</v>
      </c>
      <c r="E289" s="1" t="n">
        <v>46234</v>
      </c>
      <c r="F289" t="inlineStr">
        <is>
          <t>SÖDERMANLANDS LÄN</t>
        </is>
      </c>
      <c r="G289" t="inlineStr">
        <is>
          <t>FLEN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46234</v>
      </c>
      <c r="F290" t="inlineStr">
        <is>
          <t>SÖDERMANLANDS LÄN</t>
        </is>
      </c>
      <c r="G290" t="inlineStr">
        <is>
          <t>FLEN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44624</v>
      </c>
      <c r="E291" s="1" t="n">
        <v>46234</v>
      </c>
      <c r="F291" t="inlineStr">
        <is>
          <t>SÖDERMANLANDS LÄN</t>
        </is>
      </c>
      <c r="G291" t="inlineStr">
        <is>
          <t>FLEN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46234</v>
      </c>
      <c r="F292" t="inlineStr">
        <is>
          <t>SÖDERMANLANDS LÄN</t>
        </is>
      </c>
      <c r="G292" t="inlineStr">
        <is>
          <t>FLEN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46234</v>
      </c>
      <c r="F293" t="inlineStr">
        <is>
          <t>SÖDERMANLANDS LÄN</t>
        </is>
      </c>
      <c r="G293" t="inlineStr">
        <is>
          <t>FLEN</t>
        </is>
      </c>
      <c r="H293" t="inlineStr">
        <is>
          <t>Övriga statliga verk och myndigheter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45702</v>
      </c>
      <c r="E294" s="1" t="n">
        <v>46234</v>
      </c>
      <c r="F294" t="inlineStr">
        <is>
          <t>SÖDERMANLANDS LÄN</t>
        </is>
      </c>
      <c r="G294" t="inlineStr">
        <is>
          <t>FLEN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45729</v>
      </c>
      <c r="E295" s="1" t="n">
        <v>46234</v>
      </c>
      <c r="F295" t="inlineStr">
        <is>
          <t>SÖDERMANLANDS LÄN</t>
        </is>
      </c>
      <c r="G295" t="inlineStr">
        <is>
          <t>FLEN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45311</v>
      </c>
      <c r="E296" s="1" t="n">
        <v>46234</v>
      </c>
      <c r="F296" t="inlineStr">
        <is>
          <t>SÖDERMANLANDS LÄN</t>
        </is>
      </c>
      <c r="G296" t="inlineStr">
        <is>
          <t>FLEN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44588</v>
      </c>
      <c r="E297" s="1" t="n">
        <v>46234</v>
      </c>
      <c r="F297" t="inlineStr">
        <is>
          <t>SÖDERMANLANDS LÄN</t>
        </is>
      </c>
      <c r="G297" t="inlineStr">
        <is>
          <t>FLEN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45299</v>
      </c>
      <c r="E298" s="1" t="n">
        <v>46234</v>
      </c>
      <c r="F298" t="inlineStr">
        <is>
          <t>SÖDERMANLANDS LÄN</t>
        </is>
      </c>
      <c r="G298" t="inlineStr">
        <is>
          <t>FLEN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57356-2022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46234</v>
      </c>
      <c r="F299" t="inlineStr">
        <is>
          <t>SÖDERMANLANDS LÄN</t>
        </is>
      </c>
      <c r="G299" t="inlineStr">
        <is>
          <t>FLEN</t>
        </is>
      </c>
      <c r="H299" t="inlineStr">
        <is>
          <t>Övriga statliga verk och myndigheter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51872-2022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44872</v>
      </c>
      <c r="E300" s="1" t="n">
        <v>46234</v>
      </c>
      <c r="F300" t="inlineStr">
        <is>
          <t>SÖDERMANLANDS LÄN</t>
        </is>
      </c>
      <c r="G300" t="inlineStr">
        <is>
          <t>FLEN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57863-2022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44899</v>
      </c>
      <c r="E301" s="1" t="n">
        <v>46234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46234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45057</v>
      </c>
      <c r="E303" s="1" t="n">
        <v>46234</v>
      </c>
      <c r="F303" t="inlineStr">
        <is>
          <t>SÖDERMANLANDS LÄN</t>
        </is>
      </c>
      <c r="G303" t="inlineStr">
        <is>
          <t>FLEN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45228</v>
      </c>
      <c r="E304" s="1" t="n">
        <v>46234</v>
      </c>
      <c r="F304" t="inlineStr">
        <is>
          <t>SÖDERMANLANDS LÄN</t>
        </is>
      </c>
      <c r="G304" t="inlineStr">
        <is>
          <t>FLEN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45034</v>
      </c>
      <c r="E305" s="1" t="n">
        <v>46234</v>
      </c>
      <c r="F305" t="inlineStr">
        <is>
          <t>SÖDERMANLANDS LÄN</t>
        </is>
      </c>
      <c r="G305" t="inlineStr">
        <is>
          <t>FLEN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45880</v>
      </c>
      <c r="E306" s="1" t="n">
        <v>46234</v>
      </c>
      <c r="F306" t="inlineStr">
        <is>
          <t>SÖDERMANLANDS LÄN</t>
        </is>
      </c>
      <c r="G306" t="inlineStr">
        <is>
          <t>FLEN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46234</v>
      </c>
      <c r="F307" t="inlineStr">
        <is>
          <t>SÖDERMANLANDS LÄN</t>
        </is>
      </c>
      <c r="G307" t="inlineStr">
        <is>
          <t>FLEN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44602</v>
      </c>
      <c r="E308" s="1" t="n">
        <v>46234</v>
      </c>
      <c r="F308" t="inlineStr">
        <is>
          <t>SÖDERMANLANDS LÄN</t>
        </is>
      </c>
      <c r="G308" t="inlineStr">
        <is>
          <t>FLEN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56573-2025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45974</v>
      </c>
      <c r="E309" s="1" t="n">
        <v>46234</v>
      </c>
      <c r="F309" t="inlineStr">
        <is>
          <t>SÖDERMANLANDS LÄN</t>
        </is>
      </c>
      <c r="G309" t="inlineStr">
        <is>
          <t>FLEN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45398</v>
      </c>
      <c r="E310" s="1" t="n">
        <v>46234</v>
      </c>
      <c r="F310" t="inlineStr">
        <is>
          <t>SÖDERMANLANDS LÄN</t>
        </is>
      </c>
      <c r="G310" t="inlineStr">
        <is>
          <t>FLEN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46234</v>
      </c>
      <c r="F311" t="inlineStr">
        <is>
          <t>SÖDERMANLANDS LÄN</t>
        </is>
      </c>
      <c r="G311" t="inlineStr">
        <is>
          <t>FLEN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45667</v>
      </c>
      <c r="E312" s="1" t="n">
        <v>46234</v>
      </c>
      <c r="F312" t="inlineStr">
        <is>
          <t>SÖDERMANLANDS LÄN</t>
        </is>
      </c>
      <c r="G312" t="inlineStr">
        <is>
          <t>FLEN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30423-2022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44761</v>
      </c>
      <c r="E313" s="1" t="n">
        <v>46234</v>
      </c>
      <c r="F313" t="inlineStr">
        <is>
          <t>SÖDERMANLANDS LÄN</t>
        </is>
      </c>
      <c r="G313" t="inlineStr">
        <is>
          <t>FLEN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42731-2024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45566</v>
      </c>
      <c r="E314" s="1" t="n">
        <v>46234</v>
      </c>
      <c r="F314" t="inlineStr">
        <is>
          <t>SÖDERMANLANDS LÄN</t>
        </is>
      </c>
      <c r="G314" t="inlineStr">
        <is>
          <t>FLEN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46234</v>
      </c>
      <c r="F315" t="inlineStr">
        <is>
          <t>SÖDERMANLANDS LÄN</t>
        </is>
      </c>
      <c r="G315" t="inlineStr">
        <is>
          <t>FLEN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45993</v>
      </c>
      <c r="E316" s="1" t="n">
        <v>46234</v>
      </c>
      <c r="F316" t="inlineStr">
        <is>
          <t>SÖDERMANLANDS LÄN</t>
        </is>
      </c>
      <c r="G316" t="inlineStr">
        <is>
          <t>FLEN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45260</v>
      </c>
      <c r="E317" s="1" t="n">
        <v>46234</v>
      </c>
      <c r="F317" t="inlineStr">
        <is>
          <t>SÖDERMANLANDS LÄN</t>
        </is>
      </c>
      <c r="G317" t="inlineStr">
        <is>
          <t>FLEN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44838</v>
      </c>
      <c r="E318" s="1" t="n">
        <v>46234</v>
      </c>
      <c r="F318" t="inlineStr">
        <is>
          <t>SÖDERMANLANDS LÄN</t>
        </is>
      </c>
      <c r="G318" t="inlineStr">
        <is>
          <t>FLEN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46234</v>
      </c>
      <c r="F319" t="inlineStr">
        <is>
          <t>SÖDERMANLANDS LÄN</t>
        </is>
      </c>
      <c r="G319" t="inlineStr">
        <is>
          <t>FLEN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46234</v>
      </c>
      <c r="F320" t="inlineStr">
        <is>
          <t>SÖDERMANLANDS LÄN</t>
        </is>
      </c>
      <c r="G320" t="inlineStr">
        <is>
          <t>FLEN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43394-2021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44432</v>
      </c>
      <c r="E321" s="1" t="n">
        <v>46234</v>
      </c>
      <c r="F321" t="inlineStr">
        <is>
          <t>SÖDERMANLANDS LÄN</t>
        </is>
      </c>
      <c r="G321" t="inlineStr">
        <is>
          <t>FLEN</t>
        </is>
      </c>
      <c r="I321" t="n">
        <v>14.4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46234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9.699999999999999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60401-2025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46234</v>
      </c>
      <c r="F323" t="inlineStr">
        <is>
          <t>SÖDERMANLANDS LÄN</t>
        </is>
      </c>
      <c r="G323" t="inlineStr">
        <is>
          <t>FLEN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45358</v>
      </c>
      <c r="E324" s="1" t="n">
        <v>46234</v>
      </c>
      <c r="F324" t="inlineStr">
        <is>
          <t>SÖDERMANLANDS LÄN</t>
        </is>
      </c>
      <c r="G324" t="inlineStr">
        <is>
          <t>FLEN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45995</v>
      </c>
      <c r="E325" s="1" t="n">
        <v>46234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46234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44722</v>
      </c>
      <c r="E327" s="1" t="n">
        <v>46234</v>
      </c>
      <c r="F327" t="inlineStr">
        <is>
          <t>SÖDERMANLANDS LÄN</t>
        </is>
      </c>
      <c r="G327" t="inlineStr">
        <is>
          <t>FLEN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44722</v>
      </c>
      <c r="E328" s="1" t="n">
        <v>46234</v>
      </c>
      <c r="F328" t="inlineStr">
        <is>
          <t>SÖDERMANLANDS LÄN</t>
        </is>
      </c>
      <c r="G328" t="inlineStr">
        <is>
          <t>FLEN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33103-2022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44785</v>
      </c>
      <c r="E329" s="1" t="n">
        <v>46234</v>
      </c>
      <c r="F329" t="inlineStr">
        <is>
          <t>SÖDERMANLANDS LÄN</t>
        </is>
      </c>
      <c r="G329" t="inlineStr">
        <is>
          <t>FLEN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46234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44616</v>
      </c>
      <c r="E331" s="1" t="n">
        <v>46234</v>
      </c>
      <c r="F331" t="inlineStr">
        <is>
          <t>SÖDERMANLANDS LÄN</t>
        </is>
      </c>
      <c r="G331" t="inlineStr">
        <is>
          <t>FLEN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52692-2021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44466</v>
      </c>
      <c r="E332" s="1" t="n">
        <v>46234</v>
      </c>
      <c r="F332" t="inlineStr">
        <is>
          <t>SÖDERMANLANDS LÄN</t>
        </is>
      </c>
      <c r="G332" t="inlineStr">
        <is>
          <t>FLEN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39821-2024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45553</v>
      </c>
      <c r="E333" s="1" t="n">
        <v>46234</v>
      </c>
      <c r="F333" t="inlineStr">
        <is>
          <t>SÖDERMANLANDS LÄN</t>
        </is>
      </c>
      <c r="G333" t="inlineStr">
        <is>
          <t>FLEN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46234</v>
      </c>
      <c r="F334" t="inlineStr">
        <is>
          <t>SÖDERMANLANDS LÄN</t>
        </is>
      </c>
      <c r="G334" t="inlineStr">
        <is>
          <t>FLEN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45213</v>
      </c>
      <c r="E335" s="1" t="n">
        <v>46234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45104</v>
      </c>
      <c r="E336" s="1" t="n">
        <v>46234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45322</v>
      </c>
      <c r="E337" s="1" t="n">
        <v>46234</v>
      </c>
      <c r="F337" t="inlineStr">
        <is>
          <t>SÖDERMANLANDS LÄN</t>
        </is>
      </c>
      <c r="G337" t="inlineStr">
        <is>
          <t>FLEN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64480-2023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45280</v>
      </c>
      <c r="E338" s="1" t="n">
        <v>46234</v>
      </c>
      <c r="F338" t="inlineStr">
        <is>
          <t>SÖDERMANLANDS LÄN</t>
        </is>
      </c>
      <c r="G338" t="inlineStr">
        <is>
          <t>FLEN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49828-2022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44862</v>
      </c>
      <c r="E339" s="1" t="n">
        <v>46234</v>
      </c>
      <c r="F339" t="inlineStr">
        <is>
          <t>SÖDERMANLANDS LÄN</t>
        </is>
      </c>
      <c r="G339" t="inlineStr">
        <is>
          <t>FLEN</t>
        </is>
      </c>
      <c r="H339" t="inlineStr">
        <is>
          <t>Kyrkan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67464-2021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44524</v>
      </c>
      <c r="E340" s="1" t="n">
        <v>46234</v>
      </c>
      <c r="F340" t="inlineStr">
        <is>
          <t>SÖDERMANLANDS LÄN</t>
        </is>
      </c>
      <c r="G340" t="inlineStr">
        <is>
          <t>FLEN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66979-2021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44522</v>
      </c>
      <c r="E341" s="1" t="n">
        <v>46234</v>
      </c>
      <c r="F341" t="inlineStr">
        <is>
          <t>SÖDERMANLANDS LÄN</t>
        </is>
      </c>
      <c r="G341" t="inlineStr">
        <is>
          <t>FLEN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16908-2024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45411</v>
      </c>
      <c r="E342" s="1" t="n">
        <v>46234</v>
      </c>
      <c r="F342" t="inlineStr">
        <is>
          <t>SÖDERMANLANDS LÄN</t>
        </is>
      </c>
      <c r="G342" t="inlineStr">
        <is>
          <t>FLEN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8883-2023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46234</v>
      </c>
      <c r="F343" t="inlineStr">
        <is>
          <t>SÖDERMANLANDS LÄN</t>
        </is>
      </c>
      <c r="G343" t="inlineStr">
        <is>
          <t>FLEN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46234</v>
      </c>
      <c r="F344" t="inlineStr">
        <is>
          <t>SÖDERMANLANDS LÄN</t>
        </is>
      </c>
      <c r="G344" t="inlineStr">
        <is>
          <t>FLEN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46234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46234</v>
      </c>
      <c r="F346" t="inlineStr">
        <is>
          <t>SÖDERMANLANDS LÄN</t>
        </is>
      </c>
      <c r="G346" t="inlineStr">
        <is>
          <t>FLEN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45081</v>
      </c>
      <c r="E347" s="1" t="n">
        <v>46234</v>
      </c>
      <c r="F347" t="inlineStr">
        <is>
          <t>SÖDERMANLANDS LÄN</t>
        </is>
      </c>
      <c r="G347" t="inlineStr">
        <is>
          <t>FLEN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45081</v>
      </c>
      <c r="E348" s="1" t="n">
        <v>46234</v>
      </c>
      <c r="F348" t="inlineStr">
        <is>
          <t>SÖDERMANLANDS LÄN</t>
        </is>
      </c>
      <c r="G348" t="inlineStr">
        <is>
          <t>FLEN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10565-2023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46234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53119-2023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45228</v>
      </c>
      <c r="E350" s="1" t="n">
        <v>46234</v>
      </c>
      <c r="F350" t="inlineStr">
        <is>
          <t>SÖDERMANLANDS LÄN</t>
        </is>
      </c>
      <c r="G350" t="inlineStr">
        <is>
          <t>FLEN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15904-2023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46234</v>
      </c>
      <c r="F351" t="inlineStr">
        <is>
          <t>SÖDERMANLANDS LÄN</t>
        </is>
      </c>
      <c r="G351" t="inlineStr">
        <is>
          <t>FLEN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45632</v>
      </c>
      <c r="E352" s="1" t="n">
        <v>46234</v>
      </c>
      <c r="F352" t="inlineStr">
        <is>
          <t>SÖDERMANLANDS LÄN</t>
        </is>
      </c>
      <c r="G352" t="inlineStr">
        <is>
          <t>FLEN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45022</v>
      </c>
      <c r="E353" s="1" t="n">
        <v>46234</v>
      </c>
      <c r="F353" t="inlineStr">
        <is>
          <t>SÖDERMANLANDS LÄN</t>
        </is>
      </c>
      <c r="G353" t="inlineStr">
        <is>
          <t>FLEN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59258-2022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44897</v>
      </c>
      <c r="E354" s="1" t="n">
        <v>46234</v>
      </c>
      <c r="F354" t="inlineStr">
        <is>
          <t>SÖDERMANLANDS LÄN</t>
        </is>
      </c>
      <c r="G354" t="inlineStr">
        <is>
          <t>FLEN</t>
        </is>
      </c>
      <c r="H354" t="inlineStr">
        <is>
          <t>Övriga statliga verk och myndigheter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46234</v>
      </c>
      <c r="F355" t="inlineStr">
        <is>
          <t>SÖDERMANLANDS LÄN</t>
        </is>
      </c>
      <c r="G355" t="inlineStr">
        <is>
          <t>FLEN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46234</v>
      </c>
      <c r="F356" t="inlineStr">
        <is>
          <t>SÖDERMANLANDS LÄN</t>
        </is>
      </c>
      <c r="G356" t="inlineStr">
        <is>
          <t>FLEN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52541-2021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44463</v>
      </c>
      <c r="E357" s="1" t="n">
        <v>46234</v>
      </c>
      <c r="F357" t="inlineStr">
        <is>
          <t>SÖDERMANLANDS LÄN</t>
        </is>
      </c>
      <c r="G357" t="inlineStr">
        <is>
          <t>FLEN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45331</v>
      </c>
      <c r="E358" s="1" t="n">
        <v>46234</v>
      </c>
      <c r="F358" t="inlineStr">
        <is>
          <t>SÖDERMANLANDS LÄN</t>
        </is>
      </c>
      <c r="G358" t="inlineStr">
        <is>
          <t>FLEN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45066</v>
      </c>
      <c r="E359" s="1" t="n">
        <v>46234</v>
      </c>
      <c r="F359" t="inlineStr">
        <is>
          <t>SÖDERMANLANDS LÄN</t>
        </is>
      </c>
      <c r="G359" t="inlineStr">
        <is>
          <t>FLEN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44979</v>
      </c>
      <c r="E360" s="1" t="n">
        <v>46234</v>
      </c>
      <c r="F360" t="inlineStr">
        <is>
          <t>SÖDERMANLANDS LÄN</t>
        </is>
      </c>
      <c r="G360" t="inlineStr">
        <is>
          <t>FLEN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5194-2024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45330</v>
      </c>
      <c r="E361" s="1" t="n">
        <v>46234</v>
      </c>
      <c r="F361" t="inlineStr">
        <is>
          <t>SÖDERMANLANDS LÄN</t>
        </is>
      </c>
      <c r="G361" t="inlineStr">
        <is>
          <t>FLEN</t>
        </is>
      </c>
      <c r="H361" t="inlineStr">
        <is>
          <t>Övriga statliga verk och myndigheter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46234</v>
      </c>
      <c r="F362" t="inlineStr">
        <is>
          <t>SÖDERMANLANDS LÄN</t>
        </is>
      </c>
      <c r="G362" t="inlineStr">
        <is>
          <t>FLEN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50898-2022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44864</v>
      </c>
      <c r="E363" s="1" t="n">
        <v>46234</v>
      </c>
      <c r="F363" t="inlineStr">
        <is>
          <t>SÖDERMANLANDS LÄN</t>
        </is>
      </c>
      <c r="G363" t="inlineStr">
        <is>
          <t>FLEN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44855</v>
      </c>
      <c r="E364" s="1" t="n">
        <v>46234</v>
      </c>
      <c r="F364" t="inlineStr">
        <is>
          <t>SÖDERMANLANDS LÄN</t>
        </is>
      </c>
      <c r="G364" t="inlineStr">
        <is>
          <t>FLEN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46234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46234</v>
      </c>
      <c r="F366" t="inlineStr">
        <is>
          <t>SÖDERMANLANDS LÄN</t>
        </is>
      </c>
      <c r="G366" t="inlineStr">
        <is>
          <t>FLEN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44855</v>
      </c>
      <c r="E367" s="1" t="n">
        <v>46234</v>
      </c>
      <c r="F367" t="inlineStr">
        <is>
          <t>SÖDERMANLANDS LÄN</t>
        </is>
      </c>
      <c r="G367" t="inlineStr">
        <is>
          <t>FLEN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46234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45528</v>
      </c>
      <c r="E369" s="1" t="n">
        <v>46234</v>
      </c>
      <c r="F369" t="inlineStr">
        <is>
          <t>SÖDERMANLANDS LÄN</t>
        </is>
      </c>
      <c r="G369" t="inlineStr">
        <is>
          <t>FLEN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45306</v>
      </c>
      <c r="E370" s="1" t="n">
        <v>46234</v>
      </c>
      <c r="F370" t="inlineStr">
        <is>
          <t>SÖDERMANLANDS LÄN</t>
        </is>
      </c>
      <c r="G370" t="inlineStr">
        <is>
          <t>FLEN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44896</v>
      </c>
      <c r="E371" s="1" t="n">
        <v>46234</v>
      </c>
      <c r="F371" t="inlineStr">
        <is>
          <t>SÖDERMANLANDS LÄN</t>
        </is>
      </c>
      <c r="G371" t="inlineStr">
        <is>
          <t>FLEN</t>
        </is>
      </c>
      <c r="H371" t="inlineStr">
        <is>
          <t>Övriga statliga verk och myndigheter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46234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48497-2021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44449</v>
      </c>
      <c r="E373" s="1" t="n">
        <v>46234</v>
      </c>
      <c r="F373" t="inlineStr">
        <is>
          <t>SÖDERMANLANDS LÄN</t>
        </is>
      </c>
      <c r="G373" t="inlineStr">
        <is>
          <t>FLEN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46234</v>
      </c>
      <c r="F374" t="inlineStr">
        <is>
          <t>SÖDERMANLANDS LÄN</t>
        </is>
      </c>
      <c r="G374" t="inlineStr">
        <is>
          <t>FLEN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46234</v>
      </c>
      <c r="F375" t="inlineStr">
        <is>
          <t>SÖDERMANLANDS LÄN</t>
        </is>
      </c>
      <c r="G375" t="inlineStr">
        <is>
          <t>FLEN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46234</v>
      </c>
      <c r="F376" t="inlineStr">
        <is>
          <t>SÖDERMANLANDS LÄN</t>
        </is>
      </c>
      <c r="G376" t="inlineStr">
        <is>
          <t>FLEN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10397-2026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46077</v>
      </c>
      <c r="E377" s="1" t="n">
        <v>46234</v>
      </c>
      <c r="F377" t="inlineStr">
        <is>
          <t>SÖDERMANLANDS LÄN</t>
        </is>
      </c>
      <c r="G377" t="inlineStr">
        <is>
          <t>FLEN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46234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46080</v>
      </c>
      <c r="E379" s="1" t="n">
        <v>46234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46234</v>
      </c>
      <c r="F380" t="inlineStr">
        <is>
          <t>SÖDERMANLANDS LÄN</t>
        </is>
      </c>
      <c r="G380" t="inlineStr">
        <is>
          <t>FLEN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46234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46234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11098-2026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46234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11187-2026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46234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46082</v>
      </c>
      <c r="E385" s="1" t="n">
        <v>46234</v>
      </c>
      <c r="F385" t="inlineStr">
        <is>
          <t>SÖDERMANLANDS LÄN</t>
        </is>
      </c>
      <c r="G385" t="inlineStr">
        <is>
          <t>FLEN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11413-2026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46083</v>
      </c>
      <c r="E386" s="1" t="n">
        <v>46234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44957</v>
      </c>
      <c r="E387" s="1" t="n">
        <v>46234</v>
      </c>
      <c r="F387" t="inlineStr">
        <is>
          <t>SÖDERMANLANDS LÄN</t>
        </is>
      </c>
      <c r="G387" t="inlineStr">
        <is>
          <t>FLEN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48852-2023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45209</v>
      </c>
      <c r="E388" s="1" t="n">
        <v>46234</v>
      </c>
      <c r="F388" t="inlineStr">
        <is>
          <t>SÖDERMANLANDS LÄN</t>
        </is>
      </c>
      <c r="G388" t="inlineStr">
        <is>
          <t>FLEN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45244</v>
      </c>
      <c r="E389" s="1" t="n">
        <v>46234</v>
      </c>
      <c r="F389" t="inlineStr">
        <is>
          <t>SÖDERMANLANDS LÄN</t>
        </is>
      </c>
      <c r="G389" t="inlineStr">
        <is>
          <t>FLEN</t>
        </is>
      </c>
      <c r="H389" t="inlineStr">
        <is>
          <t>Övriga statliga verk och myndigheter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44991</v>
      </c>
      <c r="E390" s="1" t="n">
        <v>46234</v>
      </c>
      <c r="F390" t="inlineStr">
        <is>
          <t>SÖDERMANLANDS LÄN</t>
        </is>
      </c>
      <c r="G390" t="inlineStr">
        <is>
          <t>FLEN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45048</v>
      </c>
      <c r="E391" s="1" t="n">
        <v>46234</v>
      </c>
      <c r="F391" t="inlineStr">
        <is>
          <t>SÖDERMANLANDS LÄN</t>
        </is>
      </c>
      <c r="G391" t="inlineStr">
        <is>
          <t>FLEN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12712-2026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46091</v>
      </c>
      <c r="E392" s="1" t="n">
        <v>46234</v>
      </c>
      <c r="F392" t="inlineStr">
        <is>
          <t>SÖDERMANLANDS LÄN</t>
        </is>
      </c>
      <c r="G392" t="inlineStr">
        <is>
          <t>FLEN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45056</v>
      </c>
      <c r="E393" s="1" t="n">
        <v>46234</v>
      </c>
      <c r="F393" t="inlineStr">
        <is>
          <t>SÖDERMANLANDS LÄN</t>
        </is>
      </c>
      <c r="G393" t="inlineStr">
        <is>
          <t>FLEN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44561-2024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45574</v>
      </c>
      <c r="E394" s="1" t="n">
        <v>46234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45230</v>
      </c>
      <c r="E395" s="1" t="n">
        <v>46234</v>
      </c>
      <c r="F395" t="inlineStr">
        <is>
          <t>SÖDERMANLANDS LÄN</t>
        </is>
      </c>
      <c r="G395" t="inlineStr">
        <is>
          <t>FLEN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46234</v>
      </c>
      <c r="F396" t="inlineStr">
        <is>
          <t>SÖDERMANLANDS LÄN</t>
        </is>
      </c>
      <c r="G396" t="inlineStr">
        <is>
          <t>FLEN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44566</v>
      </c>
      <c r="E397" s="1" t="n">
        <v>46234</v>
      </c>
      <c r="F397" t="inlineStr">
        <is>
          <t>SÖDERMANLANDS LÄN</t>
        </is>
      </c>
      <c r="G397" t="inlineStr">
        <is>
          <t>FLEN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10828-2022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44624</v>
      </c>
      <c r="E398" s="1" t="n">
        <v>46234</v>
      </c>
      <c r="F398" t="inlineStr">
        <is>
          <t>SÖDERMANLANDS LÄN</t>
        </is>
      </c>
      <c r="G398" t="inlineStr">
        <is>
          <t>FLEN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45041</v>
      </c>
      <c r="E399" s="1" t="n">
        <v>46234</v>
      </c>
      <c r="F399" t="inlineStr">
        <is>
          <t>SÖDERMANLANDS LÄN</t>
        </is>
      </c>
      <c r="G399" t="inlineStr">
        <is>
          <t>FLEN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46234</v>
      </c>
      <c r="F400" t="inlineStr">
        <is>
          <t>SÖDERMANLANDS LÄN</t>
        </is>
      </c>
      <c r="G400" t="inlineStr">
        <is>
          <t>FLEN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39335-2023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46234</v>
      </c>
      <c r="F401" t="inlineStr">
        <is>
          <t>SÖDERMANLANDS LÄN</t>
        </is>
      </c>
      <c r="G401" t="inlineStr">
        <is>
          <t>FLEN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46234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8.300000000000001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20791-2022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44701</v>
      </c>
      <c r="E403" s="1" t="n">
        <v>46234</v>
      </c>
      <c r="F403" t="inlineStr">
        <is>
          <t>SÖDERMANLANDS LÄN</t>
        </is>
      </c>
      <c r="G403" t="inlineStr">
        <is>
          <t>FLEN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45740</v>
      </c>
      <c r="E404" s="1" t="n">
        <v>46234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60150-2022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44909</v>
      </c>
      <c r="E405" s="1" t="n">
        <v>46234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45518</v>
      </c>
      <c r="E406" s="1" t="n">
        <v>46234</v>
      </c>
      <c r="F406" t="inlineStr">
        <is>
          <t>SÖDERMANLANDS LÄN</t>
        </is>
      </c>
      <c r="G406" t="inlineStr">
        <is>
          <t>FLEN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45271</v>
      </c>
      <c r="E407" s="1" t="n">
        <v>46234</v>
      </c>
      <c r="F407" t="inlineStr">
        <is>
          <t>SÖDERMANLANDS LÄN</t>
        </is>
      </c>
      <c r="G407" t="inlineStr">
        <is>
          <t>FLEN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46234</v>
      </c>
      <c r="F408" t="inlineStr">
        <is>
          <t>SÖDERMANLANDS LÄN</t>
        </is>
      </c>
      <c r="G408" t="inlineStr">
        <is>
          <t>FLEN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46234</v>
      </c>
      <c r="F409" t="inlineStr">
        <is>
          <t>SÖDERMANLANDS LÄN</t>
        </is>
      </c>
      <c r="G409" t="inlineStr">
        <is>
          <t>FLEN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45257</v>
      </c>
      <c r="E410" s="1" t="n">
        <v>46234</v>
      </c>
      <c r="F410" t="inlineStr">
        <is>
          <t>SÖDERMANLANDS LÄN</t>
        </is>
      </c>
      <c r="G410" t="inlineStr">
        <is>
          <t>FLEN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45632</v>
      </c>
      <c r="E411" s="1" t="n">
        <v>46234</v>
      </c>
      <c r="F411" t="inlineStr">
        <is>
          <t>SÖDERMANLANDS LÄN</t>
        </is>
      </c>
      <c r="G411" t="inlineStr">
        <is>
          <t>FLEN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45315</v>
      </c>
      <c r="E412" s="1" t="n">
        <v>46234</v>
      </c>
      <c r="F412" t="inlineStr">
        <is>
          <t>SÖDERMANLANDS LÄN</t>
        </is>
      </c>
      <c r="G412" t="inlineStr">
        <is>
          <t>FLEN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45321</v>
      </c>
      <c r="E413" s="1" t="n">
        <v>46234</v>
      </c>
      <c r="F413" t="inlineStr">
        <is>
          <t>SÖDERMANLANDS LÄN</t>
        </is>
      </c>
      <c r="G413" t="inlineStr">
        <is>
          <t>FLEN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44676</v>
      </c>
      <c r="E414" s="1" t="n">
        <v>46234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46234</v>
      </c>
      <c r="F415" t="inlineStr">
        <is>
          <t>SÖDERMANLANDS LÄN</t>
        </is>
      </c>
      <c r="G415" t="inlineStr">
        <is>
          <t>FLEN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46234</v>
      </c>
      <c r="F416" t="inlineStr">
        <is>
          <t>SÖDERMANLANDS LÄN</t>
        </is>
      </c>
      <c r="G416" t="inlineStr">
        <is>
          <t>FLEN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46125</v>
      </c>
      <c r="E417" s="1" t="n">
        <v>46234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14599-2023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45013</v>
      </c>
      <c r="E418" s="1" t="n">
        <v>46234</v>
      </c>
      <c r="F418" t="inlineStr">
        <is>
          <t>SÖDERMANLANDS LÄN</t>
        </is>
      </c>
      <c r="G418" t="inlineStr">
        <is>
          <t>FLEN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46126</v>
      </c>
      <c r="E419" s="1" t="n">
        <v>46234</v>
      </c>
      <c r="F419" t="inlineStr">
        <is>
          <t>SÖDERMANLANDS LÄN</t>
        </is>
      </c>
      <c r="G419" t="inlineStr">
        <is>
          <t>FLEN</t>
        </is>
      </c>
      <c r="I419" t="n">
        <v>7.9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45230</v>
      </c>
      <c r="E420" s="1" t="n">
        <v>46234</v>
      </c>
      <c r="F420" t="inlineStr">
        <is>
          <t>SÖDERMANLANDS LÄN</t>
        </is>
      </c>
      <c r="G420" t="inlineStr">
        <is>
          <t>FLEN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53518-2023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45230</v>
      </c>
      <c r="E421" s="1" t="n">
        <v>46234</v>
      </c>
      <c r="F421" t="inlineStr">
        <is>
          <t>SÖDERMANLANDS LÄN</t>
        </is>
      </c>
      <c r="G421" t="inlineStr">
        <is>
          <t>FLEN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46121</v>
      </c>
      <c r="E422" s="1" t="n">
        <v>46234</v>
      </c>
      <c r="F422" t="inlineStr">
        <is>
          <t>SÖDERMANLANDS LÄN</t>
        </is>
      </c>
      <c r="G422" t="inlineStr">
        <is>
          <t>FLEN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46121</v>
      </c>
      <c r="E423" s="1" t="n">
        <v>46234</v>
      </c>
      <c r="F423" t="inlineStr">
        <is>
          <t>SÖDERMANLANDS LÄN</t>
        </is>
      </c>
      <c r="G423" t="inlineStr">
        <is>
          <t>FLEN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46129</v>
      </c>
      <c r="E424" s="1" t="n">
        <v>46234</v>
      </c>
      <c r="F424" t="inlineStr">
        <is>
          <t>SÖDERMANLANDS LÄN</t>
        </is>
      </c>
      <c r="G424" t="inlineStr">
        <is>
          <t>FLEN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46121</v>
      </c>
      <c r="E425" s="1" t="n">
        <v>46234</v>
      </c>
      <c r="F425" t="inlineStr">
        <is>
          <t>SÖDERMANLANDS LÄN</t>
        </is>
      </c>
      <c r="G425" t="inlineStr">
        <is>
          <t>FLEN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50796-2021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44459</v>
      </c>
      <c r="E426" s="1" t="n">
        <v>46234</v>
      </c>
      <c r="F426" t="inlineStr">
        <is>
          <t>SÖDERMANLANDS LÄN</t>
        </is>
      </c>
      <c r="G426" t="inlineStr">
        <is>
          <t>FLEN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46234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46234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39053-2023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45163</v>
      </c>
      <c r="E429" s="1" t="n">
        <v>46234</v>
      </c>
      <c r="F429" t="inlineStr">
        <is>
          <t>SÖDERMANLANDS LÄN</t>
        </is>
      </c>
      <c r="G429" t="inlineStr">
        <is>
          <t>FLEN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46234</v>
      </c>
      <c r="F430" t="inlineStr">
        <is>
          <t>SÖDERMANLANDS LÄN</t>
        </is>
      </c>
      <c r="G430" t="inlineStr">
        <is>
          <t>FLEN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46234</v>
      </c>
      <c r="F431" t="inlineStr">
        <is>
          <t>SÖDERMANLANDS LÄN</t>
        </is>
      </c>
      <c r="G431" t="inlineStr">
        <is>
          <t>FLEN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12172-2022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44636</v>
      </c>
      <c r="E432" s="1" t="n">
        <v>46234</v>
      </c>
      <c r="F432" t="inlineStr">
        <is>
          <t>SÖDERMANLANDS LÄN</t>
        </is>
      </c>
      <c r="G432" t="inlineStr">
        <is>
          <t>FLEN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39171-2025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45888</v>
      </c>
      <c r="E433" s="1" t="n">
        <v>46234</v>
      </c>
      <c r="F433" t="inlineStr">
        <is>
          <t>SÖDERMANLANDS LÄN</t>
        </is>
      </c>
      <c r="G433" t="inlineStr">
        <is>
          <t>FLEN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46234</v>
      </c>
      <c r="F434" t="inlineStr">
        <is>
          <t>SÖDERMANLANDS LÄN</t>
        </is>
      </c>
      <c r="G434" t="inlineStr">
        <is>
          <t>FLEN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9979-2025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45718</v>
      </c>
      <c r="E435" s="1" t="n">
        <v>46234</v>
      </c>
      <c r="F435" t="inlineStr">
        <is>
          <t>SÖDERMANLANDS LÄN</t>
        </is>
      </c>
      <c r="G435" t="inlineStr">
        <is>
          <t>FLEN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41709-2021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44425</v>
      </c>
      <c r="E436" s="1" t="n">
        <v>46234</v>
      </c>
      <c r="F436" t="inlineStr">
        <is>
          <t>SÖDERMANLANDS LÄN</t>
        </is>
      </c>
      <c r="G436" t="inlineStr">
        <is>
          <t>FLEN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56393-2022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44887</v>
      </c>
      <c r="E437" s="1" t="n">
        <v>46234</v>
      </c>
      <c r="F437" t="inlineStr">
        <is>
          <t>SÖDERMANLANDS LÄN</t>
        </is>
      </c>
      <c r="G437" t="inlineStr">
        <is>
          <t>FLEN</t>
        </is>
      </c>
      <c r="I437" t="n">
        <v>11.3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45789</v>
      </c>
      <c r="E438" s="1" t="n">
        <v>46234</v>
      </c>
      <c r="F438" t="inlineStr">
        <is>
          <t>SÖDERMANLANDS LÄN</t>
        </is>
      </c>
      <c r="G438" t="inlineStr">
        <is>
          <t>FLEN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46234</v>
      </c>
      <c r="F439" t="inlineStr">
        <is>
          <t>SÖDERMANLANDS LÄN</t>
        </is>
      </c>
      <c r="G439" t="inlineStr">
        <is>
          <t>FLEN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44911</v>
      </c>
      <c r="E440" s="1" t="n">
        <v>46234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41800-2021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44425</v>
      </c>
      <c r="E441" s="1" t="n">
        <v>46234</v>
      </c>
      <c r="F441" t="inlineStr">
        <is>
          <t>SÖDERMANLANDS LÄN</t>
        </is>
      </c>
      <c r="G441" t="inlineStr">
        <is>
          <t>FLEN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46234</v>
      </c>
      <c r="F442" t="inlineStr">
        <is>
          <t>SÖDERMANLANDS LÄN</t>
        </is>
      </c>
      <c r="G442" t="inlineStr">
        <is>
          <t>FLEN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45114</v>
      </c>
      <c r="E443" s="1" t="n">
        <v>46234</v>
      </c>
      <c r="F443" t="inlineStr">
        <is>
          <t>SÖDERMANLANDS LÄN</t>
        </is>
      </c>
      <c r="G443" t="inlineStr">
        <is>
          <t>FLEN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38217-2023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45161</v>
      </c>
      <c r="E444" s="1" t="n">
        <v>46234</v>
      </c>
      <c r="F444" t="inlineStr">
        <is>
          <t>SÖDERMANLANDS LÄN</t>
        </is>
      </c>
      <c r="G444" t="inlineStr">
        <is>
          <t>FLEN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45012</v>
      </c>
      <c r="E445" s="1" t="n">
        <v>46234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56497-2022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46234</v>
      </c>
      <c r="F446" t="inlineStr">
        <is>
          <t>SÖDERMANLANDS LÄN</t>
        </is>
      </c>
      <c r="G446" t="inlineStr">
        <is>
          <t>FLEN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44958</v>
      </c>
      <c r="E447" s="1" t="n">
        <v>46234</v>
      </c>
      <c r="F447" t="inlineStr">
        <is>
          <t>SÖDERMANLANDS LÄN</t>
        </is>
      </c>
      <c r="G447" t="inlineStr">
        <is>
          <t>FLEN</t>
        </is>
      </c>
      <c r="I447" t="n">
        <v>7.5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59599-2022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44907</v>
      </c>
      <c r="E448" s="1" t="n">
        <v>46234</v>
      </c>
      <c r="F448" t="inlineStr">
        <is>
          <t>SÖDERMANLANDS LÄN</t>
        </is>
      </c>
      <c r="G448" t="inlineStr">
        <is>
          <t>FLEN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46234</v>
      </c>
      <c r="F449" t="inlineStr">
        <is>
          <t>SÖDERMANLANDS LÄN</t>
        </is>
      </c>
      <c r="G449" t="inlineStr">
        <is>
          <t>FLEN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45895</v>
      </c>
      <c r="E450" s="1" t="n">
        <v>46234</v>
      </c>
      <c r="F450" t="inlineStr">
        <is>
          <t>SÖDERMANLANDS LÄN</t>
        </is>
      </c>
      <c r="G450" t="inlineStr">
        <is>
          <t>FLEN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46234</v>
      </c>
      <c r="F451" t="inlineStr">
        <is>
          <t>SÖDERMANLANDS LÄN</t>
        </is>
      </c>
      <c r="G451" t="inlineStr">
        <is>
          <t>FLEN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22957-2023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46234</v>
      </c>
      <c r="F452" t="inlineStr">
        <is>
          <t>SÖDERMANLANDS LÄN</t>
        </is>
      </c>
      <c r="G452" t="inlineStr">
        <is>
          <t>FLEN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37256-2022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44807</v>
      </c>
      <c r="E453" s="1" t="n">
        <v>46234</v>
      </c>
      <c r="F453" t="inlineStr">
        <is>
          <t>SÖDERMANLANDS LÄN</t>
        </is>
      </c>
      <c r="G453" t="inlineStr">
        <is>
          <t>FLEN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46234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31352-2023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45114</v>
      </c>
      <c r="E455" s="1" t="n">
        <v>46234</v>
      </c>
      <c r="F455" t="inlineStr">
        <is>
          <t>SÖDERMANLANDS LÄN</t>
        </is>
      </c>
      <c r="G455" t="inlineStr">
        <is>
          <t>FLEN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45299</v>
      </c>
      <c r="E456" s="1" t="n">
        <v>46234</v>
      </c>
      <c r="F456" t="inlineStr">
        <is>
          <t>SÖDERMANLANDS LÄN</t>
        </is>
      </c>
      <c r="G456" t="inlineStr">
        <is>
          <t>FLEN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45189</v>
      </c>
      <c r="E457" s="1" t="n">
        <v>46234</v>
      </c>
      <c r="F457" t="inlineStr">
        <is>
          <t>SÖDERMANLANDS LÄN</t>
        </is>
      </c>
      <c r="G457" t="inlineStr">
        <is>
          <t>FLEN</t>
        </is>
      </c>
      <c r="H457" t="inlineStr">
        <is>
          <t>Övriga statliga verk och myndigheter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24348-2023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46234</v>
      </c>
      <c r="F458" t="inlineStr">
        <is>
          <t>SÖDERMANLANDS LÄN</t>
        </is>
      </c>
      <c r="G458" t="inlineStr">
        <is>
          <t>FLEN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23216-2025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46234</v>
      </c>
      <c r="F459" t="inlineStr">
        <is>
          <t>SÖDERMANLANDS LÄN</t>
        </is>
      </c>
      <c r="G459" t="inlineStr">
        <is>
          <t>FLEN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45030</v>
      </c>
      <c r="E460" s="1" t="n">
        <v>46234</v>
      </c>
      <c r="F460" t="inlineStr">
        <is>
          <t>SÖDERMANLANDS LÄN</t>
        </is>
      </c>
      <c r="G460" t="inlineStr">
        <is>
          <t>FLEN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59891-2025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46234</v>
      </c>
      <c r="F461" t="inlineStr">
        <is>
          <t>SÖDERMANLANDS LÄN</t>
        </is>
      </c>
      <c r="G461" t="inlineStr">
        <is>
          <t>FLEN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44887</v>
      </c>
      <c r="E462" s="1" t="n">
        <v>46234</v>
      </c>
      <c r="F462" t="inlineStr">
        <is>
          <t>SÖDERMANLANDS LÄN</t>
        </is>
      </c>
      <c r="G462" t="inlineStr">
        <is>
          <t>FLEN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45169</v>
      </c>
      <c r="E463" s="1" t="n">
        <v>46234</v>
      </c>
      <c r="F463" t="inlineStr">
        <is>
          <t>SÖDERMANLANDS LÄN</t>
        </is>
      </c>
      <c r="G463" t="inlineStr">
        <is>
          <t>FLEN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42936-2021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44431</v>
      </c>
      <c r="E464" s="1" t="n">
        <v>46234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45225</v>
      </c>
      <c r="E465" s="1" t="n">
        <v>46234</v>
      </c>
      <c r="F465" t="inlineStr">
        <is>
          <t>SÖDERMANLANDS LÄN</t>
        </is>
      </c>
      <c r="G465" t="inlineStr">
        <is>
          <t>FLEN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45501</v>
      </c>
      <c r="E466" s="1" t="n">
        <v>46234</v>
      </c>
      <c r="F466" t="inlineStr">
        <is>
          <t>SÖDERMANLANDS LÄN</t>
        </is>
      </c>
      <c r="G466" t="inlineStr">
        <is>
          <t>FLEN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40420-2024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46234</v>
      </c>
      <c r="F467" t="inlineStr">
        <is>
          <t>SÖDERMANLANDS LÄN</t>
        </is>
      </c>
      <c r="G467" t="inlineStr">
        <is>
          <t>FLEN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46401-2022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44846</v>
      </c>
      <c r="E468" s="1" t="n">
        <v>46234</v>
      </c>
      <c r="F468" t="inlineStr">
        <is>
          <t>SÖDERMANLANDS LÄN</t>
        </is>
      </c>
      <c r="G468" t="inlineStr">
        <is>
          <t>FLEN</t>
        </is>
      </c>
      <c r="H468" t="inlineStr">
        <is>
          <t>Kyrkan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46234</v>
      </c>
      <c r="F469" t="inlineStr">
        <is>
          <t>SÖDERMANLANDS LÄN</t>
        </is>
      </c>
      <c r="G469" t="inlineStr">
        <is>
          <t>FLEN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45250</v>
      </c>
      <c r="E470" s="1" t="n">
        <v>46234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14.7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46234</v>
      </c>
      <c r="F471" t="inlineStr">
        <is>
          <t>SÖDERMANLANDS LÄN</t>
        </is>
      </c>
      <c r="G471" t="inlineStr">
        <is>
          <t>FLEN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52481-2023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46234</v>
      </c>
      <c r="F472" t="inlineStr">
        <is>
          <t>SÖDERMANLANDS LÄN</t>
        </is>
      </c>
      <c r="G472" t="inlineStr">
        <is>
          <t>FLEN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47187-2022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44848</v>
      </c>
      <c r="E473" s="1" t="n">
        <v>46234</v>
      </c>
      <c r="F473" t="inlineStr">
        <is>
          <t>SÖDERMANLANDS LÄN</t>
        </is>
      </c>
      <c r="G473" t="inlineStr">
        <is>
          <t>FLEN</t>
        </is>
      </c>
      <c r="H473" t="inlineStr">
        <is>
          <t>Övriga statliga verk och myndigheter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46234</v>
      </c>
      <c r="F474" t="inlineStr">
        <is>
          <t>SÖDERMANLANDS LÄN</t>
        </is>
      </c>
      <c r="G474" t="inlineStr">
        <is>
          <t>FLEN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8903-2022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44614</v>
      </c>
      <c r="E475" s="1" t="n">
        <v>46234</v>
      </c>
      <c r="F475" t="inlineStr">
        <is>
          <t>SÖDERMANLANDS LÄN</t>
        </is>
      </c>
      <c r="G475" t="inlineStr">
        <is>
          <t>FLEN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45720</v>
      </c>
      <c r="E476" s="1" t="n">
        <v>46234</v>
      </c>
      <c r="F476" t="inlineStr">
        <is>
          <t>SÖDERMANLANDS LÄN</t>
        </is>
      </c>
      <c r="G476" t="inlineStr">
        <is>
          <t>FLEN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53517-2023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45230</v>
      </c>
      <c r="E477" s="1" t="n">
        <v>46234</v>
      </c>
      <c r="F477" t="inlineStr">
        <is>
          <t>SÖDERMANLANDS LÄN</t>
        </is>
      </c>
      <c r="G477" t="inlineStr">
        <is>
          <t>FLEN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37286-2024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45540</v>
      </c>
      <c r="E478" s="1" t="n">
        <v>46234</v>
      </c>
      <c r="F478" t="inlineStr">
        <is>
          <t>SÖDERMANLANDS LÄN</t>
        </is>
      </c>
      <c r="G478" t="inlineStr">
        <is>
          <t>FLEN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8793-2022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44614</v>
      </c>
      <c r="E479" s="1" t="n">
        <v>46234</v>
      </c>
      <c r="F479" t="inlineStr">
        <is>
          <t>SÖDERMANLANDS LÄN</t>
        </is>
      </c>
      <c r="G479" t="inlineStr">
        <is>
          <t>FLEN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60034-2022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46234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46234</v>
      </c>
      <c r="F481" t="inlineStr">
        <is>
          <t>SÖDERMANLANDS LÄN</t>
        </is>
      </c>
      <c r="G481" t="inlineStr">
        <is>
          <t>FLEN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4536-2024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45327</v>
      </c>
      <c r="E482" s="1" t="n">
        <v>46234</v>
      </c>
      <c r="F482" t="inlineStr">
        <is>
          <t>SÖDERMANLANDS LÄN</t>
        </is>
      </c>
      <c r="G482" t="inlineStr">
        <is>
          <t>FLEN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45001</v>
      </c>
      <c r="E483" s="1" t="n">
        <v>46234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52353-2023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45224</v>
      </c>
      <c r="E484" s="1" t="n">
        <v>46234</v>
      </c>
      <c r="F484" t="inlineStr">
        <is>
          <t>SÖDERMANLANDS LÄN</t>
        </is>
      </c>
      <c r="G484" t="inlineStr">
        <is>
          <t>FLEN</t>
        </is>
      </c>
      <c r="H484" t="inlineStr">
        <is>
          <t>Kyrkan</t>
        </is>
      </c>
      <c r="I484" t="n">
        <v>8.199999999999999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73923-2021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44553</v>
      </c>
      <c r="E485" s="1" t="n">
        <v>46234</v>
      </c>
      <c r="F485" t="inlineStr">
        <is>
          <t>SÖDERMANLANDS LÄN</t>
        </is>
      </c>
      <c r="G485" t="inlineStr">
        <is>
          <t>FLEN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45345</v>
      </c>
      <c r="E486" s="1" t="n">
        <v>46234</v>
      </c>
      <c r="F486" t="inlineStr">
        <is>
          <t>SÖDERMANLANDS LÄN</t>
        </is>
      </c>
      <c r="G486" t="inlineStr">
        <is>
          <t>FLEN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46198</v>
      </c>
      <c r="E487" s="1" t="n">
        <v>46234</v>
      </c>
      <c r="F487" t="inlineStr">
        <is>
          <t>SÖDERMANLANDS LÄN</t>
        </is>
      </c>
      <c r="G487" t="inlineStr">
        <is>
          <t>FLEN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44648</v>
      </c>
      <c r="E488" s="1" t="n">
        <v>46234</v>
      </c>
      <c r="F488" t="inlineStr">
        <is>
          <t>SÖDERMANLANDS LÄN</t>
        </is>
      </c>
      <c r="G488" t="inlineStr">
        <is>
          <t>FLEN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46234</v>
      </c>
      <c r="F489" t="inlineStr">
        <is>
          <t>SÖDERMANLANDS LÄN</t>
        </is>
      </c>
      <c r="G489" t="inlineStr">
        <is>
          <t>FLEN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44739</v>
      </c>
      <c r="E490" s="1" t="n">
        <v>46234</v>
      </c>
      <c r="F490" t="inlineStr">
        <is>
          <t>SÖDERMANLANDS LÄN</t>
        </is>
      </c>
      <c r="G490" t="inlineStr">
        <is>
          <t>FLEN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23716-2024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45454</v>
      </c>
      <c r="E491" s="1" t="n">
        <v>46234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46234</v>
      </c>
      <c r="F492" t="inlineStr">
        <is>
          <t>SÖDERMANLANDS LÄN</t>
        </is>
      </c>
      <c r="G492" t="inlineStr">
        <is>
          <t>FLEN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28768-2024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46234</v>
      </c>
      <c r="F493" t="inlineStr">
        <is>
          <t>SÖDERMANLANDS LÄN</t>
        </is>
      </c>
      <c r="G493" t="inlineStr">
        <is>
          <t>FLEN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41894-2021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44425</v>
      </c>
      <c r="E494" s="1" t="n">
        <v>46234</v>
      </c>
      <c r="F494" t="inlineStr">
        <is>
          <t>SÖDERMANLANDS LÄN</t>
        </is>
      </c>
      <c r="G494" t="inlineStr">
        <is>
          <t>FLEN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9074-2025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45713</v>
      </c>
      <c r="E495" s="1" t="n">
        <v>46234</v>
      </c>
      <c r="F495" t="inlineStr">
        <is>
          <t>SÖDERMANLANDS LÄN</t>
        </is>
      </c>
      <c r="G495" t="inlineStr">
        <is>
          <t>FLEN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44580</v>
      </c>
      <c r="E496" s="1" t="n">
        <v>46234</v>
      </c>
      <c r="F496" t="inlineStr">
        <is>
          <t>SÖDERMANLANDS LÄN</t>
        </is>
      </c>
      <c r="G496" t="inlineStr">
        <is>
          <t>FLEN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34612-2023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45140</v>
      </c>
      <c r="E497" s="1" t="n">
        <v>46234</v>
      </c>
      <c r="F497" t="inlineStr">
        <is>
          <t>SÖDERMANLANDS LÄN</t>
        </is>
      </c>
      <c r="G497" t="inlineStr">
        <is>
          <t>FLEN</t>
        </is>
      </c>
      <c r="H497" t="inlineStr">
        <is>
          <t>Kyrkan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39891-2022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44819</v>
      </c>
      <c r="E498" s="1" t="n">
        <v>46234</v>
      </c>
      <c r="F498" t="inlineStr">
        <is>
          <t>SÖDERMANLANDS LÄN</t>
        </is>
      </c>
      <c r="G498" t="inlineStr">
        <is>
          <t>FLEN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31083-2022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44769</v>
      </c>
      <c r="E499" s="1" t="n">
        <v>46234</v>
      </c>
      <c r="F499" t="inlineStr">
        <is>
          <t>SÖDERMANLANDS LÄN</t>
        </is>
      </c>
      <c r="G499" t="inlineStr">
        <is>
          <t>FLEN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46234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58926-2023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45250</v>
      </c>
      <c r="E501" s="1" t="n">
        <v>46234</v>
      </c>
      <c r="F501" t="inlineStr">
        <is>
          <t>SÖDERMANLANDS LÄN</t>
        </is>
      </c>
      <c r="G501" t="inlineStr">
        <is>
          <t>FLEN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46234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46234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38135-2023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46234</v>
      </c>
      <c r="F504" t="inlineStr">
        <is>
          <t>SÖDERMANLANDS LÄN</t>
        </is>
      </c>
      <c r="G504" t="inlineStr">
        <is>
          <t>FLEN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44960</v>
      </c>
      <c r="E505" s="1" t="n">
        <v>46234</v>
      </c>
      <c r="F505" t="inlineStr">
        <is>
          <t>SÖDERMANLANDS LÄN</t>
        </is>
      </c>
      <c r="G505" t="inlineStr">
        <is>
          <t>FLEN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57046-2023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46234</v>
      </c>
      <c r="F506" t="inlineStr">
        <is>
          <t>SÖDERMANLANDS LÄN</t>
        </is>
      </c>
      <c r="G506" t="inlineStr">
        <is>
          <t>FLEN</t>
        </is>
      </c>
      <c r="H506" t="inlineStr">
        <is>
          <t>Övriga statliga verk och myndigheter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24157-2026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46168</v>
      </c>
      <c r="E507" s="1" t="n">
        <v>46234</v>
      </c>
      <c r="F507" t="inlineStr">
        <is>
          <t>SÖDERMANLANDS LÄN</t>
        </is>
      </c>
      <c r="G507" t="inlineStr">
        <is>
          <t>FLEN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46234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4657-2024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46234</v>
      </c>
      <c r="F509" t="inlineStr">
        <is>
          <t>SÖDERMANLANDS LÄN</t>
        </is>
      </c>
      <c r="G509" t="inlineStr">
        <is>
          <t>FLEN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46234</v>
      </c>
      <c r="F510" t="inlineStr">
        <is>
          <t>SÖDERMANLANDS LÄN</t>
        </is>
      </c>
      <c r="G510" t="inlineStr">
        <is>
          <t>FLEN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45036</v>
      </c>
      <c r="E511" s="1" t="n">
        <v>46234</v>
      </c>
      <c r="F511" t="inlineStr">
        <is>
          <t>SÖDERMANLANDS LÄN</t>
        </is>
      </c>
      <c r="G511" t="inlineStr">
        <is>
          <t>FLEN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46168</v>
      </c>
      <c r="E512" s="1" t="n">
        <v>46234</v>
      </c>
      <c r="F512" t="inlineStr">
        <is>
          <t>SÖDERMANLANDS LÄN</t>
        </is>
      </c>
      <c r="G512" t="inlineStr">
        <is>
          <t>FLEN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46234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59439-2022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44907</v>
      </c>
      <c r="E514" s="1" t="n">
        <v>46234</v>
      </c>
      <c r="F514" t="inlineStr">
        <is>
          <t>SÖDERMANLANDS LÄN</t>
        </is>
      </c>
      <c r="G514" t="inlineStr">
        <is>
          <t>FLEN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17838-2026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46234</v>
      </c>
      <c r="F515" t="inlineStr">
        <is>
          <t>SÖDERMANLANDS LÄN</t>
        </is>
      </c>
      <c r="G515" t="inlineStr">
        <is>
          <t>FLEN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10256-2024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45365</v>
      </c>
      <c r="E516" s="1" t="n">
        <v>46234</v>
      </c>
      <c r="F516" t="inlineStr">
        <is>
          <t>SÖDERMANLANDS LÄN</t>
        </is>
      </c>
      <c r="G516" t="inlineStr">
        <is>
          <t>FLEN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56991-2023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46234</v>
      </c>
      <c r="F517" t="inlineStr">
        <is>
          <t>SÖDERMANLANDS LÄN</t>
        </is>
      </c>
      <c r="G517" t="inlineStr">
        <is>
          <t>FLEN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46234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  <c r="Z518">
        <f>HYPERLINK("https://klasma.github.io/Logging_0482/knärot/A 24450-2026 karta knärot.png", "A 24450-2026")</f>
        <v/>
      </c>
      <c r="AA518">
        <f>HYPERLINK("https://klasma.github.io/Logging_0482/klagomål/A 24450-2026 FSC-klagomål.docx", "A 24450-2026")</f>
        <v/>
      </c>
      <c r="AB518">
        <f>HYPERLINK("https://klasma.github.io/Logging_0482/klagomålsmail/A 24450-2026 FSC-klagomål mail.docx", "A 24450-2026")</f>
        <v/>
      </c>
      <c r="AC518">
        <f>HYPERLINK("https://klasma.github.io/Logging_0482/tillsyn/A 24450-2026 tillsynsbegäran.docx", "A 24450-2026")</f>
        <v/>
      </c>
      <c r="AD518">
        <f>HYPERLINK("https://klasma.github.io/Logging_0482/tillsynsmail/A 24450-2026 tillsynsbegäran mail.docx", "A 24450-2026")</f>
        <v/>
      </c>
    </row>
    <row r="519" ht="15" customHeight="1">
      <c r="A519" t="inlineStr">
        <is>
          <t>A 24721-2026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46170</v>
      </c>
      <c r="E519" s="1" t="n">
        <v>46234</v>
      </c>
      <c r="F519" t="inlineStr">
        <is>
          <t>SÖDERMANLANDS LÄN</t>
        </is>
      </c>
      <c r="G519" t="inlineStr">
        <is>
          <t>FLEN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54781-2024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45618</v>
      </c>
      <c r="E520" s="1" t="n">
        <v>46234</v>
      </c>
      <c r="F520" t="inlineStr">
        <is>
          <t>SÖDERMANLANDS LÄN</t>
        </is>
      </c>
      <c r="G520" t="inlineStr">
        <is>
          <t>FLEN</t>
        </is>
      </c>
      <c r="I520" t="n">
        <v>10.3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11747-2022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44634</v>
      </c>
      <c r="E521" s="1" t="n">
        <v>46234</v>
      </c>
      <c r="F521" t="inlineStr">
        <is>
          <t>SÖDERMANLANDS LÄN</t>
        </is>
      </c>
      <c r="G521" t="inlineStr">
        <is>
          <t>FLEN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41806-2023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45176</v>
      </c>
      <c r="E522" s="1" t="n">
        <v>46234</v>
      </c>
      <c r="F522" t="inlineStr">
        <is>
          <t>SÖDERMANLANDS LÄN</t>
        </is>
      </c>
      <c r="G522" t="inlineStr">
        <is>
          <t>FLEN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47872-2025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45932</v>
      </c>
      <c r="E523" s="1" t="n">
        <v>46234</v>
      </c>
      <c r="F523" t="inlineStr">
        <is>
          <t>SÖDERMANLANDS LÄN</t>
        </is>
      </c>
      <c r="G523" t="inlineStr">
        <is>
          <t>FLEN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25121-2026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46234</v>
      </c>
      <c r="F524" t="inlineStr">
        <is>
          <t>SÖDERMANLANDS LÄN</t>
        </is>
      </c>
      <c r="G524" t="inlineStr">
        <is>
          <t>FLEN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45216</v>
      </c>
      <c r="E525" s="1" t="n">
        <v>46234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46234</v>
      </c>
      <c r="F526" t="inlineStr">
        <is>
          <t>SÖDERMANLANDS LÄN</t>
        </is>
      </c>
      <c r="G526" t="inlineStr">
        <is>
          <t>FLEN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25303-2026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46176</v>
      </c>
      <c r="E527" s="1" t="n">
        <v>46234</v>
      </c>
      <c r="F527" t="inlineStr">
        <is>
          <t>SÖDERMANLANDS LÄN</t>
        </is>
      </c>
      <c r="G527" t="inlineStr">
        <is>
          <t>FLEN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42388-2023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46234</v>
      </c>
      <c r="F528" t="inlineStr">
        <is>
          <t>SÖDERMANLANDS LÄN</t>
        </is>
      </c>
      <c r="G528" t="inlineStr">
        <is>
          <t>FLEN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59690-2023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45256</v>
      </c>
      <c r="E529" s="1" t="n">
        <v>46234</v>
      </c>
      <c r="F529" t="inlineStr">
        <is>
          <t>SÖDERMANLANDS LÄN</t>
        </is>
      </c>
      <c r="G529" t="inlineStr">
        <is>
          <t>FLEN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45007</v>
      </c>
      <c r="E530" s="1" t="n">
        <v>46234</v>
      </c>
      <c r="F530" t="inlineStr">
        <is>
          <t>SÖDERMANLANDS LÄN</t>
        </is>
      </c>
      <c r="G530" t="inlineStr">
        <is>
          <t>FLEN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46234</v>
      </c>
      <c r="F531" t="inlineStr">
        <is>
          <t>SÖDERMANLANDS LÄN</t>
        </is>
      </c>
      <c r="G531" t="inlineStr">
        <is>
          <t>FLEN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46234</v>
      </c>
      <c r="F532" t="inlineStr">
        <is>
          <t>SÖDERMANLANDS LÄN</t>
        </is>
      </c>
      <c r="G532" t="inlineStr">
        <is>
          <t>FLEN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45448</v>
      </c>
      <c r="E533" s="1" t="n">
        <v>46234</v>
      </c>
      <c r="F533" t="inlineStr">
        <is>
          <t>SÖDERMANLANDS LÄN</t>
        </is>
      </c>
      <c r="G533" t="inlineStr">
        <is>
          <t>FLEN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13233-2024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45386</v>
      </c>
      <c r="E534" s="1" t="n">
        <v>46234</v>
      </c>
      <c r="F534" t="inlineStr">
        <is>
          <t>SÖDERMANLANDS LÄN</t>
        </is>
      </c>
      <c r="G534" t="inlineStr">
        <is>
          <t>FLEN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8293-2022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44610</v>
      </c>
      <c r="E535" s="1" t="n">
        <v>46234</v>
      </c>
      <c r="F535" t="inlineStr">
        <is>
          <t>SÖDERMANLANDS LÄN</t>
        </is>
      </c>
      <c r="G535" t="inlineStr">
        <is>
          <t>FLEN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14755-2023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45014</v>
      </c>
      <c r="E536" s="1" t="n">
        <v>46234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1899-2025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45671</v>
      </c>
      <c r="E537" s="1" t="n">
        <v>46234</v>
      </c>
      <c r="F537" t="inlineStr">
        <is>
          <t>SÖDERMANLANDS LÄN</t>
        </is>
      </c>
      <c r="G537" t="inlineStr">
        <is>
          <t>FLEN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38753-2023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45163</v>
      </c>
      <c r="E538" s="1" t="n">
        <v>46234</v>
      </c>
      <c r="F538" t="inlineStr">
        <is>
          <t>SÖDERMANLANDS LÄN</t>
        </is>
      </c>
      <c r="G538" t="inlineStr">
        <is>
          <t>FLEN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26050-2026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46234</v>
      </c>
      <c r="F539" t="inlineStr">
        <is>
          <t>SÖDERMANLANDS LÄN</t>
        </is>
      </c>
      <c r="G539" t="inlineStr">
        <is>
          <t>FLEN</t>
        </is>
      </c>
      <c r="H539" t="inlineStr">
        <is>
          <t>Holmen skog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46234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46234</v>
      </c>
      <c r="F541" t="inlineStr">
        <is>
          <t>SÖDERMANLANDS LÄN</t>
        </is>
      </c>
      <c r="G541" t="inlineStr">
        <is>
          <t>FLEN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26444-2026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46234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46234</v>
      </c>
      <c r="F543" t="inlineStr">
        <is>
          <t>SÖDERMANLANDS LÄN</t>
        </is>
      </c>
      <c r="G543" t="inlineStr">
        <is>
          <t>FLEN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31762-2026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46229</v>
      </c>
      <c r="E544" s="1" t="n">
        <v>46234</v>
      </c>
      <c r="F544" t="inlineStr">
        <is>
          <t>SÖDERMANLANDS LÄN</t>
        </is>
      </c>
      <c r="G544" t="inlineStr">
        <is>
          <t>FLEN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27304-2026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46234</v>
      </c>
      <c r="F545" t="inlineStr">
        <is>
          <t>SÖDERMANLANDS LÄN</t>
        </is>
      </c>
      <c r="G545" t="inlineStr">
        <is>
          <t>FLEN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46188</v>
      </c>
      <c r="E546" s="1" t="n">
        <v>46234</v>
      </c>
      <c r="F546" t="inlineStr">
        <is>
          <t>SÖDERMANLANDS LÄN</t>
        </is>
      </c>
      <c r="G546" t="inlineStr">
        <is>
          <t>FLEN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46234</v>
      </c>
      <c r="F547" t="inlineStr">
        <is>
          <t>SÖDERMANLANDS LÄN</t>
        </is>
      </c>
      <c r="G547" t="inlineStr">
        <is>
          <t>FLEN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458-2023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44964</v>
      </c>
      <c r="E548" s="1" t="n">
        <v>46234</v>
      </c>
      <c r="F548" t="inlineStr">
        <is>
          <t>SÖDERMANLANDS LÄN</t>
        </is>
      </c>
      <c r="G548" t="inlineStr">
        <is>
          <t>FLEN</t>
        </is>
      </c>
      <c r="H548" t="inlineStr">
        <is>
          <t>Kyrkan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292-2025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45686</v>
      </c>
      <c r="E549" s="1" t="n">
        <v>46234</v>
      </c>
      <c r="F549" t="inlineStr">
        <is>
          <t>SÖDERMANLANDS LÄN</t>
        </is>
      </c>
      <c r="G549" t="inlineStr">
        <is>
          <t>FLEN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3723-2022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44742</v>
      </c>
      <c r="E550" s="1" t="n">
        <v>46234</v>
      </c>
      <c r="F550" t="inlineStr">
        <is>
          <t>SÖDERMANLANDS LÄN</t>
        </is>
      </c>
      <c r="G550" t="inlineStr">
        <is>
          <t>FLEN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482-2022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44588</v>
      </c>
      <c r="E551" s="1" t="n">
        <v>46234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2321-2022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44685</v>
      </c>
      <c r="E552" s="1" t="n">
        <v>46234</v>
      </c>
      <c r="F552" t="inlineStr">
        <is>
          <t>SÖDERMANLANDS LÄN</t>
        </is>
      </c>
      <c r="G552" t="inlineStr">
        <is>
          <t>FLEN</t>
        </is>
      </c>
      <c r="H552" t="inlineStr">
        <is>
          <t>Kyrkan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1976-2024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45446</v>
      </c>
      <c r="E553" s="1" t="n">
        <v>46234</v>
      </c>
      <c r="F553" t="inlineStr">
        <is>
          <t>SÖDERMANLANDS LÄN</t>
        </is>
      </c>
      <c r="G553" t="inlineStr">
        <is>
          <t>FLEN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1287-2024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45403</v>
      </c>
      <c r="E554" s="1" t="n">
        <v>46234</v>
      </c>
      <c r="F554" t="inlineStr">
        <is>
          <t>SÖDERMANLANDS LÄN</t>
        </is>
      </c>
      <c r="G554" t="inlineStr">
        <is>
          <t>FLEN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>
      <c r="A555" t="inlineStr">
        <is>
          <t>S 1528-2026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46164</v>
      </c>
      <c r="E555" s="1" t="n">
        <v>46234</v>
      </c>
      <c r="F555" t="inlineStr">
        <is>
          <t>SÖDERMANLANDS LÄN</t>
        </is>
      </c>
      <c r="G555" t="inlineStr">
        <is>
          <t>FLEN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2026-07-31T01:53:52Z</dcterms:created>
  <dcterms:modified xmlns:dcterms="http://purl.org/dc/terms/" xmlns:xsi="http://www.w3.org/2001/XMLSchema-instance" xsi:type="dcterms:W3CDTF">2026-07-31T01:53:52Z</dcterms:modified>
</cp:coreProperties>
</file>